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Reporting/0.2. Fechas actualización tablas/PaP de las fechas/"/>
    </mc:Choice>
  </mc:AlternateContent>
  <xr:revisionPtr revIDLastSave="1" documentId="8_{9898DDD4-B9CD-4DE0-9965-B30690E69E35}" xr6:coauthVersionLast="47" xr6:coauthVersionMax="47" xr10:uidLastSave="{87E3F4A7-DD61-4A1D-9F8D-86BACEF2A034}"/>
  <bookViews>
    <workbookView xWindow="28680" yWindow="-120" windowWidth="29040" windowHeight="15720" xr2:uid="{26BCB818-8EB4-4F42-B694-3530250E6109}"/>
  </bookViews>
  <sheets>
    <sheet name="TABLAS OUT" sheetId="1" r:id="rId1"/>
    <sheet name="Hoja5" sheetId="5" r:id="rId2"/>
    <sheet name="EQUIVALENCIA" sheetId="4" r:id="rId3"/>
    <sheet name="TABLAS INYC" sheetId="2" r:id="rId4"/>
    <sheet name="ALIAS INYC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M9" i="5" s="1"/>
  <c r="G10" i="5"/>
  <c r="G11" i="5"/>
  <c r="G12" i="5"/>
  <c r="G13" i="5"/>
  <c r="G14" i="5"/>
  <c r="M14" i="5" s="1"/>
  <c r="G15" i="5"/>
  <c r="G1" i="5"/>
  <c r="M2" i="5"/>
  <c r="J2" i="5"/>
  <c r="J3" i="5"/>
  <c r="M3" i="5"/>
  <c r="J4" i="5"/>
  <c r="M4" i="5" s="1"/>
  <c r="J5" i="5"/>
  <c r="M5" i="5" s="1"/>
  <c r="J6" i="5"/>
  <c r="M7" i="5"/>
  <c r="J7" i="5"/>
  <c r="M8" i="5"/>
  <c r="J8" i="5"/>
  <c r="J9" i="5"/>
  <c r="J10" i="5"/>
  <c r="M10" i="5"/>
  <c r="M11" i="5"/>
  <c r="J11" i="5"/>
  <c r="M12" i="5"/>
  <c r="J12" i="5"/>
  <c r="M13" i="5"/>
  <c r="J13" i="5"/>
  <c r="J14" i="5"/>
  <c r="M15" i="5"/>
  <c r="J15" i="5"/>
  <c r="M1" i="5"/>
  <c r="J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1" i="4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8" i="1"/>
  <c r="E29" i="1"/>
  <c r="E30" i="1"/>
  <c r="E27" i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E19" i="4"/>
  <c r="G19" i="4"/>
  <c r="G20" i="4"/>
  <c r="G21" i="4"/>
  <c r="G22" i="4"/>
  <c r="G23" i="4"/>
  <c r="G24" i="4"/>
  <c r="G25" i="4"/>
  <c r="G26" i="4"/>
  <c r="G27" i="4"/>
  <c r="G28" i="4"/>
  <c r="G29" i="4"/>
  <c r="G1" i="4"/>
  <c r="H3" i="1"/>
  <c r="I3" i="1" s="1"/>
  <c r="B3" i="1" s="1"/>
  <c r="C3" i="1" s="1"/>
  <c r="H4" i="1"/>
  <c r="I4" i="1" s="1"/>
  <c r="B4" i="1" s="1"/>
  <c r="C4" i="1" s="1"/>
  <c r="H5" i="1"/>
  <c r="I5" i="1" s="1"/>
  <c r="B5" i="1" s="1"/>
  <c r="E4" i="4" s="1"/>
  <c r="H6" i="1"/>
  <c r="I6" i="1" s="1"/>
  <c r="B6" i="1" s="1"/>
  <c r="H7" i="1"/>
  <c r="I7" i="1" s="1"/>
  <c r="B7" i="1" s="1"/>
  <c r="C7" i="1" s="1"/>
  <c r="H8" i="1"/>
  <c r="I8" i="1"/>
  <c r="H9" i="1"/>
  <c r="I9" i="1"/>
  <c r="B9" i="1" s="1"/>
  <c r="E8" i="4" s="1"/>
  <c r="H10" i="1"/>
  <c r="I10" i="1" s="1"/>
  <c r="B10" i="1" s="1"/>
  <c r="H11" i="1"/>
  <c r="I11" i="1" s="1"/>
  <c r="B11" i="1" s="1"/>
  <c r="C11" i="1" s="1"/>
  <c r="H12" i="1"/>
  <c r="I12" i="1" s="1"/>
  <c r="B12" i="1" s="1"/>
  <c r="H13" i="1"/>
  <c r="I13" i="1"/>
  <c r="H14" i="1"/>
  <c r="I14" i="1"/>
  <c r="H15" i="1"/>
  <c r="I15" i="1" s="1"/>
  <c r="B15" i="1" s="1"/>
  <c r="C15" i="1" s="1"/>
  <c r="H16" i="1"/>
  <c r="I16" i="1"/>
  <c r="B16" i="1" s="1"/>
  <c r="H17" i="1"/>
  <c r="I17" i="1"/>
  <c r="B17" i="1" s="1"/>
  <c r="E16" i="4" s="1"/>
  <c r="H18" i="1"/>
  <c r="I18" i="1"/>
  <c r="B18" i="1" s="1"/>
  <c r="E17" i="4" s="1"/>
  <c r="H19" i="1"/>
  <c r="I19" i="1" s="1"/>
  <c r="B19" i="1" s="1"/>
  <c r="C19" i="1" s="1"/>
  <c r="H20" i="1"/>
  <c r="I20" i="1"/>
  <c r="H21" i="1"/>
  <c r="I21" i="1" s="1"/>
  <c r="B21" i="1" s="1"/>
  <c r="H22" i="1"/>
  <c r="I22" i="1"/>
  <c r="B22" i="1" s="1"/>
  <c r="H23" i="1"/>
  <c r="I23" i="1" s="1"/>
  <c r="B23" i="1" s="1"/>
  <c r="C23" i="1" s="1"/>
  <c r="H24" i="1"/>
  <c r="I24" i="1" s="1"/>
  <c r="B24" i="1" s="1"/>
  <c r="H25" i="1"/>
  <c r="I25" i="1"/>
  <c r="B25" i="1" s="1"/>
  <c r="E24" i="4" s="1"/>
  <c r="H26" i="1"/>
  <c r="I26" i="1"/>
  <c r="B26" i="1" s="1"/>
  <c r="E25" i="4" s="1"/>
  <c r="H27" i="1"/>
  <c r="I27" i="1" s="1"/>
  <c r="B27" i="1" s="1"/>
  <c r="C27" i="1" s="1"/>
  <c r="H28" i="1"/>
  <c r="I28" i="1"/>
  <c r="B28" i="1" s="1"/>
  <c r="H29" i="1"/>
  <c r="I29" i="1"/>
  <c r="H30" i="1"/>
  <c r="I30" i="1" s="1"/>
  <c r="B30" i="1" s="1"/>
  <c r="B8" i="1"/>
  <c r="E7" i="4" s="1"/>
  <c r="B13" i="1"/>
  <c r="E12" i="4" s="1"/>
  <c r="B14" i="1"/>
  <c r="E13" i="4" s="1"/>
  <c r="B20" i="1"/>
  <c r="C20" i="1" s="1"/>
  <c r="B29" i="1"/>
  <c r="E28" i="4" s="1"/>
  <c r="H2" i="1"/>
  <c r="I2" i="1" s="1"/>
  <c r="B2" i="1" s="1"/>
  <c r="C2" i="1" s="1"/>
  <c r="M6" i="5" l="1"/>
  <c r="C12" i="1"/>
  <c r="E11" i="4"/>
  <c r="E20" i="4"/>
  <c r="C21" i="1"/>
  <c r="E15" i="4"/>
  <c r="C16" i="1"/>
  <c r="E5" i="4"/>
  <c r="C6" i="1"/>
  <c r="E9" i="4"/>
  <c r="C10" i="1"/>
  <c r="E21" i="4"/>
  <c r="C22" i="1"/>
  <c r="E29" i="4"/>
  <c r="C30" i="1"/>
  <c r="E23" i="4"/>
  <c r="C24" i="1"/>
  <c r="C28" i="1"/>
  <c r="E27" i="4"/>
  <c r="C25" i="1"/>
  <c r="C17" i="1"/>
  <c r="C9" i="1"/>
  <c r="E1" i="4"/>
  <c r="E22" i="4"/>
  <c r="E14" i="4"/>
  <c r="E6" i="4"/>
  <c r="C8" i="1"/>
  <c r="E3" i="4"/>
  <c r="C14" i="1"/>
  <c r="C29" i="1"/>
  <c r="C13" i="1"/>
  <c r="C5" i="1"/>
  <c r="E26" i="4"/>
  <c r="E18" i="4"/>
  <c r="E10" i="4"/>
  <c r="E2" i="4"/>
  <c r="C26" i="1"/>
  <c r="C18" i="1"/>
</calcChain>
</file>

<file path=xl/sharedStrings.xml><?xml version="1.0" encoding="utf-8"?>
<sst xmlns="http://schemas.openxmlformats.org/spreadsheetml/2006/main" count="834" uniqueCount="386">
  <si>
    <t>OUT_PERC_AGENTES_REP</t>
  </si>
  <si>
    <t>OUT_PROD_AGENTES_REP</t>
  </si>
  <si>
    <t>OUT_PERC_INSPECTORES_REP</t>
  </si>
  <si>
    <t>OUT_PROD_INSPECTORES_REP</t>
  </si>
  <si>
    <t>OUT_INSP_ACTIVOS_REP</t>
  </si>
  <si>
    <t>OUT_RPA_RESUMEN_REP</t>
  </si>
  <si>
    <t>OUT_LC_RPA_RESUMEN_REP</t>
  </si>
  <si>
    <t>OUT_BAL_RPA_RESUMEN_REP</t>
  </si>
  <si>
    <t>OUT_ASI_RESUMEN_REP</t>
  </si>
  <si>
    <t>OUT_LC_ASI_RESUMEN_REP</t>
  </si>
  <si>
    <t>OUT_BAL_ASI_RESUMEN_REP</t>
  </si>
  <si>
    <t>OUT_S4_POLIZAS_REP</t>
  </si>
  <si>
    <t>OUT_S4_E_POLIZAS_REP</t>
  </si>
  <si>
    <t>OUT_LC_S4_POLIZAS_REP</t>
  </si>
  <si>
    <t>OUT_LC_S4_E_POLIZAS_REP</t>
  </si>
  <si>
    <t>OUT_BAL_S4_POLIZAS_REP</t>
  </si>
  <si>
    <t>OUT_BAL_S4_E_POLIZAS_REP</t>
  </si>
  <si>
    <t>OUT_S5_POLIZAS_REP</t>
  </si>
  <si>
    <t>OUT_LC_S5_POLIZAS_REP</t>
  </si>
  <si>
    <t>OUT_BAL_S5_POLIZAS_REP</t>
  </si>
  <si>
    <t>OUT_S4_FACTURA_REP</t>
  </si>
  <si>
    <t>OUT_S5_FACTURA_REP</t>
  </si>
  <si>
    <t>OUT_S4_E_FACTURA_REP</t>
  </si>
  <si>
    <t>OUT_LC_S4_FACTURA_REP</t>
  </si>
  <si>
    <t>OUT_LC_S5_FACTURA_REP</t>
  </si>
  <si>
    <t>OUT_LC_S4_E_FACTURA_REP</t>
  </si>
  <si>
    <t>OUT_PEPA_RESUMEN_REP</t>
  </si>
  <si>
    <t>OUT_LC_PEPA_RESUMEN_REP</t>
  </si>
  <si>
    <t>OUT_BAL_PEPA_RESUMEN_REP</t>
  </si>
  <si>
    <t>INYC_AN_DETALLE</t>
  </si>
  <si>
    <t>INYC_AN_RESUMEN</t>
  </si>
  <si>
    <t>INYC_ASI_DETALLE</t>
  </si>
  <si>
    <t>INYC_ASI_E_DETALLE</t>
  </si>
  <si>
    <t>INYC_ASI_E_RESUMEN</t>
  </si>
  <si>
    <t>INYC_ASI_RESUMEN</t>
  </si>
  <si>
    <t>INYC_BAL_AN_DETALLE</t>
  </si>
  <si>
    <t>INYC_BAL_AN_RESUMEN</t>
  </si>
  <si>
    <t>INYC_BAL_ASI_DETALLE</t>
  </si>
  <si>
    <t>INYC_BAL_ASI_E_DETALLE</t>
  </si>
  <si>
    <t>INYC_BAL_ASI_E_RESUMEN</t>
  </si>
  <si>
    <t>INYC_BAL_ASI_RESUMEN</t>
  </si>
  <si>
    <t>INYC_BAL_CAP_E_RESUMEN</t>
  </si>
  <si>
    <t>INYC_BAL_CAP_RESUMEN</t>
  </si>
  <si>
    <t>INYC_BAL_CC_E_RESUMEN</t>
  </si>
  <si>
    <t>INYC_BAL_COLC_RESUMEN</t>
  </si>
  <si>
    <t>INYC_BAL_COMU_RESUMEN</t>
  </si>
  <si>
    <t>INYC_BAL_CONCURSO</t>
  </si>
  <si>
    <t>INYC_BAL_CPP</t>
  </si>
  <si>
    <t>INYC_BAL_DIF_DETALLE</t>
  </si>
  <si>
    <t>INYC_BAL_DIF_E_DETALLE</t>
  </si>
  <si>
    <t>INYC_BAL_DIF_E_RESUMEN</t>
  </si>
  <si>
    <t>INYC_BAL_DIF_RESUMEN</t>
  </si>
  <si>
    <t>INYC_BAL_E_RESUMEN</t>
  </si>
  <si>
    <t>INYC_BAL_FIN_RESUMEN</t>
  </si>
  <si>
    <t>INYC_BAL_GES</t>
  </si>
  <si>
    <t>INYC_BAL_GES_DETALLE</t>
  </si>
  <si>
    <t>INYC_BAL_GES_RESUMEN</t>
  </si>
  <si>
    <t>INYC_BAL_INCENTIVO</t>
  </si>
  <si>
    <t>INYC_BAL_IPP_RESUMEN</t>
  </si>
  <si>
    <t>INYC_BAL_MIN_RESUMEN</t>
  </si>
  <si>
    <t>INYC_BAL_OBJ_E_RESUMEN</t>
  </si>
  <si>
    <t>INYC_BAL_PEPA_DETALLE</t>
  </si>
  <si>
    <t>INYC_BAL_PEPA_E_DETALLE</t>
  </si>
  <si>
    <t>INYC_BAL_PEPA_E_RESUMEN</t>
  </si>
  <si>
    <t>INYC_BAL_PEPA_RESUMEN</t>
  </si>
  <si>
    <t>INYC_BAL_PEPI_DETALLE</t>
  </si>
  <si>
    <t>INYC_BAL_PEPI_E_DETALLE</t>
  </si>
  <si>
    <t>INYC_BAL_PEPI_E_RESUMEN</t>
  </si>
  <si>
    <t>INYC_BAL_PEPI_RESUMEN</t>
  </si>
  <si>
    <t>INYC_BAL_PMK_RESUMEN</t>
  </si>
  <si>
    <t>INYC_BAL_PP_DETALLE</t>
  </si>
  <si>
    <t>INYC_BAL_PP_RESUMEN</t>
  </si>
  <si>
    <t>INYC_BAL_RACH_RESUMEN</t>
  </si>
  <si>
    <t>INYC_BAL_RAGT_RESUMEN</t>
  </si>
  <si>
    <t>INYC_BAL_RAG_DETALLE</t>
  </si>
  <si>
    <t>INYC_BAL_RAG_RESUMEN</t>
  </si>
  <si>
    <t>INYC_BAL_RA_DETALLE</t>
  </si>
  <si>
    <t>INYC_BAL_RA_RESUMEN</t>
  </si>
  <si>
    <t>INYC_BAL_RDC_DETALLE</t>
  </si>
  <si>
    <t>INYC_BAL_RDC_RESUMEN</t>
  </si>
  <si>
    <t>INYC_BAL_RDIF</t>
  </si>
  <si>
    <t>INYC_BAL_REA_RESUMEN</t>
  </si>
  <si>
    <t>INYC_BAL_RECOA_RESUMEN</t>
  </si>
  <si>
    <t>INYC_BAL_RESUMEN</t>
  </si>
  <si>
    <t>INYC_BAL_RE_DETALLE</t>
  </si>
  <si>
    <t>INYC_BAL_RE_RESUMEN</t>
  </si>
  <si>
    <t>INYC_BAL_RIN_RESUMEN</t>
  </si>
  <si>
    <t>INYC_BAL_RIP_RESUMEN</t>
  </si>
  <si>
    <t>INYC_BAL_RPA_DETALLE</t>
  </si>
  <si>
    <t>INYC_BAL_RPA_RESUMEN</t>
  </si>
  <si>
    <t>INYC_BAL_RPI_DETALLE</t>
  </si>
  <si>
    <t>INYC_BAL_RPI_RESUMEN</t>
  </si>
  <si>
    <t>INYC_BAL_RPP_DETALLE</t>
  </si>
  <si>
    <t>INYC_BAL_RPP_RESUMEN</t>
  </si>
  <si>
    <t>INYC_BAL_S4</t>
  </si>
  <si>
    <t>INYC_BAL_S4_E</t>
  </si>
  <si>
    <t>INYC_BAL_S4_E_FAC</t>
  </si>
  <si>
    <t>INYC_BAL_S4_FAC</t>
  </si>
  <si>
    <t>INYC_BAL_S5</t>
  </si>
  <si>
    <t>INYC_BAL_S5_E</t>
  </si>
  <si>
    <t>INYC_BAL_S5_E_FAC</t>
  </si>
  <si>
    <t>INYC_BAL_S5_FAC</t>
  </si>
  <si>
    <t>INYC_CAP_E_RESUMEN</t>
  </si>
  <si>
    <t>INYC_CAP_RESUMEN</t>
  </si>
  <si>
    <t>INYC_CARTERA_AGENTES</t>
  </si>
  <si>
    <t>INYC_CC_E_RESUMEN</t>
  </si>
  <si>
    <t>INYC_COLC_RESUMEN</t>
  </si>
  <si>
    <t>INYC_COMU_RESUMEN</t>
  </si>
  <si>
    <t>INYC_CONCURSO</t>
  </si>
  <si>
    <t>INYC_CPP</t>
  </si>
  <si>
    <t>INYC_DIF_DETALLE</t>
  </si>
  <si>
    <t>INYC_DIF_E_DETALLE</t>
  </si>
  <si>
    <t>INYC_DIF_E_RESUMEN</t>
  </si>
  <si>
    <t>INYC_DIF_RESUMEN</t>
  </si>
  <si>
    <t>INYC_FIN_RESUMEN</t>
  </si>
  <si>
    <t>INYC_GES</t>
  </si>
  <si>
    <t>INYC_GES_DETALLE</t>
  </si>
  <si>
    <t>INYC_GES_RESUMEN</t>
  </si>
  <si>
    <t>INYC_INCENTIVO</t>
  </si>
  <si>
    <t>INYC_INSP_ACTIVOS</t>
  </si>
  <si>
    <t>INYC_IPP_RESUMEN</t>
  </si>
  <si>
    <t>INYC_LC_AN_DETALLE</t>
  </si>
  <si>
    <t>INYC_LC_AN_RESUMEN</t>
  </si>
  <si>
    <t>INYC_LC_ASI_DETALLE</t>
  </si>
  <si>
    <t>INYC_LC_ASI_E_DETALLE</t>
  </si>
  <si>
    <t>INYC_LC_ASI_E_RESUMEN</t>
  </si>
  <si>
    <t>INYC_LC_ASI_RESUMEN</t>
  </si>
  <si>
    <t>INYC_LC_CAP_E_RESUMEN</t>
  </si>
  <si>
    <t>INYC_LC_CAP_RESUMEN</t>
  </si>
  <si>
    <t>INYC_LC_CC_E_RESUMEN</t>
  </si>
  <si>
    <t>INYC_LC_COLC_RESUMEN</t>
  </si>
  <si>
    <t>INYC_LC_COMU_RESUMEN</t>
  </si>
  <si>
    <t>INYC_LC_CONCURSO</t>
  </si>
  <si>
    <t>INYC_LC_CPP</t>
  </si>
  <si>
    <t>INYC_LC_DIF_DETALLE</t>
  </si>
  <si>
    <t>INYC_LC_DIF_E_DETALLE</t>
  </si>
  <si>
    <t>INYC_LC_DIF_E_RESUMEN</t>
  </si>
  <si>
    <t>INYC_LC_DIF_RESUMEN</t>
  </si>
  <si>
    <t>INYC_LC_FIN_RESUMEN</t>
  </si>
  <si>
    <t>INYC_LC_GES_DETALLE</t>
  </si>
  <si>
    <t>INYC_LC_GES_RESUMEN</t>
  </si>
  <si>
    <t>INYC_LC_INCENTIVO</t>
  </si>
  <si>
    <t>INYC_LC_IPP_RESUMEN</t>
  </si>
  <si>
    <t>INYC_LC_MIN_RESUMEN</t>
  </si>
  <si>
    <t>INYC_LC_OBJ_E_RESUMEN</t>
  </si>
  <si>
    <t>INYC_LC_PEPA_DETALLE</t>
  </si>
  <si>
    <t>INYC_LC_PEPA_E_DETALLE</t>
  </si>
  <si>
    <t>INYC_LC_PEPA_E_RESUMEN</t>
  </si>
  <si>
    <t>INYC_LC_PEPA_RESUMEN</t>
  </si>
  <si>
    <t>INYC_LC_PEPI_DETALLE</t>
  </si>
  <si>
    <t>INYC_LC_PEPI_E_DETALLE</t>
  </si>
  <si>
    <t>INYC_LC_PEPI_E_RESUMEN</t>
  </si>
  <si>
    <t>INYC_LC_PEPI_RESUMEN</t>
  </si>
  <si>
    <t>INYC_LC_PMK_RESUMEN</t>
  </si>
  <si>
    <t>INYC_LC_PP_DETALLE</t>
  </si>
  <si>
    <t>INYC_LC_PP_RESUMEN</t>
  </si>
  <si>
    <t>INYC_LC_RACH_RESUMEN</t>
  </si>
  <si>
    <t>INYC_LC_RAGT_RESUMEN</t>
  </si>
  <si>
    <t>INYC_LC_RAG_DETALLE</t>
  </si>
  <si>
    <t>INYC_LC_RAG_RESUMEN</t>
  </si>
  <si>
    <t>INYC_LC_RA_DETALLE</t>
  </si>
  <si>
    <t>INYC_LC_RA_RESUMEN</t>
  </si>
  <si>
    <t>INYC_LC_RDC_DETALLE</t>
  </si>
  <si>
    <t>INYC_LC_RDC_RESUMEN</t>
  </si>
  <si>
    <t>INYC_LC_RDIF</t>
  </si>
  <si>
    <t>INYC_LC_REA_RESUMEN</t>
  </si>
  <si>
    <t>INYC_LC_RECOA_RESUMEN</t>
  </si>
  <si>
    <t>INYC_LC_RE_DETALLE</t>
  </si>
  <si>
    <t>INYC_LC_RE_RESUMEN</t>
  </si>
  <si>
    <t>INYC_LC_RIN_RESUMEN</t>
  </si>
  <si>
    <t>INYC_LC_RIP_RESUMEN</t>
  </si>
  <si>
    <t>INYC_LC_RPA_DETALLE</t>
  </si>
  <si>
    <t>INYC_LC_RPA_RESUMEN</t>
  </si>
  <si>
    <t>INYC_LC_RPI_DETALLE</t>
  </si>
  <si>
    <t>INYC_LC_RPI_RESUMEN</t>
  </si>
  <si>
    <t>INYC_LC_RPP_DETALLE</t>
  </si>
  <si>
    <t>INYC_LC_RPP_RESUMEN</t>
  </si>
  <si>
    <t>INYC_LC_S4</t>
  </si>
  <si>
    <t>INYC_LC_S4_E</t>
  </si>
  <si>
    <t>INYC_LC_S4_E_FAC</t>
  </si>
  <si>
    <t>INYC_LC_S4_FAC</t>
  </si>
  <si>
    <t>INYC_LC_S5</t>
  </si>
  <si>
    <t>INYC_LC_S5_E</t>
  </si>
  <si>
    <t>INYC_LC_S5_E_FAC</t>
  </si>
  <si>
    <t>INYC_LC_S5_FAC</t>
  </si>
  <si>
    <t>INYC_MIN_RESUMEN</t>
  </si>
  <si>
    <t>INYC_OBJ_E_RESUMEN</t>
  </si>
  <si>
    <t>INYC_PEPA_DETALLE</t>
  </si>
  <si>
    <t>INYC_PEPA_E_DETALLE</t>
  </si>
  <si>
    <t>INYC_PEPA_E_RESUMEN</t>
  </si>
  <si>
    <t>INYC_PEPA_RESUMEN</t>
  </si>
  <si>
    <t>INYC_PEPI_DETALLE</t>
  </si>
  <si>
    <t>INYC_PEPI_E_DETALLE</t>
  </si>
  <si>
    <t>INYC_PEPI_E_RESUMEN</t>
  </si>
  <si>
    <t>INYC_PEPI_RESUMEN</t>
  </si>
  <si>
    <t>INYC_PERC_AGENTES</t>
  </si>
  <si>
    <t>INYC_PERC_E_AGENTES</t>
  </si>
  <si>
    <t>INYC_PERC_E_INSPECTORES</t>
  </si>
  <si>
    <t>INYC_PERC_INSPECTORES</t>
  </si>
  <si>
    <t>INYC_PMK_RESUMEN</t>
  </si>
  <si>
    <t>INYC_PP_DETALLE</t>
  </si>
  <si>
    <t>INYC_PP_RESUMEN</t>
  </si>
  <si>
    <t>INYC_PROD_AGENTES</t>
  </si>
  <si>
    <t>INYC_PROD_E_AGENTES</t>
  </si>
  <si>
    <t>INYC_PROD_E_INSPECTORES</t>
  </si>
  <si>
    <t>INYC_PROD_INSPECTORES</t>
  </si>
  <si>
    <t>INYC_RACH_RESUMEN</t>
  </si>
  <si>
    <t>INYC_RAGT_RESUMEN</t>
  </si>
  <si>
    <t>INYC_RAG_DETALLE</t>
  </si>
  <si>
    <t>INYC_RAG_RESUMEN</t>
  </si>
  <si>
    <t>INYC_RA_DETALLE</t>
  </si>
  <si>
    <t>INYC_RA_RESUMEN</t>
  </si>
  <si>
    <t>INYC_RDC_DETALLE</t>
  </si>
  <si>
    <t>INYC_RDC_RESUMEN</t>
  </si>
  <si>
    <t>INYC_RDIF</t>
  </si>
  <si>
    <t>INYC_REA_RESUMEN</t>
  </si>
  <si>
    <t>INYC_RECOA_RESUMEN</t>
  </si>
  <si>
    <t>INYC_RE_DETALLE</t>
  </si>
  <si>
    <t>INYC_RE_RESUMEN</t>
  </si>
  <si>
    <t>INYC_RIN_RESUMEN</t>
  </si>
  <si>
    <t>INYC_RIP_RESUMEN</t>
  </si>
  <si>
    <t>INYC_RPA_DETALLE</t>
  </si>
  <si>
    <t>INYC_RPA_RESUMEN</t>
  </si>
  <si>
    <t>INYC_RPI_DETALLE</t>
  </si>
  <si>
    <t>INYC_RPI_RESUMEN</t>
  </si>
  <si>
    <t>INYC_RPP_DETALLE</t>
  </si>
  <si>
    <t>INYC_RPP_RESUMEN</t>
  </si>
  <si>
    <t>INYC_S4</t>
  </si>
  <si>
    <t>INYC_S4_E</t>
  </si>
  <si>
    <t>INYC_S4_E_FAC</t>
  </si>
  <si>
    <t>INYC_S4_FAC</t>
  </si>
  <si>
    <t>INYC_S5</t>
  </si>
  <si>
    <t>INYC_S5_E</t>
  </si>
  <si>
    <t>INYC_S5_E_FAC</t>
  </si>
  <si>
    <t>INYC_S5_FAC</t>
  </si>
  <si>
    <t>INYC_SAC_DETALLE</t>
  </si>
  <si>
    <t>INYC_SAC_RESUMEN</t>
  </si>
  <si>
    <t>INYC_AUTOLIQUIDACION_FINAL</t>
  </si>
  <si>
    <t>INYC_AUTOLIQUIDACION_INFORME</t>
  </si>
  <si>
    <t>INYC_BAL_S4_E_POLIZAS</t>
  </si>
  <si>
    <t>INYC_BAL_S4_POLIZAS</t>
  </si>
  <si>
    <t>INYC_BAL_S5_E_FACTURA</t>
  </si>
  <si>
    <t>INYC_BAL_S5_E_POLIZAS</t>
  </si>
  <si>
    <t>INYC_BAL_S5_FACTURA</t>
  </si>
  <si>
    <t>INYC_BAL_S5_POLIZAS</t>
  </si>
  <si>
    <t>INYC_CARTERA_LP_DET</t>
  </si>
  <si>
    <t>INYC_CARTERA_LP_DET_NOMEXT</t>
  </si>
  <si>
    <t>INYC_CUNEXT_FINAL</t>
  </si>
  <si>
    <t>INYC_CUNEXT_TEMP</t>
  </si>
  <si>
    <t>INYC_EXTRACTPAGOS_FINAL</t>
  </si>
  <si>
    <t>INYC_FECHAS_WEBI</t>
  </si>
  <si>
    <t>INYC_HACEXT_FINAL</t>
  </si>
  <si>
    <t>INYC_JERARQUIA</t>
  </si>
  <si>
    <t>INYC_LC_S4_E_FACTURA</t>
  </si>
  <si>
    <t>INYC_LC_S4_E_POLIZAS</t>
  </si>
  <si>
    <t>INYC_LC_S4_FACTURA</t>
  </si>
  <si>
    <t>INYC_LC_S4_POLIZAS</t>
  </si>
  <si>
    <t>INYC_LC_S5_E_FACTURA</t>
  </si>
  <si>
    <t>INYC_LC_S5_E_POLIZAS</t>
  </si>
  <si>
    <t>INYC_LC_S5_FACTURA</t>
  </si>
  <si>
    <t>INYC_LC_S5_POLIZAS</t>
  </si>
  <si>
    <t>INYC_LIQEXT_CAB_CREDIMED_TEMP</t>
  </si>
  <si>
    <t>INYC_LIQEXT_CAB_DEPOSITOS_TEMP</t>
  </si>
  <si>
    <t>INYC_LIQEXT_CAB_INFORME</t>
  </si>
  <si>
    <t>INYC_LIQEXT_CABECERA_TEMP</t>
  </si>
  <si>
    <t>INYC_AGENTES_MES_TEMP</t>
  </si>
  <si>
    <t>INYC_AGENTES_PRIN_MES_TEMP</t>
  </si>
  <si>
    <t>INYC_ANCESTOR_MES_TEMP</t>
  </si>
  <si>
    <t>INYC_LIQEXT_COMMISSION</t>
  </si>
  <si>
    <t>INYC_LIQEXT_CREDIT_TEMP</t>
  </si>
  <si>
    <t>INYC_AUTOLIQUIDACION_TEMPORAL</t>
  </si>
  <si>
    <t>INYC_BAL_CPP_DETALLE</t>
  </si>
  <si>
    <t>INYC_BAL_CPP_RESUMEN</t>
  </si>
  <si>
    <t>INYC_BAL_RDIF_RESUMEN</t>
  </si>
  <si>
    <t>INYC_BAL_S4_E_FACTURA</t>
  </si>
  <si>
    <t>INYC_BAL_S4_FACTURA</t>
  </si>
  <si>
    <t>INYC_BASE_REPARTO</t>
  </si>
  <si>
    <t>INYC_BASES_REPARTO_POLIZA</t>
  </si>
  <si>
    <t>INYC_CARTERA_LP_DET_ALIEXT</t>
  </si>
  <si>
    <t>INYC_CARTERA_LP_DET_HACEXT</t>
  </si>
  <si>
    <t>INYC_CARTERA_LP_DET_MES</t>
  </si>
  <si>
    <t>INYC_COEFICIENTES_REPARTO</t>
  </si>
  <si>
    <t>INYC_COMEXT_CREDIT_TEMP</t>
  </si>
  <si>
    <t>INYC_COMEXT_FINAL</t>
  </si>
  <si>
    <t>INYC_COMEXT_INFORME</t>
  </si>
  <si>
    <t>INYC_COMEXT_TEMPORAL</t>
  </si>
  <si>
    <t>INYC_COMEXT_TIPOSFICHEROS</t>
  </si>
  <si>
    <t>INYC_COMEXT_TXNORDER_TEMP</t>
  </si>
  <si>
    <t>INYC_COMEXT_TXN_TEMP</t>
  </si>
  <si>
    <t>INYC_CONCEPTOS_CONTABLES</t>
  </si>
  <si>
    <t>INYC_CONF_ELEMENTOS</t>
  </si>
  <si>
    <t>INYC_CONF_INF_AGENTES</t>
  </si>
  <si>
    <t>INYC_CONF_INFORMES</t>
  </si>
  <si>
    <t>INYC_CONF_INF_REGLAS</t>
  </si>
  <si>
    <t>INYC_CPP_DETALLE</t>
  </si>
  <si>
    <t>INYC_CPP_RESUMEN</t>
  </si>
  <si>
    <t>INYC_CREDITOS_MES_TEMP</t>
  </si>
  <si>
    <t>INYC_LIQEXT_DET_INFORME</t>
  </si>
  <si>
    <t>INYC_LIQEXT_DET_PADIMENSION</t>
  </si>
  <si>
    <t>INYC_DAC_RETEN</t>
  </si>
  <si>
    <t>INYC_EXTRACTPAGOS_AUT</t>
  </si>
  <si>
    <t>INYC_EXTRACTPAGOS_INFORME</t>
  </si>
  <si>
    <t>INYC_EXTRACTPAGOS_ONLINE</t>
  </si>
  <si>
    <t>INYC_EXTRACTPAGOS_TEMPORAL</t>
  </si>
  <si>
    <t>INYC_LIQEXT_FINAL</t>
  </si>
  <si>
    <t>INYC_HACEXT_TEMP</t>
  </si>
  <si>
    <t>INYC_JEREXT_PAR</t>
  </si>
  <si>
    <t>INYC_JEREXT_PARFINAL</t>
  </si>
  <si>
    <t>INYC_JEREXT_POS</t>
  </si>
  <si>
    <t>INYC_JEREXT_POSFINAL</t>
  </si>
  <si>
    <t>INYC_JEREXT_ROL</t>
  </si>
  <si>
    <t>INYC_JEREXT_ROLFINAL</t>
  </si>
  <si>
    <t>INYC_LC_CPP_DETALLE</t>
  </si>
  <si>
    <t>INYC_LC_CPP_RESUMEN</t>
  </si>
  <si>
    <t>INYC_LC_RDIF_RESUMEN</t>
  </si>
  <si>
    <t>INYC_LIQEXT_CABECERA_FINAL</t>
  </si>
  <si>
    <t>INYC_LIQEXT_CABECERA_ONLINE</t>
  </si>
  <si>
    <t>INYC_LIQEXT_IMP_COMISION</t>
  </si>
  <si>
    <t>INYC_LIQEXT_MEASUREMENT_TEMP</t>
  </si>
  <si>
    <t>INYC_LIQEXT_TXN_TEMP</t>
  </si>
  <si>
    <t>INYC_MEDIDAS_MES_TEMP</t>
  </si>
  <si>
    <t>INYC_NOMINA_FINAL</t>
  </si>
  <si>
    <t>INYC_NOMINA_INFORME</t>
  </si>
  <si>
    <t>INYC_NOMINA_TEMPORAL</t>
  </si>
  <si>
    <t>INYC_OFICINAS_MES_TEMP</t>
  </si>
  <si>
    <t>INYC_PAGOS_MES_TEMP</t>
  </si>
  <si>
    <t>INYC_PARAMETROS</t>
  </si>
  <si>
    <t>INYC_PERIODO_CALCULO</t>
  </si>
  <si>
    <t>INYC_POSICIONES_BAJAS</t>
  </si>
  <si>
    <t>INYC_PROVINCIAS_MUNICIPIOS</t>
  </si>
  <si>
    <t>INYC_RDIF_RESUMEN</t>
  </si>
  <si>
    <t>INYC_REPARTO</t>
  </si>
  <si>
    <t>INYC_REPEXT_CONCEPTOS_CDA</t>
  </si>
  <si>
    <t>INYC_REPEXT_CONTROL</t>
  </si>
  <si>
    <t>INYC_REPEXT_CREDITOS_MES</t>
  </si>
  <si>
    <t>INYC_REPEXT_FINAL</t>
  </si>
  <si>
    <t>INYC_REPEXT_INF_AGE</t>
  </si>
  <si>
    <t>INYC_REPEXT_INF_CAG</t>
  </si>
  <si>
    <t>INYC_REPEXT_INF_CCU</t>
  </si>
  <si>
    <t>INYC_REPEXT_INF_CDA</t>
  </si>
  <si>
    <t>INYC_REPEXT_INF_LIQ</t>
  </si>
  <si>
    <t>INYC_REPEXT_INF_PCO</t>
  </si>
  <si>
    <t>INYC_REPEXT_INF_PYG</t>
  </si>
  <si>
    <t>INYC_REPEXT_INF_PYG_P</t>
  </si>
  <si>
    <t>INYC_REPEXT_INF_REC</t>
  </si>
  <si>
    <t>INYC_REPEXT_INF_SAP</t>
  </si>
  <si>
    <t>INYC_REPEXT_INF_TIP</t>
  </si>
  <si>
    <t>INYC_REPEXT_INR_SAP</t>
  </si>
  <si>
    <t>INYC_REPEXT_PAGOS</t>
  </si>
  <si>
    <t>INYC_REPEXT_PAGOS_MES</t>
  </si>
  <si>
    <t>INYC_REPEXT_PAGOS_REPARTO_MES</t>
  </si>
  <si>
    <t>INYC_REPEXT_PERCEPCIONES</t>
  </si>
  <si>
    <t>INYC_REPEXT_TEMPORAL</t>
  </si>
  <si>
    <t>INYC_REPEXT_TXN_MES</t>
  </si>
  <si>
    <t>INYC_STAEXT_ERROR_SUM</t>
  </si>
  <si>
    <t>INYC_STAEXT_LICENCIAS</t>
  </si>
  <si>
    <t>INYC_STAEXT_OUTPUT</t>
  </si>
  <si>
    <t>INYC_STAEXT_STAGE</t>
  </si>
  <si>
    <t>INYC_S4_E_FACTURA</t>
  </si>
  <si>
    <t>INYC_S4_E_POLIZAS</t>
  </si>
  <si>
    <t>INYC_S4_FACTURA</t>
  </si>
  <si>
    <t>INYC_S4_POLIZAS</t>
  </si>
  <si>
    <t>INYC_S5_E_FACTURA</t>
  </si>
  <si>
    <t>INYC_S5_E_POLIZAS</t>
  </si>
  <si>
    <t>INYC_S5_FACTURA</t>
  </si>
  <si>
    <t>INYC_S5_POLIZAS</t>
  </si>
  <si>
    <t>INYC_TABLA_IRPF</t>
  </si>
  <si>
    <t>INYC_TABLA_IRPF_ALIEXT</t>
  </si>
  <si>
    <t>INYC_TABLA_IRPF_HACEXT</t>
  </si>
  <si>
    <t>INYC_TABLA_PERCEPCIONES</t>
  </si>
  <si>
    <t>INYC_TIPO_REPARTO</t>
  </si>
  <si>
    <t>INYC_TIPO_VIA</t>
  </si>
  <si>
    <t>INYC_TXN_MES_TEMP</t>
  </si>
  <si>
    <t>INYC_USUARIOS_TEMP</t>
  </si>
  <si>
    <t>TABLAS HANA</t>
  </si>
  <si>
    <t>TABLAS ORACLE</t>
  </si>
  <si>
    <t>ALIAS TABLAS ORACLE</t>
  </si>
  <si>
    <t>ALIAS REAL ORACLE</t>
  </si>
  <si>
    <t>|,</t>
  </si>
  <si>
    <t xml:space="preserve">DESCRIPCION = |Ultima carga de la tabla </t>
  </si>
  <si>
    <t>VALIDACIÓN</t>
  </si>
  <si>
    <t>| WHERE TABLA = |</t>
  </si>
  <si>
    <t>|</t>
  </si>
  <si>
    <t>UPDATE  EXT.OUT_FECHAS_WEBI_REP SET TABLA = |</t>
  </si>
  <si>
    <t xml:space="preserve"> THEN |</t>
  </si>
  <si>
    <t>WHEN TABLA =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</si>
</sst>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D35B-2E4B-4B1E-BC59-847865D9BE39}">
  <dimension ref="A1:I30"/>
  <sheetViews>
    <sheetView tabSelected="1" workbookViewId="0">
      <selection activeCell="K4" sqref="K4"/>
    </sheetView>
  </sheetViews>
  <sheetFormatPr baseColWidth="10" defaultRowHeight="14.5" x14ac:dyDescent="0.35"/>
  <cols>
    <col min="1" max="1" width="26.54296875" customWidth="1"/>
    <col min="2" max="4" width="22.90625" bestFit="1" customWidth="1"/>
    <col min="8" max="8" width="22.08984375" bestFit="1" customWidth="1"/>
    <col min="9" max="9" width="18" bestFit="1" customWidth="1"/>
  </cols>
  <sheetData>
    <row r="1" spans="1:9" x14ac:dyDescent="0.35">
      <c r="A1" s="6" t="s">
        <v>374</v>
      </c>
      <c r="B1" s="7" t="s">
        <v>375</v>
      </c>
      <c r="C1" s="2" t="s">
        <v>376</v>
      </c>
      <c r="D1" s="8" t="s">
        <v>377</v>
      </c>
      <c r="E1" s="2" t="s">
        <v>380</v>
      </c>
    </row>
    <row r="2" spans="1:9" x14ac:dyDescent="0.35">
      <c r="A2" s="3" t="s">
        <v>0</v>
      </c>
      <c r="B2" s="4" t="str">
        <f>VLOOKUP(_xlfn.CONCAT("INYC_",I2),'TABLAS INYC'!A:A,1,FALSE)</f>
        <v>INYC_PERC_AGENTES</v>
      </c>
      <c r="C2" t="str">
        <f>IFERROR(VLOOKUP(B2,'ALIAS INYC'!A:A,1,FALSE),"NO ENCONTRADO")</f>
        <v>INYC_PERC_AGENTES</v>
      </c>
      <c r="D2" s="5" t="s">
        <v>195</v>
      </c>
      <c r="E2">
        <f>COUNTIF('ALIAS INYC'!A:A,'TABLAS OUT'!D2)</f>
        <v>1</v>
      </c>
      <c r="H2" t="str">
        <f>REPLACE(A2,1,4,"")</f>
        <v>PERC_AGENTES_REP</v>
      </c>
      <c r="I2" t="str">
        <f>LEFT(H2,LEN(H2)-4)</f>
        <v>PERC_AGENTES</v>
      </c>
    </row>
    <row r="3" spans="1:9" x14ac:dyDescent="0.35">
      <c r="A3" s="3" t="s">
        <v>1</v>
      </c>
      <c r="B3" s="4" t="str">
        <f>VLOOKUP(_xlfn.CONCAT("INYC_",I3),'TABLAS INYC'!A:A,1,FALSE)</f>
        <v>INYC_PROD_AGENTES</v>
      </c>
      <c r="C3" t="str">
        <f>IFERROR(VLOOKUP(B3,'ALIAS INYC'!A:A,1,FALSE),"NO ENCONTRADO")</f>
        <v>INYC_PROD_AGENTES</v>
      </c>
      <c r="D3" s="5" t="s">
        <v>202</v>
      </c>
      <c r="E3">
        <f>COUNTIF('ALIAS INYC'!A:A,'TABLAS OUT'!D3)</f>
        <v>1</v>
      </c>
      <c r="H3" t="str">
        <f t="shared" ref="H3:H30" si="0">REPLACE(A3,1,4,"")</f>
        <v>PROD_AGENTES_REP</v>
      </c>
      <c r="I3" t="str">
        <f t="shared" ref="I3:I30" si="1">LEFT(H3,LEN(H3)-4)</f>
        <v>PROD_AGENTES</v>
      </c>
    </row>
    <row r="4" spans="1:9" x14ac:dyDescent="0.35">
      <c r="A4" s="3" t="s">
        <v>2</v>
      </c>
      <c r="B4" s="4" t="str">
        <f>VLOOKUP(_xlfn.CONCAT("INYC_",I4),'TABLAS INYC'!A:A,1,FALSE)</f>
        <v>INYC_PERC_INSPECTORES</v>
      </c>
      <c r="C4" t="str">
        <f>IFERROR(VLOOKUP(B4,'ALIAS INYC'!A:A,1,FALSE),"NO ENCONTRADO")</f>
        <v>INYC_PERC_INSPECTORES</v>
      </c>
      <c r="D4" s="5" t="s">
        <v>198</v>
      </c>
      <c r="E4">
        <f>COUNTIF('ALIAS INYC'!A:A,'TABLAS OUT'!D4)</f>
        <v>1</v>
      </c>
      <c r="H4" t="str">
        <f t="shared" si="0"/>
        <v>PERC_INSPECTORES_REP</v>
      </c>
      <c r="I4" t="str">
        <f t="shared" si="1"/>
        <v>PERC_INSPECTORES</v>
      </c>
    </row>
    <row r="5" spans="1:9" x14ac:dyDescent="0.35">
      <c r="A5" s="3" t="s">
        <v>3</v>
      </c>
      <c r="B5" s="4" t="str">
        <f>VLOOKUP(_xlfn.CONCAT("INYC_",I5),'TABLAS INYC'!A:A,1,FALSE)</f>
        <v>INYC_PROD_INSPECTORES</v>
      </c>
      <c r="C5" t="str">
        <f>IFERROR(VLOOKUP(B5,'ALIAS INYC'!A:A,1,FALSE),"NO ENCONTRADO")</f>
        <v>INYC_PROD_INSPECTORES</v>
      </c>
      <c r="D5" s="5" t="s">
        <v>205</v>
      </c>
      <c r="E5">
        <f>COUNTIF('ALIAS INYC'!A:A,'TABLAS OUT'!D5)</f>
        <v>1</v>
      </c>
      <c r="H5" t="str">
        <f t="shared" si="0"/>
        <v>PROD_INSPECTORES_REP</v>
      </c>
      <c r="I5" t="str">
        <f t="shared" si="1"/>
        <v>PROD_INSPECTORES</v>
      </c>
    </row>
    <row r="6" spans="1:9" x14ac:dyDescent="0.35">
      <c r="A6" s="3" t="s">
        <v>4</v>
      </c>
      <c r="B6" s="4" t="str">
        <f>VLOOKUP(_xlfn.CONCAT("INYC_",I6),'TABLAS INYC'!A:A,1,FALSE)</f>
        <v>INYC_INSP_ACTIVOS</v>
      </c>
      <c r="C6" t="str">
        <f>IFERROR(VLOOKUP(B6,'ALIAS INYC'!A:A,1,FALSE),"NO ENCONTRADO")</f>
        <v>INYC_INSP_ACTIVOS</v>
      </c>
      <c r="D6" s="5" t="s">
        <v>119</v>
      </c>
      <c r="E6">
        <f>COUNTIF('ALIAS INYC'!A:A,'TABLAS OUT'!D6)</f>
        <v>1</v>
      </c>
      <c r="H6" t="str">
        <f t="shared" si="0"/>
        <v>INSP_ACTIVOS_REP</v>
      </c>
      <c r="I6" t="str">
        <f t="shared" si="1"/>
        <v>INSP_ACTIVOS</v>
      </c>
    </row>
    <row r="7" spans="1:9" x14ac:dyDescent="0.35">
      <c r="A7" s="3" t="s">
        <v>5</v>
      </c>
      <c r="B7" s="4" t="str">
        <f>VLOOKUP(_xlfn.CONCAT("INYC_",I7),'TABLAS INYC'!A:A,1,FALSE)</f>
        <v>INYC_RPA_RESUMEN</v>
      </c>
      <c r="C7" t="str">
        <f>IFERROR(VLOOKUP(B7,'ALIAS INYC'!A:A,1,FALSE),"NO ENCONTRADO")</f>
        <v>INYC_RPA_RESUMEN</v>
      </c>
      <c r="D7" s="5" t="s">
        <v>222</v>
      </c>
      <c r="E7">
        <f>COUNTIF('ALIAS INYC'!A:A,'TABLAS OUT'!D7)</f>
        <v>1</v>
      </c>
      <c r="H7" t="str">
        <f t="shared" si="0"/>
        <v>RPA_RESUMEN_REP</v>
      </c>
      <c r="I7" t="str">
        <f t="shared" si="1"/>
        <v>RPA_RESUMEN</v>
      </c>
    </row>
    <row r="8" spans="1:9" x14ac:dyDescent="0.35">
      <c r="A8" s="3" t="s">
        <v>6</v>
      </c>
      <c r="B8" s="4" t="str">
        <f>VLOOKUP(_xlfn.CONCAT("INYC_",I8),'TABLAS INYC'!A:A,1,FALSE)</f>
        <v>INYC_LC_RPA_RESUMEN</v>
      </c>
      <c r="C8" t="str">
        <f>IFERROR(VLOOKUP(B8,'ALIAS INYC'!A:A,1,FALSE),"NO ENCONTRADO")</f>
        <v>INYC_LC_RPA_RESUMEN</v>
      </c>
      <c r="D8" s="5" t="s">
        <v>172</v>
      </c>
      <c r="E8">
        <f>COUNTIF('ALIAS INYC'!A:A,'TABLAS OUT'!D8)</f>
        <v>1</v>
      </c>
      <c r="H8" t="str">
        <f t="shared" si="0"/>
        <v>LC_RPA_RESUMEN_REP</v>
      </c>
      <c r="I8" t="str">
        <f t="shared" si="1"/>
        <v>LC_RPA_RESUMEN</v>
      </c>
    </row>
    <row r="9" spans="1:9" x14ac:dyDescent="0.35">
      <c r="A9" s="3" t="s">
        <v>7</v>
      </c>
      <c r="B9" s="4" t="str">
        <f>VLOOKUP(_xlfn.CONCAT("INYC_",I9),'TABLAS INYC'!A:A,1,FALSE)</f>
        <v>INYC_BAL_RPA_RESUMEN</v>
      </c>
      <c r="C9" t="str">
        <f>IFERROR(VLOOKUP(B9,'ALIAS INYC'!A:A,1,FALSE),"NO ENCONTRADO")</f>
        <v>INYC_BAL_RPA_RESUMEN</v>
      </c>
      <c r="D9" s="5" t="s">
        <v>89</v>
      </c>
      <c r="E9">
        <f>COUNTIF('ALIAS INYC'!A:A,'TABLAS OUT'!D9)</f>
        <v>1</v>
      </c>
      <c r="H9" t="str">
        <f t="shared" si="0"/>
        <v>BAL_RPA_RESUMEN_REP</v>
      </c>
      <c r="I9" t="str">
        <f t="shared" si="1"/>
        <v>BAL_RPA_RESUMEN</v>
      </c>
    </row>
    <row r="10" spans="1:9" x14ac:dyDescent="0.35">
      <c r="A10" s="3" t="s">
        <v>8</v>
      </c>
      <c r="B10" s="4" t="str">
        <f>VLOOKUP(_xlfn.CONCAT("INYC_",I10),'TABLAS INYC'!A:A,1,FALSE)</f>
        <v>INYC_ASI_RESUMEN</v>
      </c>
      <c r="C10" t="str">
        <f>IFERROR(VLOOKUP(B10,'ALIAS INYC'!A:A,1,FALSE),"NO ENCONTRADO")</f>
        <v>INYC_ASI_RESUMEN</v>
      </c>
      <c r="D10" s="5" t="s">
        <v>34</v>
      </c>
      <c r="E10">
        <f>COUNTIF('ALIAS INYC'!A:A,'TABLAS OUT'!D10)</f>
        <v>1</v>
      </c>
      <c r="H10" t="str">
        <f t="shared" si="0"/>
        <v>ASI_RESUMEN_REP</v>
      </c>
      <c r="I10" t="str">
        <f t="shared" si="1"/>
        <v>ASI_RESUMEN</v>
      </c>
    </row>
    <row r="11" spans="1:9" x14ac:dyDescent="0.35">
      <c r="A11" s="3" t="s">
        <v>9</v>
      </c>
      <c r="B11" s="4" t="str">
        <f>VLOOKUP(_xlfn.CONCAT("INYC_",I11),'TABLAS INYC'!A:A,1,FALSE)</f>
        <v>INYC_LC_ASI_RESUMEN</v>
      </c>
      <c r="C11" t="str">
        <f>IFERROR(VLOOKUP(B11,'ALIAS INYC'!A:A,1,FALSE),"NO ENCONTRADO")</f>
        <v>INYC_LC_ASI_RESUMEN</v>
      </c>
      <c r="D11" s="5" t="s">
        <v>126</v>
      </c>
      <c r="E11">
        <f>COUNTIF('ALIAS INYC'!A:A,'TABLAS OUT'!D11)</f>
        <v>1</v>
      </c>
      <c r="H11" t="str">
        <f t="shared" si="0"/>
        <v>LC_ASI_RESUMEN_REP</v>
      </c>
      <c r="I11" t="str">
        <f t="shared" si="1"/>
        <v>LC_ASI_RESUMEN</v>
      </c>
    </row>
    <row r="12" spans="1:9" x14ac:dyDescent="0.35">
      <c r="A12" s="3" t="s">
        <v>10</v>
      </c>
      <c r="B12" s="4" t="str">
        <f>VLOOKUP(_xlfn.CONCAT("INYC_",I12),'TABLAS INYC'!A:A,1,FALSE)</f>
        <v>INYC_BAL_ASI_RESUMEN</v>
      </c>
      <c r="C12" t="str">
        <f>IFERROR(VLOOKUP(B12,'ALIAS INYC'!A:A,1,FALSE),"NO ENCONTRADO")</f>
        <v>INYC_BAL_ASI_RESUMEN</v>
      </c>
      <c r="D12" s="5" t="s">
        <v>40</v>
      </c>
      <c r="E12">
        <f>COUNTIF('ALIAS INYC'!A:A,'TABLAS OUT'!D12)</f>
        <v>1</v>
      </c>
      <c r="H12" t="str">
        <f t="shared" si="0"/>
        <v>BAL_ASI_RESUMEN_REP</v>
      </c>
      <c r="I12" t="str">
        <f t="shared" si="1"/>
        <v>BAL_ASI_RESUMEN</v>
      </c>
    </row>
    <row r="13" spans="1:9" x14ac:dyDescent="0.35">
      <c r="A13" s="3" t="s">
        <v>11</v>
      </c>
      <c r="B13" s="4" t="str">
        <f>VLOOKUP(_xlfn.CONCAT("INYC_",I13),'TABLAS INYC'!A:A,1,FALSE)</f>
        <v>INYC_S4_POLIZAS</v>
      </c>
      <c r="C13" t="str">
        <f>IFERROR(VLOOKUP(B13,'ALIAS INYC'!A:A,1,FALSE),"NO ENCONTRADO")</f>
        <v>NO ENCONTRADO</v>
      </c>
      <c r="D13" s="5" t="s">
        <v>227</v>
      </c>
      <c r="E13">
        <f>COUNTIF('ALIAS INYC'!A:A,'TABLAS OUT'!D13)</f>
        <v>1</v>
      </c>
      <c r="H13" t="str">
        <f t="shared" si="0"/>
        <v>S4_POLIZAS_REP</v>
      </c>
      <c r="I13" t="str">
        <f t="shared" si="1"/>
        <v>S4_POLIZAS</v>
      </c>
    </row>
    <row r="14" spans="1:9" x14ac:dyDescent="0.35">
      <c r="A14" s="3" t="s">
        <v>12</v>
      </c>
      <c r="B14" s="4" t="str">
        <f>VLOOKUP(_xlfn.CONCAT("INYC_",I14),'TABLAS INYC'!A:A,1,FALSE)</f>
        <v>INYC_S4_E_POLIZAS</v>
      </c>
      <c r="C14" t="str">
        <f>IFERROR(VLOOKUP(B14,'ALIAS INYC'!A:A,1,FALSE),"NO ENCONTRADO")</f>
        <v>NO ENCONTRADO</v>
      </c>
      <c r="D14" s="5" t="s">
        <v>228</v>
      </c>
      <c r="E14">
        <f>COUNTIF('ALIAS INYC'!A:A,'TABLAS OUT'!D14)</f>
        <v>1</v>
      </c>
      <c r="H14" t="str">
        <f t="shared" si="0"/>
        <v>S4_E_POLIZAS_REP</v>
      </c>
      <c r="I14" t="str">
        <f t="shared" si="1"/>
        <v>S4_E_POLIZAS</v>
      </c>
    </row>
    <row r="15" spans="1:9" x14ac:dyDescent="0.35">
      <c r="A15" s="3" t="s">
        <v>13</v>
      </c>
      <c r="B15" s="4" t="str">
        <f>VLOOKUP(_xlfn.CONCAT("INYC_",I15),'TABLAS INYC'!A:A,1,FALSE)</f>
        <v>INYC_LC_S4_POLIZAS</v>
      </c>
      <c r="C15" t="str">
        <f>IFERROR(VLOOKUP(B15,'ALIAS INYC'!A:A,1,FALSE),"NO ENCONTRADO")</f>
        <v>NO ENCONTRADO</v>
      </c>
      <c r="D15" s="5" t="s">
        <v>177</v>
      </c>
      <c r="E15">
        <f>COUNTIF('ALIAS INYC'!A:A,'TABLAS OUT'!D15)</f>
        <v>1</v>
      </c>
      <c r="H15" t="str">
        <f t="shared" si="0"/>
        <v>LC_S4_POLIZAS_REP</v>
      </c>
      <c r="I15" t="str">
        <f t="shared" si="1"/>
        <v>LC_S4_POLIZAS</v>
      </c>
    </row>
    <row r="16" spans="1:9" x14ac:dyDescent="0.35">
      <c r="A16" s="3" t="s">
        <v>14</v>
      </c>
      <c r="B16" s="4" t="str">
        <f>VLOOKUP(_xlfn.CONCAT("INYC_",I16),'TABLAS INYC'!A:A,1,FALSE)</f>
        <v>INYC_LC_S4_E_POLIZAS</v>
      </c>
      <c r="C16" t="str">
        <f>IFERROR(VLOOKUP(B16,'ALIAS INYC'!A:A,1,FALSE),"NO ENCONTRADO")</f>
        <v>NO ENCONTRADO</v>
      </c>
      <c r="D16" s="5" t="s">
        <v>178</v>
      </c>
      <c r="E16">
        <f>COUNTIF('ALIAS INYC'!A:A,'TABLAS OUT'!D16)</f>
        <v>1</v>
      </c>
      <c r="H16" t="str">
        <f t="shared" si="0"/>
        <v>LC_S4_E_POLIZAS_REP</v>
      </c>
      <c r="I16" t="str">
        <f t="shared" si="1"/>
        <v>LC_S4_E_POLIZAS</v>
      </c>
    </row>
    <row r="17" spans="1:9" x14ac:dyDescent="0.35">
      <c r="A17" s="3" t="s">
        <v>15</v>
      </c>
      <c r="B17" s="4" t="str">
        <f>VLOOKUP(_xlfn.CONCAT("INYC_",I17),'TABLAS INYC'!A:A,1,FALSE)</f>
        <v>INYC_BAL_S4_POLIZAS</v>
      </c>
      <c r="C17" t="str">
        <f>IFERROR(VLOOKUP(B17,'ALIAS INYC'!A:A,1,FALSE),"NO ENCONTRADO")</f>
        <v>NO ENCONTRADO</v>
      </c>
      <c r="D17" s="5" t="s">
        <v>94</v>
      </c>
      <c r="E17">
        <f>COUNTIF('ALIAS INYC'!A:A,'TABLAS OUT'!D17)</f>
        <v>1</v>
      </c>
      <c r="H17" t="str">
        <f t="shared" si="0"/>
        <v>BAL_S4_POLIZAS_REP</v>
      </c>
      <c r="I17" t="str">
        <f t="shared" si="1"/>
        <v>BAL_S4_POLIZAS</v>
      </c>
    </row>
    <row r="18" spans="1:9" x14ac:dyDescent="0.35">
      <c r="A18" s="3" t="s">
        <v>16</v>
      </c>
      <c r="B18" s="4" t="str">
        <f>VLOOKUP(_xlfn.CONCAT("INYC_",I18),'TABLAS INYC'!A:A,1,FALSE)</f>
        <v>INYC_BAL_S4_E_POLIZAS</v>
      </c>
      <c r="C18" t="str">
        <f>IFERROR(VLOOKUP(B18,'ALIAS INYC'!A:A,1,FALSE),"NO ENCONTRADO")</f>
        <v>NO ENCONTRADO</v>
      </c>
      <c r="D18" s="5" t="s">
        <v>95</v>
      </c>
      <c r="E18">
        <f>COUNTIF('ALIAS INYC'!A:A,'TABLAS OUT'!D18)</f>
        <v>1</v>
      </c>
      <c r="H18" t="str">
        <f t="shared" si="0"/>
        <v>BAL_S4_E_POLIZAS_REP</v>
      </c>
      <c r="I18" t="str">
        <f t="shared" si="1"/>
        <v>BAL_S4_E_POLIZAS</v>
      </c>
    </row>
    <row r="19" spans="1:9" x14ac:dyDescent="0.35">
      <c r="A19" s="3" t="s">
        <v>17</v>
      </c>
      <c r="B19" s="4" t="str">
        <f>VLOOKUP(_xlfn.CONCAT("INYC_",I19),'TABLAS INYC'!A:A,1,FALSE)</f>
        <v>INYC_S5_POLIZAS</v>
      </c>
      <c r="C19" t="str">
        <f>IFERROR(VLOOKUP(B19,'ALIAS INYC'!A:A,1,FALSE),"NO ENCONTRADO")</f>
        <v>NO ENCONTRADO</v>
      </c>
      <c r="D19" s="5" t="s">
        <v>231</v>
      </c>
      <c r="E19">
        <f>COUNTIF('ALIAS INYC'!A:A,'TABLAS OUT'!D19)</f>
        <v>1</v>
      </c>
      <c r="H19" t="str">
        <f t="shared" si="0"/>
        <v>S5_POLIZAS_REP</v>
      </c>
      <c r="I19" t="str">
        <f t="shared" si="1"/>
        <v>S5_POLIZAS</v>
      </c>
    </row>
    <row r="20" spans="1:9" x14ac:dyDescent="0.35">
      <c r="A20" s="3" t="s">
        <v>18</v>
      </c>
      <c r="B20" s="4" t="str">
        <f>VLOOKUP(_xlfn.CONCAT("INYC_",I20),'TABLAS INYC'!A:A,1,FALSE)</f>
        <v>INYC_LC_S5_POLIZAS</v>
      </c>
      <c r="C20" t="str">
        <f>IFERROR(VLOOKUP(B20,'ALIAS INYC'!A:A,1,FALSE),"NO ENCONTRADO")</f>
        <v>NO ENCONTRADO</v>
      </c>
      <c r="D20" s="5" t="s">
        <v>181</v>
      </c>
      <c r="E20">
        <f>COUNTIF('ALIAS INYC'!A:A,'TABLAS OUT'!D20)</f>
        <v>1</v>
      </c>
      <c r="H20" t="str">
        <f t="shared" si="0"/>
        <v>LC_S5_POLIZAS_REP</v>
      </c>
      <c r="I20" t="str">
        <f t="shared" si="1"/>
        <v>LC_S5_POLIZAS</v>
      </c>
    </row>
    <row r="21" spans="1:9" x14ac:dyDescent="0.35">
      <c r="A21" s="3" t="s">
        <v>19</v>
      </c>
      <c r="B21" s="4" t="str">
        <f>VLOOKUP(_xlfn.CONCAT("INYC_",I21),'TABLAS INYC'!A:A,1,FALSE)</f>
        <v>INYC_BAL_S5_POLIZAS</v>
      </c>
      <c r="C21" t="str">
        <f>IFERROR(VLOOKUP(B21,'ALIAS INYC'!A:A,1,FALSE),"NO ENCONTRADO")</f>
        <v>NO ENCONTRADO</v>
      </c>
      <c r="D21" s="5" t="s">
        <v>98</v>
      </c>
      <c r="E21">
        <f>COUNTIF('ALIAS INYC'!A:A,'TABLAS OUT'!D21)</f>
        <v>1</v>
      </c>
      <c r="H21" t="str">
        <f t="shared" si="0"/>
        <v>BAL_S5_POLIZAS_REP</v>
      </c>
      <c r="I21" t="str">
        <f t="shared" si="1"/>
        <v>BAL_S5_POLIZAS</v>
      </c>
    </row>
    <row r="22" spans="1:9" x14ac:dyDescent="0.35">
      <c r="A22" s="3" t="s">
        <v>20</v>
      </c>
      <c r="B22" s="4" t="str">
        <f>VLOOKUP(_xlfn.CONCAT("INYC_",I22),'TABLAS INYC'!A:A,1,FALSE)</f>
        <v>INYC_S4_FACTURA</v>
      </c>
      <c r="C22" t="str">
        <f>IFERROR(VLOOKUP(B22,'ALIAS INYC'!A:A,1,FALSE),"NO ENCONTRADO")</f>
        <v>NO ENCONTRADO</v>
      </c>
      <c r="D22" s="5" t="s">
        <v>230</v>
      </c>
      <c r="E22">
        <f>COUNTIF('ALIAS INYC'!A:A,'TABLAS OUT'!D22)</f>
        <v>1</v>
      </c>
      <c r="H22" t="str">
        <f t="shared" si="0"/>
        <v>S4_FACTURA_REP</v>
      </c>
      <c r="I22" t="str">
        <f t="shared" si="1"/>
        <v>S4_FACTURA</v>
      </c>
    </row>
    <row r="23" spans="1:9" x14ac:dyDescent="0.35">
      <c r="A23" s="3" t="s">
        <v>21</v>
      </c>
      <c r="B23" s="4" t="str">
        <f>VLOOKUP(_xlfn.CONCAT("INYC_",I23),'TABLAS INYC'!A:A,1,FALSE)</f>
        <v>INYC_S5_FACTURA</v>
      </c>
      <c r="C23" t="str">
        <f>IFERROR(VLOOKUP(B23,'ALIAS INYC'!A:A,1,FALSE),"NO ENCONTRADO")</f>
        <v>NO ENCONTRADO</v>
      </c>
      <c r="D23" s="5" t="s">
        <v>234</v>
      </c>
      <c r="E23">
        <f>COUNTIF('ALIAS INYC'!A:A,'TABLAS OUT'!D23)</f>
        <v>1</v>
      </c>
      <c r="H23" t="str">
        <f t="shared" si="0"/>
        <v>S5_FACTURA_REP</v>
      </c>
      <c r="I23" t="str">
        <f t="shared" si="1"/>
        <v>S5_FACTURA</v>
      </c>
    </row>
    <row r="24" spans="1:9" x14ac:dyDescent="0.35">
      <c r="A24" s="3" t="s">
        <v>22</v>
      </c>
      <c r="B24" s="4" t="str">
        <f>VLOOKUP(_xlfn.CONCAT("INYC_",I24),'TABLAS INYC'!A:A,1,FALSE)</f>
        <v>INYC_S4_E_FACTURA</v>
      </c>
      <c r="C24" t="str">
        <f>IFERROR(VLOOKUP(B24,'ALIAS INYC'!A:A,1,FALSE),"NO ENCONTRADO")</f>
        <v>NO ENCONTRADO</v>
      </c>
      <c r="D24" s="5" t="s">
        <v>229</v>
      </c>
      <c r="E24">
        <f>COUNTIF('ALIAS INYC'!A:A,'TABLAS OUT'!D24)</f>
        <v>1</v>
      </c>
      <c r="H24" t="str">
        <f t="shared" si="0"/>
        <v>S4_E_FACTURA_REP</v>
      </c>
      <c r="I24" t="str">
        <f t="shared" si="1"/>
        <v>S4_E_FACTURA</v>
      </c>
    </row>
    <row r="25" spans="1:9" x14ac:dyDescent="0.35">
      <c r="A25" s="3" t="s">
        <v>23</v>
      </c>
      <c r="B25" s="4" t="str">
        <f>VLOOKUP(_xlfn.CONCAT("INYC_",I25),'TABLAS INYC'!A:A,1,FALSE)</f>
        <v>INYC_LC_S4_FACTURA</v>
      </c>
      <c r="C25" t="str">
        <f>IFERROR(VLOOKUP(B25,'ALIAS INYC'!A:A,1,FALSE),"NO ENCONTRADO")</f>
        <v>NO ENCONTRADO</v>
      </c>
      <c r="D25" s="5" t="s">
        <v>180</v>
      </c>
      <c r="E25">
        <f>COUNTIF('ALIAS INYC'!A:A,'TABLAS OUT'!D25)</f>
        <v>1</v>
      </c>
      <c r="H25" t="str">
        <f t="shared" si="0"/>
        <v>LC_S4_FACTURA_REP</v>
      </c>
      <c r="I25" t="str">
        <f t="shared" si="1"/>
        <v>LC_S4_FACTURA</v>
      </c>
    </row>
    <row r="26" spans="1:9" x14ac:dyDescent="0.35">
      <c r="A26" s="3" t="s">
        <v>24</v>
      </c>
      <c r="B26" s="4" t="str">
        <f>VLOOKUP(_xlfn.CONCAT("INYC_",I26),'TABLAS INYC'!A:A,1,FALSE)</f>
        <v>INYC_LC_S5_FACTURA</v>
      </c>
      <c r="C26" t="str">
        <f>IFERROR(VLOOKUP(B26,'ALIAS INYC'!A:A,1,FALSE),"NO ENCONTRADO")</f>
        <v>NO ENCONTRADO</v>
      </c>
      <c r="D26" s="5" t="s">
        <v>184</v>
      </c>
      <c r="E26">
        <f>COUNTIF('ALIAS INYC'!A:A,'TABLAS OUT'!D26)</f>
        <v>1</v>
      </c>
      <c r="H26" t="str">
        <f t="shared" si="0"/>
        <v>LC_S5_FACTURA_REP</v>
      </c>
      <c r="I26" t="str">
        <f t="shared" si="1"/>
        <v>LC_S5_FACTURA</v>
      </c>
    </row>
    <row r="27" spans="1:9" x14ac:dyDescent="0.35">
      <c r="A27" s="3" t="s">
        <v>25</v>
      </c>
      <c r="B27" s="4" t="str">
        <f>VLOOKUP(_xlfn.CONCAT("INYC_",I27),'TABLAS INYC'!A:A,1,FALSE)</f>
        <v>INYC_LC_S4_E_FACTURA</v>
      </c>
      <c r="C27" t="str">
        <f>IFERROR(VLOOKUP(B27,'ALIAS INYC'!A:A,1,FALSE),"NO ENCONTRADO")</f>
        <v>NO ENCONTRADO</v>
      </c>
      <c r="D27" s="5" t="s">
        <v>179</v>
      </c>
      <c r="E27">
        <f>COUNTIF('ALIAS INYC'!A:A,'TABLAS OUT'!D27)</f>
        <v>1</v>
      </c>
      <c r="H27" t="str">
        <f t="shared" si="0"/>
        <v>LC_S4_E_FACTURA_REP</v>
      </c>
      <c r="I27" t="str">
        <f t="shared" si="1"/>
        <v>LC_S4_E_FACTURA</v>
      </c>
    </row>
    <row r="28" spans="1:9" x14ac:dyDescent="0.35">
      <c r="A28" s="3" t="s">
        <v>26</v>
      </c>
      <c r="B28" s="4" t="str">
        <f>VLOOKUP(_xlfn.CONCAT("INYC_",I28),'TABLAS INYC'!A:A,1,FALSE)</f>
        <v>INYC_PEPA_RESUMEN</v>
      </c>
      <c r="C28" t="str">
        <f>IFERROR(VLOOKUP(B28,'ALIAS INYC'!A:A,1,FALSE),"NO ENCONTRADO")</f>
        <v>INYC_PEPA_RESUMEN</v>
      </c>
      <c r="D28" s="5" t="s">
        <v>190</v>
      </c>
      <c r="E28">
        <f>COUNTIF('ALIAS INYC'!A:A,'TABLAS OUT'!D28)</f>
        <v>1</v>
      </c>
      <c r="H28" t="str">
        <f t="shared" si="0"/>
        <v>PEPA_RESUMEN_REP</v>
      </c>
      <c r="I28" t="str">
        <f t="shared" si="1"/>
        <v>PEPA_RESUMEN</v>
      </c>
    </row>
    <row r="29" spans="1:9" x14ac:dyDescent="0.35">
      <c r="A29" s="3" t="s">
        <v>27</v>
      </c>
      <c r="B29" s="4" t="str">
        <f>VLOOKUP(_xlfn.CONCAT("INYC_",I29),'TABLAS INYC'!A:A,1,FALSE)</f>
        <v>INYC_LC_PEPA_RESUMEN</v>
      </c>
      <c r="C29" t="str">
        <f>IFERROR(VLOOKUP(B29,'ALIAS INYC'!A:A,1,FALSE),"NO ENCONTRADO")</f>
        <v>INYC_LC_PEPA_RESUMEN</v>
      </c>
      <c r="D29" s="5" t="s">
        <v>148</v>
      </c>
      <c r="E29">
        <f>COUNTIF('ALIAS INYC'!A:A,'TABLAS OUT'!D29)</f>
        <v>1</v>
      </c>
      <c r="H29" t="str">
        <f t="shared" si="0"/>
        <v>LC_PEPA_RESUMEN_REP</v>
      </c>
      <c r="I29" t="str">
        <f t="shared" si="1"/>
        <v>LC_PEPA_RESUMEN</v>
      </c>
    </row>
    <row r="30" spans="1:9" x14ac:dyDescent="0.35">
      <c r="A30" s="3" t="s">
        <v>28</v>
      </c>
      <c r="B30" s="4" t="str">
        <f>VLOOKUP(_xlfn.CONCAT("INYC_",I30),'TABLAS INYC'!A:A,1,FALSE)</f>
        <v>INYC_BAL_PEPA_RESUMEN</v>
      </c>
      <c r="C30" t="str">
        <f>IFERROR(VLOOKUP(B30,'ALIAS INYC'!A:A,1,FALSE),"NO ENCONTRADO")</f>
        <v>INYC_BAL_PEPA_RESUMEN</v>
      </c>
      <c r="D30" s="5" t="s">
        <v>64</v>
      </c>
      <c r="E30">
        <f>COUNTIF('ALIAS INYC'!A:A,'TABLAS OUT'!D30)</f>
        <v>1</v>
      </c>
      <c r="H30" t="str">
        <f t="shared" si="0"/>
        <v>BAL_PEPA_RESUMEN_REP</v>
      </c>
      <c r="I30" t="str">
        <f t="shared" si="1"/>
        <v>BAL_PEPA_RESUMEN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8278-0510-432C-B557-A336F2504F87}">
  <dimension ref="A1:M15"/>
  <sheetViews>
    <sheetView workbookViewId="0">
      <selection activeCell="M1" sqref="M1"/>
    </sheetView>
  </sheetViews>
  <sheetFormatPr baseColWidth="10" defaultRowHeight="14.5" x14ac:dyDescent="0.35"/>
  <cols>
    <col min="1" max="1" width="16.7265625" bestFit="1" customWidth="1"/>
    <col min="2" max="2" width="21.1796875" bestFit="1" customWidth="1"/>
    <col min="3" max="3" width="20.26953125" bestFit="1" customWidth="1"/>
    <col min="4" max="4" width="24.7265625" bestFit="1" customWidth="1"/>
    <col min="5" max="5" width="24.7265625" customWidth="1"/>
    <col min="6" max="6" width="18.90625" bestFit="1" customWidth="1"/>
    <col min="13" max="13" width="48" bestFit="1" customWidth="1"/>
  </cols>
  <sheetData>
    <row r="1" spans="1:13" x14ac:dyDescent="0.35">
      <c r="A1" s="5" t="s">
        <v>227</v>
      </c>
      <c r="B1" t="s">
        <v>361</v>
      </c>
      <c r="C1" t="str">
        <f>_xlfn.CONCAT(SUBSTITUTE(A1,"INYC","OUT"),"_REP")</f>
        <v>OUT_S4_REP</v>
      </c>
      <c r="D1" t="s">
        <v>11</v>
      </c>
      <c r="F1" t="s">
        <v>385</v>
      </c>
      <c r="G1" t="str">
        <f>B1</f>
        <v>INYC_S4_POLIZAS</v>
      </c>
      <c r="H1" t="s">
        <v>382</v>
      </c>
      <c r="I1" t="s">
        <v>384</v>
      </c>
      <c r="J1" t="str">
        <f>D1</f>
        <v>OUT_S4_POLIZAS_REP</v>
      </c>
      <c r="K1" t="s">
        <v>382</v>
      </c>
      <c r="M1" t="str">
        <f>_xlfn.CONCAT(F1:K1)</f>
        <v>WHEN TABLA = |INYC_S4_POLIZAS| THEN |OUT_S4_POLIZAS_REP|</v>
      </c>
    </row>
    <row r="2" spans="1:13" x14ac:dyDescent="0.35">
      <c r="A2" s="5" t="s">
        <v>228</v>
      </c>
      <c r="B2" t="s">
        <v>359</v>
      </c>
      <c r="C2" t="str">
        <f t="shared" ref="C2:C15" si="0">_xlfn.CONCAT(SUBSTITUTE(A2,"INYC","OUT"),"_REP")</f>
        <v>OUT_S4_E_REP</v>
      </c>
      <c r="D2" t="s">
        <v>12</v>
      </c>
      <c r="F2" t="s">
        <v>385</v>
      </c>
      <c r="G2" t="str">
        <f t="shared" ref="G2:G15" si="1">B2</f>
        <v>INYC_S4_E_POLIZAS</v>
      </c>
      <c r="H2" t="s">
        <v>382</v>
      </c>
      <c r="I2" t="s">
        <v>384</v>
      </c>
      <c r="J2" t="str">
        <f t="shared" ref="J2:J15" si="2">D2</f>
        <v>OUT_S4_E_POLIZAS_REP</v>
      </c>
      <c r="K2" t="s">
        <v>382</v>
      </c>
      <c r="M2" t="str">
        <f t="shared" ref="M2:M15" si="3">_xlfn.CONCAT(F2:K2)</f>
        <v>WHEN TABLA = |INYC_S4_E_POLIZAS| THEN |OUT_S4_E_POLIZAS_REP|</v>
      </c>
    </row>
    <row r="3" spans="1:13" x14ac:dyDescent="0.35">
      <c r="A3" s="5" t="s">
        <v>177</v>
      </c>
      <c r="B3" t="s">
        <v>256</v>
      </c>
      <c r="C3" t="str">
        <f t="shared" si="0"/>
        <v>OUT_LC_S4_REP</v>
      </c>
      <c r="D3" t="s">
        <v>13</v>
      </c>
      <c r="F3" t="s">
        <v>385</v>
      </c>
      <c r="G3" t="str">
        <f t="shared" si="1"/>
        <v>INYC_LC_S4_POLIZAS</v>
      </c>
      <c r="H3" t="s">
        <v>382</v>
      </c>
      <c r="I3" t="s">
        <v>384</v>
      </c>
      <c r="J3" t="str">
        <f t="shared" si="2"/>
        <v>OUT_LC_S4_POLIZAS_REP</v>
      </c>
      <c r="K3" t="s">
        <v>382</v>
      </c>
      <c r="M3" t="str">
        <f t="shared" si="3"/>
        <v>WHEN TABLA = |INYC_LC_S4_POLIZAS| THEN |OUT_LC_S4_POLIZAS_REP|</v>
      </c>
    </row>
    <row r="4" spans="1:13" x14ac:dyDescent="0.35">
      <c r="A4" s="5" t="s">
        <v>178</v>
      </c>
      <c r="B4" t="s">
        <v>254</v>
      </c>
      <c r="C4" t="str">
        <f t="shared" si="0"/>
        <v>OUT_LC_S4_E_REP</v>
      </c>
      <c r="D4" t="s">
        <v>14</v>
      </c>
      <c r="F4" t="s">
        <v>385</v>
      </c>
      <c r="G4" t="str">
        <f t="shared" si="1"/>
        <v>INYC_LC_S4_E_POLIZAS</v>
      </c>
      <c r="H4" t="s">
        <v>382</v>
      </c>
      <c r="I4" t="s">
        <v>384</v>
      </c>
      <c r="J4" t="str">
        <f t="shared" si="2"/>
        <v>OUT_LC_S4_E_POLIZAS_REP</v>
      </c>
      <c r="K4" t="s">
        <v>382</v>
      </c>
      <c r="M4" t="str">
        <f t="shared" si="3"/>
        <v>WHEN TABLA = |INYC_LC_S4_E_POLIZAS| THEN |OUT_LC_S4_E_POLIZAS_REP|</v>
      </c>
    </row>
    <row r="5" spans="1:13" x14ac:dyDescent="0.35">
      <c r="A5" s="5" t="s">
        <v>94</v>
      </c>
      <c r="B5" t="s">
        <v>240</v>
      </c>
      <c r="C5" t="str">
        <f t="shared" si="0"/>
        <v>OUT_BAL_S4_REP</v>
      </c>
      <c r="D5" t="s">
        <v>15</v>
      </c>
      <c r="F5" t="s">
        <v>385</v>
      </c>
      <c r="G5" t="str">
        <f t="shared" si="1"/>
        <v>INYC_BAL_S4_POLIZAS</v>
      </c>
      <c r="H5" t="s">
        <v>382</v>
      </c>
      <c r="I5" t="s">
        <v>384</v>
      </c>
      <c r="J5" t="str">
        <f t="shared" si="2"/>
        <v>OUT_BAL_S4_POLIZAS_REP</v>
      </c>
      <c r="K5" t="s">
        <v>382</v>
      </c>
      <c r="M5" t="str">
        <f t="shared" si="3"/>
        <v>WHEN TABLA = |INYC_BAL_S4_POLIZAS| THEN |OUT_BAL_S4_POLIZAS_REP|</v>
      </c>
    </row>
    <row r="6" spans="1:13" x14ac:dyDescent="0.35">
      <c r="A6" s="5" t="s">
        <v>95</v>
      </c>
      <c r="B6" t="s">
        <v>239</v>
      </c>
      <c r="C6" t="str">
        <f t="shared" si="0"/>
        <v>OUT_BAL_S4_E_REP</v>
      </c>
      <c r="D6" t="s">
        <v>16</v>
      </c>
      <c r="F6" t="s">
        <v>385</v>
      </c>
      <c r="G6" t="str">
        <f t="shared" si="1"/>
        <v>INYC_BAL_S4_E_POLIZAS</v>
      </c>
      <c r="H6" t="s">
        <v>382</v>
      </c>
      <c r="I6" t="s">
        <v>384</v>
      </c>
      <c r="J6" t="str">
        <f t="shared" si="2"/>
        <v>OUT_BAL_S4_E_POLIZAS_REP</v>
      </c>
      <c r="K6" t="s">
        <v>382</v>
      </c>
      <c r="M6" t="str">
        <f t="shared" si="3"/>
        <v>WHEN TABLA = |INYC_BAL_S4_E_POLIZAS| THEN |OUT_BAL_S4_E_POLIZAS_REP|</v>
      </c>
    </row>
    <row r="7" spans="1:13" x14ac:dyDescent="0.35">
      <c r="A7" s="5" t="s">
        <v>231</v>
      </c>
      <c r="B7" t="s">
        <v>365</v>
      </c>
      <c r="C7" t="str">
        <f t="shared" si="0"/>
        <v>OUT_S5_REP</v>
      </c>
      <c r="D7" t="s">
        <v>17</v>
      </c>
      <c r="F7" t="s">
        <v>385</v>
      </c>
      <c r="G7" t="str">
        <f t="shared" si="1"/>
        <v>INYC_S5_POLIZAS</v>
      </c>
      <c r="H7" t="s">
        <v>382</v>
      </c>
      <c r="I7" t="s">
        <v>384</v>
      </c>
      <c r="J7" t="str">
        <f t="shared" si="2"/>
        <v>OUT_S5_POLIZAS_REP</v>
      </c>
      <c r="K7" t="s">
        <v>382</v>
      </c>
      <c r="M7" t="str">
        <f t="shared" si="3"/>
        <v>WHEN TABLA = |INYC_S5_POLIZAS| THEN |OUT_S5_POLIZAS_REP|</v>
      </c>
    </row>
    <row r="8" spans="1:13" x14ac:dyDescent="0.35">
      <c r="A8" s="5" t="s">
        <v>181</v>
      </c>
      <c r="B8" t="s">
        <v>260</v>
      </c>
      <c r="C8" t="str">
        <f t="shared" si="0"/>
        <v>OUT_LC_S5_REP</v>
      </c>
      <c r="D8" t="s">
        <v>18</v>
      </c>
      <c r="F8" t="s">
        <v>385</v>
      </c>
      <c r="G8" t="str">
        <f t="shared" si="1"/>
        <v>INYC_LC_S5_POLIZAS</v>
      </c>
      <c r="H8" t="s">
        <v>382</v>
      </c>
      <c r="I8" t="s">
        <v>384</v>
      </c>
      <c r="J8" t="str">
        <f t="shared" si="2"/>
        <v>OUT_LC_S5_POLIZAS_REP</v>
      </c>
      <c r="K8" t="s">
        <v>382</v>
      </c>
      <c r="M8" t="str">
        <f t="shared" si="3"/>
        <v>WHEN TABLA = |INYC_LC_S5_POLIZAS| THEN |OUT_LC_S5_POLIZAS_REP|</v>
      </c>
    </row>
    <row r="9" spans="1:13" x14ac:dyDescent="0.35">
      <c r="A9" s="5" t="s">
        <v>98</v>
      </c>
      <c r="B9" t="s">
        <v>244</v>
      </c>
      <c r="C9" t="str">
        <f t="shared" si="0"/>
        <v>OUT_BAL_S5_REP</v>
      </c>
      <c r="D9" t="s">
        <v>19</v>
      </c>
      <c r="F9" t="s">
        <v>385</v>
      </c>
      <c r="G9" t="str">
        <f t="shared" si="1"/>
        <v>INYC_BAL_S5_POLIZAS</v>
      </c>
      <c r="H9" t="s">
        <v>382</v>
      </c>
      <c r="I9" t="s">
        <v>384</v>
      </c>
      <c r="J9" t="str">
        <f t="shared" si="2"/>
        <v>OUT_BAL_S5_POLIZAS_REP</v>
      </c>
      <c r="K9" t="s">
        <v>382</v>
      </c>
      <c r="M9" t="str">
        <f t="shared" si="3"/>
        <v>WHEN TABLA = |INYC_BAL_S5_POLIZAS| THEN |OUT_BAL_S5_POLIZAS_REP|</v>
      </c>
    </row>
    <row r="10" spans="1:13" x14ac:dyDescent="0.35">
      <c r="A10" s="5" t="s">
        <v>230</v>
      </c>
      <c r="B10" t="s">
        <v>360</v>
      </c>
      <c r="C10" t="str">
        <f t="shared" si="0"/>
        <v>OUT_S4_FAC_REP</v>
      </c>
      <c r="D10" t="s">
        <v>20</v>
      </c>
      <c r="F10" t="s">
        <v>385</v>
      </c>
      <c r="G10" t="str">
        <f t="shared" si="1"/>
        <v>INYC_S4_FACTURA</v>
      </c>
      <c r="H10" t="s">
        <v>382</v>
      </c>
      <c r="I10" t="s">
        <v>384</v>
      </c>
      <c r="J10" t="str">
        <f t="shared" si="2"/>
        <v>OUT_S4_FACTURA_REP</v>
      </c>
      <c r="K10" t="s">
        <v>382</v>
      </c>
      <c r="M10" t="str">
        <f t="shared" si="3"/>
        <v>WHEN TABLA = |INYC_S4_FACTURA| THEN |OUT_S4_FACTURA_REP|</v>
      </c>
    </row>
    <row r="11" spans="1:13" x14ac:dyDescent="0.35">
      <c r="A11" s="5" t="s">
        <v>234</v>
      </c>
      <c r="B11" t="s">
        <v>364</v>
      </c>
      <c r="C11" t="str">
        <f t="shared" si="0"/>
        <v>OUT_S5_FAC_REP</v>
      </c>
      <c r="D11" t="s">
        <v>21</v>
      </c>
      <c r="F11" t="s">
        <v>385</v>
      </c>
      <c r="G11" t="str">
        <f t="shared" si="1"/>
        <v>INYC_S5_FACTURA</v>
      </c>
      <c r="H11" t="s">
        <v>382</v>
      </c>
      <c r="I11" t="s">
        <v>384</v>
      </c>
      <c r="J11" t="str">
        <f t="shared" si="2"/>
        <v>OUT_S5_FACTURA_REP</v>
      </c>
      <c r="K11" t="s">
        <v>382</v>
      </c>
      <c r="M11" t="str">
        <f t="shared" si="3"/>
        <v>WHEN TABLA = |INYC_S5_FACTURA| THEN |OUT_S5_FACTURA_REP|</v>
      </c>
    </row>
    <row r="12" spans="1:13" x14ac:dyDescent="0.35">
      <c r="A12" s="5" t="s">
        <v>229</v>
      </c>
      <c r="B12" t="s">
        <v>358</v>
      </c>
      <c r="C12" t="str">
        <f t="shared" si="0"/>
        <v>OUT_S4_E_FAC_REP</v>
      </c>
      <c r="D12" t="s">
        <v>22</v>
      </c>
      <c r="F12" t="s">
        <v>385</v>
      </c>
      <c r="G12" t="str">
        <f t="shared" si="1"/>
        <v>INYC_S4_E_FACTURA</v>
      </c>
      <c r="H12" t="s">
        <v>382</v>
      </c>
      <c r="I12" t="s">
        <v>384</v>
      </c>
      <c r="J12" t="str">
        <f t="shared" si="2"/>
        <v>OUT_S4_E_FACTURA_REP</v>
      </c>
      <c r="K12" t="s">
        <v>382</v>
      </c>
      <c r="M12" t="str">
        <f t="shared" si="3"/>
        <v>WHEN TABLA = |INYC_S4_E_FACTURA| THEN |OUT_S4_E_FACTURA_REP|</v>
      </c>
    </row>
    <row r="13" spans="1:13" x14ac:dyDescent="0.35">
      <c r="A13" s="5" t="s">
        <v>180</v>
      </c>
      <c r="B13" t="s">
        <v>255</v>
      </c>
      <c r="C13" t="str">
        <f t="shared" si="0"/>
        <v>OUT_LC_S4_FAC_REP</v>
      </c>
      <c r="D13" t="s">
        <v>23</v>
      </c>
      <c r="F13" t="s">
        <v>385</v>
      </c>
      <c r="G13" t="str">
        <f t="shared" si="1"/>
        <v>INYC_LC_S4_FACTURA</v>
      </c>
      <c r="H13" t="s">
        <v>382</v>
      </c>
      <c r="I13" t="s">
        <v>384</v>
      </c>
      <c r="J13" t="str">
        <f t="shared" si="2"/>
        <v>OUT_LC_S4_FACTURA_REP</v>
      </c>
      <c r="K13" t="s">
        <v>382</v>
      </c>
      <c r="M13" t="str">
        <f t="shared" si="3"/>
        <v>WHEN TABLA = |INYC_LC_S4_FACTURA| THEN |OUT_LC_S4_FACTURA_REP|</v>
      </c>
    </row>
    <row r="14" spans="1:13" x14ac:dyDescent="0.35">
      <c r="A14" s="5" t="s">
        <v>184</v>
      </c>
      <c r="B14" t="s">
        <v>259</v>
      </c>
      <c r="C14" t="str">
        <f t="shared" si="0"/>
        <v>OUT_LC_S5_FAC_REP</v>
      </c>
      <c r="D14" t="s">
        <v>24</v>
      </c>
      <c r="F14" t="s">
        <v>385</v>
      </c>
      <c r="G14" t="str">
        <f t="shared" si="1"/>
        <v>INYC_LC_S5_FACTURA</v>
      </c>
      <c r="H14" t="s">
        <v>382</v>
      </c>
      <c r="I14" t="s">
        <v>384</v>
      </c>
      <c r="J14" t="str">
        <f t="shared" si="2"/>
        <v>OUT_LC_S5_FACTURA_REP</v>
      </c>
      <c r="K14" t="s">
        <v>382</v>
      </c>
      <c r="M14" t="str">
        <f t="shared" si="3"/>
        <v>WHEN TABLA = |INYC_LC_S5_FACTURA| THEN |OUT_LC_S5_FACTURA_REP|</v>
      </c>
    </row>
    <row r="15" spans="1:13" x14ac:dyDescent="0.35">
      <c r="A15" s="5" t="s">
        <v>179</v>
      </c>
      <c r="B15" t="s">
        <v>253</v>
      </c>
      <c r="C15" t="str">
        <f t="shared" si="0"/>
        <v>OUT_LC_S4_E_FAC_REP</v>
      </c>
      <c r="D15" t="s">
        <v>25</v>
      </c>
      <c r="F15" t="s">
        <v>385</v>
      </c>
      <c r="G15" t="str">
        <f t="shared" si="1"/>
        <v>INYC_LC_S4_E_FACTURA</v>
      </c>
      <c r="H15" t="s">
        <v>382</v>
      </c>
      <c r="I15" t="s">
        <v>384</v>
      </c>
      <c r="J15" t="str">
        <f t="shared" si="2"/>
        <v>OUT_LC_S4_E_FACTURA_REP</v>
      </c>
      <c r="K15" t="s">
        <v>382</v>
      </c>
      <c r="M15" t="str">
        <f t="shared" si="3"/>
        <v>WHEN TABLA = |INYC_LC_S4_E_FACTURA| THEN |OUT_LC_S4_E_FACTURA_REP|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BCDC-2069-4539-B4EB-A57932E6FE41}">
  <dimension ref="A1:J29"/>
  <sheetViews>
    <sheetView workbookViewId="0">
      <selection activeCell="J1" sqref="J1:J29"/>
    </sheetView>
  </sheetViews>
  <sheetFormatPr baseColWidth="10" defaultRowHeight="14.5" x14ac:dyDescent="0.35"/>
  <cols>
    <col min="1" max="1" width="43.7265625" bestFit="1" customWidth="1"/>
    <col min="2" max="2" width="26.54296875" bestFit="1" customWidth="1"/>
    <col min="3" max="3" width="2.453125" bestFit="1" customWidth="1"/>
    <col min="4" max="4" width="36.08984375" customWidth="1"/>
    <col min="5" max="5" width="22.90625" bestFit="1" customWidth="1"/>
    <col min="6" max="6" width="15.54296875" bestFit="1" customWidth="1"/>
    <col min="7" max="7" width="22.90625" bestFit="1" customWidth="1"/>
    <col min="8" max="8" width="22.90625" customWidth="1"/>
    <col min="10" max="10" width="171.81640625" bestFit="1" customWidth="1"/>
  </cols>
  <sheetData>
    <row r="1" spans="1:10" x14ac:dyDescent="0.35">
      <c r="A1" t="s">
        <v>383</v>
      </c>
      <c r="B1" t="str">
        <f>'TABLAS OUT'!B2</f>
        <v>INYC_PERC_AGENTES</v>
      </c>
      <c r="C1" s="9" t="s">
        <v>378</v>
      </c>
      <c r="D1" t="s">
        <v>379</v>
      </c>
      <c r="E1" t="str">
        <f>'TABLAS OUT'!B2</f>
        <v>INYC_PERC_AGENTES</v>
      </c>
      <c r="F1" t="s">
        <v>381</v>
      </c>
      <c r="G1" t="str">
        <f>'TABLAS OUT'!D2</f>
        <v>INYC_PERC_AGENTES</v>
      </c>
      <c r="H1" t="s">
        <v>382</v>
      </c>
      <c r="J1" t="str">
        <f>_xlfn.CONCAT(_xlfn.CONCAT(A1:H1),";")</f>
        <v>UPDATE  EXT.OUT_FECHAS_WEBI_REP SET TABLA = |INYC_PERC_AGENTES|,DESCRIPCION = |Ultima carga de la tabla INYC_PERC_AGENTES| WHERE TABLA = |INYC_PERC_AGENTES|;</v>
      </c>
    </row>
    <row r="2" spans="1:10" x14ac:dyDescent="0.35">
      <c r="A2" t="s">
        <v>383</v>
      </c>
      <c r="B2" t="str">
        <f>'TABLAS OUT'!B3</f>
        <v>INYC_PROD_AGENTES</v>
      </c>
      <c r="C2" s="9" t="s">
        <v>378</v>
      </c>
      <c r="D2" t="s">
        <v>379</v>
      </c>
      <c r="E2" t="str">
        <f>'TABLAS OUT'!B3</f>
        <v>INYC_PROD_AGENTES</v>
      </c>
      <c r="F2" t="s">
        <v>381</v>
      </c>
      <c r="G2" t="str">
        <f>'TABLAS OUT'!D3</f>
        <v>INYC_PROD_AGENTES</v>
      </c>
      <c r="H2" t="s">
        <v>382</v>
      </c>
      <c r="J2" t="str">
        <f t="shared" ref="J2:J29" si="0">_xlfn.CONCAT(_xlfn.CONCAT(A2:H2),";")</f>
        <v>UPDATE  EXT.OUT_FECHAS_WEBI_REP SET TABLA = |INYC_PROD_AGENTES|,DESCRIPCION = |Ultima carga de la tabla INYC_PROD_AGENTES| WHERE TABLA = |INYC_PROD_AGENTES|;</v>
      </c>
    </row>
    <row r="3" spans="1:10" x14ac:dyDescent="0.35">
      <c r="A3" t="s">
        <v>383</v>
      </c>
      <c r="B3" t="str">
        <f>'TABLAS OUT'!B4</f>
        <v>INYC_PERC_INSPECTORES</v>
      </c>
      <c r="C3" s="9" t="s">
        <v>378</v>
      </c>
      <c r="D3" t="s">
        <v>379</v>
      </c>
      <c r="E3" t="str">
        <f>'TABLAS OUT'!B4</f>
        <v>INYC_PERC_INSPECTORES</v>
      </c>
      <c r="F3" t="s">
        <v>381</v>
      </c>
      <c r="G3" t="str">
        <f>'TABLAS OUT'!D4</f>
        <v>INYC_PERC_INSPECTORES</v>
      </c>
      <c r="H3" t="s">
        <v>382</v>
      </c>
      <c r="J3" t="str">
        <f t="shared" si="0"/>
        <v>UPDATE  EXT.OUT_FECHAS_WEBI_REP SET TABLA = |INYC_PERC_INSPECTORES|,DESCRIPCION = |Ultima carga de la tabla INYC_PERC_INSPECTORES| WHERE TABLA = |INYC_PERC_INSPECTORES|;</v>
      </c>
    </row>
    <row r="4" spans="1:10" x14ac:dyDescent="0.35">
      <c r="A4" t="s">
        <v>383</v>
      </c>
      <c r="B4" t="str">
        <f>'TABLAS OUT'!B5</f>
        <v>INYC_PROD_INSPECTORES</v>
      </c>
      <c r="C4" s="9" t="s">
        <v>378</v>
      </c>
      <c r="D4" t="s">
        <v>379</v>
      </c>
      <c r="E4" t="str">
        <f>'TABLAS OUT'!B5</f>
        <v>INYC_PROD_INSPECTORES</v>
      </c>
      <c r="F4" t="s">
        <v>381</v>
      </c>
      <c r="G4" t="str">
        <f>'TABLAS OUT'!D5</f>
        <v>INYC_PROD_INSPECTORES</v>
      </c>
      <c r="H4" t="s">
        <v>382</v>
      </c>
      <c r="J4" t="str">
        <f t="shared" si="0"/>
        <v>UPDATE  EXT.OUT_FECHAS_WEBI_REP SET TABLA = |INYC_PROD_INSPECTORES|,DESCRIPCION = |Ultima carga de la tabla INYC_PROD_INSPECTORES| WHERE TABLA = |INYC_PROD_INSPECTORES|;</v>
      </c>
    </row>
    <row r="5" spans="1:10" x14ac:dyDescent="0.35">
      <c r="A5" t="s">
        <v>383</v>
      </c>
      <c r="B5" t="str">
        <f>'TABLAS OUT'!B6</f>
        <v>INYC_INSP_ACTIVOS</v>
      </c>
      <c r="C5" s="9" t="s">
        <v>378</v>
      </c>
      <c r="D5" t="s">
        <v>379</v>
      </c>
      <c r="E5" t="str">
        <f>'TABLAS OUT'!B6</f>
        <v>INYC_INSP_ACTIVOS</v>
      </c>
      <c r="F5" t="s">
        <v>381</v>
      </c>
      <c r="G5" t="str">
        <f>'TABLAS OUT'!D6</f>
        <v>INYC_INSP_ACTIVOS</v>
      </c>
      <c r="H5" t="s">
        <v>382</v>
      </c>
      <c r="J5" t="str">
        <f t="shared" si="0"/>
        <v>UPDATE  EXT.OUT_FECHAS_WEBI_REP SET TABLA = |INYC_INSP_ACTIVOS|,DESCRIPCION = |Ultima carga de la tabla INYC_INSP_ACTIVOS| WHERE TABLA = |INYC_INSP_ACTIVOS|;</v>
      </c>
    </row>
    <row r="6" spans="1:10" x14ac:dyDescent="0.35">
      <c r="A6" t="s">
        <v>383</v>
      </c>
      <c r="B6" t="str">
        <f>'TABLAS OUT'!B7</f>
        <v>INYC_RPA_RESUMEN</v>
      </c>
      <c r="C6" s="9" t="s">
        <v>378</v>
      </c>
      <c r="D6" t="s">
        <v>379</v>
      </c>
      <c r="E6" t="str">
        <f>'TABLAS OUT'!B7</f>
        <v>INYC_RPA_RESUMEN</v>
      </c>
      <c r="F6" t="s">
        <v>381</v>
      </c>
      <c r="G6" t="str">
        <f>'TABLAS OUT'!D7</f>
        <v>INYC_RPA_RESUMEN</v>
      </c>
      <c r="H6" t="s">
        <v>382</v>
      </c>
      <c r="J6" t="str">
        <f t="shared" si="0"/>
        <v>UPDATE  EXT.OUT_FECHAS_WEBI_REP SET TABLA = |INYC_RPA_RESUMEN|,DESCRIPCION = |Ultima carga de la tabla INYC_RPA_RESUMEN| WHERE TABLA = |INYC_RPA_RESUMEN|;</v>
      </c>
    </row>
    <row r="7" spans="1:10" x14ac:dyDescent="0.35">
      <c r="A7" t="s">
        <v>383</v>
      </c>
      <c r="B7" t="str">
        <f>'TABLAS OUT'!B8</f>
        <v>INYC_LC_RPA_RESUMEN</v>
      </c>
      <c r="C7" s="9" t="s">
        <v>378</v>
      </c>
      <c r="D7" t="s">
        <v>379</v>
      </c>
      <c r="E7" t="str">
        <f>'TABLAS OUT'!B8</f>
        <v>INYC_LC_RPA_RESUMEN</v>
      </c>
      <c r="F7" t="s">
        <v>381</v>
      </c>
      <c r="G7" t="str">
        <f>'TABLAS OUT'!D8</f>
        <v>INYC_LC_RPA_RESUMEN</v>
      </c>
      <c r="H7" t="s">
        <v>382</v>
      </c>
      <c r="J7" t="str">
        <f t="shared" si="0"/>
        <v>UPDATE  EXT.OUT_FECHAS_WEBI_REP SET TABLA = |INYC_LC_RPA_RESUMEN|,DESCRIPCION = |Ultima carga de la tabla INYC_LC_RPA_RESUMEN| WHERE TABLA = |INYC_LC_RPA_RESUMEN|;</v>
      </c>
    </row>
    <row r="8" spans="1:10" x14ac:dyDescent="0.35">
      <c r="A8" t="s">
        <v>383</v>
      </c>
      <c r="B8" t="str">
        <f>'TABLAS OUT'!B9</f>
        <v>INYC_BAL_RPA_RESUMEN</v>
      </c>
      <c r="C8" s="9" t="s">
        <v>378</v>
      </c>
      <c r="D8" t="s">
        <v>379</v>
      </c>
      <c r="E8" t="str">
        <f>'TABLAS OUT'!B9</f>
        <v>INYC_BAL_RPA_RESUMEN</v>
      </c>
      <c r="F8" t="s">
        <v>381</v>
      </c>
      <c r="G8" t="str">
        <f>'TABLAS OUT'!D9</f>
        <v>INYC_BAL_RPA_RESUMEN</v>
      </c>
      <c r="H8" t="s">
        <v>382</v>
      </c>
      <c r="J8" t="str">
        <f t="shared" si="0"/>
        <v>UPDATE  EXT.OUT_FECHAS_WEBI_REP SET TABLA = |INYC_BAL_RPA_RESUMEN|,DESCRIPCION = |Ultima carga de la tabla INYC_BAL_RPA_RESUMEN| WHERE TABLA = |INYC_BAL_RPA_RESUMEN|;</v>
      </c>
    </row>
    <row r="9" spans="1:10" x14ac:dyDescent="0.35">
      <c r="A9" t="s">
        <v>383</v>
      </c>
      <c r="B9" t="str">
        <f>'TABLAS OUT'!B10</f>
        <v>INYC_ASI_RESUMEN</v>
      </c>
      <c r="C9" s="9" t="s">
        <v>378</v>
      </c>
      <c r="D9" t="s">
        <v>379</v>
      </c>
      <c r="E9" t="str">
        <f>'TABLAS OUT'!B10</f>
        <v>INYC_ASI_RESUMEN</v>
      </c>
      <c r="F9" t="s">
        <v>381</v>
      </c>
      <c r="G9" t="str">
        <f>'TABLAS OUT'!D10</f>
        <v>INYC_ASI_RESUMEN</v>
      </c>
      <c r="H9" t="s">
        <v>382</v>
      </c>
      <c r="J9" t="str">
        <f t="shared" si="0"/>
        <v>UPDATE  EXT.OUT_FECHAS_WEBI_REP SET TABLA = |INYC_ASI_RESUMEN|,DESCRIPCION = |Ultima carga de la tabla INYC_ASI_RESUMEN| WHERE TABLA = |INYC_ASI_RESUMEN|;</v>
      </c>
    </row>
    <row r="10" spans="1:10" x14ac:dyDescent="0.35">
      <c r="A10" t="s">
        <v>383</v>
      </c>
      <c r="B10" t="str">
        <f>'TABLAS OUT'!B11</f>
        <v>INYC_LC_ASI_RESUMEN</v>
      </c>
      <c r="C10" s="9" t="s">
        <v>378</v>
      </c>
      <c r="D10" t="s">
        <v>379</v>
      </c>
      <c r="E10" t="str">
        <f>'TABLAS OUT'!B11</f>
        <v>INYC_LC_ASI_RESUMEN</v>
      </c>
      <c r="F10" t="s">
        <v>381</v>
      </c>
      <c r="G10" t="str">
        <f>'TABLAS OUT'!D11</f>
        <v>INYC_LC_ASI_RESUMEN</v>
      </c>
      <c r="H10" t="s">
        <v>382</v>
      </c>
      <c r="J10" t="str">
        <f t="shared" si="0"/>
        <v>UPDATE  EXT.OUT_FECHAS_WEBI_REP SET TABLA = |INYC_LC_ASI_RESUMEN|,DESCRIPCION = |Ultima carga de la tabla INYC_LC_ASI_RESUMEN| WHERE TABLA = |INYC_LC_ASI_RESUMEN|;</v>
      </c>
    </row>
    <row r="11" spans="1:10" x14ac:dyDescent="0.35">
      <c r="A11" t="s">
        <v>383</v>
      </c>
      <c r="B11" t="str">
        <f>'TABLAS OUT'!B12</f>
        <v>INYC_BAL_ASI_RESUMEN</v>
      </c>
      <c r="C11" s="9" t="s">
        <v>378</v>
      </c>
      <c r="D11" t="s">
        <v>379</v>
      </c>
      <c r="E11" t="str">
        <f>'TABLAS OUT'!B12</f>
        <v>INYC_BAL_ASI_RESUMEN</v>
      </c>
      <c r="F11" t="s">
        <v>381</v>
      </c>
      <c r="G11" t="str">
        <f>'TABLAS OUT'!D12</f>
        <v>INYC_BAL_ASI_RESUMEN</v>
      </c>
      <c r="H11" t="s">
        <v>382</v>
      </c>
      <c r="J11" t="str">
        <f t="shared" si="0"/>
        <v>UPDATE  EXT.OUT_FECHAS_WEBI_REP SET TABLA = |INYC_BAL_ASI_RESUMEN|,DESCRIPCION = |Ultima carga de la tabla INYC_BAL_ASI_RESUMEN| WHERE TABLA = |INYC_BAL_ASI_RESUMEN|;</v>
      </c>
    </row>
    <row r="12" spans="1:10" x14ac:dyDescent="0.35">
      <c r="A12" t="s">
        <v>383</v>
      </c>
      <c r="B12" t="str">
        <f>'TABLAS OUT'!B13</f>
        <v>INYC_S4_POLIZAS</v>
      </c>
      <c r="C12" s="9" t="s">
        <v>378</v>
      </c>
      <c r="D12" t="s">
        <v>379</v>
      </c>
      <c r="E12" t="str">
        <f>'TABLAS OUT'!B13</f>
        <v>INYC_S4_POLIZAS</v>
      </c>
      <c r="F12" t="s">
        <v>381</v>
      </c>
      <c r="G12" t="str">
        <f>'TABLAS OUT'!D13</f>
        <v>INYC_S4</v>
      </c>
      <c r="H12" t="s">
        <v>382</v>
      </c>
      <c r="J12" t="str">
        <f t="shared" si="0"/>
        <v>UPDATE  EXT.OUT_FECHAS_WEBI_REP SET TABLA = |INYC_S4_POLIZAS|,DESCRIPCION = |Ultima carga de la tabla INYC_S4_POLIZAS| WHERE TABLA = |INYC_S4|;</v>
      </c>
    </row>
    <row r="13" spans="1:10" x14ac:dyDescent="0.35">
      <c r="A13" t="s">
        <v>383</v>
      </c>
      <c r="B13" t="str">
        <f>'TABLAS OUT'!B14</f>
        <v>INYC_S4_E_POLIZAS</v>
      </c>
      <c r="C13" s="9" t="s">
        <v>378</v>
      </c>
      <c r="D13" t="s">
        <v>379</v>
      </c>
      <c r="E13" t="str">
        <f>'TABLAS OUT'!B14</f>
        <v>INYC_S4_E_POLIZAS</v>
      </c>
      <c r="F13" t="s">
        <v>381</v>
      </c>
      <c r="G13" t="str">
        <f>'TABLAS OUT'!D14</f>
        <v>INYC_S4_E</v>
      </c>
      <c r="H13" t="s">
        <v>382</v>
      </c>
      <c r="J13" t="str">
        <f t="shared" si="0"/>
        <v>UPDATE  EXT.OUT_FECHAS_WEBI_REP SET TABLA = |INYC_S4_E_POLIZAS|,DESCRIPCION = |Ultima carga de la tabla INYC_S4_E_POLIZAS| WHERE TABLA = |INYC_S4_E|;</v>
      </c>
    </row>
    <row r="14" spans="1:10" x14ac:dyDescent="0.35">
      <c r="A14" t="s">
        <v>383</v>
      </c>
      <c r="B14" t="str">
        <f>'TABLAS OUT'!B15</f>
        <v>INYC_LC_S4_POLIZAS</v>
      </c>
      <c r="C14" s="9" t="s">
        <v>378</v>
      </c>
      <c r="D14" t="s">
        <v>379</v>
      </c>
      <c r="E14" t="str">
        <f>'TABLAS OUT'!B15</f>
        <v>INYC_LC_S4_POLIZAS</v>
      </c>
      <c r="F14" t="s">
        <v>381</v>
      </c>
      <c r="G14" t="str">
        <f>'TABLAS OUT'!D15</f>
        <v>INYC_LC_S4</v>
      </c>
      <c r="H14" t="s">
        <v>382</v>
      </c>
      <c r="J14" t="str">
        <f t="shared" si="0"/>
        <v>UPDATE  EXT.OUT_FECHAS_WEBI_REP SET TABLA = |INYC_LC_S4_POLIZAS|,DESCRIPCION = |Ultima carga de la tabla INYC_LC_S4_POLIZAS| WHERE TABLA = |INYC_LC_S4|;</v>
      </c>
    </row>
    <row r="15" spans="1:10" x14ac:dyDescent="0.35">
      <c r="A15" t="s">
        <v>383</v>
      </c>
      <c r="B15" t="str">
        <f>'TABLAS OUT'!B16</f>
        <v>INYC_LC_S4_E_POLIZAS</v>
      </c>
      <c r="C15" s="9" t="s">
        <v>378</v>
      </c>
      <c r="D15" t="s">
        <v>379</v>
      </c>
      <c r="E15" t="str">
        <f>'TABLAS OUT'!B16</f>
        <v>INYC_LC_S4_E_POLIZAS</v>
      </c>
      <c r="F15" t="s">
        <v>381</v>
      </c>
      <c r="G15" t="str">
        <f>'TABLAS OUT'!D16</f>
        <v>INYC_LC_S4_E</v>
      </c>
      <c r="H15" t="s">
        <v>382</v>
      </c>
      <c r="J15" t="str">
        <f t="shared" si="0"/>
        <v>UPDATE  EXT.OUT_FECHAS_WEBI_REP SET TABLA = |INYC_LC_S4_E_POLIZAS|,DESCRIPCION = |Ultima carga de la tabla INYC_LC_S4_E_POLIZAS| WHERE TABLA = |INYC_LC_S4_E|;</v>
      </c>
    </row>
    <row r="16" spans="1:10" x14ac:dyDescent="0.35">
      <c r="A16" t="s">
        <v>383</v>
      </c>
      <c r="B16" t="str">
        <f>'TABLAS OUT'!B17</f>
        <v>INYC_BAL_S4_POLIZAS</v>
      </c>
      <c r="C16" s="9" t="s">
        <v>378</v>
      </c>
      <c r="D16" t="s">
        <v>379</v>
      </c>
      <c r="E16" t="str">
        <f>'TABLAS OUT'!B17</f>
        <v>INYC_BAL_S4_POLIZAS</v>
      </c>
      <c r="F16" t="s">
        <v>381</v>
      </c>
      <c r="G16" t="str">
        <f>'TABLAS OUT'!D17</f>
        <v>INYC_BAL_S4</v>
      </c>
      <c r="H16" t="s">
        <v>382</v>
      </c>
      <c r="J16" t="str">
        <f t="shared" si="0"/>
        <v>UPDATE  EXT.OUT_FECHAS_WEBI_REP SET TABLA = |INYC_BAL_S4_POLIZAS|,DESCRIPCION = |Ultima carga de la tabla INYC_BAL_S4_POLIZAS| WHERE TABLA = |INYC_BAL_S4|;</v>
      </c>
    </row>
    <row r="17" spans="1:10" x14ac:dyDescent="0.35">
      <c r="A17" t="s">
        <v>383</v>
      </c>
      <c r="B17" t="str">
        <f>'TABLAS OUT'!B18</f>
        <v>INYC_BAL_S4_E_POLIZAS</v>
      </c>
      <c r="C17" s="9" t="s">
        <v>378</v>
      </c>
      <c r="D17" t="s">
        <v>379</v>
      </c>
      <c r="E17" t="str">
        <f>'TABLAS OUT'!B18</f>
        <v>INYC_BAL_S4_E_POLIZAS</v>
      </c>
      <c r="F17" t="s">
        <v>381</v>
      </c>
      <c r="G17" t="str">
        <f>'TABLAS OUT'!D18</f>
        <v>INYC_BAL_S4_E</v>
      </c>
      <c r="H17" t="s">
        <v>382</v>
      </c>
      <c r="J17" t="str">
        <f t="shared" si="0"/>
        <v>UPDATE  EXT.OUT_FECHAS_WEBI_REP SET TABLA = |INYC_BAL_S4_E_POLIZAS|,DESCRIPCION = |Ultima carga de la tabla INYC_BAL_S4_E_POLIZAS| WHERE TABLA = |INYC_BAL_S4_E|;</v>
      </c>
    </row>
    <row r="18" spans="1:10" x14ac:dyDescent="0.35">
      <c r="A18" t="s">
        <v>383</v>
      </c>
      <c r="B18" t="str">
        <f>'TABLAS OUT'!B19</f>
        <v>INYC_S5_POLIZAS</v>
      </c>
      <c r="C18" s="9" t="s">
        <v>378</v>
      </c>
      <c r="D18" t="s">
        <v>379</v>
      </c>
      <c r="E18" t="str">
        <f>'TABLAS OUT'!B19</f>
        <v>INYC_S5_POLIZAS</v>
      </c>
      <c r="F18" t="s">
        <v>381</v>
      </c>
      <c r="G18" t="str">
        <f>'TABLAS OUT'!D19</f>
        <v>INYC_S5</v>
      </c>
      <c r="H18" t="s">
        <v>382</v>
      </c>
      <c r="J18" t="str">
        <f t="shared" si="0"/>
        <v>UPDATE  EXT.OUT_FECHAS_WEBI_REP SET TABLA = |INYC_S5_POLIZAS|,DESCRIPCION = |Ultima carga de la tabla INYC_S5_POLIZAS| WHERE TABLA = |INYC_S5|;</v>
      </c>
    </row>
    <row r="19" spans="1:10" x14ac:dyDescent="0.35">
      <c r="A19" t="s">
        <v>383</v>
      </c>
      <c r="B19" t="str">
        <f>'TABLAS OUT'!B20</f>
        <v>INYC_LC_S5_POLIZAS</v>
      </c>
      <c r="C19" s="9" t="s">
        <v>378</v>
      </c>
      <c r="D19" t="s">
        <v>379</v>
      </c>
      <c r="E19" t="str">
        <f>'TABLAS OUT'!B20</f>
        <v>INYC_LC_S5_POLIZAS</v>
      </c>
      <c r="F19" t="s">
        <v>381</v>
      </c>
      <c r="G19" t="str">
        <f>'TABLAS OUT'!D20</f>
        <v>INYC_LC_S5</v>
      </c>
      <c r="H19" t="s">
        <v>382</v>
      </c>
      <c r="J19" t="str">
        <f t="shared" si="0"/>
        <v>UPDATE  EXT.OUT_FECHAS_WEBI_REP SET TABLA = |INYC_LC_S5_POLIZAS|,DESCRIPCION = |Ultima carga de la tabla INYC_LC_S5_POLIZAS| WHERE TABLA = |INYC_LC_S5|;</v>
      </c>
    </row>
    <row r="20" spans="1:10" x14ac:dyDescent="0.35">
      <c r="A20" t="s">
        <v>383</v>
      </c>
      <c r="B20" t="str">
        <f>'TABLAS OUT'!B21</f>
        <v>INYC_BAL_S5_POLIZAS</v>
      </c>
      <c r="C20" s="9" t="s">
        <v>378</v>
      </c>
      <c r="D20" t="s">
        <v>379</v>
      </c>
      <c r="E20" t="str">
        <f>'TABLAS OUT'!B21</f>
        <v>INYC_BAL_S5_POLIZAS</v>
      </c>
      <c r="F20" t="s">
        <v>381</v>
      </c>
      <c r="G20" t="str">
        <f>'TABLAS OUT'!D21</f>
        <v>INYC_BAL_S5</v>
      </c>
      <c r="H20" t="s">
        <v>382</v>
      </c>
      <c r="J20" t="str">
        <f t="shared" si="0"/>
        <v>UPDATE  EXT.OUT_FECHAS_WEBI_REP SET TABLA = |INYC_BAL_S5_POLIZAS|,DESCRIPCION = |Ultima carga de la tabla INYC_BAL_S5_POLIZAS| WHERE TABLA = |INYC_BAL_S5|;</v>
      </c>
    </row>
    <row r="21" spans="1:10" x14ac:dyDescent="0.35">
      <c r="A21" t="s">
        <v>383</v>
      </c>
      <c r="B21" t="str">
        <f>'TABLAS OUT'!B22</f>
        <v>INYC_S4_FACTURA</v>
      </c>
      <c r="C21" s="9" t="s">
        <v>378</v>
      </c>
      <c r="D21" t="s">
        <v>379</v>
      </c>
      <c r="E21" t="str">
        <f>'TABLAS OUT'!B22</f>
        <v>INYC_S4_FACTURA</v>
      </c>
      <c r="F21" t="s">
        <v>381</v>
      </c>
      <c r="G21" t="str">
        <f>'TABLAS OUT'!D22</f>
        <v>INYC_S4_FAC</v>
      </c>
      <c r="H21" t="s">
        <v>382</v>
      </c>
      <c r="J21" t="str">
        <f t="shared" si="0"/>
        <v>UPDATE  EXT.OUT_FECHAS_WEBI_REP SET TABLA = |INYC_S4_FACTURA|,DESCRIPCION = |Ultima carga de la tabla INYC_S4_FACTURA| WHERE TABLA = |INYC_S4_FAC|;</v>
      </c>
    </row>
    <row r="22" spans="1:10" x14ac:dyDescent="0.35">
      <c r="A22" t="s">
        <v>383</v>
      </c>
      <c r="B22" t="str">
        <f>'TABLAS OUT'!B23</f>
        <v>INYC_S5_FACTURA</v>
      </c>
      <c r="C22" s="9" t="s">
        <v>378</v>
      </c>
      <c r="D22" t="s">
        <v>379</v>
      </c>
      <c r="E22" t="str">
        <f>'TABLAS OUT'!B23</f>
        <v>INYC_S5_FACTURA</v>
      </c>
      <c r="F22" t="s">
        <v>381</v>
      </c>
      <c r="G22" t="str">
        <f>'TABLAS OUT'!D23</f>
        <v>INYC_S5_FAC</v>
      </c>
      <c r="H22" t="s">
        <v>382</v>
      </c>
      <c r="J22" t="str">
        <f t="shared" si="0"/>
        <v>UPDATE  EXT.OUT_FECHAS_WEBI_REP SET TABLA = |INYC_S5_FACTURA|,DESCRIPCION = |Ultima carga de la tabla INYC_S5_FACTURA| WHERE TABLA = |INYC_S5_FAC|;</v>
      </c>
    </row>
    <row r="23" spans="1:10" x14ac:dyDescent="0.35">
      <c r="A23" t="s">
        <v>383</v>
      </c>
      <c r="B23" t="str">
        <f>'TABLAS OUT'!B24</f>
        <v>INYC_S4_E_FACTURA</v>
      </c>
      <c r="C23" s="9" t="s">
        <v>378</v>
      </c>
      <c r="D23" t="s">
        <v>379</v>
      </c>
      <c r="E23" t="str">
        <f>'TABLAS OUT'!B24</f>
        <v>INYC_S4_E_FACTURA</v>
      </c>
      <c r="F23" t="s">
        <v>381</v>
      </c>
      <c r="G23" t="str">
        <f>'TABLAS OUT'!D24</f>
        <v>INYC_S4_E_FAC</v>
      </c>
      <c r="H23" t="s">
        <v>382</v>
      </c>
      <c r="J23" t="str">
        <f t="shared" si="0"/>
        <v>UPDATE  EXT.OUT_FECHAS_WEBI_REP SET TABLA = |INYC_S4_E_FACTURA|,DESCRIPCION = |Ultima carga de la tabla INYC_S4_E_FACTURA| WHERE TABLA = |INYC_S4_E_FAC|;</v>
      </c>
    </row>
    <row r="24" spans="1:10" x14ac:dyDescent="0.35">
      <c r="A24" t="s">
        <v>383</v>
      </c>
      <c r="B24" t="str">
        <f>'TABLAS OUT'!B25</f>
        <v>INYC_LC_S4_FACTURA</v>
      </c>
      <c r="C24" s="9" t="s">
        <v>378</v>
      </c>
      <c r="D24" t="s">
        <v>379</v>
      </c>
      <c r="E24" t="str">
        <f>'TABLAS OUT'!B25</f>
        <v>INYC_LC_S4_FACTURA</v>
      </c>
      <c r="F24" t="s">
        <v>381</v>
      </c>
      <c r="G24" t="str">
        <f>'TABLAS OUT'!D25</f>
        <v>INYC_LC_S4_FAC</v>
      </c>
      <c r="H24" t="s">
        <v>382</v>
      </c>
      <c r="J24" t="str">
        <f t="shared" si="0"/>
        <v>UPDATE  EXT.OUT_FECHAS_WEBI_REP SET TABLA = |INYC_LC_S4_FACTURA|,DESCRIPCION = |Ultima carga de la tabla INYC_LC_S4_FACTURA| WHERE TABLA = |INYC_LC_S4_FAC|;</v>
      </c>
    </row>
    <row r="25" spans="1:10" x14ac:dyDescent="0.35">
      <c r="A25" t="s">
        <v>383</v>
      </c>
      <c r="B25" t="str">
        <f>'TABLAS OUT'!B26</f>
        <v>INYC_LC_S5_FACTURA</v>
      </c>
      <c r="C25" s="9" t="s">
        <v>378</v>
      </c>
      <c r="D25" t="s">
        <v>379</v>
      </c>
      <c r="E25" t="str">
        <f>'TABLAS OUT'!B26</f>
        <v>INYC_LC_S5_FACTURA</v>
      </c>
      <c r="F25" t="s">
        <v>381</v>
      </c>
      <c r="G25" t="str">
        <f>'TABLAS OUT'!D26</f>
        <v>INYC_LC_S5_FAC</v>
      </c>
      <c r="H25" t="s">
        <v>382</v>
      </c>
      <c r="J25" t="str">
        <f t="shared" si="0"/>
        <v>UPDATE  EXT.OUT_FECHAS_WEBI_REP SET TABLA = |INYC_LC_S5_FACTURA|,DESCRIPCION = |Ultima carga de la tabla INYC_LC_S5_FACTURA| WHERE TABLA = |INYC_LC_S5_FAC|;</v>
      </c>
    </row>
    <row r="26" spans="1:10" x14ac:dyDescent="0.35">
      <c r="A26" t="s">
        <v>383</v>
      </c>
      <c r="B26" t="str">
        <f>'TABLAS OUT'!B27</f>
        <v>INYC_LC_S4_E_FACTURA</v>
      </c>
      <c r="C26" s="9" t="s">
        <v>378</v>
      </c>
      <c r="D26" t="s">
        <v>379</v>
      </c>
      <c r="E26" t="str">
        <f>'TABLAS OUT'!B27</f>
        <v>INYC_LC_S4_E_FACTURA</v>
      </c>
      <c r="F26" t="s">
        <v>381</v>
      </c>
      <c r="G26" t="str">
        <f>'TABLAS OUT'!D27</f>
        <v>INYC_LC_S4_E_FAC</v>
      </c>
      <c r="H26" t="s">
        <v>382</v>
      </c>
      <c r="J26" t="str">
        <f t="shared" si="0"/>
        <v>UPDATE  EXT.OUT_FECHAS_WEBI_REP SET TABLA = |INYC_LC_S4_E_FACTURA|,DESCRIPCION = |Ultima carga de la tabla INYC_LC_S4_E_FACTURA| WHERE TABLA = |INYC_LC_S4_E_FAC|;</v>
      </c>
    </row>
    <row r="27" spans="1:10" x14ac:dyDescent="0.35">
      <c r="A27" t="s">
        <v>383</v>
      </c>
      <c r="B27" t="str">
        <f>'TABLAS OUT'!B28</f>
        <v>INYC_PEPA_RESUMEN</v>
      </c>
      <c r="C27" s="9" t="s">
        <v>378</v>
      </c>
      <c r="D27" t="s">
        <v>379</v>
      </c>
      <c r="E27" t="str">
        <f>'TABLAS OUT'!B28</f>
        <v>INYC_PEPA_RESUMEN</v>
      </c>
      <c r="F27" t="s">
        <v>381</v>
      </c>
      <c r="G27" t="str">
        <f>'TABLAS OUT'!D28</f>
        <v>INYC_PEPA_RESUMEN</v>
      </c>
      <c r="H27" t="s">
        <v>382</v>
      </c>
      <c r="J27" t="str">
        <f t="shared" si="0"/>
        <v>UPDATE  EXT.OUT_FECHAS_WEBI_REP SET TABLA = |INYC_PEPA_RESUMEN|,DESCRIPCION = |Ultima carga de la tabla INYC_PEPA_RESUMEN| WHERE TABLA = |INYC_PEPA_RESUMEN|;</v>
      </c>
    </row>
    <row r="28" spans="1:10" x14ac:dyDescent="0.35">
      <c r="A28" t="s">
        <v>383</v>
      </c>
      <c r="B28" t="str">
        <f>'TABLAS OUT'!B29</f>
        <v>INYC_LC_PEPA_RESUMEN</v>
      </c>
      <c r="C28" s="9" t="s">
        <v>378</v>
      </c>
      <c r="D28" t="s">
        <v>379</v>
      </c>
      <c r="E28" t="str">
        <f>'TABLAS OUT'!B29</f>
        <v>INYC_LC_PEPA_RESUMEN</v>
      </c>
      <c r="F28" t="s">
        <v>381</v>
      </c>
      <c r="G28" t="str">
        <f>'TABLAS OUT'!D29</f>
        <v>INYC_LC_PEPA_RESUMEN</v>
      </c>
      <c r="H28" t="s">
        <v>382</v>
      </c>
      <c r="J28" t="str">
        <f t="shared" si="0"/>
        <v>UPDATE  EXT.OUT_FECHAS_WEBI_REP SET TABLA = |INYC_LC_PEPA_RESUMEN|,DESCRIPCION = |Ultima carga de la tabla INYC_LC_PEPA_RESUMEN| WHERE TABLA = |INYC_LC_PEPA_RESUMEN|;</v>
      </c>
    </row>
    <row r="29" spans="1:10" x14ac:dyDescent="0.35">
      <c r="A29" t="s">
        <v>383</v>
      </c>
      <c r="B29" t="str">
        <f>'TABLAS OUT'!B30</f>
        <v>INYC_BAL_PEPA_RESUMEN</v>
      </c>
      <c r="C29" s="9" t="s">
        <v>378</v>
      </c>
      <c r="D29" t="s">
        <v>379</v>
      </c>
      <c r="E29" t="str">
        <f>'TABLAS OUT'!B30</f>
        <v>INYC_BAL_PEPA_RESUMEN</v>
      </c>
      <c r="F29" t="s">
        <v>381</v>
      </c>
      <c r="G29" t="str">
        <f>'TABLAS OUT'!D30</f>
        <v>INYC_BAL_PEPA_RESUMEN</v>
      </c>
      <c r="H29" t="s">
        <v>382</v>
      </c>
      <c r="J29" t="str">
        <f t="shared" si="0"/>
        <v>UPDATE  EXT.OUT_FECHAS_WEBI_REP SET TABLA = |INYC_BAL_PEPA_RESUMEN|,DESCRIPCION = |Ultima carga de la tabla INYC_BAL_PEPA_RESUMEN| WHERE TABLA = |INYC_BAL_PEPA_RESUMEN|;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4677-0BAA-4AE7-9A5B-117A095BFA24}">
  <dimension ref="A1:A313"/>
  <sheetViews>
    <sheetView topLeftCell="A286" workbookViewId="0">
      <selection activeCell="B10" sqref="B10"/>
    </sheetView>
  </sheetViews>
  <sheetFormatPr baseColWidth="10" defaultRowHeight="14.5" x14ac:dyDescent="0.35"/>
  <cols>
    <col min="1" max="1" width="31.7265625" bestFit="1" customWidth="1"/>
  </cols>
  <sheetData>
    <row r="1" spans="1:1" x14ac:dyDescent="0.35">
      <c r="A1" t="s">
        <v>237</v>
      </c>
    </row>
    <row r="2" spans="1:1" x14ac:dyDescent="0.35">
      <c r="A2" t="s">
        <v>238</v>
      </c>
    </row>
    <row r="3" spans="1:1" x14ac:dyDescent="0.35">
      <c r="A3" t="s">
        <v>239</v>
      </c>
    </row>
    <row r="4" spans="1:1" x14ac:dyDescent="0.35">
      <c r="A4" t="s">
        <v>240</v>
      </c>
    </row>
    <row r="5" spans="1:1" x14ac:dyDescent="0.35">
      <c r="A5" t="s">
        <v>241</v>
      </c>
    </row>
    <row r="6" spans="1:1" x14ac:dyDescent="0.35">
      <c r="A6" t="s">
        <v>242</v>
      </c>
    </row>
    <row r="7" spans="1:1" x14ac:dyDescent="0.35">
      <c r="A7" t="s">
        <v>243</v>
      </c>
    </row>
    <row r="8" spans="1:1" x14ac:dyDescent="0.35">
      <c r="A8" t="s">
        <v>244</v>
      </c>
    </row>
    <row r="9" spans="1:1" x14ac:dyDescent="0.35">
      <c r="A9" t="s">
        <v>245</v>
      </c>
    </row>
    <row r="10" spans="1:1" x14ac:dyDescent="0.35">
      <c r="A10" t="s">
        <v>246</v>
      </c>
    </row>
    <row r="11" spans="1:1" x14ac:dyDescent="0.35">
      <c r="A11" t="s">
        <v>247</v>
      </c>
    </row>
    <row r="12" spans="1:1" x14ac:dyDescent="0.35">
      <c r="A12" t="s">
        <v>248</v>
      </c>
    </row>
    <row r="13" spans="1:1" x14ac:dyDescent="0.35">
      <c r="A13" t="s">
        <v>249</v>
      </c>
    </row>
    <row r="14" spans="1:1" x14ac:dyDescent="0.35">
      <c r="A14" t="s">
        <v>250</v>
      </c>
    </row>
    <row r="15" spans="1:1" x14ac:dyDescent="0.35">
      <c r="A15" t="s">
        <v>251</v>
      </c>
    </row>
    <row r="16" spans="1:1" x14ac:dyDescent="0.35">
      <c r="A16" t="s">
        <v>252</v>
      </c>
    </row>
    <row r="17" spans="1:1" x14ac:dyDescent="0.35">
      <c r="A17" t="s">
        <v>253</v>
      </c>
    </row>
    <row r="18" spans="1:1" x14ac:dyDescent="0.35">
      <c r="A18" t="s">
        <v>254</v>
      </c>
    </row>
    <row r="19" spans="1:1" x14ac:dyDescent="0.35">
      <c r="A19" t="s">
        <v>255</v>
      </c>
    </row>
    <row r="20" spans="1:1" x14ac:dyDescent="0.35">
      <c r="A20" t="s">
        <v>256</v>
      </c>
    </row>
    <row r="21" spans="1:1" x14ac:dyDescent="0.35">
      <c r="A21" t="s">
        <v>257</v>
      </c>
    </row>
    <row r="22" spans="1:1" x14ac:dyDescent="0.35">
      <c r="A22" t="s">
        <v>258</v>
      </c>
    </row>
    <row r="23" spans="1:1" x14ac:dyDescent="0.35">
      <c r="A23" t="s">
        <v>259</v>
      </c>
    </row>
    <row r="24" spans="1:1" x14ac:dyDescent="0.35">
      <c r="A24" t="s">
        <v>260</v>
      </c>
    </row>
    <row r="25" spans="1:1" x14ac:dyDescent="0.35">
      <c r="A25" t="s">
        <v>261</v>
      </c>
    </row>
    <row r="26" spans="1:1" x14ac:dyDescent="0.35">
      <c r="A26" t="s">
        <v>262</v>
      </c>
    </row>
    <row r="27" spans="1:1" x14ac:dyDescent="0.35">
      <c r="A27" t="s">
        <v>263</v>
      </c>
    </row>
    <row r="28" spans="1:1" x14ac:dyDescent="0.35">
      <c r="A28" t="s">
        <v>264</v>
      </c>
    </row>
    <row r="29" spans="1:1" x14ac:dyDescent="0.35">
      <c r="A29" t="s">
        <v>265</v>
      </c>
    </row>
    <row r="30" spans="1:1" x14ac:dyDescent="0.35">
      <c r="A30" s="1" t="s">
        <v>266</v>
      </c>
    </row>
    <row r="31" spans="1:1" x14ac:dyDescent="0.35">
      <c r="A31" t="s">
        <v>267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268</v>
      </c>
    </row>
    <row r="39" spans="1:1" x14ac:dyDescent="0.35">
      <c r="A39" t="s">
        <v>269</v>
      </c>
    </row>
    <row r="40" spans="1:1" x14ac:dyDescent="0.35">
      <c r="A40" t="s">
        <v>270</v>
      </c>
    </row>
    <row r="41" spans="1:1" x14ac:dyDescent="0.35">
      <c r="A41" t="s">
        <v>35</v>
      </c>
    </row>
    <row r="42" spans="1:1" x14ac:dyDescent="0.35">
      <c r="A42" t="s">
        <v>36</v>
      </c>
    </row>
    <row r="43" spans="1:1" x14ac:dyDescent="0.35">
      <c r="A43" t="s">
        <v>37</v>
      </c>
    </row>
    <row r="44" spans="1:1" x14ac:dyDescent="0.35">
      <c r="A44" t="s">
        <v>38</v>
      </c>
    </row>
    <row r="45" spans="1:1" x14ac:dyDescent="0.35">
      <c r="A45" t="s">
        <v>39</v>
      </c>
    </row>
    <row r="46" spans="1:1" x14ac:dyDescent="0.35">
      <c r="A46" t="s">
        <v>40</v>
      </c>
    </row>
    <row r="47" spans="1:1" x14ac:dyDescent="0.35">
      <c r="A47" t="s">
        <v>41</v>
      </c>
    </row>
    <row r="48" spans="1:1" x14ac:dyDescent="0.35">
      <c r="A48" t="s">
        <v>42</v>
      </c>
    </row>
    <row r="49" spans="1:1" x14ac:dyDescent="0.35">
      <c r="A49" t="s">
        <v>43</v>
      </c>
    </row>
    <row r="50" spans="1:1" x14ac:dyDescent="0.35">
      <c r="A50" t="s">
        <v>44</v>
      </c>
    </row>
    <row r="51" spans="1:1" x14ac:dyDescent="0.35">
      <c r="A51" t="s">
        <v>45</v>
      </c>
    </row>
    <row r="52" spans="1:1" x14ac:dyDescent="0.35">
      <c r="A52" t="s">
        <v>46</v>
      </c>
    </row>
    <row r="53" spans="1:1" x14ac:dyDescent="0.35">
      <c r="A53" t="s">
        <v>271</v>
      </c>
    </row>
    <row r="54" spans="1:1" x14ac:dyDescent="0.35">
      <c r="A54" t="s">
        <v>272</v>
      </c>
    </row>
    <row r="55" spans="1:1" x14ac:dyDescent="0.35">
      <c r="A55" t="s">
        <v>48</v>
      </c>
    </row>
    <row r="56" spans="1:1" x14ac:dyDescent="0.35">
      <c r="A56" t="s">
        <v>49</v>
      </c>
    </row>
    <row r="57" spans="1:1" x14ac:dyDescent="0.35">
      <c r="A57" t="s">
        <v>50</v>
      </c>
    </row>
    <row r="58" spans="1:1" x14ac:dyDescent="0.35">
      <c r="A58" t="s">
        <v>51</v>
      </c>
    </row>
    <row r="59" spans="1:1" x14ac:dyDescent="0.35">
      <c r="A59" t="s">
        <v>53</v>
      </c>
    </row>
    <row r="60" spans="1:1" x14ac:dyDescent="0.35">
      <c r="A60" t="s">
        <v>55</v>
      </c>
    </row>
    <row r="61" spans="1:1" x14ac:dyDescent="0.35">
      <c r="A61" t="s">
        <v>56</v>
      </c>
    </row>
    <row r="62" spans="1:1" x14ac:dyDescent="0.35">
      <c r="A62" t="s">
        <v>57</v>
      </c>
    </row>
    <row r="63" spans="1:1" x14ac:dyDescent="0.35">
      <c r="A63" t="s">
        <v>58</v>
      </c>
    </row>
    <row r="64" spans="1:1" x14ac:dyDescent="0.35">
      <c r="A64" t="s">
        <v>59</v>
      </c>
    </row>
    <row r="65" spans="1:1" x14ac:dyDescent="0.35">
      <c r="A65" t="s">
        <v>60</v>
      </c>
    </row>
    <row r="66" spans="1:1" x14ac:dyDescent="0.35">
      <c r="A66" t="s">
        <v>61</v>
      </c>
    </row>
    <row r="67" spans="1:1" x14ac:dyDescent="0.35">
      <c r="A67" t="s">
        <v>62</v>
      </c>
    </row>
    <row r="68" spans="1:1" x14ac:dyDescent="0.35">
      <c r="A68" t="s">
        <v>63</v>
      </c>
    </row>
    <row r="69" spans="1:1" x14ac:dyDescent="0.35">
      <c r="A69" t="s">
        <v>64</v>
      </c>
    </row>
    <row r="70" spans="1:1" x14ac:dyDescent="0.35">
      <c r="A70" t="s">
        <v>65</v>
      </c>
    </row>
    <row r="71" spans="1:1" x14ac:dyDescent="0.35">
      <c r="A71" t="s">
        <v>66</v>
      </c>
    </row>
    <row r="72" spans="1:1" x14ac:dyDescent="0.35">
      <c r="A72" t="s">
        <v>67</v>
      </c>
    </row>
    <row r="73" spans="1:1" x14ac:dyDescent="0.35">
      <c r="A73" t="s">
        <v>68</v>
      </c>
    </row>
    <row r="74" spans="1:1" x14ac:dyDescent="0.35">
      <c r="A74" t="s">
        <v>69</v>
      </c>
    </row>
    <row r="75" spans="1:1" x14ac:dyDescent="0.35">
      <c r="A75" t="s">
        <v>70</v>
      </c>
    </row>
    <row r="76" spans="1:1" x14ac:dyDescent="0.35">
      <c r="A76" t="s">
        <v>71</v>
      </c>
    </row>
    <row r="77" spans="1:1" x14ac:dyDescent="0.35">
      <c r="A77" t="s">
        <v>72</v>
      </c>
    </row>
    <row r="78" spans="1:1" x14ac:dyDescent="0.35">
      <c r="A78" t="s">
        <v>76</v>
      </c>
    </row>
    <row r="79" spans="1:1" x14ac:dyDescent="0.35">
      <c r="A79" t="s">
        <v>74</v>
      </c>
    </row>
    <row r="80" spans="1:1" x14ac:dyDescent="0.35">
      <c r="A80" t="s">
        <v>75</v>
      </c>
    </row>
    <row r="81" spans="1:1" x14ac:dyDescent="0.35">
      <c r="A81" t="s">
        <v>73</v>
      </c>
    </row>
    <row r="82" spans="1:1" x14ac:dyDescent="0.35">
      <c r="A82" t="s">
        <v>77</v>
      </c>
    </row>
    <row r="83" spans="1:1" x14ac:dyDescent="0.35">
      <c r="A83" t="s">
        <v>78</v>
      </c>
    </row>
    <row r="84" spans="1:1" x14ac:dyDescent="0.35">
      <c r="A84" t="s">
        <v>79</v>
      </c>
    </row>
    <row r="85" spans="1:1" x14ac:dyDescent="0.35">
      <c r="A85" t="s">
        <v>273</v>
      </c>
    </row>
    <row r="86" spans="1:1" x14ac:dyDescent="0.35">
      <c r="A86" t="s">
        <v>81</v>
      </c>
    </row>
    <row r="87" spans="1:1" x14ac:dyDescent="0.35">
      <c r="A87" t="s">
        <v>82</v>
      </c>
    </row>
    <row r="88" spans="1:1" x14ac:dyDescent="0.35">
      <c r="A88" t="s">
        <v>84</v>
      </c>
    </row>
    <row r="89" spans="1:1" x14ac:dyDescent="0.35">
      <c r="A89" t="s">
        <v>85</v>
      </c>
    </row>
    <row r="90" spans="1:1" x14ac:dyDescent="0.35">
      <c r="A90" t="s">
        <v>86</v>
      </c>
    </row>
    <row r="91" spans="1:1" x14ac:dyDescent="0.35">
      <c r="A91" t="s">
        <v>87</v>
      </c>
    </row>
    <row r="92" spans="1:1" x14ac:dyDescent="0.35">
      <c r="A92" t="s">
        <v>88</v>
      </c>
    </row>
    <row r="93" spans="1:1" x14ac:dyDescent="0.35">
      <c r="A93" t="s">
        <v>89</v>
      </c>
    </row>
    <row r="94" spans="1:1" x14ac:dyDescent="0.35">
      <c r="A94" t="s">
        <v>90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93</v>
      </c>
    </row>
    <row r="98" spans="1:1" x14ac:dyDescent="0.35">
      <c r="A98" t="s">
        <v>274</v>
      </c>
    </row>
    <row r="99" spans="1:1" x14ac:dyDescent="0.35">
      <c r="A99" t="s">
        <v>275</v>
      </c>
    </row>
    <row r="100" spans="1:1" x14ac:dyDescent="0.35">
      <c r="A100" t="s">
        <v>276</v>
      </c>
    </row>
    <row r="101" spans="1:1" x14ac:dyDescent="0.35">
      <c r="A101" t="s">
        <v>277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104</v>
      </c>
    </row>
    <row r="105" spans="1:1" x14ac:dyDescent="0.35">
      <c r="A105" t="s">
        <v>278</v>
      </c>
    </row>
    <row r="106" spans="1:1" x14ac:dyDescent="0.35">
      <c r="A106" t="s">
        <v>279</v>
      </c>
    </row>
    <row r="107" spans="1:1" x14ac:dyDescent="0.35">
      <c r="A107" t="s">
        <v>280</v>
      </c>
    </row>
    <row r="108" spans="1:1" x14ac:dyDescent="0.35">
      <c r="A108" t="s">
        <v>105</v>
      </c>
    </row>
    <row r="109" spans="1:1" x14ac:dyDescent="0.35">
      <c r="A109" t="s">
        <v>281</v>
      </c>
    </row>
    <row r="110" spans="1:1" x14ac:dyDescent="0.35">
      <c r="A110" t="s">
        <v>106</v>
      </c>
    </row>
    <row r="111" spans="1:1" x14ac:dyDescent="0.35">
      <c r="A111" t="s">
        <v>282</v>
      </c>
    </row>
    <row r="112" spans="1:1" x14ac:dyDescent="0.35">
      <c r="A112" t="s">
        <v>283</v>
      </c>
    </row>
    <row r="113" spans="1:1" x14ac:dyDescent="0.35">
      <c r="A113" t="s">
        <v>284</v>
      </c>
    </row>
    <row r="114" spans="1:1" x14ac:dyDescent="0.35">
      <c r="A114" t="s">
        <v>285</v>
      </c>
    </row>
    <row r="115" spans="1:1" x14ac:dyDescent="0.35">
      <c r="A115" t="s">
        <v>286</v>
      </c>
    </row>
    <row r="116" spans="1:1" x14ac:dyDescent="0.35">
      <c r="A116" t="s">
        <v>287</v>
      </c>
    </row>
    <row r="117" spans="1:1" x14ac:dyDescent="0.35">
      <c r="A117" t="s">
        <v>288</v>
      </c>
    </row>
    <row r="118" spans="1:1" x14ac:dyDescent="0.35">
      <c r="A118" t="s">
        <v>107</v>
      </c>
    </row>
    <row r="119" spans="1:1" x14ac:dyDescent="0.35">
      <c r="A119" t="s">
        <v>289</v>
      </c>
    </row>
    <row r="120" spans="1:1" x14ac:dyDescent="0.35">
      <c r="A120" t="s">
        <v>108</v>
      </c>
    </row>
    <row r="121" spans="1:1" x14ac:dyDescent="0.35">
      <c r="A121" t="s">
        <v>290</v>
      </c>
    </row>
    <row r="122" spans="1:1" x14ac:dyDescent="0.35">
      <c r="A122" t="s">
        <v>291</v>
      </c>
    </row>
    <row r="123" spans="1:1" x14ac:dyDescent="0.35">
      <c r="A123" t="s">
        <v>292</v>
      </c>
    </row>
    <row r="124" spans="1:1" x14ac:dyDescent="0.35">
      <c r="A124" t="s">
        <v>293</v>
      </c>
    </row>
    <row r="125" spans="1:1" x14ac:dyDescent="0.35">
      <c r="A125" t="s">
        <v>294</v>
      </c>
    </row>
    <row r="126" spans="1:1" x14ac:dyDescent="0.35">
      <c r="A126" t="s">
        <v>295</v>
      </c>
    </row>
    <row r="127" spans="1:1" x14ac:dyDescent="0.35">
      <c r="A127" t="s">
        <v>296</v>
      </c>
    </row>
    <row r="128" spans="1:1" x14ac:dyDescent="0.35">
      <c r="A128" t="s">
        <v>297</v>
      </c>
    </row>
    <row r="129" spans="1:1" x14ac:dyDescent="0.35">
      <c r="A129" t="s">
        <v>298</v>
      </c>
    </row>
    <row r="130" spans="1:1" x14ac:dyDescent="0.35">
      <c r="A130" t="s">
        <v>299</v>
      </c>
    </row>
    <row r="131" spans="1:1" x14ac:dyDescent="0.35">
      <c r="A131" t="s">
        <v>110</v>
      </c>
    </row>
    <row r="132" spans="1:1" x14ac:dyDescent="0.35">
      <c r="A132" t="s">
        <v>111</v>
      </c>
    </row>
    <row r="133" spans="1:1" x14ac:dyDescent="0.35">
      <c r="A133" t="s">
        <v>112</v>
      </c>
    </row>
    <row r="134" spans="1:1" x14ac:dyDescent="0.35">
      <c r="A134" t="s">
        <v>113</v>
      </c>
    </row>
    <row r="135" spans="1:1" x14ac:dyDescent="0.35">
      <c r="A135" t="s">
        <v>300</v>
      </c>
    </row>
    <row r="136" spans="1:1" x14ac:dyDescent="0.35">
      <c r="A136" t="s">
        <v>301</v>
      </c>
    </row>
    <row r="137" spans="1:1" x14ac:dyDescent="0.35">
      <c r="A137" t="s">
        <v>302</v>
      </c>
    </row>
    <row r="138" spans="1:1" x14ac:dyDescent="0.35">
      <c r="A138" t="s">
        <v>303</v>
      </c>
    </row>
    <row r="139" spans="1:1" x14ac:dyDescent="0.35">
      <c r="A139" t="s">
        <v>114</v>
      </c>
    </row>
    <row r="140" spans="1:1" x14ac:dyDescent="0.35">
      <c r="A140" t="s">
        <v>116</v>
      </c>
    </row>
    <row r="141" spans="1:1" x14ac:dyDescent="0.35">
      <c r="A141" t="s">
        <v>117</v>
      </c>
    </row>
    <row r="142" spans="1:1" x14ac:dyDescent="0.35">
      <c r="A142" t="s">
        <v>304</v>
      </c>
    </row>
    <row r="143" spans="1:1" x14ac:dyDescent="0.35">
      <c r="A143" t="s">
        <v>305</v>
      </c>
    </row>
    <row r="144" spans="1:1" x14ac:dyDescent="0.35">
      <c r="A144" t="s">
        <v>118</v>
      </c>
    </row>
    <row r="145" spans="1:1" x14ac:dyDescent="0.35">
      <c r="A145" t="s">
        <v>119</v>
      </c>
    </row>
    <row r="146" spans="1:1" x14ac:dyDescent="0.35">
      <c r="A146" t="s">
        <v>120</v>
      </c>
    </row>
    <row r="147" spans="1:1" x14ac:dyDescent="0.35">
      <c r="A147" t="s">
        <v>306</v>
      </c>
    </row>
    <row r="148" spans="1:1" x14ac:dyDescent="0.35">
      <c r="A148" t="s">
        <v>307</v>
      </c>
    </row>
    <row r="149" spans="1:1" x14ac:dyDescent="0.35">
      <c r="A149" t="s">
        <v>308</v>
      </c>
    </row>
    <row r="150" spans="1:1" x14ac:dyDescent="0.35">
      <c r="A150" t="s">
        <v>309</v>
      </c>
    </row>
    <row r="151" spans="1:1" x14ac:dyDescent="0.35">
      <c r="A151" t="s">
        <v>310</v>
      </c>
    </row>
    <row r="152" spans="1:1" x14ac:dyDescent="0.35">
      <c r="A152" t="s">
        <v>311</v>
      </c>
    </row>
    <row r="153" spans="1:1" x14ac:dyDescent="0.35">
      <c r="A153" t="s">
        <v>121</v>
      </c>
    </row>
    <row r="154" spans="1:1" x14ac:dyDescent="0.35">
      <c r="A154" t="s">
        <v>122</v>
      </c>
    </row>
    <row r="155" spans="1:1" x14ac:dyDescent="0.35">
      <c r="A155" t="s">
        <v>123</v>
      </c>
    </row>
    <row r="156" spans="1:1" x14ac:dyDescent="0.35">
      <c r="A156" t="s">
        <v>124</v>
      </c>
    </row>
    <row r="157" spans="1:1" x14ac:dyDescent="0.35">
      <c r="A157" t="s">
        <v>125</v>
      </c>
    </row>
    <row r="158" spans="1:1" x14ac:dyDescent="0.35">
      <c r="A158" t="s">
        <v>126</v>
      </c>
    </row>
    <row r="159" spans="1:1" x14ac:dyDescent="0.35">
      <c r="A159" t="s">
        <v>127</v>
      </c>
    </row>
    <row r="160" spans="1:1" x14ac:dyDescent="0.35">
      <c r="A160" t="s">
        <v>128</v>
      </c>
    </row>
    <row r="161" spans="1:1" x14ac:dyDescent="0.35">
      <c r="A161" t="s">
        <v>129</v>
      </c>
    </row>
    <row r="162" spans="1:1" x14ac:dyDescent="0.35">
      <c r="A162" t="s">
        <v>130</v>
      </c>
    </row>
    <row r="163" spans="1:1" x14ac:dyDescent="0.35">
      <c r="A163" t="s">
        <v>131</v>
      </c>
    </row>
    <row r="164" spans="1:1" x14ac:dyDescent="0.35">
      <c r="A164" t="s">
        <v>132</v>
      </c>
    </row>
    <row r="165" spans="1:1" x14ac:dyDescent="0.35">
      <c r="A165" t="s">
        <v>312</v>
      </c>
    </row>
    <row r="166" spans="1:1" x14ac:dyDescent="0.35">
      <c r="A166" t="s">
        <v>313</v>
      </c>
    </row>
    <row r="167" spans="1:1" x14ac:dyDescent="0.35">
      <c r="A167" t="s">
        <v>134</v>
      </c>
    </row>
    <row r="168" spans="1:1" x14ac:dyDescent="0.35">
      <c r="A168" t="s">
        <v>135</v>
      </c>
    </row>
    <row r="169" spans="1:1" x14ac:dyDescent="0.35">
      <c r="A169" t="s">
        <v>136</v>
      </c>
    </row>
    <row r="170" spans="1:1" x14ac:dyDescent="0.35">
      <c r="A170" t="s">
        <v>137</v>
      </c>
    </row>
    <row r="171" spans="1:1" x14ac:dyDescent="0.35">
      <c r="A171" t="s">
        <v>138</v>
      </c>
    </row>
    <row r="172" spans="1:1" x14ac:dyDescent="0.35">
      <c r="A172" t="s">
        <v>139</v>
      </c>
    </row>
    <row r="173" spans="1:1" x14ac:dyDescent="0.35">
      <c r="A173" t="s">
        <v>140</v>
      </c>
    </row>
    <row r="174" spans="1:1" x14ac:dyDescent="0.35">
      <c r="A174" t="s">
        <v>141</v>
      </c>
    </row>
    <row r="175" spans="1:1" x14ac:dyDescent="0.35">
      <c r="A175" t="s">
        <v>142</v>
      </c>
    </row>
    <row r="176" spans="1:1" x14ac:dyDescent="0.35">
      <c r="A176" t="s">
        <v>143</v>
      </c>
    </row>
    <row r="177" spans="1:1" x14ac:dyDescent="0.35">
      <c r="A177" t="s">
        <v>144</v>
      </c>
    </row>
    <row r="178" spans="1:1" x14ac:dyDescent="0.35">
      <c r="A178" t="s">
        <v>145</v>
      </c>
    </row>
    <row r="179" spans="1:1" x14ac:dyDescent="0.35">
      <c r="A179" t="s">
        <v>146</v>
      </c>
    </row>
    <row r="180" spans="1:1" x14ac:dyDescent="0.35">
      <c r="A180" t="s">
        <v>147</v>
      </c>
    </row>
    <row r="181" spans="1:1" x14ac:dyDescent="0.35">
      <c r="A181" t="s">
        <v>148</v>
      </c>
    </row>
    <row r="182" spans="1:1" x14ac:dyDescent="0.35">
      <c r="A182" t="s">
        <v>149</v>
      </c>
    </row>
    <row r="183" spans="1:1" x14ac:dyDescent="0.35">
      <c r="A183" t="s">
        <v>150</v>
      </c>
    </row>
    <row r="184" spans="1:1" x14ac:dyDescent="0.35">
      <c r="A184" t="s">
        <v>151</v>
      </c>
    </row>
    <row r="185" spans="1:1" x14ac:dyDescent="0.35">
      <c r="A185" t="s">
        <v>152</v>
      </c>
    </row>
    <row r="186" spans="1:1" x14ac:dyDescent="0.35">
      <c r="A186" t="s">
        <v>153</v>
      </c>
    </row>
    <row r="187" spans="1:1" x14ac:dyDescent="0.35">
      <c r="A187" t="s">
        <v>154</v>
      </c>
    </row>
    <row r="188" spans="1:1" x14ac:dyDescent="0.35">
      <c r="A188" t="s">
        <v>155</v>
      </c>
    </row>
    <row r="189" spans="1:1" x14ac:dyDescent="0.35">
      <c r="A189" t="s">
        <v>156</v>
      </c>
    </row>
    <row r="190" spans="1:1" x14ac:dyDescent="0.35">
      <c r="A190" t="s">
        <v>160</v>
      </c>
    </row>
    <row r="191" spans="1:1" x14ac:dyDescent="0.35">
      <c r="A191" t="s">
        <v>158</v>
      </c>
    </row>
    <row r="192" spans="1:1" x14ac:dyDescent="0.35">
      <c r="A192" t="s">
        <v>159</v>
      </c>
    </row>
    <row r="193" spans="1:1" x14ac:dyDescent="0.35">
      <c r="A193" t="s">
        <v>157</v>
      </c>
    </row>
    <row r="194" spans="1:1" x14ac:dyDescent="0.35">
      <c r="A194" t="s">
        <v>161</v>
      </c>
    </row>
    <row r="195" spans="1:1" x14ac:dyDescent="0.35">
      <c r="A195" t="s">
        <v>162</v>
      </c>
    </row>
    <row r="196" spans="1:1" x14ac:dyDescent="0.35">
      <c r="A196" t="s">
        <v>163</v>
      </c>
    </row>
    <row r="197" spans="1:1" x14ac:dyDescent="0.35">
      <c r="A197" t="s">
        <v>314</v>
      </c>
    </row>
    <row r="198" spans="1:1" x14ac:dyDescent="0.35">
      <c r="A198" t="s">
        <v>165</v>
      </c>
    </row>
    <row r="199" spans="1:1" x14ac:dyDescent="0.35">
      <c r="A199" t="s">
        <v>166</v>
      </c>
    </row>
    <row r="200" spans="1:1" x14ac:dyDescent="0.35">
      <c r="A200" t="s">
        <v>167</v>
      </c>
    </row>
    <row r="201" spans="1:1" x14ac:dyDescent="0.35">
      <c r="A201" t="s">
        <v>168</v>
      </c>
    </row>
    <row r="202" spans="1:1" x14ac:dyDescent="0.35">
      <c r="A202" t="s">
        <v>169</v>
      </c>
    </row>
    <row r="203" spans="1:1" x14ac:dyDescent="0.35">
      <c r="A203" t="s">
        <v>170</v>
      </c>
    </row>
    <row r="204" spans="1:1" x14ac:dyDescent="0.35">
      <c r="A204" t="s">
        <v>171</v>
      </c>
    </row>
    <row r="205" spans="1:1" x14ac:dyDescent="0.35">
      <c r="A205" t="s">
        <v>172</v>
      </c>
    </row>
    <row r="206" spans="1:1" x14ac:dyDescent="0.35">
      <c r="A206" t="s">
        <v>173</v>
      </c>
    </row>
    <row r="207" spans="1:1" x14ac:dyDescent="0.35">
      <c r="A207" t="s">
        <v>174</v>
      </c>
    </row>
    <row r="208" spans="1:1" x14ac:dyDescent="0.35">
      <c r="A208" t="s">
        <v>175</v>
      </c>
    </row>
    <row r="209" spans="1:1" x14ac:dyDescent="0.35">
      <c r="A209" t="s">
        <v>176</v>
      </c>
    </row>
    <row r="210" spans="1:1" x14ac:dyDescent="0.35">
      <c r="A210" t="s">
        <v>315</v>
      </c>
    </row>
    <row r="211" spans="1:1" x14ac:dyDescent="0.35">
      <c r="A211" t="s">
        <v>316</v>
      </c>
    </row>
    <row r="212" spans="1:1" x14ac:dyDescent="0.35">
      <c r="A212" t="s">
        <v>317</v>
      </c>
    </row>
    <row r="213" spans="1:1" x14ac:dyDescent="0.35">
      <c r="A213" t="s">
        <v>318</v>
      </c>
    </row>
    <row r="214" spans="1:1" x14ac:dyDescent="0.35">
      <c r="A214" t="s">
        <v>319</v>
      </c>
    </row>
    <row r="215" spans="1:1" x14ac:dyDescent="0.35">
      <c r="A215" t="s">
        <v>320</v>
      </c>
    </row>
    <row r="216" spans="1:1" x14ac:dyDescent="0.35">
      <c r="A216" t="s">
        <v>185</v>
      </c>
    </row>
    <row r="217" spans="1:1" x14ac:dyDescent="0.35">
      <c r="A217" t="s">
        <v>321</v>
      </c>
    </row>
    <row r="218" spans="1:1" x14ac:dyDescent="0.35">
      <c r="A218" t="s">
        <v>322</v>
      </c>
    </row>
    <row r="219" spans="1:1" x14ac:dyDescent="0.35">
      <c r="A219" t="s">
        <v>323</v>
      </c>
    </row>
    <row r="220" spans="1:1" x14ac:dyDescent="0.35">
      <c r="A220" t="s">
        <v>186</v>
      </c>
    </row>
    <row r="221" spans="1:1" x14ac:dyDescent="0.35">
      <c r="A221" t="s">
        <v>324</v>
      </c>
    </row>
    <row r="222" spans="1:1" x14ac:dyDescent="0.35">
      <c r="A222" t="s">
        <v>325</v>
      </c>
    </row>
    <row r="223" spans="1:1" x14ac:dyDescent="0.35">
      <c r="A223" t="s">
        <v>326</v>
      </c>
    </row>
    <row r="224" spans="1:1" x14ac:dyDescent="0.35">
      <c r="A224" t="s">
        <v>187</v>
      </c>
    </row>
    <row r="225" spans="1:1" x14ac:dyDescent="0.35">
      <c r="A225" t="s">
        <v>188</v>
      </c>
    </row>
    <row r="226" spans="1:1" x14ac:dyDescent="0.35">
      <c r="A226" t="s">
        <v>189</v>
      </c>
    </row>
    <row r="227" spans="1:1" x14ac:dyDescent="0.35">
      <c r="A227" t="s">
        <v>190</v>
      </c>
    </row>
    <row r="228" spans="1:1" x14ac:dyDescent="0.35">
      <c r="A228" t="s">
        <v>191</v>
      </c>
    </row>
    <row r="229" spans="1:1" x14ac:dyDescent="0.35">
      <c r="A229" t="s">
        <v>192</v>
      </c>
    </row>
    <row r="230" spans="1:1" x14ac:dyDescent="0.35">
      <c r="A230" t="s">
        <v>193</v>
      </c>
    </row>
    <row r="231" spans="1:1" x14ac:dyDescent="0.35">
      <c r="A231" t="s">
        <v>194</v>
      </c>
    </row>
    <row r="232" spans="1:1" x14ac:dyDescent="0.35">
      <c r="A232" t="s">
        <v>195</v>
      </c>
    </row>
    <row r="233" spans="1:1" x14ac:dyDescent="0.35">
      <c r="A233" t="s">
        <v>196</v>
      </c>
    </row>
    <row r="234" spans="1:1" x14ac:dyDescent="0.35">
      <c r="A234" t="s">
        <v>197</v>
      </c>
    </row>
    <row r="235" spans="1:1" x14ac:dyDescent="0.35">
      <c r="A235" t="s">
        <v>198</v>
      </c>
    </row>
    <row r="236" spans="1:1" x14ac:dyDescent="0.35">
      <c r="A236" t="s">
        <v>327</v>
      </c>
    </row>
    <row r="237" spans="1:1" x14ac:dyDescent="0.35">
      <c r="A237" t="s">
        <v>199</v>
      </c>
    </row>
    <row r="238" spans="1:1" x14ac:dyDescent="0.35">
      <c r="A238" t="s">
        <v>328</v>
      </c>
    </row>
    <row r="239" spans="1:1" x14ac:dyDescent="0.35">
      <c r="A239" t="s">
        <v>200</v>
      </c>
    </row>
    <row r="240" spans="1:1" x14ac:dyDescent="0.35">
      <c r="A240" t="s">
        <v>201</v>
      </c>
    </row>
    <row r="241" spans="1:1" x14ac:dyDescent="0.35">
      <c r="A241" t="s">
        <v>202</v>
      </c>
    </row>
    <row r="242" spans="1:1" x14ac:dyDescent="0.35">
      <c r="A242" t="s">
        <v>203</v>
      </c>
    </row>
    <row r="243" spans="1:1" x14ac:dyDescent="0.35">
      <c r="A243" t="s">
        <v>204</v>
      </c>
    </row>
    <row r="244" spans="1:1" x14ac:dyDescent="0.35">
      <c r="A244" t="s">
        <v>205</v>
      </c>
    </row>
    <row r="245" spans="1:1" x14ac:dyDescent="0.35">
      <c r="A245" t="s">
        <v>329</v>
      </c>
    </row>
    <row r="246" spans="1:1" x14ac:dyDescent="0.35">
      <c r="A246" t="s">
        <v>206</v>
      </c>
    </row>
    <row r="247" spans="1:1" x14ac:dyDescent="0.35">
      <c r="A247" t="s">
        <v>210</v>
      </c>
    </row>
    <row r="248" spans="1:1" x14ac:dyDescent="0.35">
      <c r="A248" t="s">
        <v>208</v>
      </c>
    </row>
    <row r="249" spans="1:1" x14ac:dyDescent="0.35">
      <c r="A249" t="s">
        <v>209</v>
      </c>
    </row>
    <row r="250" spans="1:1" x14ac:dyDescent="0.35">
      <c r="A250" t="s">
        <v>207</v>
      </c>
    </row>
    <row r="251" spans="1:1" x14ac:dyDescent="0.35">
      <c r="A251" t="s">
        <v>211</v>
      </c>
    </row>
    <row r="252" spans="1:1" x14ac:dyDescent="0.35">
      <c r="A252" t="s">
        <v>212</v>
      </c>
    </row>
    <row r="253" spans="1:1" x14ac:dyDescent="0.35">
      <c r="A253" t="s">
        <v>213</v>
      </c>
    </row>
    <row r="254" spans="1:1" x14ac:dyDescent="0.35">
      <c r="A254" t="s">
        <v>330</v>
      </c>
    </row>
    <row r="255" spans="1:1" x14ac:dyDescent="0.35">
      <c r="A255" t="s">
        <v>215</v>
      </c>
    </row>
    <row r="256" spans="1:1" x14ac:dyDescent="0.35">
      <c r="A256" t="s">
        <v>216</v>
      </c>
    </row>
    <row r="257" spans="1:1" x14ac:dyDescent="0.35">
      <c r="A257" t="s">
        <v>217</v>
      </c>
    </row>
    <row r="258" spans="1:1" x14ac:dyDescent="0.35">
      <c r="A258" t="s">
        <v>331</v>
      </c>
    </row>
    <row r="259" spans="1:1" x14ac:dyDescent="0.35">
      <c r="A259" t="s">
        <v>332</v>
      </c>
    </row>
    <row r="260" spans="1:1" x14ac:dyDescent="0.35">
      <c r="A260" t="s">
        <v>333</v>
      </c>
    </row>
    <row r="261" spans="1:1" x14ac:dyDescent="0.35">
      <c r="A261" t="s">
        <v>334</v>
      </c>
    </row>
    <row r="262" spans="1:1" x14ac:dyDescent="0.35">
      <c r="A262" t="s">
        <v>335</v>
      </c>
    </row>
    <row r="263" spans="1:1" x14ac:dyDescent="0.35">
      <c r="A263" t="s">
        <v>336</v>
      </c>
    </row>
    <row r="264" spans="1:1" x14ac:dyDescent="0.35">
      <c r="A264" t="s">
        <v>337</v>
      </c>
    </row>
    <row r="265" spans="1:1" x14ac:dyDescent="0.35">
      <c r="A265" t="s">
        <v>338</v>
      </c>
    </row>
    <row r="266" spans="1:1" x14ac:dyDescent="0.35">
      <c r="A266" t="s">
        <v>339</v>
      </c>
    </row>
    <row r="267" spans="1:1" x14ac:dyDescent="0.35">
      <c r="A267" t="s">
        <v>340</v>
      </c>
    </row>
    <row r="268" spans="1:1" x14ac:dyDescent="0.35">
      <c r="A268" t="s">
        <v>341</v>
      </c>
    </row>
    <row r="269" spans="1:1" x14ac:dyDescent="0.35">
      <c r="A269" t="s">
        <v>342</v>
      </c>
    </row>
    <row r="270" spans="1:1" x14ac:dyDescent="0.35">
      <c r="A270" t="s">
        <v>343</v>
      </c>
    </row>
    <row r="271" spans="1:1" x14ac:dyDescent="0.35">
      <c r="A271" t="s">
        <v>344</v>
      </c>
    </row>
    <row r="272" spans="1:1" x14ac:dyDescent="0.35">
      <c r="A272" t="s">
        <v>345</v>
      </c>
    </row>
    <row r="273" spans="1:1" x14ac:dyDescent="0.35">
      <c r="A273" t="s">
        <v>346</v>
      </c>
    </row>
    <row r="274" spans="1:1" x14ac:dyDescent="0.35">
      <c r="A274" t="s">
        <v>347</v>
      </c>
    </row>
    <row r="275" spans="1:1" x14ac:dyDescent="0.35">
      <c r="A275" t="s">
        <v>348</v>
      </c>
    </row>
    <row r="276" spans="1:1" x14ac:dyDescent="0.35">
      <c r="A276" t="s">
        <v>349</v>
      </c>
    </row>
    <row r="277" spans="1:1" x14ac:dyDescent="0.35">
      <c r="A277" t="s">
        <v>350</v>
      </c>
    </row>
    <row r="278" spans="1:1" x14ac:dyDescent="0.35">
      <c r="A278" t="s">
        <v>351</v>
      </c>
    </row>
    <row r="279" spans="1:1" x14ac:dyDescent="0.35">
      <c r="A279" t="s">
        <v>352</v>
      </c>
    </row>
    <row r="280" spans="1:1" x14ac:dyDescent="0.35">
      <c r="A280" t="s">
        <v>353</v>
      </c>
    </row>
    <row r="281" spans="1:1" x14ac:dyDescent="0.35">
      <c r="A281" t="s">
        <v>218</v>
      </c>
    </row>
    <row r="282" spans="1:1" x14ac:dyDescent="0.35">
      <c r="A282" t="s">
        <v>219</v>
      </c>
    </row>
    <row r="283" spans="1:1" x14ac:dyDescent="0.35">
      <c r="A283" t="s">
        <v>220</v>
      </c>
    </row>
    <row r="284" spans="1:1" x14ac:dyDescent="0.35">
      <c r="A284" t="s">
        <v>221</v>
      </c>
    </row>
    <row r="285" spans="1:1" x14ac:dyDescent="0.35">
      <c r="A285" t="s">
        <v>222</v>
      </c>
    </row>
    <row r="286" spans="1:1" x14ac:dyDescent="0.35">
      <c r="A286" t="s">
        <v>223</v>
      </c>
    </row>
    <row r="287" spans="1:1" x14ac:dyDescent="0.35">
      <c r="A287" t="s">
        <v>224</v>
      </c>
    </row>
    <row r="288" spans="1:1" x14ac:dyDescent="0.35">
      <c r="A288" t="s">
        <v>225</v>
      </c>
    </row>
    <row r="289" spans="1:1" x14ac:dyDescent="0.35">
      <c r="A289" t="s">
        <v>226</v>
      </c>
    </row>
    <row r="290" spans="1:1" x14ac:dyDescent="0.35">
      <c r="A290" t="s">
        <v>235</v>
      </c>
    </row>
    <row r="291" spans="1:1" x14ac:dyDescent="0.35">
      <c r="A291" t="s">
        <v>236</v>
      </c>
    </row>
    <row r="292" spans="1:1" x14ac:dyDescent="0.35">
      <c r="A292" t="s">
        <v>354</v>
      </c>
    </row>
    <row r="293" spans="1:1" x14ac:dyDescent="0.35">
      <c r="A293" t="s">
        <v>355</v>
      </c>
    </row>
    <row r="294" spans="1:1" x14ac:dyDescent="0.35">
      <c r="A294" t="s">
        <v>356</v>
      </c>
    </row>
    <row r="295" spans="1:1" x14ac:dyDescent="0.35">
      <c r="A295" t="s">
        <v>357</v>
      </c>
    </row>
    <row r="296" spans="1:1" x14ac:dyDescent="0.35">
      <c r="A296" t="s">
        <v>358</v>
      </c>
    </row>
    <row r="297" spans="1:1" x14ac:dyDescent="0.35">
      <c r="A297" t="s">
        <v>359</v>
      </c>
    </row>
    <row r="298" spans="1:1" x14ac:dyDescent="0.35">
      <c r="A298" t="s">
        <v>360</v>
      </c>
    </row>
    <row r="299" spans="1:1" x14ac:dyDescent="0.35">
      <c r="A299" t="s">
        <v>361</v>
      </c>
    </row>
    <row r="300" spans="1:1" x14ac:dyDescent="0.35">
      <c r="A300" t="s">
        <v>362</v>
      </c>
    </row>
    <row r="301" spans="1:1" x14ac:dyDescent="0.35">
      <c r="A301" t="s">
        <v>363</v>
      </c>
    </row>
    <row r="302" spans="1:1" x14ac:dyDescent="0.35">
      <c r="A302" t="s">
        <v>364</v>
      </c>
    </row>
    <row r="303" spans="1:1" x14ac:dyDescent="0.35">
      <c r="A303" t="s">
        <v>365</v>
      </c>
    </row>
    <row r="304" spans="1:1" x14ac:dyDescent="0.35">
      <c r="A304" t="s">
        <v>366</v>
      </c>
    </row>
    <row r="305" spans="1:1" x14ac:dyDescent="0.35">
      <c r="A305" t="s">
        <v>367</v>
      </c>
    </row>
    <row r="306" spans="1:1" x14ac:dyDescent="0.35">
      <c r="A306" t="s">
        <v>368</v>
      </c>
    </row>
    <row r="307" spans="1:1" x14ac:dyDescent="0.35">
      <c r="A307" t="s">
        <v>369</v>
      </c>
    </row>
    <row r="308" spans="1:1" x14ac:dyDescent="0.35">
      <c r="A308" t="s">
        <v>370</v>
      </c>
    </row>
    <row r="309" spans="1:1" x14ac:dyDescent="0.35">
      <c r="A309" t="s">
        <v>371</v>
      </c>
    </row>
    <row r="310" spans="1:1" x14ac:dyDescent="0.35">
      <c r="A310" t="s">
        <v>372</v>
      </c>
    </row>
    <row r="311" spans="1:1" x14ac:dyDescent="0.35">
      <c r="A311" t="s">
        <v>373</v>
      </c>
    </row>
    <row r="312" spans="1:1" x14ac:dyDescent="0.35">
      <c r="A312" t="s">
        <v>85</v>
      </c>
    </row>
    <row r="313" spans="1:1" x14ac:dyDescent="0.35">
      <c r="A313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57D8-189C-4F7D-B466-62AD5F2834BD}">
  <dimension ref="A1:A208"/>
  <sheetViews>
    <sheetView topLeftCell="A171" workbookViewId="0">
      <selection activeCell="A199" sqref="A199"/>
    </sheetView>
  </sheetViews>
  <sheetFormatPr baseColWidth="10" defaultRowHeight="14.5" x14ac:dyDescent="0.35"/>
  <cols>
    <col min="1" max="1" width="24.7265625" bestFit="1" customWidth="1"/>
  </cols>
  <sheetData>
    <row r="1" spans="1:1" x14ac:dyDescent="0.35">
      <c r="A1" t="s">
        <v>29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0" spans="1:1" x14ac:dyDescent="0.35">
      <c r="A10" t="s">
        <v>38</v>
      </c>
    </row>
    <row r="11" spans="1:1" x14ac:dyDescent="0.35">
      <c r="A11" t="s">
        <v>39</v>
      </c>
    </row>
    <row r="12" spans="1:1" x14ac:dyDescent="0.35">
      <c r="A12" t="s">
        <v>40</v>
      </c>
    </row>
    <row r="13" spans="1:1" x14ac:dyDescent="0.35">
      <c r="A13" t="s">
        <v>41</v>
      </c>
    </row>
    <row r="14" spans="1:1" x14ac:dyDescent="0.35">
      <c r="A14" t="s">
        <v>42</v>
      </c>
    </row>
    <row r="15" spans="1:1" x14ac:dyDescent="0.35">
      <c r="A15" t="s">
        <v>43</v>
      </c>
    </row>
    <row r="16" spans="1:1" x14ac:dyDescent="0.35">
      <c r="A16" t="s">
        <v>44</v>
      </c>
    </row>
    <row r="17" spans="1:1" x14ac:dyDescent="0.35">
      <c r="A17" t="s">
        <v>45</v>
      </c>
    </row>
    <row r="18" spans="1:1" x14ac:dyDescent="0.35">
      <c r="A18" t="s">
        <v>46</v>
      </c>
    </row>
    <row r="19" spans="1:1" x14ac:dyDescent="0.35">
      <c r="A19" t="s">
        <v>47</v>
      </c>
    </row>
    <row r="20" spans="1:1" x14ac:dyDescent="0.35">
      <c r="A20" t="s">
        <v>48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51</v>
      </c>
    </row>
    <row r="24" spans="1:1" x14ac:dyDescent="0.35">
      <c r="A24" t="s">
        <v>52</v>
      </c>
    </row>
    <row r="25" spans="1:1" x14ac:dyDescent="0.35">
      <c r="A25" t="s">
        <v>53</v>
      </c>
    </row>
    <row r="26" spans="1:1" x14ac:dyDescent="0.35">
      <c r="A26" t="s">
        <v>54</v>
      </c>
    </row>
    <row r="27" spans="1:1" x14ac:dyDescent="0.35">
      <c r="A27" t="s">
        <v>55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61</v>
      </c>
    </row>
    <row r="34" spans="1:1" x14ac:dyDescent="0.35">
      <c r="A34" t="s">
        <v>62</v>
      </c>
    </row>
    <row r="35" spans="1:1" x14ac:dyDescent="0.35">
      <c r="A35" t="s">
        <v>63</v>
      </c>
    </row>
    <row r="36" spans="1:1" x14ac:dyDescent="0.35">
      <c r="A36" t="s">
        <v>64</v>
      </c>
    </row>
    <row r="37" spans="1:1" x14ac:dyDescent="0.35">
      <c r="A37" t="s">
        <v>65</v>
      </c>
    </row>
    <row r="38" spans="1:1" x14ac:dyDescent="0.35">
      <c r="A38" t="s">
        <v>66</v>
      </c>
    </row>
    <row r="39" spans="1:1" x14ac:dyDescent="0.35">
      <c r="A39" t="s">
        <v>67</v>
      </c>
    </row>
    <row r="40" spans="1:1" x14ac:dyDescent="0.35">
      <c r="A40" t="s">
        <v>68</v>
      </c>
    </row>
    <row r="41" spans="1:1" x14ac:dyDescent="0.35">
      <c r="A41" t="s">
        <v>69</v>
      </c>
    </row>
    <row r="42" spans="1:1" x14ac:dyDescent="0.35">
      <c r="A42" t="s">
        <v>70</v>
      </c>
    </row>
    <row r="43" spans="1:1" x14ac:dyDescent="0.35">
      <c r="A43" t="s">
        <v>71</v>
      </c>
    </row>
    <row r="44" spans="1:1" x14ac:dyDescent="0.35">
      <c r="A44" t="s">
        <v>72</v>
      </c>
    </row>
    <row r="45" spans="1:1" x14ac:dyDescent="0.35">
      <c r="A45" t="s">
        <v>73</v>
      </c>
    </row>
    <row r="46" spans="1:1" x14ac:dyDescent="0.35">
      <c r="A46" t="s">
        <v>74</v>
      </c>
    </row>
    <row r="47" spans="1:1" x14ac:dyDescent="0.35">
      <c r="A47" t="s">
        <v>75</v>
      </c>
    </row>
    <row r="48" spans="1:1" x14ac:dyDescent="0.35">
      <c r="A48" t="s">
        <v>76</v>
      </c>
    </row>
    <row r="49" spans="1:1" x14ac:dyDescent="0.35">
      <c r="A49" t="s">
        <v>77</v>
      </c>
    </row>
    <row r="50" spans="1:1" x14ac:dyDescent="0.35">
      <c r="A50" t="s">
        <v>78</v>
      </c>
    </row>
    <row r="51" spans="1:1" x14ac:dyDescent="0.35">
      <c r="A51" t="s">
        <v>79</v>
      </c>
    </row>
    <row r="52" spans="1:1" x14ac:dyDescent="0.35">
      <c r="A52" t="s">
        <v>80</v>
      </c>
    </row>
    <row r="53" spans="1:1" x14ac:dyDescent="0.35">
      <c r="A53" t="s">
        <v>81</v>
      </c>
    </row>
    <row r="54" spans="1:1" x14ac:dyDescent="0.35">
      <c r="A54" t="s">
        <v>82</v>
      </c>
    </row>
    <row r="55" spans="1:1" x14ac:dyDescent="0.35">
      <c r="A55" t="s">
        <v>83</v>
      </c>
    </row>
    <row r="56" spans="1:1" x14ac:dyDescent="0.35">
      <c r="A56" t="s">
        <v>84</v>
      </c>
    </row>
    <row r="57" spans="1:1" x14ac:dyDescent="0.35">
      <c r="A57" t="s">
        <v>85</v>
      </c>
    </row>
    <row r="58" spans="1:1" x14ac:dyDescent="0.35">
      <c r="A58" t="s">
        <v>86</v>
      </c>
    </row>
    <row r="59" spans="1:1" x14ac:dyDescent="0.35">
      <c r="A59" t="s">
        <v>87</v>
      </c>
    </row>
    <row r="60" spans="1:1" x14ac:dyDescent="0.35">
      <c r="A60" t="s">
        <v>88</v>
      </c>
    </row>
    <row r="61" spans="1:1" x14ac:dyDescent="0.35">
      <c r="A61" t="s">
        <v>89</v>
      </c>
    </row>
    <row r="62" spans="1:1" x14ac:dyDescent="0.35">
      <c r="A62" t="s">
        <v>90</v>
      </c>
    </row>
    <row r="63" spans="1:1" x14ac:dyDescent="0.35">
      <c r="A63" t="s">
        <v>91</v>
      </c>
    </row>
    <row r="64" spans="1:1" x14ac:dyDescent="0.35">
      <c r="A64" t="s">
        <v>92</v>
      </c>
    </row>
    <row r="65" spans="1:1" x14ac:dyDescent="0.35">
      <c r="A65" t="s">
        <v>93</v>
      </c>
    </row>
    <row r="66" spans="1:1" x14ac:dyDescent="0.35">
      <c r="A66" t="s">
        <v>94</v>
      </c>
    </row>
    <row r="67" spans="1:1" x14ac:dyDescent="0.35">
      <c r="A67" t="s">
        <v>95</v>
      </c>
    </row>
    <row r="68" spans="1:1" x14ac:dyDescent="0.35">
      <c r="A68" t="s">
        <v>96</v>
      </c>
    </row>
    <row r="69" spans="1:1" x14ac:dyDescent="0.35">
      <c r="A69" t="s">
        <v>97</v>
      </c>
    </row>
    <row r="70" spans="1:1" x14ac:dyDescent="0.35">
      <c r="A70" t="s">
        <v>98</v>
      </c>
    </row>
    <row r="71" spans="1:1" x14ac:dyDescent="0.35">
      <c r="A71" t="s">
        <v>99</v>
      </c>
    </row>
    <row r="72" spans="1:1" x14ac:dyDescent="0.35">
      <c r="A72" t="s">
        <v>100</v>
      </c>
    </row>
    <row r="73" spans="1:1" x14ac:dyDescent="0.35">
      <c r="A73" t="s">
        <v>101</v>
      </c>
    </row>
    <row r="74" spans="1:1" x14ac:dyDescent="0.35">
      <c r="A74" t="s">
        <v>102</v>
      </c>
    </row>
    <row r="75" spans="1:1" x14ac:dyDescent="0.35">
      <c r="A75" t="s">
        <v>103</v>
      </c>
    </row>
    <row r="76" spans="1:1" x14ac:dyDescent="0.35">
      <c r="A76" t="s">
        <v>104</v>
      </c>
    </row>
    <row r="77" spans="1:1" x14ac:dyDescent="0.35">
      <c r="A77" t="s">
        <v>105</v>
      </c>
    </row>
    <row r="78" spans="1:1" x14ac:dyDescent="0.35">
      <c r="A78" t="s">
        <v>106</v>
      </c>
    </row>
    <row r="79" spans="1:1" x14ac:dyDescent="0.35">
      <c r="A79" t="s">
        <v>107</v>
      </c>
    </row>
    <row r="80" spans="1:1" x14ac:dyDescent="0.35">
      <c r="A80" t="s">
        <v>108</v>
      </c>
    </row>
    <row r="81" spans="1:1" x14ac:dyDescent="0.35">
      <c r="A81" t="s">
        <v>109</v>
      </c>
    </row>
    <row r="82" spans="1:1" x14ac:dyDescent="0.35">
      <c r="A82" t="s">
        <v>110</v>
      </c>
    </row>
    <row r="83" spans="1:1" x14ac:dyDescent="0.35">
      <c r="A83" t="s">
        <v>111</v>
      </c>
    </row>
    <row r="84" spans="1:1" x14ac:dyDescent="0.35">
      <c r="A84" t="s">
        <v>112</v>
      </c>
    </row>
    <row r="85" spans="1:1" x14ac:dyDescent="0.35">
      <c r="A85" t="s">
        <v>113</v>
      </c>
    </row>
    <row r="86" spans="1:1" x14ac:dyDescent="0.35">
      <c r="A86" t="s">
        <v>114</v>
      </c>
    </row>
    <row r="87" spans="1:1" x14ac:dyDescent="0.35">
      <c r="A87" t="s">
        <v>115</v>
      </c>
    </row>
    <row r="88" spans="1:1" x14ac:dyDescent="0.35">
      <c r="A88" t="s">
        <v>116</v>
      </c>
    </row>
    <row r="89" spans="1:1" x14ac:dyDescent="0.35">
      <c r="A89" t="s">
        <v>117</v>
      </c>
    </row>
    <row r="90" spans="1:1" x14ac:dyDescent="0.35">
      <c r="A90" t="s">
        <v>118</v>
      </c>
    </row>
    <row r="91" spans="1:1" x14ac:dyDescent="0.35">
      <c r="A91" t="s">
        <v>119</v>
      </c>
    </row>
    <row r="92" spans="1:1" x14ac:dyDescent="0.35">
      <c r="A92" t="s">
        <v>120</v>
      </c>
    </row>
    <row r="93" spans="1:1" x14ac:dyDescent="0.35">
      <c r="A93" t="s">
        <v>121</v>
      </c>
    </row>
    <row r="94" spans="1:1" x14ac:dyDescent="0.35">
      <c r="A94" t="s">
        <v>122</v>
      </c>
    </row>
    <row r="95" spans="1:1" x14ac:dyDescent="0.35">
      <c r="A95" t="s">
        <v>123</v>
      </c>
    </row>
    <row r="96" spans="1:1" x14ac:dyDescent="0.35">
      <c r="A96" t="s">
        <v>124</v>
      </c>
    </row>
    <row r="97" spans="1:1" x14ac:dyDescent="0.35">
      <c r="A97" t="s">
        <v>125</v>
      </c>
    </row>
    <row r="98" spans="1:1" x14ac:dyDescent="0.35">
      <c r="A98" t="s">
        <v>126</v>
      </c>
    </row>
    <row r="99" spans="1:1" x14ac:dyDescent="0.35">
      <c r="A99" t="s">
        <v>127</v>
      </c>
    </row>
    <row r="100" spans="1:1" x14ac:dyDescent="0.35">
      <c r="A100" t="s">
        <v>128</v>
      </c>
    </row>
    <row r="101" spans="1:1" x14ac:dyDescent="0.35">
      <c r="A101" t="s">
        <v>129</v>
      </c>
    </row>
    <row r="102" spans="1:1" x14ac:dyDescent="0.35">
      <c r="A102" t="s">
        <v>130</v>
      </c>
    </row>
    <row r="103" spans="1:1" x14ac:dyDescent="0.35">
      <c r="A103" t="s">
        <v>131</v>
      </c>
    </row>
    <row r="104" spans="1:1" x14ac:dyDescent="0.35">
      <c r="A104" t="s">
        <v>132</v>
      </c>
    </row>
    <row r="105" spans="1:1" x14ac:dyDescent="0.35">
      <c r="A105" t="s">
        <v>133</v>
      </c>
    </row>
    <row r="106" spans="1:1" x14ac:dyDescent="0.35">
      <c r="A106" t="s">
        <v>134</v>
      </c>
    </row>
    <row r="107" spans="1:1" x14ac:dyDescent="0.35">
      <c r="A107" t="s">
        <v>135</v>
      </c>
    </row>
    <row r="108" spans="1:1" x14ac:dyDescent="0.35">
      <c r="A108" t="s">
        <v>136</v>
      </c>
    </row>
    <row r="109" spans="1:1" x14ac:dyDescent="0.35">
      <c r="A109" t="s">
        <v>137</v>
      </c>
    </row>
    <row r="110" spans="1:1" x14ac:dyDescent="0.35">
      <c r="A110" t="s">
        <v>138</v>
      </c>
    </row>
    <row r="111" spans="1:1" x14ac:dyDescent="0.35">
      <c r="A111" t="s">
        <v>139</v>
      </c>
    </row>
    <row r="112" spans="1:1" x14ac:dyDescent="0.35">
      <c r="A112" t="s">
        <v>140</v>
      </c>
    </row>
    <row r="113" spans="1:1" x14ac:dyDescent="0.35">
      <c r="A113" t="s">
        <v>141</v>
      </c>
    </row>
    <row r="114" spans="1:1" x14ac:dyDescent="0.35">
      <c r="A114" t="s">
        <v>142</v>
      </c>
    </row>
    <row r="115" spans="1:1" x14ac:dyDescent="0.35">
      <c r="A115" t="s">
        <v>143</v>
      </c>
    </row>
    <row r="116" spans="1:1" x14ac:dyDescent="0.35">
      <c r="A116" t="s">
        <v>144</v>
      </c>
    </row>
    <row r="117" spans="1:1" x14ac:dyDescent="0.35">
      <c r="A117" t="s">
        <v>145</v>
      </c>
    </row>
    <row r="118" spans="1:1" x14ac:dyDescent="0.35">
      <c r="A118" t="s">
        <v>146</v>
      </c>
    </row>
    <row r="119" spans="1:1" x14ac:dyDescent="0.35">
      <c r="A119" t="s">
        <v>147</v>
      </c>
    </row>
    <row r="120" spans="1:1" x14ac:dyDescent="0.35">
      <c r="A120" t="s">
        <v>148</v>
      </c>
    </row>
    <row r="121" spans="1:1" x14ac:dyDescent="0.35">
      <c r="A121" t="s">
        <v>149</v>
      </c>
    </row>
    <row r="122" spans="1:1" x14ac:dyDescent="0.35">
      <c r="A122" t="s">
        <v>150</v>
      </c>
    </row>
    <row r="123" spans="1:1" x14ac:dyDescent="0.35">
      <c r="A123" t="s">
        <v>151</v>
      </c>
    </row>
    <row r="124" spans="1:1" x14ac:dyDescent="0.35">
      <c r="A124" t="s">
        <v>152</v>
      </c>
    </row>
    <row r="125" spans="1:1" x14ac:dyDescent="0.35">
      <c r="A125" t="s">
        <v>153</v>
      </c>
    </row>
    <row r="126" spans="1:1" x14ac:dyDescent="0.35">
      <c r="A126" t="s">
        <v>154</v>
      </c>
    </row>
    <row r="127" spans="1:1" x14ac:dyDescent="0.35">
      <c r="A127" t="s">
        <v>155</v>
      </c>
    </row>
    <row r="128" spans="1:1" x14ac:dyDescent="0.35">
      <c r="A128" t="s">
        <v>156</v>
      </c>
    </row>
    <row r="129" spans="1:1" x14ac:dyDescent="0.35">
      <c r="A129" t="s">
        <v>157</v>
      </c>
    </row>
    <row r="130" spans="1:1" x14ac:dyDescent="0.35">
      <c r="A130" t="s">
        <v>158</v>
      </c>
    </row>
    <row r="131" spans="1:1" x14ac:dyDescent="0.35">
      <c r="A131" t="s">
        <v>159</v>
      </c>
    </row>
    <row r="132" spans="1:1" x14ac:dyDescent="0.35">
      <c r="A132" t="s">
        <v>160</v>
      </c>
    </row>
    <row r="133" spans="1:1" x14ac:dyDescent="0.35">
      <c r="A133" t="s">
        <v>161</v>
      </c>
    </row>
    <row r="134" spans="1:1" x14ac:dyDescent="0.35">
      <c r="A134" t="s">
        <v>162</v>
      </c>
    </row>
    <row r="135" spans="1:1" x14ac:dyDescent="0.35">
      <c r="A135" t="s">
        <v>163</v>
      </c>
    </row>
    <row r="136" spans="1:1" x14ac:dyDescent="0.35">
      <c r="A136" t="s">
        <v>164</v>
      </c>
    </row>
    <row r="137" spans="1:1" x14ac:dyDescent="0.35">
      <c r="A137" t="s">
        <v>165</v>
      </c>
    </row>
    <row r="138" spans="1:1" x14ac:dyDescent="0.35">
      <c r="A138" t="s">
        <v>166</v>
      </c>
    </row>
    <row r="139" spans="1:1" x14ac:dyDescent="0.35">
      <c r="A139" t="s">
        <v>167</v>
      </c>
    </row>
    <row r="140" spans="1:1" x14ac:dyDescent="0.35">
      <c r="A140" t="s">
        <v>168</v>
      </c>
    </row>
    <row r="141" spans="1:1" x14ac:dyDescent="0.35">
      <c r="A141" t="s">
        <v>169</v>
      </c>
    </row>
    <row r="142" spans="1:1" x14ac:dyDescent="0.35">
      <c r="A142" t="s">
        <v>170</v>
      </c>
    </row>
    <row r="143" spans="1:1" x14ac:dyDescent="0.35">
      <c r="A143" t="s">
        <v>171</v>
      </c>
    </row>
    <row r="144" spans="1:1" x14ac:dyDescent="0.35">
      <c r="A144" t="s">
        <v>172</v>
      </c>
    </row>
    <row r="145" spans="1:1" x14ac:dyDescent="0.35">
      <c r="A145" t="s">
        <v>173</v>
      </c>
    </row>
    <row r="146" spans="1:1" x14ac:dyDescent="0.35">
      <c r="A146" t="s">
        <v>174</v>
      </c>
    </row>
    <row r="147" spans="1:1" x14ac:dyDescent="0.35">
      <c r="A147" t="s">
        <v>175</v>
      </c>
    </row>
    <row r="148" spans="1:1" x14ac:dyDescent="0.35">
      <c r="A148" t="s">
        <v>176</v>
      </c>
    </row>
    <row r="149" spans="1:1" x14ac:dyDescent="0.35">
      <c r="A149" t="s">
        <v>177</v>
      </c>
    </row>
    <row r="150" spans="1:1" x14ac:dyDescent="0.35">
      <c r="A150" t="s">
        <v>178</v>
      </c>
    </row>
    <row r="151" spans="1:1" x14ac:dyDescent="0.35">
      <c r="A151" t="s">
        <v>179</v>
      </c>
    </row>
    <row r="152" spans="1:1" x14ac:dyDescent="0.35">
      <c r="A152" t="s">
        <v>180</v>
      </c>
    </row>
    <row r="153" spans="1:1" x14ac:dyDescent="0.35">
      <c r="A153" t="s">
        <v>181</v>
      </c>
    </row>
    <row r="154" spans="1:1" x14ac:dyDescent="0.35">
      <c r="A154" t="s">
        <v>182</v>
      </c>
    </row>
    <row r="155" spans="1:1" x14ac:dyDescent="0.35">
      <c r="A155" t="s">
        <v>183</v>
      </c>
    </row>
    <row r="156" spans="1:1" x14ac:dyDescent="0.35">
      <c r="A156" t="s">
        <v>184</v>
      </c>
    </row>
    <row r="157" spans="1:1" x14ac:dyDescent="0.35">
      <c r="A157" t="s">
        <v>185</v>
      </c>
    </row>
    <row r="158" spans="1:1" x14ac:dyDescent="0.35">
      <c r="A158" t="s">
        <v>186</v>
      </c>
    </row>
    <row r="159" spans="1:1" x14ac:dyDescent="0.35">
      <c r="A159" t="s">
        <v>187</v>
      </c>
    </row>
    <row r="160" spans="1:1" x14ac:dyDescent="0.35">
      <c r="A160" t="s">
        <v>188</v>
      </c>
    </row>
    <row r="161" spans="1:1" x14ac:dyDescent="0.35">
      <c r="A161" t="s">
        <v>189</v>
      </c>
    </row>
    <row r="162" spans="1:1" x14ac:dyDescent="0.35">
      <c r="A162" t="s">
        <v>190</v>
      </c>
    </row>
    <row r="163" spans="1:1" x14ac:dyDescent="0.35">
      <c r="A163" t="s">
        <v>191</v>
      </c>
    </row>
    <row r="164" spans="1:1" x14ac:dyDescent="0.35">
      <c r="A164" t="s">
        <v>192</v>
      </c>
    </row>
    <row r="165" spans="1:1" x14ac:dyDescent="0.35">
      <c r="A165" t="s">
        <v>193</v>
      </c>
    </row>
    <row r="166" spans="1:1" x14ac:dyDescent="0.35">
      <c r="A166" t="s">
        <v>194</v>
      </c>
    </row>
    <row r="167" spans="1:1" x14ac:dyDescent="0.35">
      <c r="A167" t="s">
        <v>195</v>
      </c>
    </row>
    <row r="168" spans="1:1" x14ac:dyDescent="0.35">
      <c r="A168" t="s">
        <v>196</v>
      </c>
    </row>
    <row r="169" spans="1:1" x14ac:dyDescent="0.35">
      <c r="A169" t="s">
        <v>197</v>
      </c>
    </row>
    <row r="170" spans="1:1" x14ac:dyDescent="0.35">
      <c r="A170" t="s">
        <v>198</v>
      </c>
    </row>
    <row r="171" spans="1:1" x14ac:dyDescent="0.35">
      <c r="A171" t="s">
        <v>199</v>
      </c>
    </row>
    <row r="172" spans="1:1" x14ac:dyDescent="0.35">
      <c r="A172" t="s">
        <v>200</v>
      </c>
    </row>
    <row r="173" spans="1:1" x14ac:dyDescent="0.35">
      <c r="A173" t="s">
        <v>201</v>
      </c>
    </row>
    <row r="174" spans="1:1" x14ac:dyDescent="0.35">
      <c r="A174" t="s">
        <v>202</v>
      </c>
    </row>
    <row r="175" spans="1:1" x14ac:dyDescent="0.35">
      <c r="A175" t="s">
        <v>203</v>
      </c>
    </row>
    <row r="176" spans="1:1" x14ac:dyDescent="0.35">
      <c r="A176" t="s">
        <v>204</v>
      </c>
    </row>
    <row r="177" spans="1:1" x14ac:dyDescent="0.35">
      <c r="A177" t="s">
        <v>205</v>
      </c>
    </row>
    <row r="178" spans="1:1" x14ac:dyDescent="0.35">
      <c r="A178" t="s">
        <v>206</v>
      </c>
    </row>
    <row r="179" spans="1:1" x14ac:dyDescent="0.35">
      <c r="A179" t="s">
        <v>207</v>
      </c>
    </row>
    <row r="180" spans="1:1" x14ac:dyDescent="0.35">
      <c r="A180" t="s">
        <v>208</v>
      </c>
    </row>
    <row r="181" spans="1:1" x14ac:dyDescent="0.35">
      <c r="A181" t="s">
        <v>209</v>
      </c>
    </row>
    <row r="182" spans="1:1" x14ac:dyDescent="0.35">
      <c r="A182" t="s">
        <v>210</v>
      </c>
    </row>
    <row r="183" spans="1:1" x14ac:dyDescent="0.35">
      <c r="A183" t="s">
        <v>211</v>
      </c>
    </row>
    <row r="184" spans="1:1" x14ac:dyDescent="0.35">
      <c r="A184" t="s">
        <v>212</v>
      </c>
    </row>
    <row r="185" spans="1:1" x14ac:dyDescent="0.35">
      <c r="A185" t="s">
        <v>213</v>
      </c>
    </row>
    <row r="186" spans="1:1" x14ac:dyDescent="0.35">
      <c r="A186" t="s">
        <v>214</v>
      </c>
    </row>
    <row r="187" spans="1:1" x14ac:dyDescent="0.35">
      <c r="A187" t="s">
        <v>215</v>
      </c>
    </row>
    <row r="188" spans="1:1" x14ac:dyDescent="0.35">
      <c r="A188" t="s">
        <v>216</v>
      </c>
    </row>
    <row r="189" spans="1:1" x14ac:dyDescent="0.35">
      <c r="A189" t="s">
        <v>217</v>
      </c>
    </row>
    <row r="190" spans="1:1" x14ac:dyDescent="0.35">
      <c r="A190" t="s">
        <v>218</v>
      </c>
    </row>
    <row r="191" spans="1:1" x14ac:dyDescent="0.35">
      <c r="A191" t="s">
        <v>219</v>
      </c>
    </row>
    <row r="192" spans="1:1" x14ac:dyDescent="0.35">
      <c r="A192" t="s">
        <v>220</v>
      </c>
    </row>
    <row r="193" spans="1:1" x14ac:dyDescent="0.35">
      <c r="A193" t="s">
        <v>221</v>
      </c>
    </row>
    <row r="194" spans="1:1" x14ac:dyDescent="0.35">
      <c r="A194" t="s">
        <v>222</v>
      </c>
    </row>
    <row r="195" spans="1:1" x14ac:dyDescent="0.35">
      <c r="A195" t="s">
        <v>223</v>
      </c>
    </row>
    <row r="196" spans="1:1" x14ac:dyDescent="0.35">
      <c r="A196" t="s">
        <v>224</v>
      </c>
    </row>
    <row r="197" spans="1:1" x14ac:dyDescent="0.35">
      <c r="A197" t="s">
        <v>225</v>
      </c>
    </row>
    <row r="198" spans="1:1" x14ac:dyDescent="0.35">
      <c r="A198" t="s">
        <v>226</v>
      </c>
    </row>
    <row r="199" spans="1:1" x14ac:dyDescent="0.35">
      <c r="A199" t="s">
        <v>227</v>
      </c>
    </row>
    <row r="200" spans="1:1" x14ac:dyDescent="0.35">
      <c r="A200" t="s">
        <v>228</v>
      </c>
    </row>
    <row r="201" spans="1:1" x14ac:dyDescent="0.35">
      <c r="A201" t="s">
        <v>229</v>
      </c>
    </row>
    <row r="202" spans="1:1" x14ac:dyDescent="0.35">
      <c r="A202" t="s">
        <v>230</v>
      </c>
    </row>
    <row r="203" spans="1:1" x14ac:dyDescent="0.35">
      <c r="A203" t="s">
        <v>231</v>
      </c>
    </row>
    <row r="204" spans="1:1" x14ac:dyDescent="0.35">
      <c r="A204" t="s">
        <v>232</v>
      </c>
    </row>
    <row r="205" spans="1:1" x14ac:dyDescent="0.35">
      <c r="A205" t="s">
        <v>233</v>
      </c>
    </row>
    <row r="206" spans="1:1" x14ac:dyDescent="0.35">
      <c r="A206" t="s">
        <v>234</v>
      </c>
    </row>
    <row r="207" spans="1:1" x14ac:dyDescent="0.35">
      <c r="A207" t="s">
        <v>235</v>
      </c>
    </row>
    <row r="208" spans="1:1" x14ac:dyDescent="0.35">
      <c r="A208" t="s">
        <v>236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731b6f68f25e20060762ad1087bd4b2d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2d4d3fe64f2d5752cadc5cccc4adc298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6F4F62-69E3-4D27-AC5D-EE44F2E1137B}">
  <ds:schemaRefs>
    <ds:schemaRef ds:uri="http://schemas.microsoft.com/office/2006/metadata/properties"/>
    <ds:schemaRef ds:uri="http://schemas.microsoft.com/office/infopath/2007/PartnerControls"/>
    <ds:schemaRef ds:uri="74aabce8-07d4-41f4-ae9d-00986ff236b0"/>
    <ds:schemaRef ds:uri="6cbf7dea-2e0e-4825-99ee-59fffad27bf9"/>
  </ds:schemaRefs>
</ds:datastoreItem>
</file>

<file path=customXml/itemProps2.xml><?xml version="1.0" encoding="utf-8"?>
<ds:datastoreItem xmlns:ds="http://schemas.openxmlformats.org/officeDocument/2006/customXml" ds:itemID="{5C401410-54C5-4B95-B512-933231761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232445-5CE3-4AA0-8784-BCD1BC57C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 OUT</vt:lpstr>
      <vt:lpstr>Hoja5</vt:lpstr>
      <vt:lpstr>EQUIVALENCIA</vt:lpstr>
      <vt:lpstr>TABLAS INYC</vt:lpstr>
      <vt:lpstr>ALIAS INYC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Teijo Barral</dc:creator>
  <cp:lastModifiedBy>Diego Teijo Barral</cp:lastModifiedBy>
  <dcterms:created xsi:type="dcterms:W3CDTF">2025-10-29T11:29:30Z</dcterms:created>
  <dcterms:modified xsi:type="dcterms:W3CDTF">2025-12-09T11:27:55Z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0x0101009FBF7547C50C704D8BE6B6BC0125EC0F</vt:lpwstr>
  </property>
  <property fmtid="{D5CDD505-2E9C-101B-9397-08002B2CF9AE}" pid="3" name="MediaServiceImageTags">
    <vt:lpwstr/>
  </property>
</Properties>
</file>