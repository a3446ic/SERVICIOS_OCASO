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Informes/CREAR_TABLAS/"/>
    </mc:Choice>
  </mc:AlternateContent>
  <xr:revisionPtr revIDLastSave="48" documentId="8_{53DC9425-4830-445E-9590-750FB050FB19}" xr6:coauthVersionLast="47" xr6:coauthVersionMax="47" xr10:uidLastSave="{067433A0-52E9-46D0-A65E-793A99E4464E}"/>
  <bookViews>
    <workbookView xWindow="-120" yWindow="-120" windowWidth="29040" windowHeight="15720" tabRatio="827" activeTab="6" xr2:uid="{00000000-000D-0000-FFFF-FFFF00000000}"/>
  </bookViews>
  <sheets>
    <sheet name="INFORMES" sheetId="4" r:id="rId1"/>
    <sheet name="INSERT INFORMES" sheetId="3" r:id="rId2"/>
    <sheet name="REGLAS" sheetId="1" r:id="rId3"/>
    <sheet name="MODIFICACIONES_REALIZADAS" sheetId="8" r:id="rId4"/>
    <sheet name="INSERT REGLAS" sheetId="2" r:id="rId5"/>
    <sheet name="AGENTES" sheetId="6" r:id="rId6"/>
    <sheet name="INSERT AGENTES" sheetId="7" r:id="rId7"/>
    <sheet name="Hoja1" sheetId="9" r:id="rId8"/>
    <sheet name="Hoja2" sheetId="10" r:id="rId9"/>
  </sheets>
  <externalReferences>
    <externalReference r:id="rId10"/>
    <externalReference r:id="rId11"/>
    <externalReference r:id="rId12"/>
  </externalReferences>
  <definedNames>
    <definedName name="_xlnm._FilterDatabase" localSheetId="5" hidden="1">AGENTES!$A$1:$I$873</definedName>
    <definedName name="_xlnm._FilterDatabase" localSheetId="0" hidden="1">INFORMES!$A$1:$J$85</definedName>
    <definedName name="_xlnm._FilterDatabase" localSheetId="4" hidden="1">'INSERT REGLAS'!$A$1:$B$1359</definedName>
    <definedName name="_xlnm._FilterDatabase" localSheetId="3" hidden="1">MODIFICACIONES_REALIZADAS!$A$1:$I$338</definedName>
    <definedName name="_xlnm._FilterDatabase" localSheetId="2" hidden="1">REGLAS!$A$1:$K$1403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1" i="7"/>
  <c r="A1403" i="2"/>
  <c r="A1404" i="2"/>
  <c r="A1405" i="2"/>
  <c r="A1406" i="2"/>
  <c r="A1407" i="2"/>
  <c r="A1408" i="2"/>
  <c r="G1405" i="1"/>
  <c r="E1405" i="1" s="1"/>
  <c r="G1406" i="1"/>
  <c r="E1406" i="1" s="1"/>
  <c r="G1407" i="1"/>
  <c r="E1407" i="1" s="1"/>
  <c r="G1408" i="1"/>
  <c r="E1408" i="1" s="1"/>
  <c r="G1409" i="1"/>
  <c r="E1409" i="1"/>
  <c r="G1404" i="1"/>
  <c r="E1404" i="1" s="1"/>
  <c r="G1403" i="1"/>
  <c r="E1403" i="1" s="1"/>
  <c r="A1401" i="2"/>
  <c r="E1402" i="1"/>
  <c r="G1401" i="1"/>
  <c r="E1401" i="1" s="1"/>
  <c r="G1400" i="1"/>
  <c r="E1400" i="1" s="1"/>
  <c r="A124" i="2"/>
  <c r="A125" i="2"/>
  <c r="A126" i="2"/>
  <c r="A127" i="2"/>
  <c r="A128" i="2"/>
  <c r="A129" i="2"/>
  <c r="A130" i="2"/>
  <c r="A151" i="2"/>
  <c r="A152" i="2"/>
  <c r="A169" i="2"/>
  <c r="A170" i="2"/>
  <c r="A171" i="2"/>
  <c r="A172" i="2"/>
  <c r="A173" i="2"/>
  <c r="A210" i="2"/>
  <c r="A211" i="2"/>
  <c r="A212" i="2"/>
  <c r="A213" i="2"/>
  <c r="A216" i="2"/>
  <c r="A218" i="2"/>
  <c r="A225" i="2"/>
  <c r="A226" i="2"/>
  <c r="A227" i="2"/>
  <c r="A228" i="2"/>
  <c r="A229" i="2"/>
  <c r="A230" i="2"/>
  <c r="A231" i="2"/>
  <c r="A235" i="2"/>
  <c r="A236" i="2"/>
  <c r="A237" i="2"/>
  <c r="A240" i="2"/>
  <c r="A244" i="2"/>
  <c r="A248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415" i="2"/>
  <c r="A442" i="2"/>
  <c r="A451" i="2"/>
  <c r="A460" i="2"/>
  <c r="A469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21" i="2"/>
  <c r="A522" i="2"/>
  <c r="A523" i="2"/>
  <c r="A532" i="2"/>
  <c r="A533" i="2"/>
  <c r="A534" i="2"/>
  <c r="A683" i="2"/>
  <c r="A698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98" i="2"/>
  <c r="A799" i="2"/>
  <c r="A800" i="2"/>
  <c r="A801" i="2"/>
  <c r="A802" i="2"/>
  <c r="A803" i="2"/>
  <c r="A1357" i="2"/>
  <c r="A1358" i="2"/>
  <c r="A1359" i="2"/>
  <c r="A1391" i="2"/>
  <c r="G1394" i="1"/>
  <c r="E1394" i="1" s="1"/>
  <c r="G1395" i="1"/>
  <c r="E1395" i="1" s="1"/>
  <c r="G1396" i="1"/>
  <c r="E1396" i="1" s="1"/>
  <c r="G1397" i="1"/>
  <c r="E1397" i="1" s="1"/>
  <c r="G1398" i="1"/>
  <c r="E1398" i="1" s="1"/>
  <c r="G1399" i="1"/>
  <c r="E1399" i="1" s="1"/>
  <c r="G1393" i="1"/>
  <c r="E1393" i="1" s="1"/>
  <c r="A84" i="3"/>
  <c r="G1391" i="1"/>
  <c r="E1391" i="1" s="1"/>
  <c r="G1390" i="1"/>
  <c r="E1390" i="1" s="1"/>
  <c r="G1389" i="1"/>
  <c r="E1389" i="1" s="1"/>
  <c r="G1384" i="1"/>
  <c r="E1384" i="1" s="1"/>
  <c r="G1385" i="1"/>
  <c r="E1385" i="1" s="1"/>
  <c r="G1386" i="1"/>
  <c r="E1386" i="1" s="1"/>
  <c r="G1387" i="1"/>
  <c r="E1387" i="1" s="1"/>
  <c r="G1388" i="1"/>
  <c r="E1388" i="1" s="1"/>
  <c r="G1383" i="1"/>
  <c r="E1383" i="1" s="1"/>
  <c r="G1382" i="1"/>
  <c r="E1382" i="1" s="1"/>
  <c r="G1381" i="1"/>
  <c r="E1381" i="1" s="1"/>
  <c r="G1380" i="1"/>
  <c r="E1380" i="1" s="1"/>
  <c r="G1379" i="1"/>
  <c r="E1379" i="1" s="1"/>
  <c r="G1378" i="1"/>
  <c r="E1378" i="1" s="1"/>
  <c r="G1377" i="1"/>
  <c r="E1377" i="1" s="1"/>
  <c r="G1376" i="1"/>
  <c r="E1376" i="1" s="1"/>
  <c r="A83" i="3"/>
  <c r="A1402" i="2" l="1"/>
  <c r="A1395" i="2"/>
  <c r="A1397" i="2"/>
  <c r="A1396" i="2"/>
  <c r="A1389" i="2"/>
  <c r="A1388" i="2"/>
  <c r="A1381" i="2"/>
  <c r="A1380" i="2"/>
  <c r="A1387" i="2"/>
  <c r="A1379" i="2"/>
  <c r="A1394" i="2"/>
  <c r="A1386" i="2"/>
  <c r="A1378" i="2"/>
  <c r="A1393" i="2"/>
  <c r="A1385" i="2"/>
  <c r="A1377" i="2"/>
  <c r="A1392" i="2"/>
  <c r="A1384" i="2"/>
  <c r="A1376" i="2"/>
  <c r="A1383" i="2"/>
  <c r="A1375" i="2"/>
  <c r="A1398" i="2"/>
  <c r="A1390" i="2"/>
  <c r="A1382" i="2"/>
  <c r="A1400" i="2"/>
  <c r="A1399" i="2"/>
  <c r="A82" i="3"/>
  <c r="A81" i="3"/>
  <c r="G1375" i="1"/>
  <c r="G1374" i="1"/>
  <c r="G1373" i="1"/>
  <c r="G1372" i="1"/>
  <c r="G1371" i="1"/>
  <c r="G1370" i="1"/>
  <c r="G1369" i="1"/>
  <c r="G1368" i="1"/>
  <c r="G1367" i="1"/>
  <c r="G1366" i="1"/>
  <c r="B124" i="2"/>
  <c r="B125" i="2"/>
  <c r="B126" i="2"/>
  <c r="B127" i="2"/>
  <c r="B128" i="2"/>
  <c r="B129" i="2"/>
  <c r="B130" i="2"/>
  <c r="B151" i="2"/>
  <c r="B152" i="2"/>
  <c r="B169" i="2"/>
  <c r="B170" i="2"/>
  <c r="B171" i="2"/>
  <c r="B172" i="2"/>
  <c r="B173" i="2"/>
  <c r="B210" i="2"/>
  <c r="B211" i="2"/>
  <c r="B212" i="2"/>
  <c r="B213" i="2"/>
  <c r="B216" i="2"/>
  <c r="B218" i="2"/>
  <c r="B225" i="2"/>
  <c r="B226" i="2"/>
  <c r="B227" i="2"/>
  <c r="B228" i="2"/>
  <c r="B229" i="2"/>
  <c r="B230" i="2"/>
  <c r="B231" i="2"/>
  <c r="B235" i="2"/>
  <c r="B236" i="2"/>
  <c r="B237" i="2"/>
  <c r="B240" i="2"/>
  <c r="B244" i="2"/>
  <c r="B248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415" i="2"/>
  <c r="B442" i="2"/>
  <c r="B451" i="2"/>
  <c r="B460" i="2"/>
  <c r="B469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21" i="2"/>
  <c r="B522" i="2"/>
  <c r="B523" i="2"/>
  <c r="B532" i="2"/>
  <c r="B533" i="2"/>
  <c r="B534" i="2"/>
  <c r="B683" i="2"/>
  <c r="B698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98" i="2"/>
  <c r="B799" i="2"/>
  <c r="B800" i="2"/>
  <c r="B801" i="2"/>
  <c r="B802" i="2"/>
  <c r="B803" i="2"/>
  <c r="B1357" i="2"/>
  <c r="B1358" i="2"/>
  <c r="B1359" i="2"/>
  <c r="A2" i="3"/>
  <c r="B2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G1364" i="1"/>
  <c r="A1363" i="2" s="1"/>
  <c r="G1363" i="1"/>
  <c r="A1362" i="2" s="1"/>
  <c r="G1365" i="1"/>
  <c r="A1364" i="2" s="1"/>
  <c r="G1362" i="1"/>
  <c r="A1361" i="2" s="1"/>
  <c r="G1361" i="1"/>
  <c r="A1360" i="2" s="1"/>
  <c r="E1373" i="1" l="1"/>
  <c r="A1372" i="2"/>
  <c r="E1366" i="1"/>
  <c r="A1365" i="2"/>
  <c r="E1374" i="1"/>
  <c r="A1373" i="2"/>
  <c r="E1372" i="1"/>
  <c r="A1371" i="2"/>
  <c r="E1367" i="1"/>
  <c r="A1366" i="2"/>
  <c r="E1375" i="1"/>
  <c r="A1374" i="2"/>
  <c r="E1368" i="1"/>
  <c r="A1367" i="2"/>
  <c r="E1369" i="1"/>
  <c r="A1368" i="2"/>
  <c r="E1370" i="1"/>
  <c r="A1369" i="2"/>
  <c r="E1371" i="1"/>
  <c r="A1370" i="2"/>
  <c r="B1368" i="2"/>
  <c r="B1367" i="2"/>
  <c r="B1370" i="2"/>
  <c r="B1369" i="2"/>
  <c r="B1371" i="2"/>
  <c r="B1372" i="2"/>
  <c r="B1365" i="2"/>
  <c r="B1366" i="2"/>
  <c r="B1362" i="2"/>
  <c r="B1363" i="2"/>
  <c r="B1361" i="2"/>
  <c r="B1364" i="2"/>
  <c r="B1360" i="2"/>
  <c r="E1362" i="1"/>
  <c r="E1365" i="1"/>
  <c r="E1363" i="1"/>
  <c r="E1364" i="1"/>
  <c r="E1361" i="1"/>
  <c r="G688" i="1"/>
  <c r="A687" i="2" s="1"/>
  <c r="G687" i="1"/>
  <c r="A686" i="2" s="1"/>
  <c r="G325" i="1"/>
  <c r="A324" i="2" s="1"/>
  <c r="G324" i="1"/>
  <c r="A323" i="2" s="1"/>
  <c r="G323" i="1"/>
  <c r="A322" i="2" s="1"/>
  <c r="G322" i="1"/>
  <c r="A321" i="2" s="1"/>
  <c r="G321" i="1"/>
  <c r="A320" i="2" s="1"/>
  <c r="G320" i="1"/>
  <c r="A319" i="2" s="1"/>
  <c r="G319" i="1"/>
  <c r="A318" i="2" s="1"/>
  <c r="G318" i="1"/>
  <c r="A317" i="2" s="1"/>
  <c r="G317" i="1"/>
  <c r="A316" i="2" s="1"/>
  <c r="G316" i="1"/>
  <c r="A315" i="2" s="1"/>
  <c r="G290" i="1"/>
  <c r="A289" i="2" s="1"/>
  <c r="B315" i="2" l="1"/>
  <c r="B323" i="2"/>
  <c r="B289" i="2"/>
  <c r="B324" i="2"/>
  <c r="B321" i="2"/>
  <c r="B317" i="2"/>
  <c r="B686" i="2"/>
  <c r="B318" i="2"/>
  <c r="B687" i="2"/>
  <c r="B322" i="2"/>
  <c r="B319" i="2"/>
  <c r="B316" i="2"/>
  <c r="B320" i="2"/>
  <c r="E321" i="1"/>
  <c r="E322" i="1"/>
  <c r="E323" i="1"/>
  <c r="E316" i="1"/>
  <c r="E324" i="1"/>
  <c r="E317" i="1"/>
  <c r="E325" i="1"/>
  <c r="E318" i="1"/>
  <c r="E687" i="1"/>
  <c r="E688" i="1"/>
  <c r="E319" i="1"/>
  <c r="E320" i="1"/>
  <c r="E290" i="1"/>
  <c r="G225" i="1"/>
  <c r="A224" i="2" s="1"/>
  <c r="G235" i="1"/>
  <c r="A234" i="2" s="1"/>
  <c r="G308" i="1"/>
  <c r="A307" i="2" s="1"/>
  <c r="G310" i="1"/>
  <c r="A309" i="2" s="1"/>
  <c r="G309" i="1"/>
  <c r="A308" i="2" s="1"/>
  <c r="G313" i="1"/>
  <c r="A312" i="2" s="1"/>
  <c r="G292" i="1"/>
  <c r="A291" i="2" s="1"/>
  <c r="G291" i="1"/>
  <c r="A290" i="2" s="1"/>
  <c r="G289" i="1"/>
  <c r="A288" i="2" s="1"/>
  <c r="G288" i="1"/>
  <c r="A287" i="2" s="1"/>
  <c r="G286" i="1"/>
  <c r="A285" i="2" s="1"/>
  <c r="G287" i="1"/>
  <c r="A286" i="2" s="1"/>
  <c r="G285" i="1"/>
  <c r="A284" i="2" s="1"/>
  <c r="G293" i="1"/>
  <c r="A292" i="2" s="1"/>
  <c r="G677" i="1"/>
  <c r="A676" i="2" s="1"/>
  <c r="G678" i="1"/>
  <c r="A677" i="2" s="1"/>
  <c r="G676" i="1"/>
  <c r="A675" i="2" s="1"/>
  <c r="G675" i="1"/>
  <c r="A674" i="2" s="1"/>
  <c r="B677" i="2" l="1"/>
  <c r="B676" i="2"/>
  <c r="B292" i="2"/>
  <c r="B312" i="2"/>
  <c r="B675" i="2"/>
  <c r="B290" i="2"/>
  <c r="B284" i="2"/>
  <c r="B308" i="2"/>
  <c r="B224" i="2"/>
  <c r="B291" i="2"/>
  <c r="B286" i="2"/>
  <c r="B309" i="2"/>
  <c r="B288" i="2"/>
  <c r="B307" i="2"/>
  <c r="B285" i="2"/>
  <c r="B674" i="2"/>
  <c r="B287" i="2"/>
  <c r="B234" i="2"/>
  <c r="E291" i="1"/>
  <c r="E285" i="1"/>
  <c r="E309" i="1"/>
  <c r="E286" i="1"/>
  <c r="E308" i="1"/>
  <c r="E288" i="1"/>
  <c r="E235" i="1"/>
  <c r="E310" i="1"/>
  <c r="E289" i="1"/>
  <c r="E225" i="1"/>
  <c r="E287" i="1"/>
  <c r="E292" i="1"/>
  <c r="E293" i="1"/>
  <c r="E313" i="1"/>
  <c r="E675" i="1"/>
  <c r="E676" i="1"/>
  <c r="E678" i="1"/>
  <c r="E677" i="1"/>
  <c r="E1360" i="1" l="1"/>
  <c r="E1359" i="1"/>
  <c r="E1358" i="1"/>
  <c r="G1357" i="1"/>
  <c r="A1356" i="2" s="1"/>
  <c r="G1356" i="1"/>
  <c r="A1355" i="2" s="1"/>
  <c r="G1355" i="1"/>
  <c r="A1354" i="2" s="1"/>
  <c r="G658" i="1"/>
  <c r="A657" i="2" s="1"/>
  <c r="G657" i="1"/>
  <c r="A656" i="2" s="1"/>
  <c r="G644" i="1"/>
  <c r="A643" i="2" s="1"/>
  <c r="G645" i="1"/>
  <c r="A644" i="2" s="1"/>
  <c r="G929" i="1"/>
  <c r="A928" i="2" s="1"/>
  <c r="G315" i="1"/>
  <c r="A314" i="2" s="1"/>
  <c r="G314" i="1"/>
  <c r="A313" i="2" s="1"/>
  <c r="G312" i="1"/>
  <c r="A311" i="2" s="1"/>
  <c r="G311" i="1"/>
  <c r="A310" i="2" s="1"/>
  <c r="G422" i="1"/>
  <c r="A421" i="2" s="1"/>
  <c r="B311" i="2" l="1"/>
  <c r="B1355" i="2"/>
  <c r="B421" i="2"/>
  <c r="B657" i="2"/>
  <c r="B1356" i="2"/>
  <c r="B1354" i="2"/>
  <c r="B928" i="2"/>
  <c r="B310" i="2"/>
  <c r="B313" i="2"/>
  <c r="B644" i="2"/>
  <c r="B656" i="2"/>
  <c r="B314" i="2"/>
  <c r="B643" i="2"/>
  <c r="E1356" i="1"/>
  <c r="E1357" i="1"/>
  <c r="E1355" i="1"/>
  <c r="E645" i="1"/>
  <c r="E644" i="1"/>
  <c r="E658" i="1"/>
  <c r="E657" i="1"/>
  <c r="E929" i="1"/>
  <c r="E314" i="1"/>
  <c r="E315" i="1"/>
  <c r="E311" i="1"/>
  <c r="E312" i="1"/>
  <c r="E422" i="1"/>
  <c r="G757" i="1"/>
  <c r="A756" i="2" s="1"/>
  <c r="B756" i="2" l="1"/>
  <c r="E757" i="1"/>
  <c r="G605" i="1"/>
  <c r="A604" i="2" s="1"/>
  <c r="B604" i="2" l="1"/>
  <c r="E605" i="1"/>
  <c r="G932" i="1"/>
  <c r="A931" i="2" s="1"/>
  <c r="B931" i="2" l="1"/>
  <c r="E932" i="1"/>
  <c r="G978" i="1"/>
  <c r="A977" i="2" s="1"/>
  <c r="G977" i="1"/>
  <c r="A976" i="2" s="1"/>
  <c r="B976" i="2" l="1"/>
  <c r="B977" i="2"/>
  <c r="E977" i="1"/>
  <c r="E978" i="1"/>
  <c r="G891" i="1"/>
  <c r="A890" i="2" s="1"/>
  <c r="G890" i="1"/>
  <c r="A889" i="2" s="1"/>
  <c r="G893" i="1"/>
  <c r="A892" i="2" s="1"/>
  <c r="G889" i="1"/>
  <c r="A888" i="2" s="1"/>
  <c r="G892" i="1"/>
  <c r="A891" i="2" s="1"/>
  <c r="B889" i="2" l="1"/>
  <c r="B890" i="2"/>
  <c r="B891" i="2"/>
  <c r="B888" i="2"/>
  <c r="B892" i="2"/>
  <c r="E890" i="1"/>
  <c r="E893" i="1"/>
  <c r="E891" i="1"/>
  <c r="E892" i="1"/>
  <c r="E889" i="1"/>
  <c r="G976" i="1"/>
  <c r="A975" i="2" s="1"/>
  <c r="G975" i="1"/>
  <c r="A974" i="2" s="1"/>
  <c r="G930" i="1"/>
  <c r="A929" i="2" s="1"/>
  <c r="G928" i="1"/>
  <c r="A927" i="2" s="1"/>
  <c r="B975" i="2" l="1"/>
  <c r="B927" i="2"/>
  <c r="B929" i="2"/>
  <c r="B974" i="2"/>
  <c r="E930" i="1"/>
  <c r="E928" i="1"/>
  <c r="E975" i="1"/>
  <c r="E976" i="1"/>
  <c r="E171" i="1"/>
  <c r="E170" i="1"/>
  <c r="G148" i="1" l="1"/>
  <c r="A147" i="2" s="1"/>
  <c r="G147" i="1"/>
  <c r="A146" i="2" s="1"/>
  <c r="G146" i="1"/>
  <c r="A145" i="2" s="1"/>
  <c r="B145" i="2" l="1"/>
  <c r="B146" i="2"/>
  <c r="B147" i="2"/>
  <c r="E146" i="1"/>
  <c r="E148" i="1"/>
  <c r="E147" i="1"/>
  <c r="G755" i="1"/>
  <c r="A754" i="2" s="1"/>
  <c r="G764" i="1"/>
  <c r="A763" i="2" s="1"/>
  <c r="G767" i="1"/>
  <c r="A766" i="2" s="1"/>
  <c r="B763" i="2" l="1"/>
  <c r="B766" i="2"/>
  <c r="B754" i="2"/>
  <c r="E767" i="1"/>
  <c r="E764" i="1"/>
  <c r="E755" i="1"/>
  <c r="G639" i="1"/>
  <c r="A638" i="2" s="1"/>
  <c r="G638" i="1"/>
  <c r="A637" i="2" s="1"/>
  <c r="B637" i="2" l="1"/>
  <c r="B638" i="2"/>
  <c r="E638" i="1"/>
  <c r="E639" i="1"/>
  <c r="G632" i="1"/>
  <c r="A631" i="2" s="1"/>
  <c r="G631" i="1"/>
  <c r="A630" i="2" s="1"/>
  <c r="B630" i="2" l="1"/>
  <c r="B631" i="2"/>
  <c r="E632" i="1"/>
  <c r="E631" i="1"/>
  <c r="G887" i="1"/>
  <c r="A886" i="2" s="1"/>
  <c r="G888" i="1"/>
  <c r="A887" i="2" s="1"/>
  <c r="B886" i="2" l="1"/>
  <c r="B887" i="2"/>
  <c r="E888" i="1"/>
  <c r="E887" i="1"/>
  <c r="G855" i="1"/>
  <c r="A854" i="2" s="1"/>
  <c r="G854" i="1"/>
  <c r="A853" i="2" s="1"/>
  <c r="G853" i="1"/>
  <c r="A852" i="2" s="1"/>
  <c r="G852" i="1"/>
  <c r="A851" i="2" s="1"/>
  <c r="G851" i="1"/>
  <c r="A850" i="2" s="1"/>
  <c r="G850" i="1"/>
  <c r="A849" i="2" s="1"/>
  <c r="G849" i="1"/>
  <c r="A848" i="2" s="1"/>
  <c r="G848" i="1"/>
  <c r="A847" i="2" s="1"/>
  <c r="G847" i="1"/>
  <c r="A846" i="2" s="1"/>
  <c r="G846" i="1"/>
  <c r="A845" i="2" s="1"/>
  <c r="G845" i="1"/>
  <c r="A844" i="2" s="1"/>
  <c r="G844" i="1"/>
  <c r="A843" i="2" s="1"/>
  <c r="G843" i="1"/>
  <c r="A842" i="2" s="1"/>
  <c r="G842" i="1"/>
  <c r="A841" i="2" s="1"/>
  <c r="G841" i="1"/>
  <c r="A840" i="2" s="1"/>
  <c r="G840" i="1"/>
  <c r="A839" i="2" s="1"/>
  <c r="G839" i="1"/>
  <c r="A838" i="2" s="1"/>
  <c r="G838" i="1"/>
  <c r="A837" i="2" s="1"/>
  <c r="G837" i="1"/>
  <c r="A836" i="2" s="1"/>
  <c r="G830" i="1"/>
  <c r="A829" i="2" s="1"/>
  <c r="G835" i="1"/>
  <c r="A834" i="2" s="1"/>
  <c r="B829" i="2" l="1"/>
  <c r="B838" i="2"/>
  <c r="B834" i="2"/>
  <c r="B836" i="2"/>
  <c r="B837" i="2"/>
  <c r="B845" i="2"/>
  <c r="B853" i="2"/>
  <c r="B846" i="2"/>
  <c r="B839" i="2"/>
  <c r="B847" i="2"/>
  <c r="B854" i="2"/>
  <c r="B840" i="2"/>
  <c r="B848" i="2"/>
  <c r="B841" i="2"/>
  <c r="B849" i="2"/>
  <c r="B842" i="2"/>
  <c r="B850" i="2"/>
  <c r="B843" i="2"/>
  <c r="B851" i="2"/>
  <c r="B844" i="2"/>
  <c r="B852" i="2"/>
  <c r="E843" i="1"/>
  <c r="E847" i="1"/>
  <c r="E851" i="1"/>
  <c r="E839" i="1"/>
  <c r="E855" i="1"/>
  <c r="E840" i="1"/>
  <c r="E848" i="1"/>
  <c r="E852" i="1"/>
  <c r="E837" i="1"/>
  <c r="E841" i="1"/>
  <c r="E845" i="1"/>
  <c r="E849" i="1"/>
  <c r="E853" i="1"/>
  <c r="E844" i="1"/>
  <c r="E838" i="1"/>
  <c r="E842" i="1"/>
  <c r="E846" i="1"/>
  <c r="E850" i="1"/>
  <c r="E854" i="1"/>
  <c r="G881" i="1"/>
  <c r="A880" i="2" s="1"/>
  <c r="G882" i="1"/>
  <c r="A881" i="2" s="1"/>
  <c r="G883" i="1"/>
  <c r="A882" i="2" s="1"/>
  <c r="G884" i="1"/>
  <c r="A883" i="2" s="1"/>
  <c r="G885" i="1"/>
  <c r="A884" i="2" s="1"/>
  <c r="G886" i="1"/>
  <c r="A885" i="2" s="1"/>
  <c r="B881" i="2" l="1"/>
  <c r="B880" i="2"/>
  <c r="B882" i="2"/>
  <c r="B885" i="2"/>
  <c r="B884" i="2"/>
  <c r="B883" i="2"/>
  <c r="E885" i="1"/>
  <c r="E883" i="1"/>
  <c r="E881" i="1"/>
  <c r="E884" i="1"/>
  <c r="E886" i="1"/>
  <c r="E882" i="1"/>
  <c r="G868" i="1"/>
  <c r="A867" i="2" s="1"/>
  <c r="G869" i="1"/>
  <c r="A868" i="2" s="1"/>
  <c r="G870" i="1"/>
  <c r="A869" i="2" s="1"/>
  <c r="G871" i="1"/>
  <c r="A870" i="2" s="1"/>
  <c r="G872" i="1"/>
  <c r="A871" i="2" s="1"/>
  <c r="G873" i="1"/>
  <c r="A872" i="2" s="1"/>
  <c r="G874" i="1"/>
  <c r="A873" i="2" s="1"/>
  <c r="G875" i="1"/>
  <c r="A874" i="2" s="1"/>
  <c r="G876" i="1"/>
  <c r="A875" i="2" s="1"/>
  <c r="G877" i="1"/>
  <c r="A876" i="2" s="1"/>
  <c r="G878" i="1"/>
  <c r="A877" i="2" s="1"/>
  <c r="G879" i="1"/>
  <c r="A878" i="2" s="1"/>
  <c r="G880" i="1"/>
  <c r="A879" i="2" s="1"/>
  <c r="A1" i="3"/>
  <c r="B879" i="2" l="1"/>
  <c r="B871" i="2"/>
  <c r="B870" i="2"/>
  <c r="B877" i="2"/>
  <c r="B868" i="2"/>
  <c r="B867" i="2"/>
  <c r="B872" i="2"/>
  <c r="B869" i="2"/>
  <c r="B874" i="2"/>
  <c r="B878" i="2"/>
  <c r="B876" i="2"/>
  <c r="B875" i="2"/>
  <c r="B873" i="2"/>
  <c r="E878" i="1"/>
  <c r="E874" i="1"/>
  <c r="E870" i="1"/>
  <c r="E877" i="1"/>
  <c r="E873" i="1"/>
  <c r="E869" i="1"/>
  <c r="E880" i="1"/>
  <c r="E876" i="1"/>
  <c r="E872" i="1"/>
  <c r="E868" i="1"/>
  <c r="E879" i="1"/>
  <c r="E875" i="1"/>
  <c r="E871" i="1"/>
  <c r="G176" i="1"/>
  <c r="A175" i="2" s="1"/>
  <c r="G175" i="1"/>
  <c r="A174" i="2" s="1"/>
  <c r="B175" i="2" l="1"/>
  <c r="B174" i="2"/>
  <c r="E176" i="1"/>
  <c r="E175" i="1"/>
  <c r="G863" i="1"/>
  <c r="A862" i="2" s="1"/>
  <c r="G864" i="1"/>
  <c r="A863" i="2" s="1"/>
  <c r="G865" i="1"/>
  <c r="A864" i="2" s="1"/>
  <c r="G866" i="1"/>
  <c r="A865" i="2" s="1"/>
  <c r="G867" i="1"/>
  <c r="A866" i="2" s="1"/>
  <c r="B862" i="2" l="1"/>
  <c r="B863" i="2"/>
  <c r="B866" i="2"/>
  <c r="B865" i="2"/>
  <c r="B864" i="2"/>
  <c r="E866" i="1"/>
  <c r="E867" i="1"/>
  <c r="E865" i="1"/>
  <c r="E864" i="1"/>
  <c r="E863" i="1"/>
  <c r="G139" i="1"/>
  <c r="A138" i="2" s="1"/>
  <c r="G137" i="1"/>
  <c r="A136" i="2" s="1"/>
  <c r="B138" i="2" l="1"/>
  <c r="B136" i="2"/>
  <c r="E139" i="1"/>
  <c r="E137" i="1"/>
  <c r="G586" i="1" l="1"/>
  <c r="A585" i="2" s="1"/>
  <c r="G585" i="1"/>
  <c r="A584" i="2" s="1"/>
  <c r="G574" i="1"/>
  <c r="A573" i="2" s="1"/>
  <c r="G573" i="1"/>
  <c r="A572" i="2" s="1"/>
  <c r="G566" i="1"/>
  <c r="A565" i="2" s="1"/>
  <c r="G565" i="1"/>
  <c r="A564" i="2" s="1"/>
  <c r="G550" i="1"/>
  <c r="A549" i="2" s="1"/>
  <c r="G549" i="1"/>
  <c r="A548" i="2" s="1"/>
  <c r="G556" i="1"/>
  <c r="A555" i="2" s="1"/>
  <c r="G555" i="1"/>
  <c r="A554" i="2" s="1"/>
  <c r="G531" i="1"/>
  <c r="A530" i="2" s="1"/>
  <c r="B549" i="2" l="1"/>
  <c r="B564" i="2"/>
  <c r="B548" i="2"/>
  <c r="B530" i="2"/>
  <c r="B573" i="2"/>
  <c r="B565" i="2"/>
  <c r="B554" i="2"/>
  <c r="B584" i="2"/>
  <c r="B572" i="2"/>
  <c r="B555" i="2"/>
  <c r="B585" i="2"/>
  <c r="E566" i="1"/>
  <c r="E549" i="1"/>
  <c r="E573" i="1"/>
  <c r="E550" i="1"/>
  <c r="E574" i="1"/>
  <c r="E531" i="1"/>
  <c r="E555" i="1"/>
  <c r="E565" i="1"/>
  <c r="E585" i="1"/>
  <c r="E556" i="1"/>
  <c r="E586" i="1"/>
  <c r="G145" i="1"/>
  <c r="A144" i="2" s="1"/>
  <c r="G144" i="1"/>
  <c r="A143" i="2" s="1"/>
  <c r="G143" i="1"/>
  <c r="A142" i="2" s="1"/>
  <c r="G142" i="1"/>
  <c r="A141" i="2" s="1"/>
  <c r="G141" i="1"/>
  <c r="A140" i="2" s="1"/>
  <c r="G140" i="1"/>
  <c r="A139" i="2" s="1"/>
  <c r="G138" i="1"/>
  <c r="A137" i="2" s="1"/>
  <c r="G136" i="1"/>
  <c r="A135" i="2" s="1"/>
  <c r="G1180" i="1"/>
  <c r="A1179" i="2" s="1"/>
  <c r="B139" i="2" l="1"/>
  <c r="B140" i="2"/>
  <c r="B141" i="2"/>
  <c r="B142" i="2"/>
  <c r="B143" i="2"/>
  <c r="B137" i="2"/>
  <c r="B144" i="2"/>
  <c r="B1179" i="2"/>
  <c r="B135" i="2"/>
  <c r="E1180" i="1"/>
  <c r="E140" i="1"/>
  <c r="E141" i="1"/>
  <c r="E142" i="1"/>
  <c r="E144" i="1"/>
  <c r="E145" i="1"/>
  <c r="E136" i="1"/>
  <c r="E138" i="1"/>
  <c r="E143" i="1"/>
  <c r="B1" i="3" l="1"/>
  <c r="G164" i="1" l="1"/>
  <c r="A163" i="2" s="1"/>
  <c r="B163" i="2" l="1"/>
  <c r="E164" i="1"/>
  <c r="G695" i="1"/>
  <c r="A694" i="2" s="1"/>
  <c r="B694" i="2" l="1"/>
  <c r="E695" i="1"/>
  <c r="G862" i="1"/>
  <c r="A861" i="2" s="1"/>
  <c r="G861" i="1"/>
  <c r="A860" i="2" s="1"/>
  <c r="G860" i="1"/>
  <c r="A859" i="2" s="1"/>
  <c r="G859" i="1"/>
  <c r="A858" i="2" s="1"/>
  <c r="G858" i="1"/>
  <c r="A857" i="2" s="1"/>
  <c r="G857" i="1"/>
  <c r="A856" i="2" s="1"/>
  <c r="G856" i="1"/>
  <c r="A855" i="2" s="1"/>
  <c r="B858" i="2" l="1"/>
  <c r="B859" i="2"/>
  <c r="B860" i="2"/>
  <c r="B861" i="2"/>
  <c r="B857" i="2"/>
  <c r="B855" i="2"/>
  <c r="B856" i="2"/>
  <c r="E858" i="1"/>
  <c r="E862" i="1"/>
  <c r="E857" i="1"/>
  <c r="E859" i="1"/>
  <c r="E856" i="1"/>
  <c r="E860" i="1"/>
  <c r="E861" i="1"/>
  <c r="G836" i="1"/>
  <c r="A835" i="2" s="1"/>
  <c r="G834" i="1"/>
  <c r="A833" i="2" s="1"/>
  <c r="G833" i="1"/>
  <c r="A832" i="2" s="1"/>
  <c r="G832" i="1"/>
  <c r="A831" i="2" s="1"/>
  <c r="G831" i="1"/>
  <c r="A830" i="2" s="1"/>
  <c r="G829" i="1"/>
  <c r="A828" i="2" s="1"/>
  <c r="G828" i="1"/>
  <c r="A827" i="2" s="1"/>
  <c r="G827" i="1"/>
  <c r="A826" i="2" s="1"/>
  <c r="B832" i="2" l="1"/>
  <c r="B835" i="2"/>
  <c r="B826" i="2"/>
  <c r="B827" i="2"/>
  <c r="B828" i="2"/>
  <c r="B830" i="2"/>
  <c r="B833" i="2"/>
  <c r="B831" i="2"/>
  <c r="E827" i="1"/>
  <c r="E829" i="1"/>
  <c r="E830" i="1"/>
  <c r="E834" i="1"/>
  <c r="E835" i="1"/>
  <c r="E831" i="1"/>
  <c r="E832" i="1"/>
  <c r="E836" i="1"/>
  <c r="E828" i="1"/>
  <c r="E833" i="1"/>
  <c r="G609" i="1"/>
  <c r="A608" i="2" s="1"/>
  <c r="G608" i="1"/>
  <c r="A607" i="2" s="1"/>
  <c r="B607" i="2" l="1"/>
  <c r="B608" i="2"/>
  <c r="E608" i="1"/>
  <c r="E609" i="1"/>
  <c r="G518" i="1"/>
  <c r="A517" i="2" s="1"/>
  <c r="G517" i="1"/>
  <c r="A516" i="2" s="1"/>
  <c r="G516" i="1"/>
  <c r="A515" i="2" s="1"/>
  <c r="G515" i="1"/>
  <c r="A514" i="2" s="1"/>
  <c r="B516" i="2" l="1"/>
  <c r="B517" i="2"/>
  <c r="B514" i="2"/>
  <c r="B515" i="2"/>
  <c r="E517" i="1"/>
  <c r="E518" i="1"/>
  <c r="E515" i="1"/>
  <c r="E516" i="1"/>
  <c r="G974" i="1"/>
  <c r="A973" i="2" s="1"/>
  <c r="G973" i="1"/>
  <c r="A972" i="2" s="1"/>
  <c r="G972" i="1"/>
  <c r="A971" i="2" s="1"/>
  <c r="G971" i="1"/>
  <c r="A970" i="2" s="1"/>
  <c r="G970" i="1"/>
  <c r="A969" i="2" s="1"/>
  <c r="G969" i="1"/>
  <c r="A968" i="2" s="1"/>
  <c r="G968" i="1"/>
  <c r="A967" i="2" s="1"/>
  <c r="G967" i="1"/>
  <c r="A966" i="2" s="1"/>
  <c r="G966" i="1"/>
  <c r="A965" i="2" s="1"/>
  <c r="G965" i="1"/>
  <c r="A964" i="2" s="1"/>
  <c r="G964" i="1"/>
  <c r="A963" i="2" s="1"/>
  <c r="G963" i="1"/>
  <c r="A962" i="2" s="1"/>
  <c r="G962" i="1"/>
  <c r="A961" i="2" s="1"/>
  <c r="G961" i="1"/>
  <c r="A960" i="2" s="1"/>
  <c r="G960" i="1"/>
  <c r="A959" i="2" s="1"/>
  <c r="G922" i="1"/>
  <c r="A921" i="2" s="1"/>
  <c r="G927" i="1"/>
  <c r="A926" i="2" s="1"/>
  <c r="G926" i="1"/>
  <c r="A925" i="2" s="1"/>
  <c r="G925" i="1"/>
  <c r="A924" i="2" s="1"/>
  <c r="G924" i="1"/>
  <c r="A923" i="2" s="1"/>
  <c r="G923" i="1"/>
  <c r="A922" i="2" s="1"/>
  <c r="G921" i="1"/>
  <c r="A920" i="2" s="1"/>
  <c r="G920" i="1"/>
  <c r="A919" i="2" s="1"/>
  <c r="G919" i="1"/>
  <c r="A918" i="2" s="1"/>
  <c r="G918" i="1"/>
  <c r="A917" i="2" s="1"/>
  <c r="G917" i="1"/>
  <c r="A916" i="2" s="1"/>
  <c r="G916" i="1"/>
  <c r="A915" i="2" s="1"/>
  <c r="G915" i="1"/>
  <c r="A914" i="2" s="1"/>
  <c r="G914" i="1"/>
  <c r="A913" i="2" s="1"/>
  <c r="G913" i="1"/>
  <c r="A912" i="2" s="1"/>
  <c r="G912" i="1"/>
  <c r="A911" i="2" s="1"/>
  <c r="G911" i="1"/>
  <c r="A910" i="2" s="1"/>
  <c r="B971" i="2" l="1"/>
  <c r="B962" i="2"/>
  <c r="B915" i="2"/>
  <c r="B924" i="2"/>
  <c r="B963" i="2"/>
  <c r="B916" i="2"/>
  <c r="B925" i="2"/>
  <c r="B964" i="2"/>
  <c r="B972" i="2"/>
  <c r="B923" i="2"/>
  <c r="B917" i="2"/>
  <c r="B921" i="2"/>
  <c r="B911" i="2"/>
  <c r="B919" i="2"/>
  <c r="B959" i="2"/>
  <c r="B967" i="2"/>
  <c r="B970" i="2"/>
  <c r="B926" i="2"/>
  <c r="B973" i="2"/>
  <c r="B918" i="2"/>
  <c r="B912" i="2"/>
  <c r="B920" i="2"/>
  <c r="B960" i="2"/>
  <c r="B968" i="2"/>
  <c r="B914" i="2"/>
  <c r="B965" i="2"/>
  <c r="B910" i="2"/>
  <c r="B966" i="2"/>
  <c r="B913" i="2"/>
  <c r="B922" i="2"/>
  <c r="B961" i="2"/>
  <c r="B969" i="2"/>
  <c r="E924" i="1"/>
  <c r="E967" i="1"/>
  <c r="E916" i="1"/>
  <c r="E920" i="1"/>
  <c r="E925" i="1"/>
  <c r="E960" i="1"/>
  <c r="E964" i="1"/>
  <c r="E968" i="1"/>
  <c r="E972" i="1"/>
  <c r="E911" i="1"/>
  <c r="E919" i="1"/>
  <c r="E922" i="1"/>
  <c r="E963" i="1"/>
  <c r="E912" i="1"/>
  <c r="E917" i="1"/>
  <c r="E921" i="1"/>
  <c r="E926" i="1"/>
  <c r="E961" i="1"/>
  <c r="E965" i="1"/>
  <c r="E969" i="1"/>
  <c r="E973" i="1"/>
  <c r="E915" i="1"/>
  <c r="E971" i="1"/>
  <c r="E913" i="1"/>
  <c r="E914" i="1"/>
  <c r="E918" i="1"/>
  <c r="E923" i="1"/>
  <c r="E927" i="1"/>
  <c r="E962" i="1"/>
  <c r="E966" i="1"/>
  <c r="E970" i="1"/>
  <c r="E974" i="1"/>
  <c r="G69" i="1"/>
  <c r="A68" i="2" s="1"/>
  <c r="G67" i="1"/>
  <c r="A66" i="2" s="1"/>
  <c r="G66" i="1"/>
  <c r="A65" i="2" s="1"/>
  <c r="G65" i="1"/>
  <c r="A64" i="2" s="1"/>
  <c r="G64" i="1"/>
  <c r="A63" i="2" s="1"/>
  <c r="G63" i="1"/>
  <c r="A62" i="2" s="1"/>
  <c r="G62" i="1"/>
  <c r="A61" i="2" s="1"/>
  <c r="B62" i="2" l="1"/>
  <c r="B61" i="2"/>
  <c r="B64" i="2"/>
  <c r="B65" i="2"/>
  <c r="B63" i="2"/>
  <c r="B66" i="2"/>
  <c r="B68" i="2"/>
  <c r="E67" i="1"/>
  <c r="E64" i="1"/>
  <c r="E62" i="1"/>
  <c r="E66" i="1"/>
  <c r="E65" i="1"/>
  <c r="E63" i="1"/>
  <c r="E69" i="1"/>
  <c r="G756" i="1"/>
  <c r="A755" i="2" s="1"/>
  <c r="B755" i="2" l="1"/>
  <c r="E756" i="1"/>
  <c r="G754" i="1"/>
  <c r="A753" i="2" s="1"/>
  <c r="G753" i="1"/>
  <c r="A752" i="2" s="1"/>
  <c r="B753" i="2" l="1"/>
  <c r="B752" i="2"/>
  <c r="E754" i="1"/>
  <c r="E753" i="1"/>
  <c r="G1348" i="1"/>
  <c r="A1347" i="2" s="1"/>
  <c r="B1347" i="2" l="1"/>
  <c r="E1348" i="1"/>
  <c r="G234" i="1"/>
  <c r="A233" i="2" s="1"/>
  <c r="B233" i="2" l="1"/>
  <c r="E234" i="1"/>
  <c r="G654" i="1"/>
  <c r="A653" i="2" s="1"/>
  <c r="G651" i="1"/>
  <c r="A650" i="2" s="1"/>
  <c r="G640" i="1"/>
  <c r="A639" i="2" s="1"/>
  <c r="G637" i="1"/>
  <c r="A636" i="2" s="1"/>
  <c r="G630" i="1"/>
  <c r="A629" i="2" s="1"/>
  <c r="G633" i="1"/>
  <c r="A632" i="2" s="1"/>
  <c r="G1312" i="1"/>
  <c r="A1311" i="2" s="1"/>
  <c r="G85" i="1"/>
  <c r="A84" i="2" s="1"/>
  <c r="G84" i="1"/>
  <c r="A83" i="2" s="1"/>
  <c r="G83" i="1"/>
  <c r="A82" i="2" s="1"/>
  <c r="G82" i="1"/>
  <c r="A81" i="2" s="1"/>
  <c r="G660" i="1"/>
  <c r="A659" i="2" s="1"/>
  <c r="G659" i="1"/>
  <c r="A658" i="2" s="1"/>
  <c r="G647" i="1"/>
  <c r="A646" i="2" s="1"/>
  <c r="G641" i="1"/>
  <c r="A640" i="2" s="1"/>
  <c r="G634" i="1"/>
  <c r="A633" i="2" s="1"/>
  <c r="G643" i="1"/>
  <c r="A642" i="2" s="1"/>
  <c r="B629" i="2" l="1"/>
  <c r="B636" i="2"/>
  <c r="B639" i="2"/>
  <c r="B82" i="2"/>
  <c r="B650" i="2"/>
  <c r="B81" i="2"/>
  <c r="B642" i="2"/>
  <c r="B83" i="2"/>
  <c r="B653" i="2"/>
  <c r="B658" i="2"/>
  <c r="B633" i="2"/>
  <c r="B640" i="2"/>
  <c r="B1311" i="2"/>
  <c r="B659" i="2"/>
  <c r="B84" i="2"/>
  <c r="B646" i="2"/>
  <c r="B632" i="2"/>
  <c r="E659" i="1"/>
  <c r="E630" i="1"/>
  <c r="E654" i="1"/>
  <c r="E643" i="1"/>
  <c r="E660" i="1"/>
  <c r="E637" i="1"/>
  <c r="E634" i="1"/>
  <c r="E641" i="1"/>
  <c r="E1312" i="1"/>
  <c r="E640" i="1"/>
  <c r="E647" i="1"/>
  <c r="E633" i="1"/>
  <c r="E651" i="1"/>
  <c r="E83" i="1"/>
  <c r="E82" i="1"/>
  <c r="E84" i="1"/>
  <c r="E85" i="1"/>
  <c r="G102" i="1" l="1"/>
  <c r="A101" i="2" s="1"/>
  <c r="G101" i="1"/>
  <c r="A100" i="2" s="1"/>
  <c r="G100" i="1"/>
  <c r="A99" i="2" s="1"/>
  <c r="G99" i="1"/>
  <c r="A98" i="2" s="1"/>
  <c r="B98" i="2" l="1"/>
  <c r="B99" i="2"/>
  <c r="B100" i="2"/>
  <c r="B101" i="2"/>
  <c r="E99" i="1"/>
  <c r="E102" i="1"/>
  <c r="E100" i="1"/>
  <c r="E101" i="1"/>
  <c r="G602" i="1"/>
  <c r="A601" i="2" s="1"/>
  <c r="B601" i="2" l="1"/>
  <c r="E602" i="1"/>
  <c r="G1318" i="1"/>
  <c r="A1317" i="2" s="1"/>
  <c r="G1317" i="1"/>
  <c r="A1316" i="2" s="1"/>
  <c r="B1316" i="2" l="1"/>
  <c r="B1317" i="2"/>
  <c r="E1318" i="1"/>
  <c r="E1317" i="1"/>
  <c r="G826" i="1"/>
  <c r="A825" i="2" s="1"/>
  <c r="G825" i="1"/>
  <c r="A824" i="2" s="1"/>
  <c r="G824" i="1"/>
  <c r="A823" i="2" s="1"/>
  <c r="G823" i="1"/>
  <c r="A822" i="2" s="1"/>
  <c r="G822" i="1"/>
  <c r="A821" i="2" s="1"/>
  <c r="B824" i="2" l="1"/>
  <c r="B825" i="2"/>
  <c r="B821" i="2"/>
  <c r="B822" i="2"/>
  <c r="B823" i="2"/>
  <c r="E822" i="1"/>
  <c r="E825" i="1"/>
  <c r="E826" i="1"/>
  <c r="E823" i="1"/>
  <c r="E824" i="1"/>
  <c r="G786" i="1"/>
  <c r="A785" i="2" s="1"/>
  <c r="G785" i="1"/>
  <c r="A784" i="2" s="1"/>
  <c r="G784" i="1"/>
  <c r="A783" i="2" s="1"/>
  <c r="G783" i="1"/>
  <c r="A782" i="2" s="1"/>
  <c r="G782" i="1"/>
  <c r="A781" i="2" s="1"/>
  <c r="G781" i="1"/>
  <c r="A780" i="2" s="1"/>
  <c r="G780" i="1"/>
  <c r="A779" i="2" s="1"/>
  <c r="G779" i="1"/>
  <c r="A778" i="2" s="1"/>
  <c r="G778" i="1"/>
  <c r="A777" i="2" s="1"/>
  <c r="G777" i="1"/>
  <c r="A776" i="2" s="1"/>
  <c r="G776" i="1"/>
  <c r="A775" i="2" s="1"/>
  <c r="G775" i="1"/>
  <c r="A774" i="2" s="1"/>
  <c r="B785" i="2" l="1"/>
  <c r="B779" i="2"/>
  <c r="B780" i="2"/>
  <c r="B781" i="2"/>
  <c r="B778" i="2"/>
  <c r="B774" i="2"/>
  <c r="B782" i="2"/>
  <c r="B777" i="2"/>
  <c r="B783" i="2"/>
  <c r="B775" i="2"/>
  <c r="B776" i="2"/>
  <c r="B784" i="2"/>
  <c r="E782" i="1"/>
  <c r="E786" i="1"/>
  <c r="E778" i="1"/>
  <c r="E775" i="1"/>
  <c r="E779" i="1"/>
  <c r="E783" i="1"/>
  <c r="E776" i="1"/>
  <c r="E780" i="1"/>
  <c r="E784" i="1"/>
  <c r="E777" i="1"/>
  <c r="E781" i="1"/>
  <c r="E785" i="1"/>
  <c r="G1354" i="1"/>
  <c r="A1353" i="2" s="1"/>
  <c r="G1353" i="1"/>
  <c r="A1352" i="2" s="1"/>
  <c r="G1352" i="1"/>
  <c r="A1351" i="2" s="1"/>
  <c r="G1351" i="1"/>
  <c r="A1350" i="2" s="1"/>
  <c r="G1350" i="1"/>
  <c r="A1349" i="2" s="1"/>
  <c r="G1349" i="1"/>
  <c r="A1348" i="2" s="1"/>
  <c r="G1347" i="1"/>
  <c r="A1346" i="2" s="1"/>
  <c r="G1346" i="1"/>
  <c r="A1345" i="2" s="1"/>
  <c r="G1345" i="1"/>
  <c r="A1344" i="2" s="1"/>
  <c r="G1344" i="1"/>
  <c r="A1343" i="2" s="1"/>
  <c r="G1343" i="1"/>
  <c r="A1342" i="2" s="1"/>
  <c r="G1342" i="1"/>
  <c r="A1341" i="2" s="1"/>
  <c r="G1341" i="1"/>
  <c r="A1340" i="2" s="1"/>
  <c r="G1340" i="1"/>
  <c r="A1339" i="2" s="1"/>
  <c r="G1339" i="1"/>
  <c r="A1338" i="2" s="1"/>
  <c r="G1338" i="1"/>
  <c r="A1337" i="2" s="1"/>
  <c r="G1337" i="1"/>
  <c r="A1336" i="2" s="1"/>
  <c r="G1336" i="1"/>
  <c r="A1335" i="2" s="1"/>
  <c r="G1335" i="1"/>
  <c r="A1334" i="2" s="1"/>
  <c r="G1334" i="1"/>
  <c r="A1333" i="2" s="1"/>
  <c r="G1333" i="1"/>
  <c r="A1332" i="2" s="1"/>
  <c r="G1332" i="1"/>
  <c r="A1331" i="2" s="1"/>
  <c r="G1331" i="1"/>
  <c r="A1330" i="2" s="1"/>
  <c r="G1330" i="1"/>
  <c r="A1329" i="2" s="1"/>
  <c r="G1329" i="1"/>
  <c r="A1328" i="2" s="1"/>
  <c r="B1334" i="2" l="1"/>
  <c r="B1335" i="2"/>
  <c r="B1343" i="2"/>
  <c r="B1352" i="2"/>
  <c r="B1336" i="2"/>
  <c r="B1344" i="2"/>
  <c r="B1353" i="2"/>
  <c r="B1333" i="2"/>
  <c r="B1351" i="2"/>
  <c r="B1329" i="2"/>
  <c r="B1337" i="2"/>
  <c r="B1345" i="2"/>
  <c r="B1341" i="2"/>
  <c r="B1342" i="2"/>
  <c r="B1328" i="2"/>
  <c r="B1330" i="2"/>
  <c r="B1338" i="2"/>
  <c r="B1346" i="2"/>
  <c r="B1350" i="2"/>
  <c r="B1348" i="2"/>
  <c r="B1331" i="2"/>
  <c r="B1339" i="2"/>
  <c r="B1332" i="2"/>
  <c r="B1340" i="2"/>
  <c r="B1349" i="2"/>
  <c r="E1342" i="1"/>
  <c r="E1346" i="1"/>
  <c r="E1351" i="1"/>
  <c r="E1329" i="1"/>
  <c r="E1334" i="1"/>
  <c r="E1331" i="1"/>
  <c r="E1335" i="1"/>
  <c r="E1339" i="1"/>
  <c r="E1343" i="1"/>
  <c r="E1347" i="1"/>
  <c r="E1352" i="1"/>
  <c r="E1330" i="1"/>
  <c r="E1338" i="1"/>
  <c r="E1332" i="1"/>
  <c r="E1336" i="1"/>
  <c r="E1340" i="1"/>
  <c r="E1344" i="1"/>
  <c r="E1349" i="1"/>
  <c r="E1353" i="1"/>
  <c r="E1333" i="1"/>
  <c r="E1337" i="1"/>
  <c r="E1341" i="1"/>
  <c r="E1345" i="1"/>
  <c r="E1350" i="1"/>
  <c r="E1354" i="1"/>
  <c r="G706" i="1"/>
  <c r="A705" i="2" s="1"/>
  <c r="G692" i="1"/>
  <c r="A691" i="2" s="1"/>
  <c r="B705" i="2" l="1"/>
  <c r="B691" i="2"/>
  <c r="E706" i="1"/>
  <c r="E692" i="1"/>
  <c r="G1324" i="1"/>
  <c r="A1323" i="2" s="1"/>
  <c r="G51" i="1"/>
  <c r="A50" i="2" s="1"/>
  <c r="G50" i="1"/>
  <c r="A49" i="2" s="1"/>
  <c r="G49" i="1"/>
  <c r="A48" i="2" s="1"/>
  <c r="G41" i="1"/>
  <c r="A40" i="2" s="1"/>
  <c r="G40" i="1"/>
  <c r="A39" i="2" s="1"/>
  <c r="G39" i="1"/>
  <c r="A38" i="2" s="1"/>
  <c r="G31" i="1"/>
  <c r="A30" i="2" s="1"/>
  <c r="G30" i="1"/>
  <c r="A29" i="2" s="1"/>
  <c r="G29" i="1"/>
  <c r="A28" i="2" s="1"/>
  <c r="B50" i="2" l="1"/>
  <c r="B1323" i="2"/>
  <c r="B30" i="2"/>
  <c r="B28" i="2"/>
  <c r="B38" i="2"/>
  <c r="B39" i="2"/>
  <c r="B29" i="2"/>
  <c r="B40" i="2"/>
  <c r="B48" i="2"/>
  <c r="B49" i="2"/>
  <c r="E1324" i="1"/>
  <c r="E30" i="1"/>
  <c r="E40" i="1"/>
  <c r="E50" i="1"/>
  <c r="E31" i="1"/>
  <c r="E41" i="1"/>
  <c r="E51" i="1"/>
  <c r="E49" i="1"/>
  <c r="E29" i="1"/>
  <c r="E39" i="1"/>
  <c r="G936" i="1"/>
  <c r="A935" i="2" s="1"/>
  <c r="G935" i="1"/>
  <c r="A934" i="2" s="1"/>
  <c r="B934" i="2" l="1"/>
  <c r="B935" i="2"/>
  <c r="E935" i="1"/>
  <c r="E936" i="1"/>
  <c r="G163" i="1"/>
  <c r="A162" i="2" s="1"/>
  <c r="G162" i="1"/>
  <c r="A161" i="2" s="1"/>
  <c r="G161" i="1"/>
  <c r="A160" i="2" s="1"/>
  <c r="G160" i="1"/>
  <c r="A159" i="2" s="1"/>
  <c r="G159" i="1"/>
  <c r="A158" i="2" s="1"/>
  <c r="G165" i="1"/>
  <c r="A164" i="2" s="1"/>
  <c r="B161" i="2" l="1"/>
  <c r="B162" i="2"/>
  <c r="B159" i="2"/>
  <c r="B164" i="2"/>
  <c r="B158" i="2"/>
  <c r="B160" i="2"/>
  <c r="E160" i="1"/>
  <c r="E162" i="1"/>
  <c r="E165" i="1"/>
  <c r="E159" i="1"/>
  <c r="E161" i="1"/>
  <c r="E163" i="1"/>
  <c r="G89" i="1"/>
  <c r="A88" i="2" s="1"/>
  <c r="G54" i="1"/>
  <c r="A53" i="2" s="1"/>
  <c r="G43" i="1"/>
  <c r="A42" i="2" s="1"/>
  <c r="G33" i="1"/>
  <c r="A32" i="2" s="1"/>
  <c r="B32" i="2" l="1"/>
  <c r="B53" i="2"/>
  <c r="B88" i="2"/>
  <c r="B42" i="2"/>
  <c r="E43" i="1"/>
  <c r="E33" i="1"/>
  <c r="G984" i="1"/>
  <c r="A983" i="2" s="1"/>
  <c r="G983" i="1"/>
  <c r="A982" i="2" s="1"/>
  <c r="G1142" i="1"/>
  <c r="A1141" i="2" s="1"/>
  <c r="G1141" i="1"/>
  <c r="A1140" i="2" s="1"/>
  <c r="G1140" i="1"/>
  <c r="A1139" i="2" s="1"/>
  <c r="G1139" i="1"/>
  <c r="A1138" i="2" s="1"/>
  <c r="B1138" i="2" l="1"/>
  <c r="B1141" i="2"/>
  <c r="B1139" i="2"/>
  <c r="B982" i="2"/>
  <c r="B983" i="2"/>
  <c r="B1140" i="2"/>
  <c r="E983" i="1"/>
  <c r="E984" i="1"/>
  <c r="E1139" i="1"/>
  <c r="E1140" i="1"/>
  <c r="E1141" i="1"/>
  <c r="E1142" i="1"/>
  <c r="G1322" i="1"/>
  <c r="A1321" i="2" s="1"/>
  <c r="G1321" i="1"/>
  <c r="A1320" i="2" s="1"/>
  <c r="G1314" i="1"/>
  <c r="A1313" i="2" s="1"/>
  <c r="G1315" i="1"/>
  <c r="A1314" i="2" s="1"/>
  <c r="G1313" i="1"/>
  <c r="A1312" i="2" s="1"/>
  <c r="G1311" i="1"/>
  <c r="A1310" i="2" s="1"/>
  <c r="G1310" i="1"/>
  <c r="A1309" i="2" s="1"/>
  <c r="G1309" i="1"/>
  <c r="A1308" i="2" s="1"/>
  <c r="G1308" i="1"/>
  <c r="A1307" i="2" s="1"/>
  <c r="G1307" i="1"/>
  <c r="A1306" i="2" s="1"/>
  <c r="B1312" i="2" l="1"/>
  <c r="B1314" i="2"/>
  <c r="B1306" i="2"/>
  <c r="B1320" i="2"/>
  <c r="B1307" i="2"/>
  <c r="B1321" i="2"/>
  <c r="B1310" i="2"/>
  <c r="B1308" i="2"/>
  <c r="B1313" i="2"/>
  <c r="B1309" i="2"/>
  <c r="E1307" i="1"/>
  <c r="E1311" i="1"/>
  <c r="E1321" i="1"/>
  <c r="E1308" i="1"/>
  <c r="E1313" i="1"/>
  <c r="E1322" i="1"/>
  <c r="E1309" i="1"/>
  <c r="E1315" i="1"/>
  <c r="E1310" i="1"/>
  <c r="E1314" i="1"/>
  <c r="G942" i="1"/>
  <c r="A941" i="2" s="1"/>
  <c r="G941" i="1"/>
  <c r="A940" i="2" s="1"/>
  <c r="B941" i="2" l="1"/>
  <c r="B940" i="2"/>
  <c r="E941" i="1"/>
  <c r="E942" i="1"/>
  <c r="G673" i="1"/>
  <c r="A672" i="2" s="1"/>
  <c r="G118" i="1"/>
  <c r="A117" i="2" s="1"/>
  <c r="G117" i="1"/>
  <c r="A116" i="2" s="1"/>
  <c r="G122" i="1"/>
  <c r="A121" i="2" s="1"/>
  <c r="G120" i="1"/>
  <c r="A119" i="2" s="1"/>
  <c r="G114" i="1"/>
  <c r="A113" i="2" s="1"/>
  <c r="G113" i="1"/>
  <c r="A112" i="2" s="1"/>
  <c r="G112" i="1"/>
  <c r="A111" i="2" s="1"/>
  <c r="G111" i="1"/>
  <c r="A110" i="2" s="1"/>
  <c r="G90" i="1"/>
  <c r="A89" i="2" s="1"/>
  <c r="G55" i="1"/>
  <c r="A54" i="2" s="1"/>
  <c r="G44" i="1"/>
  <c r="A43" i="2" s="1"/>
  <c r="G34" i="1"/>
  <c r="A33" i="2" s="1"/>
  <c r="G330" i="1"/>
  <c r="A329" i="2" s="1"/>
  <c r="G284" i="1"/>
  <c r="A283" i="2" s="1"/>
  <c r="G222" i="1"/>
  <c r="A221" i="2" s="1"/>
  <c r="G208" i="1"/>
  <c r="A207" i="2" s="1"/>
  <c r="G1302" i="1"/>
  <c r="A1301" i="2" s="1"/>
  <c r="G1301" i="1"/>
  <c r="A1300" i="2" s="1"/>
  <c r="G1300" i="1"/>
  <c r="A1299" i="2" s="1"/>
  <c r="G1299" i="1"/>
  <c r="A1298" i="2" s="1"/>
  <c r="G1298" i="1"/>
  <c r="A1297" i="2" s="1"/>
  <c r="G1297" i="1"/>
  <c r="A1296" i="2" s="1"/>
  <c r="G1296" i="1"/>
  <c r="A1295" i="2" s="1"/>
  <c r="G1295" i="1"/>
  <c r="A1294" i="2" s="1"/>
  <c r="G1268" i="1"/>
  <c r="A1267" i="2" s="1"/>
  <c r="G1267" i="1"/>
  <c r="A1266" i="2" s="1"/>
  <c r="G1266" i="1"/>
  <c r="A1265" i="2" s="1"/>
  <c r="G1265" i="1"/>
  <c r="A1264" i="2" s="1"/>
  <c r="G1264" i="1"/>
  <c r="A1263" i="2" s="1"/>
  <c r="G1263" i="1"/>
  <c r="A1262" i="2" s="1"/>
  <c r="G1262" i="1"/>
  <c r="A1261" i="2" s="1"/>
  <c r="G1261" i="1"/>
  <c r="A1260" i="2" s="1"/>
  <c r="G1294" i="1"/>
  <c r="A1293" i="2" s="1"/>
  <c r="G1293" i="1"/>
  <c r="A1292" i="2" s="1"/>
  <c r="G1292" i="1"/>
  <c r="A1291" i="2" s="1"/>
  <c r="G1291" i="1"/>
  <c r="A1290" i="2" s="1"/>
  <c r="G1290" i="1"/>
  <c r="A1289" i="2" s="1"/>
  <c r="G1289" i="1"/>
  <c r="A1288" i="2" s="1"/>
  <c r="G1288" i="1"/>
  <c r="A1287" i="2" s="1"/>
  <c r="G1287" i="1"/>
  <c r="A1286" i="2" s="1"/>
  <c r="G1286" i="1"/>
  <c r="A1285" i="2" s="1"/>
  <c r="G1285" i="1"/>
  <c r="A1284" i="2" s="1"/>
  <c r="G1284" i="1"/>
  <c r="A1283" i="2" s="1"/>
  <c r="G1283" i="1"/>
  <c r="A1282" i="2" s="1"/>
  <c r="G1282" i="1"/>
  <c r="A1281" i="2" s="1"/>
  <c r="G1281" i="1"/>
  <c r="A1280" i="2" s="1"/>
  <c r="G1280" i="1"/>
  <c r="A1279" i="2" s="1"/>
  <c r="G1279" i="1"/>
  <c r="A1278" i="2" s="1"/>
  <c r="G1278" i="1"/>
  <c r="A1277" i="2" s="1"/>
  <c r="G1277" i="1"/>
  <c r="A1276" i="2" s="1"/>
  <c r="G1276" i="1"/>
  <c r="A1275" i="2" s="1"/>
  <c r="G1275" i="1"/>
  <c r="A1274" i="2" s="1"/>
  <c r="G1274" i="1"/>
  <c r="A1273" i="2" s="1"/>
  <c r="G1273" i="1"/>
  <c r="A1272" i="2" s="1"/>
  <c r="G1272" i="1"/>
  <c r="A1271" i="2" s="1"/>
  <c r="G1271" i="1"/>
  <c r="A1270" i="2" s="1"/>
  <c r="G1270" i="1"/>
  <c r="A1269" i="2" s="1"/>
  <c r="G1269" i="1"/>
  <c r="A1268" i="2" s="1"/>
  <c r="G1260" i="1"/>
  <c r="A1259" i="2" s="1"/>
  <c r="G1259" i="1"/>
  <c r="A1258" i="2" s="1"/>
  <c r="G1258" i="1"/>
  <c r="A1257" i="2" s="1"/>
  <c r="G1257" i="1"/>
  <c r="A1256" i="2" s="1"/>
  <c r="G1256" i="1"/>
  <c r="A1255" i="2" s="1"/>
  <c r="G1255" i="1"/>
  <c r="A1254" i="2" s="1"/>
  <c r="G1254" i="1"/>
  <c r="A1253" i="2" s="1"/>
  <c r="G1253" i="1"/>
  <c r="A1252" i="2" s="1"/>
  <c r="G1252" i="1"/>
  <c r="A1251" i="2" s="1"/>
  <c r="G1251" i="1"/>
  <c r="A1250" i="2" s="1"/>
  <c r="G1250" i="1"/>
  <c r="A1249" i="2" s="1"/>
  <c r="G1249" i="1"/>
  <c r="A1248" i="2" s="1"/>
  <c r="G1248" i="1"/>
  <c r="A1247" i="2" s="1"/>
  <c r="G1247" i="1"/>
  <c r="A1246" i="2" s="1"/>
  <c r="G1246" i="1"/>
  <c r="A1245" i="2" s="1"/>
  <c r="G1245" i="1"/>
  <c r="A1244" i="2" s="1"/>
  <c r="G1244" i="1"/>
  <c r="A1243" i="2" s="1"/>
  <c r="G1243" i="1"/>
  <c r="A1242" i="2" s="1"/>
  <c r="G1242" i="1"/>
  <c r="A1241" i="2" s="1"/>
  <c r="G1241" i="1"/>
  <c r="A1240" i="2" s="1"/>
  <c r="G1240" i="1"/>
  <c r="A1239" i="2" s="1"/>
  <c r="G1239" i="1"/>
  <c r="A1238" i="2" s="1"/>
  <c r="G1238" i="1"/>
  <c r="A1237" i="2" s="1"/>
  <c r="G1237" i="1"/>
  <c r="A1236" i="2" s="1"/>
  <c r="G1216" i="1"/>
  <c r="A1215" i="2" s="1"/>
  <c r="G1215" i="1"/>
  <c r="A1214" i="2" s="1"/>
  <c r="G1214" i="1"/>
  <c r="A1213" i="2" s="1"/>
  <c r="G1213" i="1"/>
  <c r="A1212" i="2" s="1"/>
  <c r="G1212" i="1"/>
  <c r="A1211" i="2" s="1"/>
  <c r="G1211" i="1"/>
  <c r="A1210" i="2" s="1"/>
  <c r="G1210" i="1"/>
  <c r="A1209" i="2" s="1"/>
  <c r="G1209" i="1"/>
  <c r="A1208" i="2" s="1"/>
  <c r="G1208" i="1"/>
  <c r="A1207" i="2" s="1"/>
  <c r="G1207" i="1"/>
  <c r="A1206" i="2" s="1"/>
  <c r="G1206" i="1"/>
  <c r="A1205" i="2" s="1"/>
  <c r="G1205" i="1"/>
  <c r="A1204" i="2" s="1"/>
  <c r="G1204" i="1"/>
  <c r="A1203" i="2" s="1"/>
  <c r="G1203" i="1"/>
  <c r="A1202" i="2" s="1"/>
  <c r="G1202" i="1"/>
  <c r="A1201" i="2" s="1"/>
  <c r="G1201" i="1"/>
  <c r="A1200" i="2" s="1"/>
  <c r="G1200" i="1"/>
  <c r="A1199" i="2" s="1"/>
  <c r="G1199" i="1"/>
  <c r="A1198" i="2" s="1"/>
  <c r="G1198" i="1"/>
  <c r="A1197" i="2" s="1"/>
  <c r="G1197" i="1"/>
  <c r="A1196" i="2" s="1"/>
  <c r="G1196" i="1"/>
  <c r="A1195" i="2" s="1"/>
  <c r="G1195" i="1"/>
  <c r="A1194" i="2" s="1"/>
  <c r="G1194" i="1"/>
  <c r="A1193" i="2" s="1"/>
  <c r="G1193" i="1"/>
  <c r="A1192" i="2" s="1"/>
  <c r="G1182" i="1"/>
  <c r="A1181" i="2" s="1"/>
  <c r="G1181" i="1"/>
  <c r="A1180" i="2" s="1"/>
  <c r="G1179" i="1"/>
  <c r="A1178" i="2" s="1"/>
  <c r="G1178" i="1"/>
  <c r="A1177" i="2" s="1"/>
  <c r="G1177" i="1"/>
  <c r="A1176" i="2" s="1"/>
  <c r="G1176" i="1"/>
  <c r="A1175" i="2" s="1"/>
  <c r="G1175" i="1"/>
  <c r="A1174" i="2" s="1"/>
  <c r="G1174" i="1"/>
  <c r="A1173" i="2" s="1"/>
  <c r="G1173" i="1"/>
  <c r="A1172" i="2" s="1"/>
  <c r="G1172" i="1"/>
  <c r="A1171" i="2" s="1"/>
  <c r="G1171" i="1"/>
  <c r="A1170" i="2" s="1"/>
  <c r="G1170" i="1"/>
  <c r="A1169" i="2" s="1"/>
  <c r="G1169" i="1"/>
  <c r="A1168" i="2" s="1"/>
  <c r="G1168" i="1"/>
  <c r="A1167" i="2" s="1"/>
  <c r="G1167" i="1"/>
  <c r="A1166" i="2" s="1"/>
  <c r="G1190" i="1"/>
  <c r="A1189" i="2" s="1"/>
  <c r="G1189" i="1"/>
  <c r="A1188" i="2" s="1"/>
  <c r="G1188" i="1"/>
  <c r="A1187" i="2" s="1"/>
  <c r="G1187" i="1"/>
  <c r="A1186" i="2" s="1"/>
  <c r="G1186" i="1"/>
  <c r="A1185" i="2" s="1"/>
  <c r="G1185" i="1"/>
  <c r="A1184" i="2" s="1"/>
  <c r="G1184" i="1"/>
  <c r="A1183" i="2" s="1"/>
  <c r="G1183" i="1"/>
  <c r="A1182" i="2" s="1"/>
  <c r="G1114" i="1"/>
  <c r="A1113" i="2" s="1"/>
  <c r="G1113" i="1"/>
  <c r="A1112" i="2" s="1"/>
  <c r="G1112" i="1"/>
  <c r="A1111" i="2" s="1"/>
  <c r="G1111" i="1"/>
  <c r="A1110" i="2" s="1"/>
  <c r="G1110" i="1"/>
  <c r="A1109" i="2" s="1"/>
  <c r="G1109" i="1"/>
  <c r="A1108" i="2" s="1"/>
  <c r="G1108" i="1"/>
  <c r="A1107" i="2" s="1"/>
  <c r="G1107" i="1"/>
  <c r="A1106" i="2" s="1"/>
  <c r="G1106" i="1"/>
  <c r="A1105" i="2" s="1"/>
  <c r="G1105" i="1"/>
  <c r="A1104" i="2" s="1"/>
  <c r="G1104" i="1"/>
  <c r="A1103" i="2" s="1"/>
  <c r="G1103" i="1"/>
  <c r="A1102" i="2" s="1"/>
  <c r="G1064" i="1"/>
  <c r="A1063" i="2" s="1"/>
  <c r="G1063" i="1"/>
  <c r="A1062" i="2" s="1"/>
  <c r="G1062" i="1"/>
  <c r="A1061" i="2" s="1"/>
  <c r="G1061" i="1"/>
  <c r="A1060" i="2" s="1"/>
  <c r="G1060" i="1"/>
  <c r="A1059" i="2" s="1"/>
  <c r="G1059" i="1"/>
  <c r="A1058" i="2" s="1"/>
  <c r="G1058" i="1"/>
  <c r="A1057" i="2" s="1"/>
  <c r="G1057" i="1"/>
  <c r="A1056" i="2" s="1"/>
  <c r="G1056" i="1"/>
  <c r="A1055" i="2" s="1"/>
  <c r="G1055" i="1"/>
  <c r="A1054" i="2" s="1"/>
  <c r="G1054" i="1"/>
  <c r="A1053" i="2" s="1"/>
  <c r="G1053" i="1"/>
  <c r="A1052" i="2" s="1"/>
  <c r="B1294" i="2" l="1"/>
  <c r="B207" i="2"/>
  <c r="B110" i="2"/>
  <c r="B672" i="2"/>
  <c r="B1166" i="2"/>
  <c r="B1245" i="2"/>
  <c r="B1267" i="2"/>
  <c r="B1107" i="2"/>
  <c r="B1194" i="2"/>
  <c r="B1254" i="2"/>
  <c r="B1278" i="2"/>
  <c r="B1286" i="2"/>
  <c r="B1260" i="2"/>
  <c r="B1054" i="2"/>
  <c r="B1062" i="2"/>
  <c r="B1108" i="2"/>
  <c r="B1184" i="2"/>
  <c r="B1168" i="2"/>
  <c r="B1176" i="2"/>
  <c r="B1195" i="2"/>
  <c r="B1203" i="2"/>
  <c r="B1211" i="2"/>
  <c r="B1239" i="2"/>
  <c r="B1247" i="2"/>
  <c r="B1255" i="2"/>
  <c r="B1271" i="2"/>
  <c r="B1279" i="2"/>
  <c r="B1287" i="2"/>
  <c r="B1261" i="2"/>
  <c r="B1295" i="2"/>
  <c r="B221" i="2"/>
  <c r="B111" i="2"/>
  <c r="B1182" i="2"/>
  <c r="B1237" i="2"/>
  <c r="B1293" i="2"/>
  <c r="B117" i="2"/>
  <c r="B1167" i="2"/>
  <c r="B1270" i="2"/>
  <c r="B1169" i="2"/>
  <c r="B1240" i="2"/>
  <c r="B1288" i="2"/>
  <c r="B283" i="2"/>
  <c r="B112" i="2"/>
  <c r="B1052" i="2"/>
  <c r="B1193" i="2"/>
  <c r="B1269" i="2"/>
  <c r="B89" i="2"/>
  <c r="B1175" i="2"/>
  <c r="B1246" i="2"/>
  <c r="B1185" i="2"/>
  <c r="B1204" i="2"/>
  <c r="B1272" i="2"/>
  <c r="B1262" i="2"/>
  <c r="B1296" i="2"/>
  <c r="B1056" i="2"/>
  <c r="B1102" i="2"/>
  <c r="B1110" i="2"/>
  <c r="B1186" i="2"/>
  <c r="B1170" i="2"/>
  <c r="B1178" i="2"/>
  <c r="B1197" i="2"/>
  <c r="B1205" i="2"/>
  <c r="B1213" i="2"/>
  <c r="B1241" i="2"/>
  <c r="B1249" i="2"/>
  <c r="B1257" i="2"/>
  <c r="B1273" i="2"/>
  <c r="B1281" i="2"/>
  <c r="B1289" i="2"/>
  <c r="B1263" i="2"/>
  <c r="B1297" i="2"/>
  <c r="B329" i="2"/>
  <c r="B113" i="2"/>
  <c r="B1106" i="2"/>
  <c r="B1201" i="2"/>
  <c r="B1285" i="2"/>
  <c r="B1061" i="2"/>
  <c r="B1202" i="2"/>
  <c r="B1055" i="2"/>
  <c r="B1177" i="2"/>
  <c r="B1248" i="2"/>
  <c r="B1057" i="2"/>
  <c r="B1103" i="2"/>
  <c r="B1111" i="2"/>
  <c r="B1187" i="2"/>
  <c r="B1171" i="2"/>
  <c r="B1180" i="2"/>
  <c r="B1198" i="2"/>
  <c r="B1206" i="2"/>
  <c r="B1214" i="2"/>
  <c r="B1242" i="2"/>
  <c r="B1250" i="2"/>
  <c r="B1258" i="2"/>
  <c r="B1274" i="2"/>
  <c r="B1282" i="2"/>
  <c r="B1290" i="2"/>
  <c r="B1264" i="2"/>
  <c r="B1298" i="2"/>
  <c r="B33" i="2"/>
  <c r="B119" i="2"/>
  <c r="B1174" i="2"/>
  <c r="B1253" i="2"/>
  <c r="B1301" i="2"/>
  <c r="B1183" i="2"/>
  <c r="B1238" i="2"/>
  <c r="B1109" i="2"/>
  <c r="B1212" i="2"/>
  <c r="B1280" i="2"/>
  <c r="B1058" i="2"/>
  <c r="B1104" i="2"/>
  <c r="B1112" i="2"/>
  <c r="B1188" i="2"/>
  <c r="B1172" i="2"/>
  <c r="B1181" i="2"/>
  <c r="B1199" i="2"/>
  <c r="B1207" i="2"/>
  <c r="B1215" i="2"/>
  <c r="B1243" i="2"/>
  <c r="B1251" i="2"/>
  <c r="B1259" i="2"/>
  <c r="B1275" i="2"/>
  <c r="B1283" i="2"/>
  <c r="B1291" i="2"/>
  <c r="B1265" i="2"/>
  <c r="B1299" i="2"/>
  <c r="B43" i="2"/>
  <c r="B121" i="2"/>
  <c r="B1060" i="2"/>
  <c r="B1209" i="2"/>
  <c r="B1277" i="2"/>
  <c r="B1053" i="2"/>
  <c r="B1210" i="2"/>
  <c r="B1063" i="2"/>
  <c r="B1196" i="2"/>
  <c r="B1256" i="2"/>
  <c r="B1059" i="2"/>
  <c r="B1105" i="2"/>
  <c r="B1113" i="2"/>
  <c r="B1189" i="2"/>
  <c r="B1173" i="2"/>
  <c r="B1192" i="2"/>
  <c r="B1200" i="2"/>
  <c r="B1208" i="2"/>
  <c r="B1236" i="2"/>
  <c r="B1244" i="2"/>
  <c r="B1252" i="2"/>
  <c r="B1268" i="2"/>
  <c r="B1276" i="2"/>
  <c r="B1284" i="2"/>
  <c r="B1292" i="2"/>
  <c r="B1266" i="2"/>
  <c r="B1300" i="2"/>
  <c r="B54" i="2"/>
  <c r="B116" i="2"/>
  <c r="E1059" i="1"/>
  <c r="E1053" i="1"/>
  <c r="E1057" i="1"/>
  <c r="E1061" i="1"/>
  <c r="E1103" i="1"/>
  <c r="E1107" i="1"/>
  <c r="E1111" i="1"/>
  <c r="E1183" i="1"/>
  <c r="E1187" i="1"/>
  <c r="E1167" i="1"/>
  <c r="E1171" i="1"/>
  <c r="E1175" i="1"/>
  <c r="E1179" i="1"/>
  <c r="E1194" i="1"/>
  <c r="E1198" i="1"/>
  <c r="E1202" i="1"/>
  <c r="E1206" i="1"/>
  <c r="E1210" i="1"/>
  <c r="E1214" i="1"/>
  <c r="E1238" i="1"/>
  <c r="E1242" i="1"/>
  <c r="E1246" i="1"/>
  <c r="E1250" i="1"/>
  <c r="E1254" i="1"/>
  <c r="E1258" i="1"/>
  <c r="E1270" i="1"/>
  <c r="E1274" i="1"/>
  <c r="E1278" i="1"/>
  <c r="E1282" i="1"/>
  <c r="E1286" i="1"/>
  <c r="E1290" i="1"/>
  <c r="E1294" i="1"/>
  <c r="E1264" i="1"/>
  <c r="E1268" i="1"/>
  <c r="E1298" i="1"/>
  <c r="E1302" i="1"/>
  <c r="E330" i="1"/>
  <c r="E1056" i="1"/>
  <c r="E1054" i="1"/>
  <c r="E1058" i="1"/>
  <c r="E1062" i="1"/>
  <c r="E1104" i="1"/>
  <c r="E1108" i="1"/>
  <c r="E1112" i="1"/>
  <c r="E1184" i="1"/>
  <c r="E1188" i="1"/>
  <c r="E1168" i="1"/>
  <c r="E1172" i="1"/>
  <c r="E1176" i="1"/>
  <c r="E1181" i="1"/>
  <c r="E1195" i="1"/>
  <c r="E1199" i="1"/>
  <c r="E1203" i="1"/>
  <c r="E1207" i="1"/>
  <c r="E1211" i="1"/>
  <c r="E1215" i="1"/>
  <c r="E1239" i="1"/>
  <c r="E1243" i="1"/>
  <c r="E1247" i="1"/>
  <c r="E1251" i="1"/>
  <c r="E1255" i="1"/>
  <c r="E1259" i="1"/>
  <c r="E1271" i="1"/>
  <c r="E1275" i="1"/>
  <c r="E1279" i="1"/>
  <c r="E1283" i="1"/>
  <c r="E1287" i="1"/>
  <c r="E1291" i="1"/>
  <c r="E1261" i="1"/>
  <c r="E1265" i="1"/>
  <c r="E1295" i="1"/>
  <c r="E1299" i="1"/>
  <c r="E208" i="1"/>
  <c r="E673" i="1"/>
  <c r="E1063" i="1"/>
  <c r="E1105" i="1"/>
  <c r="E1109" i="1"/>
  <c r="E1113" i="1"/>
  <c r="E1185" i="1"/>
  <c r="E1189" i="1"/>
  <c r="E1169" i="1"/>
  <c r="E1173" i="1"/>
  <c r="E1177" i="1"/>
  <c r="E1182" i="1"/>
  <c r="E1196" i="1"/>
  <c r="E1200" i="1"/>
  <c r="E1204" i="1"/>
  <c r="E1208" i="1"/>
  <c r="E1212" i="1"/>
  <c r="E1216" i="1"/>
  <c r="E1240" i="1"/>
  <c r="E1244" i="1"/>
  <c r="E1248" i="1"/>
  <c r="E1252" i="1"/>
  <c r="E1256" i="1"/>
  <c r="E1260" i="1"/>
  <c r="E1272" i="1"/>
  <c r="E1276" i="1"/>
  <c r="E1280" i="1"/>
  <c r="E1284" i="1"/>
  <c r="E1288" i="1"/>
  <c r="E1292" i="1"/>
  <c r="E1262" i="1"/>
  <c r="E1266" i="1"/>
  <c r="E1296" i="1"/>
  <c r="E1300" i="1"/>
  <c r="E222" i="1"/>
  <c r="E1055" i="1"/>
  <c r="E1060" i="1"/>
  <c r="E1064" i="1"/>
  <c r="E1106" i="1"/>
  <c r="E1110" i="1"/>
  <c r="E1114" i="1"/>
  <c r="E1186" i="1"/>
  <c r="E1190" i="1"/>
  <c r="E1170" i="1"/>
  <c r="E1174" i="1"/>
  <c r="E1178" i="1"/>
  <c r="E1193" i="1"/>
  <c r="E1197" i="1"/>
  <c r="E1201" i="1"/>
  <c r="E1205" i="1"/>
  <c r="E1209" i="1"/>
  <c r="E1213" i="1"/>
  <c r="E1237" i="1"/>
  <c r="E1241" i="1"/>
  <c r="E1245" i="1"/>
  <c r="E1249" i="1"/>
  <c r="E1253" i="1"/>
  <c r="E1257" i="1"/>
  <c r="E1269" i="1"/>
  <c r="E1273" i="1"/>
  <c r="E1277" i="1"/>
  <c r="E1281" i="1"/>
  <c r="E1285" i="1"/>
  <c r="E1289" i="1"/>
  <c r="E1293" i="1"/>
  <c r="E1263" i="1"/>
  <c r="E1267" i="1"/>
  <c r="E1297" i="1"/>
  <c r="E1301" i="1"/>
  <c r="E284" i="1"/>
  <c r="E44" i="1"/>
  <c r="E112" i="1"/>
  <c r="E90" i="1"/>
  <c r="E114" i="1"/>
  <c r="E118" i="1"/>
  <c r="E111" i="1"/>
  <c r="E122" i="1"/>
  <c r="E34" i="1"/>
  <c r="E120" i="1"/>
  <c r="E55" i="1"/>
  <c r="E113" i="1"/>
  <c r="E117" i="1"/>
  <c r="G1192" i="1"/>
  <c r="A1191" i="2" s="1"/>
  <c r="G1191" i="1"/>
  <c r="A1190" i="2" s="1"/>
  <c r="G1090" i="1"/>
  <c r="A1089" i="2" s="1"/>
  <c r="G1089" i="1"/>
  <c r="A1088" i="2" s="1"/>
  <c r="G1010" i="1"/>
  <c r="A1009" i="2" s="1"/>
  <c r="G1009" i="1"/>
  <c r="A1008" i="2" s="1"/>
  <c r="B1088" i="2" l="1"/>
  <c r="B1190" i="2"/>
  <c r="B1191" i="2"/>
  <c r="B1008" i="2"/>
  <c r="B1009" i="2"/>
  <c r="B1089" i="2"/>
  <c r="E1010" i="1"/>
  <c r="E1009" i="1"/>
  <c r="E1191" i="1"/>
  <c r="E1192" i="1"/>
  <c r="E1089" i="1"/>
  <c r="E1090" i="1"/>
  <c r="G528" i="1"/>
  <c r="A527" i="2" s="1"/>
  <c r="G527" i="1"/>
  <c r="A526" i="2" s="1"/>
  <c r="G526" i="1"/>
  <c r="A525" i="2" s="1"/>
  <c r="G525" i="1"/>
  <c r="A524" i="2" s="1"/>
  <c r="B524" i="2" l="1"/>
  <c r="B525" i="2"/>
  <c r="B527" i="2"/>
  <c r="B526" i="2"/>
  <c r="E526" i="1"/>
  <c r="E527" i="1"/>
  <c r="E525" i="1"/>
  <c r="E528" i="1"/>
  <c r="G544" i="1"/>
  <c r="A543" i="2" s="1"/>
  <c r="G543" i="1"/>
  <c r="A542" i="2" s="1"/>
  <c r="G542" i="1"/>
  <c r="A541" i="2" s="1"/>
  <c r="G541" i="1"/>
  <c r="A540" i="2" s="1"/>
  <c r="B540" i="2" l="1"/>
  <c r="B543" i="2"/>
  <c r="B542" i="2"/>
  <c r="B541" i="2"/>
  <c r="E544" i="1"/>
  <c r="E541" i="1"/>
  <c r="E542" i="1"/>
  <c r="E543" i="1"/>
  <c r="G548" i="1"/>
  <c r="A547" i="2" s="1"/>
  <c r="G551" i="1"/>
  <c r="A550" i="2" s="1"/>
  <c r="G552" i="1"/>
  <c r="A551" i="2" s="1"/>
  <c r="G553" i="1"/>
  <c r="A552" i="2" s="1"/>
  <c r="G554" i="1"/>
  <c r="A553" i="2" s="1"/>
  <c r="G557" i="1"/>
  <c r="A556" i="2" s="1"/>
  <c r="G558" i="1"/>
  <c r="A557" i="2" s="1"/>
  <c r="G559" i="1"/>
  <c r="A558" i="2" s="1"/>
  <c r="G560" i="1"/>
  <c r="A559" i="2" s="1"/>
  <c r="B552" i="2" l="1"/>
  <c r="B551" i="2"/>
  <c r="B550" i="2"/>
  <c r="B547" i="2"/>
  <c r="B558" i="2"/>
  <c r="B557" i="2"/>
  <c r="B559" i="2"/>
  <c r="B556" i="2"/>
  <c r="B553" i="2"/>
  <c r="E559" i="1"/>
  <c r="E558" i="1"/>
  <c r="E552" i="1"/>
  <c r="E553" i="1"/>
  <c r="E557" i="1"/>
  <c r="E551" i="1"/>
  <c r="E560" i="1"/>
  <c r="E554" i="1"/>
  <c r="E548" i="1"/>
  <c r="G181" i="1"/>
  <c r="A180" i="2" s="1"/>
  <c r="G180" i="1"/>
  <c r="A179" i="2" s="1"/>
  <c r="B180" i="2" l="1"/>
  <c r="B179" i="2"/>
  <c r="E181" i="1"/>
  <c r="E180" i="1"/>
  <c r="G179" i="1"/>
  <c r="A178" i="2" s="1"/>
  <c r="B178" i="2" l="1"/>
  <c r="E179" i="1"/>
  <c r="G898" i="1"/>
  <c r="A897" i="2" s="1"/>
  <c r="B897" i="2" l="1"/>
  <c r="E898" i="1"/>
  <c r="G681" i="1"/>
  <c r="A680" i="2" s="1"/>
  <c r="B680" i="2" l="1"/>
  <c r="E681" i="1"/>
  <c r="G712" i="1"/>
  <c r="A711" i="2" s="1"/>
  <c r="G709" i="1"/>
  <c r="A708" i="2" s="1"/>
  <c r="B708" i="2" l="1"/>
  <c r="B711" i="2"/>
  <c r="E712" i="1"/>
  <c r="E709" i="1"/>
  <c r="G759" i="1"/>
  <c r="A758" i="2" s="1"/>
  <c r="B758" i="2" l="1"/>
  <c r="E759" i="1"/>
  <c r="G787" i="1"/>
  <c r="A786" i="2" s="1"/>
  <c r="B786" i="2" l="1"/>
  <c r="E787" i="1"/>
  <c r="G419" i="1"/>
  <c r="A418" i="2" s="1"/>
  <c r="G421" i="1"/>
  <c r="A420" i="2" s="1"/>
  <c r="G420" i="1"/>
  <c r="A419" i="2" s="1"/>
  <c r="G409" i="1"/>
  <c r="A408" i="2" s="1"/>
  <c r="G408" i="1"/>
  <c r="A407" i="2" s="1"/>
  <c r="G407" i="1"/>
  <c r="A406" i="2" s="1"/>
  <c r="G406" i="1"/>
  <c r="A405" i="2" s="1"/>
  <c r="G405" i="1"/>
  <c r="A404" i="2" s="1"/>
  <c r="G404" i="1"/>
  <c r="A403" i="2" s="1"/>
  <c r="B408" i="2" l="1"/>
  <c r="B419" i="2"/>
  <c r="B407" i="2"/>
  <c r="B420" i="2"/>
  <c r="B403" i="2"/>
  <c r="B418" i="2"/>
  <c r="B404" i="2"/>
  <c r="B405" i="2"/>
  <c r="B406" i="2"/>
  <c r="E404" i="1"/>
  <c r="E408" i="1"/>
  <c r="E419" i="1"/>
  <c r="E405" i="1"/>
  <c r="E409" i="1"/>
  <c r="E406" i="1"/>
  <c r="E420" i="1"/>
  <c r="E407" i="1"/>
  <c r="E421" i="1"/>
  <c r="G536" i="1"/>
  <c r="A535" i="2" s="1"/>
  <c r="G530" i="1"/>
  <c r="A529" i="2" s="1"/>
  <c r="G529" i="1"/>
  <c r="A528" i="2" s="1"/>
  <c r="G533" i="1"/>
  <c r="E533" i="1" s="1"/>
  <c r="G532" i="1"/>
  <c r="A531" i="2" s="1"/>
  <c r="G534" i="1"/>
  <c r="E534" i="1" s="1"/>
  <c r="B528" i="2" l="1"/>
  <c r="B529" i="2"/>
  <c r="B535" i="2"/>
  <c r="B531" i="2"/>
  <c r="E536" i="1"/>
  <c r="E532" i="1"/>
  <c r="E529" i="1"/>
  <c r="E530" i="1"/>
  <c r="G157" i="1"/>
  <c r="A156" i="2" s="1"/>
  <c r="G155" i="1"/>
  <c r="A154" i="2" s="1"/>
  <c r="G154" i="1"/>
  <c r="A153" i="2" s="1"/>
  <c r="G156" i="1"/>
  <c r="A155" i="2" s="1"/>
  <c r="G108" i="1"/>
  <c r="A107" i="2" s="1"/>
  <c r="G107" i="1"/>
  <c r="A106" i="2" s="1"/>
  <c r="B155" i="2" l="1"/>
  <c r="B153" i="2"/>
  <c r="B154" i="2"/>
  <c r="B156" i="2"/>
  <c r="B106" i="2"/>
  <c r="B107" i="2"/>
  <c r="E155" i="1"/>
  <c r="E157" i="1"/>
  <c r="E156" i="1"/>
  <c r="E108" i="1"/>
  <c r="E154" i="1"/>
  <c r="E107" i="1"/>
  <c r="G115" i="1"/>
  <c r="A114" i="2" s="1"/>
  <c r="G116" i="1"/>
  <c r="A115" i="2" s="1"/>
  <c r="B115" i="2" l="1"/>
  <c r="B114" i="2"/>
  <c r="E116" i="1"/>
  <c r="E115" i="1"/>
  <c r="G151" i="1"/>
  <c r="A150" i="2" s="1"/>
  <c r="B150" i="2" l="1"/>
  <c r="E151" i="1"/>
  <c r="G796" i="1" l="1"/>
  <c r="A795" i="2" s="1"/>
  <c r="B795" i="2" l="1"/>
  <c r="E796" i="1"/>
  <c r="G307" i="1"/>
  <c r="A306" i="2" s="1"/>
  <c r="G306" i="1"/>
  <c r="A305" i="2" s="1"/>
  <c r="G305" i="1"/>
  <c r="A304" i="2" s="1"/>
  <c r="G304" i="1"/>
  <c r="A303" i="2" s="1"/>
  <c r="G303" i="1"/>
  <c r="A302" i="2" s="1"/>
  <c r="G302" i="1"/>
  <c r="A301" i="2" s="1"/>
  <c r="G301" i="1"/>
  <c r="A300" i="2" s="1"/>
  <c r="G300" i="1"/>
  <c r="A299" i="2" s="1"/>
  <c r="G299" i="1"/>
  <c r="A298" i="2" s="1"/>
  <c r="B302" i="2" l="1"/>
  <c r="B303" i="2"/>
  <c r="B304" i="2"/>
  <c r="B305" i="2"/>
  <c r="B298" i="2"/>
  <c r="B306" i="2"/>
  <c r="B299" i="2"/>
  <c r="B300" i="2"/>
  <c r="B301" i="2"/>
  <c r="E299" i="1"/>
  <c r="E303" i="1"/>
  <c r="E307" i="1"/>
  <c r="E300" i="1"/>
  <c r="E304" i="1"/>
  <c r="E301" i="1"/>
  <c r="E305" i="1"/>
  <c r="E302" i="1"/>
  <c r="E306" i="1"/>
  <c r="G672" i="1"/>
  <c r="A671" i="2" s="1"/>
  <c r="B671" i="2" l="1"/>
  <c r="E672" i="1"/>
  <c r="G1040" i="1"/>
  <c r="A1039" i="2" s="1"/>
  <c r="G1039" i="1"/>
  <c r="A1038" i="2" s="1"/>
  <c r="B1038" i="2" l="1"/>
  <c r="B1039" i="2"/>
  <c r="E1040" i="1"/>
  <c r="E1039" i="1"/>
  <c r="G296" i="1"/>
  <c r="A295" i="2" s="1"/>
  <c r="G297" i="1"/>
  <c r="A296" i="2" s="1"/>
  <c r="G298" i="1"/>
  <c r="A297" i="2" s="1"/>
  <c r="G795" i="1"/>
  <c r="A794" i="2" s="1"/>
  <c r="G797" i="1"/>
  <c r="A796" i="2" s="1"/>
  <c r="B296" i="2" l="1"/>
  <c r="B295" i="2"/>
  <c r="B794" i="2"/>
  <c r="B796" i="2"/>
  <c r="B297" i="2"/>
  <c r="E795" i="1"/>
  <c r="E297" i="1"/>
  <c r="E797" i="1"/>
  <c r="E296" i="1"/>
  <c r="E298" i="1"/>
  <c r="G1328" i="1"/>
  <c r="A1327" i="2" s="1"/>
  <c r="G1327" i="1"/>
  <c r="A1326" i="2" s="1"/>
  <c r="G1326" i="1"/>
  <c r="A1325" i="2" s="1"/>
  <c r="G1325" i="1"/>
  <c r="A1324" i="2" s="1"/>
  <c r="G1323" i="1"/>
  <c r="A1322" i="2" s="1"/>
  <c r="G1306" i="1"/>
  <c r="A1305" i="2" s="1"/>
  <c r="G1305" i="1"/>
  <c r="A1304" i="2" s="1"/>
  <c r="G1304" i="1"/>
  <c r="A1303" i="2" s="1"/>
  <c r="G1303" i="1"/>
  <c r="A1302" i="2" s="1"/>
  <c r="G1236" i="1"/>
  <c r="A1235" i="2" s="1"/>
  <c r="G1235" i="1"/>
  <c r="A1234" i="2" s="1"/>
  <c r="G1234" i="1"/>
  <c r="A1233" i="2" s="1"/>
  <c r="G1233" i="1"/>
  <c r="A1232" i="2" s="1"/>
  <c r="G1232" i="1"/>
  <c r="A1231" i="2" s="1"/>
  <c r="G1231" i="1"/>
  <c r="A1230" i="2" s="1"/>
  <c r="G1230" i="1"/>
  <c r="A1229" i="2" s="1"/>
  <c r="G1229" i="1"/>
  <c r="A1228" i="2" s="1"/>
  <c r="G1228" i="1"/>
  <c r="A1227" i="2" s="1"/>
  <c r="G1227" i="1"/>
  <c r="A1226" i="2" s="1"/>
  <c r="G1226" i="1"/>
  <c r="A1225" i="2" s="1"/>
  <c r="G1225" i="1"/>
  <c r="A1224" i="2" s="1"/>
  <c r="G1224" i="1"/>
  <c r="A1223" i="2" s="1"/>
  <c r="G1223" i="1"/>
  <c r="A1222" i="2" s="1"/>
  <c r="G1222" i="1"/>
  <c r="A1221" i="2" s="1"/>
  <c r="G1221" i="1"/>
  <c r="A1220" i="2" s="1"/>
  <c r="G1220" i="1"/>
  <c r="A1219" i="2" s="1"/>
  <c r="G1219" i="1"/>
  <c r="A1218" i="2" s="1"/>
  <c r="G1218" i="1"/>
  <c r="A1217" i="2" s="1"/>
  <c r="G1217" i="1"/>
  <c r="A1216" i="2" s="1"/>
  <c r="G1166" i="1"/>
  <c r="A1165" i="2" s="1"/>
  <c r="G1165" i="1"/>
  <c r="A1164" i="2" s="1"/>
  <c r="G1164" i="1"/>
  <c r="A1163" i="2" s="1"/>
  <c r="G1163" i="1"/>
  <c r="A1162" i="2" s="1"/>
  <c r="G1162" i="1"/>
  <c r="A1161" i="2" s="1"/>
  <c r="G1161" i="1"/>
  <c r="A1160" i="2" s="1"/>
  <c r="G1160" i="1"/>
  <c r="A1159" i="2" s="1"/>
  <c r="G1159" i="1"/>
  <c r="A1158" i="2" s="1"/>
  <c r="G1158" i="1"/>
  <c r="A1157" i="2" s="1"/>
  <c r="G1157" i="1"/>
  <c r="A1156" i="2" s="1"/>
  <c r="G1156" i="1"/>
  <c r="A1155" i="2" s="1"/>
  <c r="G1155" i="1"/>
  <c r="A1154" i="2" s="1"/>
  <c r="G1154" i="1"/>
  <c r="A1153" i="2" s="1"/>
  <c r="G1153" i="1"/>
  <c r="A1152" i="2" s="1"/>
  <c r="G1152" i="1"/>
  <c r="A1151" i="2" s="1"/>
  <c r="G1151" i="1"/>
  <c r="A1150" i="2" s="1"/>
  <c r="G1150" i="1"/>
  <c r="A1149" i="2" s="1"/>
  <c r="G1149" i="1"/>
  <c r="A1148" i="2" s="1"/>
  <c r="G1148" i="1"/>
  <c r="A1147" i="2" s="1"/>
  <c r="G1147" i="1"/>
  <c r="A1146" i="2" s="1"/>
  <c r="G1146" i="1"/>
  <c r="A1145" i="2" s="1"/>
  <c r="G1145" i="1"/>
  <c r="A1144" i="2" s="1"/>
  <c r="G1144" i="1"/>
  <c r="A1143" i="2" s="1"/>
  <c r="G1143" i="1"/>
  <c r="A1142" i="2" s="1"/>
  <c r="G1320" i="1"/>
  <c r="A1319" i="2" s="1"/>
  <c r="G1319" i="1"/>
  <c r="A1318" i="2" s="1"/>
  <c r="G1316" i="1"/>
  <c r="A1315" i="2" s="1"/>
  <c r="G1138" i="1"/>
  <c r="A1137" i="2" s="1"/>
  <c r="G1137" i="1"/>
  <c r="A1136" i="2" s="1"/>
  <c r="G1136" i="1"/>
  <c r="A1135" i="2" s="1"/>
  <c r="G1135" i="1"/>
  <c r="A1134" i="2" s="1"/>
  <c r="G1134" i="1"/>
  <c r="A1133" i="2" s="1"/>
  <c r="G1133" i="1"/>
  <c r="A1132" i="2" s="1"/>
  <c r="G1132" i="1"/>
  <c r="A1131" i="2" s="1"/>
  <c r="G1131" i="1"/>
  <c r="A1130" i="2" s="1"/>
  <c r="G1130" i="1"/>
  <c r="A1129" i="2" s="1"/>
  <c r="G1129" i="1"/>
  <c r="A1128" i="2" s="1"/>
  <c r="G1128" i="1"/>
  <c r="A1127" i="2" s="1"/>
  <c r="G1127" i="1"/>
  <c r="A1126" i="2" s="1"/>
  <c r="G1126" i="1"/>
  <c r="A1125" i="2" s="1"/>
  <c r="G1125" i="1"/>
  <c r="A1124" i="2" s="1"/>
  <c r="G1124" i="1"/>
  <c r="A1123" i="2" s="1"/>
  <c r="G1123" i="1"/>
  <c r="A1122" i="2" s="1"/>
  <c r="G1122" i="1"/>
  <c r="A1121" i="2" s="1"/>
  <c r="G1121" i="1"/>
  <c r="A1120" i="2" s="1"/>
  <c r="G1120" i="1"/>
  <c r="A1119" i="2" s="1"/>
  <c r="G1119" i="1"/>
  <c r="A1118" i="2" s="1"/>
  <c r="G1118" i="1"/>
  <c r="A1117" i="2" s="1"/>
  <c r="G1117" i="1"/>
  <c r="A1116" i="2" s="1"/>
  <c r="G1116" i="1"/>
  <c r="A1115" i="2" s="1"/>
  <c r="G1115" i="1"/>
  <c r="A1114" i="2" s="1"/>
  <c r="G1102" i="1"/>
  <c r="A1101" i="2" s="1"/>
  <c r="G1101" i="1"/>
  <c r="A1100" i="2" s="1"/>
  <c r="G1100" i="1"/>
  <c r="A1099" i="2" s="1"/>
  <c r="G1099" i="1"/>
  <c r="A1098" i="2" s="1"/>
  <c r="G1098" i="1"/>
  <c r="A1097" i="2" s="1"/>
  <c r="G1097" i="1"/>
  <c r="A1096" i="2" s="1"/>
  <c r="G1096" i="1"/>
  <c r="A1095" i="2" s="1"/>
  <c r="G1095" i="1"/>
  <c r="A1094" i="2" s="1"/>
  <c r="G1094" i="1"/>
  <c r="A1093" i="2" s="1"/>
  <c r="G1093" i="1"/>
  <c r="A1092" i="2" s="1"/>
  <c r="G1092" i="1"/>
  <c r="A1091" i="2" s="1"/>
  <c r="G1091" i="1"/>
  <c r="A1090" i="2" s="1"/>
  <c r="G1088" i="1"/>
  <c r="A1087" i="2" s="1"/>
  <c r="G1087" i="1"/>
  <c r="A1086" i="2" s="1"/>
  <c r="G1086" i="1"/>
  <c r="A1085" i="2" s="1"/>
  <c r="G1085" i="1"/>
  <c r="A1084" i="2" s="1"/>
  <c r="G1084" i="1"/>
  <c r="A1083" i="2" s="1"/>
  <c r="G1083" i="1"/>
  <c r="A1082" i="2" s="1"/>
  <c r="G1082" i="1"/>
  <c r="A1081" i="2" s="1"/>
  <c r="G1081" i="1"/>
  <c r="A1080" i="2" s="1"/>
  <c r="G1080" i="1"/>
  <c r="A1079" i="2" s="1"/>
  <c r="G1079" i="1"/>
  <c r="A1078" i="2" s="1"/>
  <c r="G1078" i="1"/>
  <c r="A1077" i="2" s="1"/>
  <c r="G1077" i="1"/>
  <c r="A1076" i="2" s="1"/>
  <c r="G1076" i="1"/>
  <c r="A1075" i="2" s="1"/>
  <c r="G1075" i="1"/>
  <c r="A1074" i="2" s="1"/>
  <c r="G1074" i="1"/>
  <c r="A1073" i="2" s="1"/>
  <c r="G1073" i="1"/>
  <c r="A1072" i="2" s="1"/>
  <c r="G1072" i="1"/>
  <c r="A1071" i="2" s="1"/>
  <c r="G1071" i="1"/>
  <c r="A1070" i="2" s="1"/>
  <c r="G1070" i="1"/>
  <c r="A1069" i="2" s="1"/>
  <c r="G1069" i="1"/>
  <c r="A1068" i="2" s="1"/>
  <c r="G1068" i="1"/>
  <c r="A1067" i="2" s="1"/>
  <c r="G1067" i="1"/>
  <c r="A1066" i="2" s="1"/>
  <c r="G1066" i="1"/>
  <c r="A1065" i="2" s="1"/>
  <c r="G1065" i="1"/>
  <c r="A1064" i="2" s="1"/>
  <c r="G1052" i="1"/>
  <c r="A1051" i="2" s="1"/>
  <c r="G1051" i="1"/>
  <c r="A1050" i="2" s="1"/>
  <c r="G1050" i="1"/>
  <c r="A1049" i="2" s="1"/>
  <c r="G1049" i="1"/>
  <c r="A1048" i="2" s="1"/>
  <c r="G1048" i="1"/>
  <c r="A1047" i="2" s="1"/>
  <c r="G1047" i="1"/>
  <c r="A1046" i="2" s="1"/>
  <c r="G1046" i="1"/>
  <c r="A1045" i="2" s="1"/>
  <c r="G1045" i="1"/>
  <c r="A1044" i="2" s="1"/>
  <c r="G1044" i="1"/>
  <c r="A1043" i="2" s="1"/>
  <c r="G1043" i="1"/>
  <c r="A1042" i="2" s="1"/>
  <c r="G1042" i="1"/>
  <c r="A1041" i="2" s="1"/>
  <c r="G1041" i="1"/>
  <c r="A1040" i="2" s="1"/>
  <c r="G1038" i="1"/>
  <c r="A1037" i="2" s="1"/>
  <c r="G1037" i="1"/>
  <c r="A1036" i="2" s="1"/>
  <c r="G1036" i="1"/>
  <c r="A1035" i="2" s="1"/>
  <c r="G1035" i="1"/>
  <c r="A1034" i="2" s="1"/>
  <c r="G1034" i="1"/>
  <c r="A1033" i="2" s="1"/>
  <c r="G1033" i="1"/>
  <c r="A1032" i="2" s="1"/>
  <c r="G1032" i="1"/>
  <c r="A1031" i="2" s="1"/>
  <c r="G1031" i="1"/>
  <c r="A1030" i="2" s="1"/>
  <c r="G1030" i="1"/>
  <c r="A1029" i="2" s="1"/>
  <c r="G1029" i="1"/>
  <c r="A1028" i="2" s="1"/>
  <c r="G1028" i="1"/>
  <c r="A1027" i="2" s="1"/>
  <c r="G1027" i="1"/>
  <c r="A1026" i="2" s="1"/>
  <c r="G1026" i="1"/>
  <c r="A1025" i="2" s="1"/>
  <c r="G1025" i="1"/>
  <c r="A1024" i="2" s="1"/>
  <c r="G1024" i="1"/>
  <c r="A1023" i="2" s="1"/>
  <c r="G1023" i="1"/>
  <c r="A1022" i="2" s="1"/>
  <c r="G1022" i="1"/>
  <c r="A1021" i="2" s="1"/>
  <c r="G1021" i="1"/>
  <c r="A1020" i="2" s="1"/>
  <c r="G1020" i="1"/>
  <c r="A1019" i="2" s="1"/>
  <c r="G1019" i="1"/>
  <c r="A1018" i="2" s="1"/>
  <c r="G1018" i="1"/>
  <c r="A1017" i="2" s="1"/>
  <c r="G1017" i="1"/>
  <c r="A1016" i="2" s="1"/>
  <c r="G1016" i="1"/>
  <c r="A1015" i="2" s="1"/>
  <c r="G1015" i="1"/>
  <c r="A1014" i="2" s="1"/>
  <c r="G1014" i="1"/>
  <c r="A1013" i="2" s="1"/>
  <c r="G1013" i="1"/>
  <c r="A1012" i="2" s="1"/>
  <c r="G1012" i="1"/>
  <c r="A1011" i="2" s="1"/>
  <c r="G1011" i="1"/>
  <c r="A1010" i="2" s="1"/>
  <c r="G1008" i="1"/>
  <c r="A1007" i="2" s="1"/>
  <c r="G1007" i="1"/>
  <c r="A1006" i="2" s="1"/>
  <c r="G1006" i="1"/>
  <c r="A1005" i="2" s="1"/>
  <c r="G1005" i="1"/>
  <c r="A1004" i="2" s="1"/>
  <c r="G1004" i="1"/>
  <c r="A1003" i="2" s="1"/>
  <c r="G1003" i="1"/>
  <c r="A1002" i="2" s="1"/>
  <c r="G1002" i="1"/>
  <c r="A1001" i="2" s="1"/>
  <c r="G1001" i="1"/>
  <c r="A1000" i="2" s="1"/>
  <c r="G1000" i="1"/>
  <c r="A999" i="2" s="1"/>
  <c r="G999" i="1"/>
  <c r="A998" i="2" s="1"/>
  <c r="G998" i="1"/>
  <c r="A997" i="2" s="1"/>
  <c r="G997" i="1"/>
  <c r="A996" i="2" s="1"/>
  <c r="G996" i="1"/>
  <c r="A995" i="2" s="1"/>
  <c r="G995" i="1"/>
  <c r="A994" i="2" s="1"/>
  <c r="G994" i="1"/>
  <c r="A993" i="2" s="1"/>
  <c r="G993" i="1"/>
  <c r="A992" i="2" s="1"/>
  <c r="G992" i="1"/>
  <c r="A991" i="2" s="1"/>
  <c r="G991" i="1"/>
  <c r="A990" i="2" s="1"/>
  <c r="G990" i="1"/>
  <c r="A989" i="2" s="1"/>
  <c r="G989" i="1"/>
  <c r="A988" i="2" s="1"/>
  <c r="G988" i="1"/>
  <c r="A987" i="2" s="1"/>
  <c r="G987" i="1"/>
  <c r="A986" i="2" s="1"/>
  <c r="G986" i="1"/>
  <c r="A985" i="2" s="1"/>
  <c r="G985" i="1"/>
  <c r="A984" i="2" s="1"/>
  <c r="G982" i="1"/>
  <c r="A981" i="2" s="1"/>
  <c r="G981" i="1"/>
  <c r="A980" i="2" s="1"/>
  <c r="G980" i="1"/>
  <c r="A979" i="2" s="1"/>
  <c r="G979" i="1"/>
  <c r="A978" i="2" s="1"/>
  <c r="G959" i="1"/>
  <c r="A958" i="2" s="1"/>
  <c r="G958" i="1"/>
  <c r="A957" i="2" s="1"/>
  <c r="G957" i="1"/>
  <c r="A956" i="2" s="1"/>
  <c r="G956" i="1"/>
  <c r="A955" i="2" s="1"/>
  <c r="G955" i="1"/>
  <c r="A954" i="2" s="1"/>
  <c r="G954" i="1"/>
  <c r="A953" i="2" s="1"/>
  <c r="G953" i="1"/>
  <c r="A952" i="2" s="1"/>
  <c r="G952" i="1"/>
  <c r="A951" i="2" s="1"/>
  <c r="G951" i="1"/>
  <c r="A950" i="2" s="1"/>
  <c r="G950" i="1"/>
  <c r="A949" i="2" s="1"/>
  <c r="G949" i="1"/>
  <c r="A948" i="2" s="1"/>
  <c r="G948" i="1"/>
  <c r="A947" i="2" s="1"/>
  <c r="G947" i="1"/>
  <c r="A946" i="2" s="1"/>
  <c r="G946" i="1"/>
  <c r="A945" i="2" s="1"/>
  <c r="G945" i="1"/>
  <c r="A944" i="2" s="1"/>
  <c r="G944" i="1"/>
  <c r="A943" i="2" s="1"/>
  <c r="G943" i="1"/>
  <c r="A942" i="2" s="1"/>
  <c r="G940" i="1"/>
  <c r="A939" i="2" s="1"/>
  <c r="G939" i="1"/>
  <c r="A938" i="2" s="1"/>
  <c r="G938" i="1"/>
  <c r="A937" i="2" s="1"/>
  <c r="G937" i="1"/>
  <c r="A936" i="2" s="1"/>
  <c r="G934" i="1"/>
  <c r="A933" i="2" s="1"/>
  <c r="G933" i="1"/>
  <c r="A932" i="2" s="1"/>
  <c r="G931" i="1"/>
  <c r="A930" i="2" s="1"/>
  <c r="G910" i="1"/>
  <c r="A909" i="2" s="1"/>
  <c r="G909" i="1"/>
  <c r="A908" i="2" s="1"/>
  <c r="G908" i="1"/>
  <c r="A907" i="2" s="1"/>
  <c r="G907" i="1"/>
  <c r="A906" i="2" s="1"/>
  <c r="G906" i="1"/>
  <c r="A905" i="2" s="1"/>
  <c r="G905" i="1"/>
  <c r="A904" i="2" s="1"/>
  <c r="G904" i="1"/>
  <c r="A903" i="2" s="1"/>
  <c r="G903" i="1"/>
  <c r="A902" i="2" s="1"/>
  <c r="G902" i="1"/>
  <c r="A901" i="2" s="1"/>
  <c r="G901" i="1"/>
  <c r="A900" i="2" s="1"/>
  <c r="G900" i="1"/>
  <c r="A899" i="2" s="1"/>
  <c r="G899" i="1"/>
  <c r="A898" i="2" s="1"/>
  <c r="G897" i="1"/>
  <c r="A896" i="2" s="1"/>
  <c r="G896" i="1"/>
  <c r="A895" i="2" s="1"/>
  <c r="G895" i="1"/>
  <c r="A894" i="2" s="1"/>
  <c r="G894" i="1"/>
  <c r="A893" i="2" s="1"/>
  <c r="G821" i="1"/>
  <c r="A820" i="2" s="1"/>
  <c r="G820" i="1"/>
  <c r="A819" i="2" s="1"/>
  <c r="G819" i="1"/>
  <c r="A818" i="2" s="1"/>
  <c r="G818" i="1"/>
  <c r="A817" i="2" s="1"/>
  <c r="G817" i="1"/>
  <c r="A816" i="2" s="1"/>
  <c r="G816" i="1"/>
  <c r="A815" i="2" s="1"/>
  <c r="G815" i="1"/>
  <c r="A814" i="2" s="1"/>
  <c r="G814" i="1"/>
  <c r="A813" i="2" s="1"/>
  <c r="G813" i="1"/>
  <c r="A812" i="2" s="1"/>
  <c r="G812" i="1"/>
  <c r="A811" i="2" s="1"/>
  <c r="G811" i="1"/>
  <c r="A810" i="2" s="1"/>
  <c r="G810" i="1"/>
  <c r="A809" i="2" s="1"/>
  <c r="G809" i="1"/>
  <c r="A808" i="2" s="1"/>
  <c r="G808" i="1"/>
  <c r="A807" i="2" s="1"/>
  <c r="G807" i="1"/>
  <c r="A806" i="2" s="1"/>
  <c r="G806" i="1"/>
  <c r="A805" i="2" s="1"/>
  <c r="G805" i="1"/>
  <c r="A804" i="2" s="1"/>
  <c r="G804" i="1"/>
  <c r="E804" i="1" s="1"/>
  <c r="G803" i="1"/>
  <c r="E803" i="1" s="1"/>
  <c r="G802" i="1"/>
  <c r="E802" i="1" s="1"/>
  <c r="G801" i="1"/>
  <c r="E801" i="1" s="1"/>
  <c r="G800" i="1"/>
  <c r="E800" i="1" s="1"/>
  <c r="G799" i="1"/>
  <c r="E799" i="1" s="1"/>
  <c r="G798" i="1"/>
  <c r="A797" i="2" s="1"/>
  <c r="G794" i="1"/>
  <c r="A793" i="2" s="1"/>
  <c r="G793" i="1"/>
  <c r="A792" i="2" s="1"/>
  <c r="G792" i="1"/>
  <c r="A791" i="2" s="1"/>
  <c r="G791" i="1"/>
  <c r="A790" i="2" s="1"/>
  <c r="G790" i="1"/>
  <c r="A789" i="2" s="1"/>
  <c r="G789" i="1"/>
  <c r="A788" i="2" s="1"/>
  <c r="G788" i="1"/>
  <c r="A787" i="2" s="1"/>
  <c r="G774" i="1"/>
  <c r="A773" i="2" s="1"/>
  <c r="G773" i="1"/>
  <c r="A772" i="2" s="1"/>
  <c r="G772" i="1"/>
  <c r="A771" i="2" s="1"/>
  <c r="G771" i="1"/>
  <c r="A770" i="2" s="1"/>
  <c r="G770" i="1"/>
  <c r="A769" i="2" s="1"/>
  <c r="G769" i="1"/>
  <c r="A768" i="2" s="1"/>
  <c r="G768" i="1"/>
  <c r="A767" i="2" s="1"/>
  <c r="G766" i="1"/>
  <c r="A765" i="2" s="1"/>
  <c r="G765" i="1"/>
  <c r="A764" i="2" s="1"/>
  <c r="G763" i="1"/>
  <c r="A762" i="2" s="1"/>
  <c r="G762" i="1"/>
  <c r="A761" i="2" s="1"/>
  <c r="G761" i="1"/>
  <c r="A760" i="2" s="1"/>
  <c r="G760" i="1"/>
  <c r="A759" i="2" s="1"/>
  <c r="G758" i="1"/>
  <c r="A757" i="2" s="1"/>
  <c r="G752" i="1"/>
  <c r="A751" i="2" s="1"/>
  <c r="G751" i="1"/>
  <c r="E751" i="1" s="1"/>
  <c r="G750" i="1"/>
  <c r="E750" i="1" s="1"/>
  <c r="G749" i="1"/>
  <c r="E749" i="1" s="1"/>
  <c r="G748" i="1"/>
  <c r="E748" i="1" s="1"/>
  <c r="G747" i="1"/>
  <c r="E747" i="1" s="1"/>
  <c r="G746" i="1"/>
  <c r="E746" i="1" s="1"/>
  <c r="G745" i="1"/>
  <c r="E745" i="1" s="1"/>
  <c r="G744" i="1"/>
  <c r="E744" i="1" s="1"/>
  <c r="G743" i="1"/>
  <c r="E743" i="1" s="1"/>
  <c r="G742" i="1"/>
  <c r="E742" i="1" s="1"/>
  <c r="G741" i="1"/>
  <c r="E741" i="1" s="1"/>
  <c r="G740" i="1"/>
  <c r="E740" i="1" s="1"/>
  <c r="G739" i="1"/>
  <c r="E739" i="1" s="1"/>
  <c r="G738" i="1"/>
  <c r="E738" i="1" s="1"/>
  <c r="G737" i="1"/>
  <c r="A736" i="2" s="1"/>
  <c r="G736" i="1"/>
  <c r="A735" i="2" s="1"/>
  <c r="G735" i="1"/>
  <c r="A734" i="2" s="1"/>
  <c r="G734" i="1"/>
  <c r="A733" i="2" s="1"/>
  <c r="G733" i="1"/>
  <c r="A732" i="2" s="1"/>
  <c r="G732" i="1"/>
  <c r="A731" i="2" s="1"/>
  <c r="G731" i="1"/>
  <c r="A730" i="2" s="1"/>
  <c r="G730" i="1"/>
  <c r="A729" i="2" s="1"/>
  <c r="G729" i="1"/>
  <c r="A728" i="2" s="1"/>
  <c r="G728" i="1"/>
  <c r="A727" i="2" s="1"/>
  <c r="G727" i="1"/>
  <c r="A726" i="2" s="1"/>
  <c r="G726" i="1"/>
  <c r="A725" i="2" s="1"/>
  <c r="G725" i="1"/>
  <c r="A724" i="2" s="1"/>
  <c r="G724" i="1"/>
  <c r="A723" i="2" s="1"/>
  <c r="G723" i="1"/>
  <c r="A722" i="2" s="1"/>
  <c r="G722" i="1"/>
  <c r="A721" i="2" s="1"/>
  <c r="G721" i="1"/>
  <c r="A720" i="2" s="1"/>
  <c r="G720" i="1"/>
  <c r="A719" i="2" s="1"/>
  <c r="G719" i="1"/>
  <c r="A718" i="2" s="1"/>
  <c r="G718" i="1"/>
  <c r="A717" i="2" s="1"/>
  <c r="G717" i="1"/>
  <c r="A716" i="2" s="1"/>
  <c r="G716" i="1"/>
  <c r="A715" i="2" s="1"/>
  <c r="G715" i="1"/>
  <c r="A714" i="2" s="1"/>
  <c r="G714" i="1"/>
  <c r="A713" i="2" s="1"/>
  <c r="G713" i="1"/>
  <c r="A712" i="2" s="1"/>
  <c r="G711" i="1"/>
  <c r="A710" i="2" s="1"/>
  <c r="G710" i="1"/>
  <c r="A709" i="2" s="1"/>
  <c r="G708" i="1"/>
  <c r="A707" i="2" s="1"/>
  <c r="G707" i="1"/>
  <c r="A706" i="2" s="1"/>
  <c r="G705" i="1"/>
  <c r="A704" i="2" s="1"/>
  <c r="G704" i="1"/>
  <c r="A703" i="2" s="1"/>
  <c r="G703" i="1"/>
  <c r="A702" i="2" s="1"/>
  <c r="G702" i="1"/>
  <c r="A701" i="2" s="1"/>
  <c r="G701" i="1"/>
  <c r="A700" i="2" s="1"/>
  <c r="G700" i="1"/>
  <c r="A699" i="2" s="1"/>
  <c r="G699" i="1"/>
  <c r="E699" i="1" s="1"/>
  <c r="G698" i="1"/>
  <c r="A697" i="2" s="1"/>
  <c r="G697" i="1"/>
  <c r="A696" i="2" s="1"/>
  <c r="G696" i="1"/>
  <c r="A695" i="2" s="1"/>
  <c r="G694" i="1"/>
  <c r="A693" i="2" s="1"/>
  <c r="G693" i="1"/>
  <c r="A692" i="2" s="1"/>
  <c r="G691" i="1"/>
  <c r="A690" i="2" s="1"/>
  <c r="G690" i="1"/>
  <c r="A689" i="2" s="1"/>
  <c r="G689" i="1"/>
  <c r="A688" i="2" s="1"/>
  <c r="G686" i="1"/>
  <c r="A685" i="2" s="1"/>
  <c r="G685" i="1"/>
  <c r="A684" i="2" s="1"/>
  <c r="G684" i="1"/>
  <c r="E684" i="1" s="1"/>
  <c r="G683" i="1"/>
  <c r="A682" i="2" s="1"/>
  <c r="G682" i="1"/>
  <c r="A681" i="2" s="1"/>
  <c r="G680" i="1"/>
  <c r="A679" i="2" s="1"/>
  <c r="G679" i="1"/>
  <c r="A678" i="2" s="1"/>
  <c r="G674" i="1"/>
  <c r="A673" i="2" s="1"/>
  <c r="G671" i="1"/>
  <c r="A670" i="2" s="1"/>
  <c r="G670" i="1"/>
  <c r="A669" i="2" s="1"/>
  <c r="G669" i="1"/>
  <c r="A668" i="2" s="1"/>
  <c r="G668" i="1"/>
  <c r="A667" i="2" s="1"/>
  <c r="G667" i="1"/>
  <c r="A666" i="2" s="1"/>
  <c r="G666" i="1"/>
  <c r="A665" i="2" s="1"/>
  <c r="G665" i="1"/>
  <c r="A664" i="2" s="1"/>
  <c r="G664" i="1"/>
  <c r="A663" i="2" s="1"/>
  <c r="G663" i="1"/>
  <c r="A662" i="2" s="1"/>
  <c r="G662" i="1"/>
  <c r="A661" i="2" s="1"/>
  <c r="G661" i="1"/>
  <c r="A660" i="2" s="1"/>
  <c r="G656" i="1"/>
  <c r="A655" i="2" s="1"/>
  <c r="G655" i="1"/>
  <c r="A654" i="2" s="1"/>
  <c r="G653" i="1"/>
  <c r="A652" i="2" s="1"/>
  <c r="G652" i="1"/>
  <c r="A651" i="2" s="1"/>
  <c r="G650" i="1"/>
  <c r="A649" i="2" s="1"/>
  <c r="G649" i="1"/>
  <c r="A648" i="2" s="1"/>
  <c r="G648" i="1"/>
  <c r="A647" i="2" s="1"/>
  <c r="G646" i="1"/>
  <c r="A645" i="2" s="1"/>
  <c r="G642" i="1"/>
  <c r="A641" i="2" s="1"/>
  <c r="G636" i="1"/>
  <c r="A635" i="2" s="1"/>
  <c r="G635" i="1"/>
  <c r="A634" i="2" s="1"/>
  <c r="G629" i="1"/>
  <c r="A628" i="2" s="1"/>
  <c r="G628" i="1"/>
  <c r="A627" i="2" s="1"/>
  <c r="G627" i="1"/>
  <c r="A626" i="2" s="1"/>
  <c r="G626" i="1"/>
  <c r="A625" i="2" s="1"/>
  <c r="G625" i="1"/>
  <c r="A624" i="2" s="1"/>
  <c r="G624" i="1"/>
  <c r="A623" i="2" s="1"/>
  <c r="G623" i="1"/>
  <c r="A622" i="2" s="1"/>
  <c r="G622" i="1"/>
  <c r="A621" i="2" s="1"/>
  <c r="G621" i="1"/>
  <c r="A620" i="2" s="1"/>
  <c r="G620" i="1"/>
  <c r="A619" i="2" s="1"/>
  <c r="G619" i="1"/>
  <c r="A618" i="2" s="1"/>
  <c r="G618" i="1"/>
  <c r="A617" i="2" s="1"/>
  <c r="G617" i="1"/>
  <c r="A616" i="2" s="1"/>
  <c r="G616" i="1"/>
  <c r="A615" i="2" s="1"/>
  <c r="G615" i="1"/>
  <c r="A614" i="2" s="1"/>
  <c r="G614" i="1"/>
  <c r="A613" i="2" s="1"/>
  <c r="G613" i="1"/>
  <c r="A612" i="2" s="1"/>
  <c r="G612" i="1"/>
  <c r="A611" i="2" s="1"/>
  <c r="G611" i="1"/>
  <c r="A610" i="2" s="1"/>
  <c r="G610" i="1"/>
  <c r="A609" i="2" s="1"/>
  <c r="G607" i="1"/>
  <c r="A606" i="2" s="1"/>
  <c r="G606" i="1"/>
  <c r="A605" i="2" s="1"/>
  <c r="G604" i="1"/>
  <c r="A603" i="2" s="1"/>
  <c r="G603" i="1"/>
  <c r="A602" i="2" s="1"/>
  <c r="G601" i="1"/>
  <c r="A600" i="2" s="1"/>
  <c r="G600" i="1"/>
  <c r="A599" i="2" s="1"/>
  <c r="G599" i="1"/>
  <c r="A598" i="2" s="1"/>
  <c r="G598" i="1"/>
  <c r="A597" i="2" s="1"/>
  <c r="G597" i="1"/>
  <c r="A596" i="2" s="1"/>
  <c r="G596" i="1"/>
  <c r="A595" i="2" s="1"/>
  <c r="G595" i="1"/>
  <c r="A594" i="2" s="1"/>
  <c r="G594" i="1"/>
  <c r="A593" i="2" s="1"/>
  <c r="G593" i="1"/>
  <c r="A592" i="2" s="1"/>
  <c r="G592" i="1"/>
  <c r="A591" i="2" s="1"/>
  <c r="G591" i="1"/>
  <c r="A590" i="2" s="1"/>
  <c r="G590" i="1"/>
  <c r="A589" i="2" s="1"/>
  <c r="G589" i="1"/>
  <c r="A588" i="2" s="1"/>
  <c r="G588" i="1"/>
  <c r="A587" i="2" s="1"/>
  <c r="G587" i="1"/>
  <c r="A586" i="2" s="1"/>
  <c r="G584" i="1"/>
  <c r="A583" i="2" s="1"/>
  <c r="G583" i="1"/>
  <c r="A582" i="2" s="1"/>
  <c r="G582" i="1"/>
  <c r="A581" i="2" s="1"/>
  <c r="G581" i="1"/>
  <c r="A580" i="2" s="1"/>
  <c r="G580" i="1"/>
  <c r="A579" i="2" s="1"/>
  <c r="G579" i="1"/>
  <c r="A578" i="2" s="1"/>
  <c r="G578" i="1"/>
  <c r="A577" i="2" s="1"/>
  <c r="G577" i="1"/>
  <c r="A576" i="2" s="1"/>
  <c r="G576" i="1"/>
  <c r="A575" i="2" s="1"/>
  <c r="G575" i="1"/>
  <c r="A574" i="2" s="1"/>
  <c r="G572" i="1"/>
  <c r="A571" i="2" s="1"/>
  <c r="G571" i="1"/>
  <c r="A570" i="2" s="1"/>
  <c r="G570" i="1"/>
  <c r="A569" i="2" s="1"/>
  <c r="G569" i="1"/>
  <c r="A568" i="2" s="1"/>
  <c r="G568" i="1"/>
  <c r="A567" i="2" s="1"/>
  <c r="G567" i="1"/>
  <c r="A566" i="2" s="1"/>
  <c r="G564" i="1"/>
  <c r="A563" i="2" s="1"/>
  <c r="G563" i="1"/>
  <c r="A562" i="2" s="1"/>
  <c r="G562" i="1"/>
  <c r="A561" i="2" s="1"/>
  <c r="G561" i="1"/>
  <c r="A560" i="2" s="1"/>
  <c r="G547" i="1"/>
  <c r="A546" i="2" s="1"/>
  <c r="G540" i="1"/>
  <c r="A539" i="2" s="1"/>
  <c r="G539" i="1"/>
  <c r="A538" i="2" s="1"/>
  <c r="G546" i="1"/>
  <c r="A545" i="2" s="1"/>
  <c r="G545" i="1"/>
  <c r="A544" i="2" s="1"/>
  <c r="G538" i="1"/>
  <c r="A537" i="2" s="1"/>
  <c r="G537" i="1"/>
  <c r="A536" i="2" s="1"/>
  <c r="G535" i="1"/>
  <c r="E535" i="1" s="1"/>
  <c r="G524" i="1"/>
  <c r="E524" i="1" s="1"/>
  <c r="G523" i="1"/>
  <c r="E523" i="1" s="1"/>
  <c r="G522" i="1"/>
  <c r="E522" i="1" s="1"/>
  <c r="G521" i="1"/>
  <c r="A520" i="2" s="1"/>
  <c r="G520" i="1"/>
  <c r="A519" i="2" s="1"/>
  <c r="G519" i="1"/>
  <c r="A518" i="2" s="1"/>
  <c r="G514" i="1"/>
  <c r="A513" i="2" s="1"/>
  <c r="G513" i="1"/>
  <c r="A512" i="2" s="1"/>
  <c r="G512" i="1"/>
  <c r="A511" i="2" s="1"/>
  <c r="G511" i="1"/>
  <c r="A510" i="2" s="1"/>
  <c r="G510" i="1"/>
  <c r="A509" i="2" s="1"/>
  <c r="G509" i="1"/>
  <c r="A508" i="2" s="1"/>
  <c r="G508" i="1"/>
  <c r="A507" i="2" s="1"/>
  <c r="G507" i="1"/>
  <c r="E507" i="1" s="1"/>
  <c r="G506" i="1"/>
  <c r="E506" i="1" s="1"/>
  <c r="G505" i="1"/>
  <c r="E505" i="1" s="1"/>
  <c r="G504" i="1"/>
  <c r="E504" i="1" s="1"/>
  <c r="G503" i="1"/>
  <c r="E503" i="1" s="1"/>
  <c r="G502" i="1"/>
  <c r="E502" i="1" s="1"/>
  <c r="G501" i="1"/>
  <c r="E501" i="1" s="1"/>
  <c r="G500" i="1"/>
  <c r="E500" i="1" s="1"/>
  <c r="G499" i="1"/>
  <c r="E499" i="1" s="1"/>
  <c r="G498" i="1"/>
  <c r="E498" i="1" s="1"/>
  <c r="G497" i="1"/>
  <c r="E497" i="1" s="1"/>
  <c r="G496" i="1"/>
  <c r="E496" i="1" s="1"/>
  <c r="G495" i="1"/>
  <c r="E495" i="1" s="1"/>
  <c r="G494" i="1"/>
  <c r="E494" i="1" s="1"/>
  <c r="G493" i="1"/>
  <c r="E493" i="1" s="1"/>
  <c r="G492" i="1"/>
  <c r="E492" i="1" s="1"/>
  <c r="G491" i="1"/>
  <c r="E491" i="1" s="1"/>
  <c r="G490" i="1"/>
  <c r="E490" i="1" s="1"/>
  <c r="G489" i="1"/>
  <c r="E489" i="1" s="1"/>
  <c r="G488" i="1"/>
  <c r="E488" i="1" s="1"/>
  <c r="G487" i="1"/>
  <c r="E487" i="1" s="1"/>
  <c r="G486" i="1"/>
  <c r="E486" i="1" s="1"/>
  <c r="G485" i="1"/>
  <c r="E485" i="1" s="1"/>
  <c r="G484" i="1"/>
  <c r="E484" i="1" s="1"/>
  <c r="G483" i="1"/>
  <c r="E483" i="1" s="1"/>
  <c r="G482" i="1"/>
  <c r="E482" i="1" s="1"/>
  <c r="G481" i="1"/>
  <c r="E481" i="1" s="1"/>
  <c r="G480" i="1"/>
  <c r="E480" i="1" s="1"/>
  <c r="G479" i="1"/>
  <c r="E479" i="1" s="1"/>
  <c r="G478" i="1"/>
  <c r="E478" i="1" s="1"/>
  <c r="G477" i="1"/>
  <c r="E477" i="1" s="1"/>
  <c r="G476" i="1"/>
  <c r="E476" i="1" s="1"/>
  <c r="G475" i="1"/>
  <c r="E475" i="1" s="1"/>
  <c r="G474" i="1"/>
  <c r="E474" i="1" s="1"/>
  <c r="G473" i="1"/>
  <c r="A472" i="2" s="1"/>
  <c r="G472" i="1"/>
  <c r="A471" i="2" s="1"/>
  <c r="G471" i="1"/>
  <c r="A470" i="2" s="1"/>
  <c r="G470" i="1"/>
  <c r="E470" i="1" s="1"/>
  <c r="G469" i="1"/>
  <c r="A468" i="2" s="1"/>
  <c r="G468" i="1"/>
  <c r="A467" i="2" s="1"/>
  <c r="G467" i="1"/>
  <c r="A466" i="2" s="1"/>
  <c r="G466" i="1"/>
  <c r="A465" i="2" s="1"/>
  <c r="G465" i="1"/>
  <c r="A464" i="2" s="1"/>
  <c r="G464" i="1"/>
  <c r="A463" i="2" s="1"/>
  <c r="G463" i="1"/>
  <c r="A462" i="2" s="1"/>
  <c r="G462" i="1"/>
  <c r="A461" i="2" s="1"/>
  <c r="G461" i="1"/>
  <c r="E461" i="1" s="1"/>
  <c r="G460" i="1"/>
  <c r="A459" i="2" s="1"/>
  <c r="G459" i="1"/>
  <c r="A458" i="2" s="1"/>
  <c r="G458" i="1"/>
  <c r="A457" i="2" s="1"/>
  <c r="G457" i="1"/>
  <c r="A456" i="2" s="1"/>
  <c r="G456" i="1"/>
  <c r="A455" i="2" s="1"/>
  <c r="G455" i="1"/>
  <c r="A454" i="2" s="1"/>
  <c r="G454" i="1"/>
  <c r="A453" i="2" s="1"/>
  <c r="G453" i="1"/>
  <c r="A452" i="2" s="1"/>
  <c r="G452" i="1"/>
  <c r="E452" i="1" s="1"/>
  <c r="G451" i="1"/>
  <c r="A450" i="2" s="1"/>
  <c r="G450" i="1"/>
  <c r="A449" i="2" s="1"/>
  <c r="G449" i="1"/>
  <c r="A448" i="2" s="1"/>
  <c r="G448" i="1"/>
  <c r="A447" i="2" s="1"/>
  <c r="G447" i="1"/>
  <c r="A446" i="2" s="1"/>
  <c r="G446" i="1"/>
  <c r="A445" i="2" s="1"/>
  <c r="G445" i="1"/>
  <c r="A444" i="2" s="1"/>
  <c r="G444" i="1"/>
  <c r="A443" i="2" s="1"/>
  <c r="G443" i="1"/>
  <c r="E443" i="1" s="1"/>
  <c r="G442" i="1"/>
  <c r="A441" i="2" s="1"/>
  <c r="G441" i="1"/>
  <c r="A440" i="2" s="1"/>
  <c r="G440" i="1"/>
  <c r="A439" i="2" s="1"/>
  <c r="G439" i="1"/>
  <c r="A438" i="2" s="1"/>
  <c r="G438" i="1"/>
  <c r="A437" i="2" s="1"/>
  <c r="G437" i="1"/>
  <c r="A436" i="2" s="1"/>
  <c r="G436" i="1"/>
  <c r="A435" i="2" s="1"/>
  <c r="G435" i="1"/>
  <c r="A434" i="2" s="1"/>
  <c r="G434" i="1"/>
  <c r="A433" i="2" s="1"/>
  <c r="G433" i="1"/>
  <c r="A432" i="2" s="1"/>
  <c r="G432" i="1"/>
  <c r="A431" i="2" s="1"/>
  <c r="G431" i="1"/>
  <c r="A430" i="2" s="1"/>
  <c r="G430" i="1"/>
  <c r="A429" i="2" s="1"/>
  <c r="G429" i="1"/>
  <c r="A428" i="2" s="1"/>
  <c r="G428" i="1"/>
  <c r="A427" i="2" s="1"/>
  <c r="G427" i="1"/>
  <c r="A426" i="2" s="1"/>
  <c r="G426" i="1"/>
  <c r="A425" i="2" s="1"/>
  <c r="G425" i="1"/>
  <c r="A424" i="2" s="1"/>
  <c r="G424" i="1"/>
  <c r="A423" i="2" s="1"/>
  <c r="G423" i="1"/>
  <c r="A422" i="2" s="1"/>
  <c r="G418" i="1"/>
  <c r="A417" i="2" s="1"/>
  <c r="G417" i="1"/>
  <c r="A416" i="2" s="1"/>
  <c r="G416" i="1"/>
  <c r="E416" i="1" s="1"/>
  <c r="G415" i="1"/>
  <c r="A414" i="2" s="1"/>
  <c r="G414" i="1"/>
  <c r="A413" i="2" s="1"/>
  <c r="G413" i="1"/>
  <c r="A412" i="2" s="1"/>
  <c r="G412" i="1"/>
  <c r="A411" i="2" s="1"/>
  <c r="G411" i="1"/>
  <c r="A410" i="2" s="1"/>
  <c r="G410" i="1"/>
  <c r="A409" i="2" s="1"/>
  <c r="G403" i="1"/>
  <c r="A402" i="2" s="1"/>
  <c r="G402" i="1"/>
  <c r="A401" i="2" s="1"/>
  <c r="G401" i="1"/>
  <c r="A400" i="2" s="1"/>
  <c r="G400" i="1"/>
  <c r="A399" i="2" s="1"/>
  <c r="G399" i="1"/>
  <c r="A398" i="2" s="1"/>
  <c r="G398" i="1"/>
  <c r="E398" i="1" s="1"/>
  <c r="G397" i="1"/>
  <c r="E397" i="1" s="1"/>
  <c r="G396" i="1"/>
  <c r="E396" i="1" s="1"/>
  <c r="G395" i="1"/>
  <c r="E395" i="1" s="1"/>
  <c r="G394" i="1"/>
  <c r="E394" i="1" s="1"/>
  <c r="G393" i="1"/>
  <c r="E393" i="1" s="1"/>
  <c r="G392" i="1"/>
  <c r="E392" i="1" s="1"/>
  <c r="G391" i="1"/>
  <c r="E391" i="1" s="1"/>
  <c r="G390" i="1"/>
  <c r="E390" i="1" s="1"/>
  <c r="G389" i="1"/>
  <c r="E389" i="1" s="1"/>
  <c r="G388" i="1"/>
  <c r="E388" i="1" s="1"/>
  <c r="G387" i="1"/>
  <c r="E387" i="1" s="1"/>
  <c r="G386" i="1"/>
  <c r="E386" i="1" s="1"/>
  <c r="G385" i="1"/>
  <c r="E385" i="1" s="1"/>
  <c r="G384" i="1"/>
  <c r="E384" i="1" s="1"/>
  <c r="G383" i="1"/>
  <c r="E383" i="1" s="1"/>
  <c r="G382" i="1"/>
  <c r="E382" i="1" s="1"/>
  <c r="G381" i="1"/>
  <c r="E381" i="1" s="1"/>
  <c r="G380" i="1"/>
  <c r="E380" i="1" s="1"/>
  <c r="G379" i="1"/>
  <c r="E379" i="1" s="1"/>
  <c r="G378" i="1"/>
  <c r="E378" i="1" s="1"/>
  <c r="G377" i="1"/>
  <c r="E377" i="1" s="1"/>
  <c r="G376" i="1"/>
  <c r="E376" i="1" s="1"/>
  <c r="G375" i="1"/>
  <c r="E375" i="1" s="1"/>
  <c r="G374" i="1"/>
  <c r="E374" i="1" s="1"/>
  <c r="G373" i="1"/>
  <c r="E373" i="1" s="1"/>
  <c r="G372" i="1"/>
  <c r="E372" i="1" s="1"/>
  <c r="G371" i="1"/>
  <c r="E371" i="1" s="1"/>
  <c r="G370" i="1"/>
  <c r="E370" i="1" s="1"/>
  <c r="G369" i="1"/>
  <c r="E369" i="1" s="1"/>
  <c r="G368" i="1"/>
  <c r="E368" i="1" s="1"/>
  <c r="G367" i="1"/>
  <c r="E367" i="1" s="1"/>
  <c r="G366" i="1"/>
  <c r="A365" i="2" s="1"/>
  <c r="G365" i="1"/>
  <c r="A364" i="2" s="1"/>
  <c r="G364" i="1"/>
  <c r="A363" i="2" s="1"/>
  <c r="G363" i="1"/>
  <c r="A362" i="2" s="1"/>
  <c r="G362" i="1"/>
  <c r="A361" i="2" s="1"/>
  <c r="G361" i="1"/>
  <c r="A360" i="2" s="1"/>
  <c r="G360" i="1"/>
  <c r="A359" i="2" s="1"/>
  <c r="G359" i="1"/>
  <c r="A358" i="2" s="1"/>
  <c r="G358" i="1"/>
  <c r="A357" i="2" s="1"/>
  <c r="G357" i="1"/>
  <c r="A356" i="2" s="1"/>
  <c r="G356" i="1"/>
  <c r="A355" i="2" s="1"/>
  <c r="G355" i="1"/>
  <c r="A354" i="2" s="1"/>
  <c r="G354" i="1"/>
  <c r="A353" i="2" s="1"/>
  <c r="G353" i="1"/>
  <c r="A352" i="2" s="1"/>
  <c r="G352" i="1"/>
  <c r="A351" i="2" s="1"/>
  <c r="G351" i="1"/>
  <c r="A350" i="2" s="1"/>
  <c r="G350" i="1"/>
  <c r="A349" i="2" s="1"/>
  <c r="G349" i="1"/>
  <c r="A348" i="2" s="1"/>
  <c r="G348" i="1"/>
  <c r="A347" i="2" s="1"/>
  <c r="G347" i="1"/>
  <c r="A346" i="2" s="1"/>
  <c r="G346" i="1"/>
  <c r="A345" i="2" s="1"/>
  <c r="G345" i="1"/>
  <c r="A344" i="2" s="1"/>
  <c r="G344" i="1"/>
  <c r="A343" i="2" s="1"/>
  <c r="G343" i="1"/>
  <c r="A342" i="2" s="1"/>
  <c r="G342" i="1"/>
  <c r="A341" i="2" s="1"/>
  <c r="G341" i="1"/>
  <c r="A340" i="2" s="1"/>
  <c r="G340" i="1"/>
  <c r="A339" i="2" s="1"/>
  <c r="G339" i="1"/>
  <c r="A338" i="2" s="1"/>
  <c r="G338" i="1"/>
  <c r="A337" i="2" s="1"/>
  <c r="G337" i="1"/>
  <c r="A336" i="2" s="1"/>
  <c r="G336" i="1"/>
  <c r="A335" i="2" s="1"/>
  <c r="G335" i="1"/>
  <c r="A334" i="2" s="1"/>
  <c r="G334" i="1"/>
  <c r="A333" i="2" s="1"/>
  <c r="G333" i="1"/>
  <c r="A332" i="2" s="1"/>
  <c r="G332" i="1"/>
  <c r="A331" i="2" s="1"/>
  <c r="G331" i="1"/>
  <c r="A330" i="2" s="1"/>
  <c r="G329" i="1"/>
  <c r="A328" i="2" s="1"/>
  <c r="G328" i="1"/>
  <c r="A327" i="2" s="1"/>
  <c r="G327" i="1"/>
  <c r="A326" i="2" s="1"/>
  <c r="G326" i="1"/>
  <c r="A325" i="2" s="1"/>
  <c r="G295" i="1"/>
  <c r="A294" i="2" s="1"/>
  <c r="G294" i="1"/>
  <c r="A293" i="2" s="1"/>
  <c r="G283" i="1"/>
  <c r="A282" i="2" s="1"/>
  <c r="G282" i="1"/>
  <c r="A281" i="2" s="1"/>
  <c r="G281" i="1"/>
  <c r="E281" i="1" s="1"/>
  <c r="G280" i="1"/>
  <c r="E280" i="1" s="1"/>
  <c r="G279" i="1"/>
  <c r="E279" i="1" s="1"/>
  <c r="G278" i="1"/>
  <c r="E278" i="1" s="1"/>
  <c r="G277" i="1"/>
  <c r="E277" i="1" s="1"/>
  <c r="G276" i="1"/>
  <c r="E276" i="1" s="1"/>
  <c r="G275" i="1"/>
  <c r="E275" i="1" s="1"/>
  <c r="G274" i="1"/>
  <c r="E274" i="1" s="1"/>
  <c r="G273" i="1"/>
  <c r="E273" i="1" s="1"/>
  <c r="G272" i="1"/>
  <c r="E272" i="1" s="1"/>
  <c r="G271" i="1"/>
  <c r="E271" i="1" s="1"/>
  <c r="G270" i="1"/>
  <c r="E270" i="1" s="1"/>
  <c r="G269" i="1"/>
  <c r="E269" i="1" s="1"/>
  <c r="G268" i="1"/>
  <c r="E268" i="1" s="1"/>
  <c r="G267" i="1"/>
  <c r="E267" i="1" s="1"/>
  <c r="G266" i="1"/>
  <c r="E266" i="1" s="1"/>
  <c r="G265" i="1"/>
  <c r="E265" i="1" s="1"/>
  <c r="G264" i="1"/>
  <c r="E264" i="1" s="1"/>
  <c r="G263" i="1"/>
  <c r="E263" i="1" s="1"/>
  <c r="G262" i="1"/>
  <c r="E262" i="1" s="1"/>
  <c r="G261" i="1"/>
  <c r="E261" i="1" s="1"/>
  <c r="G260" i="1"/>
  <c r="E260" i="1" s="1"/>
  <c r="G259" i="1"/>
  <c r="E259" i="1" s="1"/>
  <c r="G258" i="1"/>
  <c r="E258" i="1" s="1"/>
  <c r="G257" i="1"/>
  <c r="A256" i="2" s="1"/>
  <c r="G256" i="1"/>
  <c r="A255" i="2" s="1"/>
  <c r="G255" i="1"/>
  <c r="A254" i="2" s="1"/>
  <c r="G254" i="1"/>
  <c r="A253" i="2" s="1"/>
  <c r="G253" i="1"/>
  <c r="A252" i="2" s="1"/>
  <c r="G252" i="1"/>
  <c r="A251" i="2" s="1"/>
  <c r="G251" i="1"/>
  <c r="A250" i="2" s="1"/>
  <c r="G250" i="1"/>
  <c r="A249" i="2" s="1"/>
  <c r="G249" i="1"/>
  <c r="E249" i="1" s="1"/>
  <c r="G248" i="1"/>
  <c r="A247" i="2" s="1"/>
  <c r="G247" i="1"/>
  <c r="A246" i="2" s="1"/>
  <c r="G246" i="1"/>
  <c r="A245" i="2" s="1"/>
  <c r="G245" i="1"/>
  <c r="E245" i="1" s="1"/>
  <c r="G244" i="1"/>
  <c r="A243" i="2" s="1"/>
  <c r="G243" i="1"/>
  <c r="A242" i="2" s="1"/>
  <c r="G242" i="1"/>
  <c r="A241" i="2" s="1"/>
  <c r="G241" i="1"/>
  <c r="E241" i="1" s="1"/>
  <c r="G240" i="1"/>
  <c r="A239" i="2" s="1"/>
  <c r="G239" i="1"/>
  <c r="A238" i="2" s="1"/>
  <c r="G238" i="1"/>
  <c r="E238" i="1" s="1"/>
  <c r="G237" i="1"/>
  <c r="E237" i="1" s="1"/>
  <c r="G236" i="1"/>
  <c r="E236" i="1" s="1"/>
  <c r="G233" i="1"/>
  <c r="A232" i="2" s="1"/>
  <c r="G232" i="1"/>
  <c r="E232" i="1" s="1"/>
  <c r="G231" i="1"/>
  <c r="E231" i="1" s="1"/>
  <c r="G230" i="1"/>
  <c r="E230" i="1" s="1"/>
  <c r="G229" i="1"/>
  <c r="E229" i="1" s="1"/>
  <c r="G228" i="1"/>
  <c r="E228" i="1" s="1"/>
  <c r="G227" i="1"/>
  <c r="E227" i="1" s="1"/>
  <c r="G226" i="1"/>
  <c r="E226" i="1" s="1"/>
  <c r="G224" i="1"/>
  <c r="A223" i="2" s="1"/>
  <c r="G223" i="1"/>
  <c r="A222" i="2" s="1"/>
  <c r="G221" i="1"/>
  <c r="A220" i="2" s="1"/>
  <c r="G220" i="1"/>
  <c r="A219" i="2" s="1"/>
  <c r="G219" i="1"/>
  <c r="E219" i="1" s="1"/>
  <c r="G218" i="1"/>
  <c r="A217" i="2" s="1"/>
  <c r="G217" i="1"/>
  <c r="E217" i="1" s="1"/>
  <c r="G216" i="1"/>
  <c r="A215" i="2" s="1"/>
  <c r="G215" i="1"/>
  <c r="A214" i="2" s="1"/>
  <c r="G214" i="1"/>
  <c r="E214" i="1" s="1"/>
  <c r="G213" i="1"/>
  <c r="E213" i="1" s="1"/>
  <c r="G212" i="1"/>
  <c r="E212" i="1" s="1"/>
  <c r="G211" i="1"/>
  <c r="E211" i="1" s="1"/>
  <c r="G210" i="1"/>
  <c r="A209" i="2" s="1"/>
  <c r="G209" i="1"/>
  <c r="A208" i="2" s="1"/>
  <c r="G207" i="1"/>
  <c r="A206" i="2" s="1"/>
  <c r="G206" i="1"/>
  <c r="A205" i="2" s="1"/>
  <c r="G205" i="1"/>
  <c r="A204" i="2" s="1"/>
  <c r="G204" i="1"/>
  <c r="A203" i="2" s="1"/>
  <c r="G203" i="1"/>
  <c r="A202" i="2" s="1"/>
  <c r="G202" i="1"/>
  <c r="A201" i="2" s="1"/>
  <c r="G201" i="1"/>
  <c r="A200" i="2" s="1"/>
  <c r="G200" i="1"/>
  <c r="A199" i="2" s="1"/>
  <c r="G199" i="1"/>
  <c r="A198" i="2" s="1"/>
  <c r="G198" i="1"/>
  <c r="A197" i="2" s="1"/>
  <c r="G197" i="1"/>
  <c r="A196" i="2" s="1"/>
  <c r="G196" i="1"/>
  <c r="A195" i="2" s="1"/>
  <c r="G195" i="1"/>
  <c r="A194" i="2" s="1"/>
  <c r="G194" i="1"/>
  <c r="A193" i="2" s="1"/>
  <c r="G193" i="1"/>
  <c r="A192" i="2" s="1"/>
  <c r="G192" i="1"/>
  <c r="A191" i="2" s="1"/>
  <c r="G191" i="1"/>
  <c r="A190" i="2" s="1"/>
  <c r="G190" i="1"/>
  <c r="A189" i="2" s="1"/>
  <c r="G189" i="1"/>
  <c r="A188" i="2" s="1"/>
  <c r="G188" i="1"/>
  <c r="A187" i="2" s="1"/>
  <c r="G187" i="1"/>
  <c r="A186" i="2" s="1"/>
  <c r="G186" i="1"/>
  <c r="A185" i="2" s="1"/>
  <c r="G185" i="1"/>
  <c r="A184" i="2" s="1"/>
  <c r="G184" i="1"/>
  <c r="A183" i="2" s="1"/>
  <c r="G183" i="1"/>
  <c r="A182" i="2" s="1"/>
  <c r="G182" i="1"/>
  <c r="A181" i="2" s="1"/>
  <c r="G178" i="1"/>
  <c r="A177" i="2" s="1"/>
  <c r="G177" i="1"/>
  <c r="A176" i="2" s="1"/>
  <c r="G167" i="1"/>
  <c r="A166" i="2" s="1"/>
  <c r="G166" i="1"/>
  <c r="A165" i="2" s="1"/>
  <c r="G174" i="1"/>
  <c r="G173" i="1"/>
  <c r="G172" i="1"/>
  <c r="G153" i="1"/>
  <c r="G169" i="1"/>
  <c r="A168" i="2" s="1"/>
  <c r="G158" i="1"/>
  <c r="A157" i="2" s="1"/>
  <c r="G168" i="1"/>
  <c r="A167" i="2" s="1"/>
  <c r="G150" i="1"/>
  <c r="A149" i="2" s="1"/>
  <c r="G149" i="1"/>
  <c r="A148" i="2" s="1"/>
  <c r="G152" i="1"/>
  <c r="G135" i="1"/>
  <c r="A134" i="2" s="1"/>
  <c r="G134" i="1"/>
  <c r="A133" i="2" s="1"/>
  <c r="G133" i="1"/>
  <c r="A132" i="2" s="1"/>
  <c r="G132" i="1"/>
  <c r="A131" i="2" s="1"/>
  <c r="G124" i="1"/>
  <c r="A123" i="2" s="1"/>
  <c r="G131" i="1"/>
  <c r="G119" i="1"/>
  <c r="A118" i="2" s="1"/>
  <c r="G130" i="1"/>
  <c r="G129" i="1"/>
  <c r="G110" i="1"/>
  <c r="A109" i="2" s="1"/>
  <c r="G109" i="1"/>
  <c r="A108" i="2" s="1"/>
  <c r="G128" i="1"/>
  <c r="G127" i="1"/>
  <c r="G126" i="1"/>
  <c r="G125" i="1"/>
  <c r="G121" i="1"/>
  <c r="A120" i="2" s="1"/>
  <c r="G123" i="1"/>
  <c r="A122" i="2" s="1"/>
  <c r="G106" i="1"/>
  <c r="A105" i="2" s="1"/>
  <c r="G105" i="1"/>
  <c r="A104" i="2" s="1"/>
  <c r="G104" i="1"/>
  <c r="A103" i="2" s="1"/>
  <c r="G103" i="1"/>
  <c r="A102" i="2" s="1"/>
  <c r="G98" i="1"/>
  <c r="A97" i="2" s="1"/>
  <c r="G97" i="1"/>
  <c r="A96" i="2" s="1"/>
  <c r="G96" i="1"/>
  <c r="A95" i="2" s="1"/>
  <c r="G95" i="1"/>
  <c r="A94" i="2" s="1"/>
  <c r="G94" i="1"/>
  <c r="A93" i="2" s="1"/>
  <c r="G93" i="1"/>
  <c r="A92" i="2" s="1"/>
  <c r="G92" i="1"/>
  <c r="A91" i="2" s="1"/>
  <c r="G91" i="1"/>
  <c r="A90" i="2" s="1"/>
  <c r="G88" i="1"/>
  <c r="A87" i="2" s="1"/>
  <c r="G87" i="1"/>
  <c r="A86" i="2" s="1"/>
  <c r="G86" i="1"/>
  <c r="A85" i="2" s="1"/>
  <c r="G81" i="1"/>
  <c r="A80" i="2" s="1"/>
  <c r="G80" i="1"/>
  <c r="A79" i="2" s="1"/>
  <c r="G79" i="1"/>
  <c r="A78" i="2" s="1"/>
  <c r="G78" i="1"/>
  <c r="A77" i="2" s="1"/>
  <c r="G77" i="1"/>
  <c r="A76" i="2" s="1"/>
  <c r="G76" i="1"/>
  <c r="A75" i="2" s="1"/>
  <c r="G75" i="1"/>
  <c r="A74" i="2" s="1"/>
  <c r="G74" i="1"/>
  <c r="A73" i="2" s="1"/>
  <c r="G73" i="1"/>
  <c r="A72" i="2" s="1"/>
  <c r="G72" i="1"/>
  <c r="A71" i="2" s="1"/>
  <c r="G71" i="1"/>
  <c r="A70" i="2" s="1"/>
  <c r="G70" i="1"/>
  <c r="A69" i="2" s="1"/>
  <c r="G68" i="1"/>
  <c r="A67" i="2" s="1"/>
  <c r="G61" i="1"/>
  <c r="A60" i="2" s="1"/>
  <c r="G60" i="1"/>
  <c r="A59" i="2" s="1"/>
  <c r="G59" i="1"/>
  <c r="A58" i="2" s="1"/>
  <c r="G58" i="1"/>
  <c r="A57" i="2" s="1"/>
  <c r="G57" i="1"/>
  <c r="A56" i="2" s="1"/>
  <c r="G56" i="1"/>
  <c r="A55" i="2" s="1"/>
  <c r="G53" i="1"/>
  <c r="A52" i="2" s="1"/>
  <c r="G52" i="1"/>
  <c r="A51" i="2" s="1"/>
  <c r="G48" i="1"/>
  <c r="A47" i="2" s="1"/>
  <c r="G47" i="1"/>
  <c r="A46" i="2" s="1"/>
  <c r="G46" i="1"/>
  <c r="A45" i="2" s="1"/>
  <c r="G45" i="1"/>
  <c r="A44" i="2" s="1"/>
  <c r="G42" i="1"/>
  <c r="A41" i="2" s="1"/>
  <c r="G38" i="1"/>
  <c r="A37" i="2" s="1"/>
  <c r="G37" i="1"/>
  <c r="A36" i="2" s="1"/>
  <c r="G36" i="1"/>
  <c r="A35" i="2" s="1"/>
  <c r="G35" i="1"/>
  <c r="A34" i="2" s="1"/>
  <c r="G32" i="1"/>
  <c r="A31" i="2" s="1"/>
  <c r="G28" i="1"/>
  <c r="A27" i="2" s="1"/>
  <c r="G27" i="1"/>
  <c r="A26" i="2" s="1"/>
  <c r="G26" i="1"/>
  <c r="A25" i="2" s="1"/>
  <c r="G25" i="1"/>
  <c r="A24" i="2" s="1"/>
  <c r="G24" i="1"/>
  <c r="A23" i="2" s="1"/>
  <c r="G23" i="1"/>
  <c r="A22" i="2" s="1"/>
  <c r="G22" i="1"/>
  <c r="A21" i="2" s="1"/>
  <c r="G21" i="1"/>
  <c r="A20" i="2" s="1"/>
  <c r="G20" i="1"/>
  <c r="A19" i="2" s="1"/>
  <c r="G19" i="1"/>
  <c r="A18" i="2" s="1"/>
  <c r="G18" i="1"/>
  <c r="A17" i="2" s="1"/>
  <c r="G17" i="1"/>
  <c r="A16" i="2" s="1"/>
  <c r="G16" i="1"/>
  <c r="A15" i="2" s="1"/>
  <c r="G15" i="1"/>
  <c r="A14" i="2" s="1"/>
  <c r="G14" i="1"/>
  <c r="A13" i="2" s="1"/>
  <c r="G13" i="1"/>
  <c r="A12" i="2" s="1"/>
  <c r="G12" i="1"/>
  <c r="A11" i="2" s="1"/>
  <c r="G11" i="1"/>
  <c r="A10" i="2" s="1"/>
  <c r="G10" i="1"/>
  <c r="A9" i="2" s="1"/>
  <c r="G9" i="1"/>
  <c r="A8" i="2" s="1"/>
  <c r="G8" i="1"/>
  <c r="A7" i="2" s="1"/>
  <c r="G7" i="1"/>
  <c r="A6" i="2" s="1"/>
  <c r="G6" i="1"/>
  <c r="A5" i="2" s="1"/>
  <c r="G5" i="1"/>
  <c r="A4" i="2" s="1"/>
  <c r="G4" i="1"/>
  <c r="A3" i="2" s="1"/>
  <c r="G3" i="1"/>
  <c r="A2" i="2" s="1"/>
  <c r="G2" i="1"/>
  <c r="B1" i="2" s="1"/>
  <c r="B1303" i="2" l="1"/>
  <c r="B87" i="2"/>
  <c r="B433" i="2"/>
  <c r="B561" i="2"/>
  <c r="B688" i="2"/>
  <c r="B733" i="2"/>
  <c r="B813" i="2"/>
  <c r="B978" i="2"/>
  <c r="B1022" i="2"/>
  <c r="B1076" i="2"/>
  <c r="B1155" i="2"/>
  <c r="B14" i="2"/>
  <c r="B22" i="2"/>
  <c r="B35" i="2"/>
  <c r="B51" i="2"/>
  <c r="B67" i="2"/>
  <c r="B76" i="2"/>
  <c r="B90" i="2"/>
  <c r="B102" i="2"/>
  <c r="B123" i="2"/>
  <c r="B167" i="2"/>
  <c r="B166" i="2"/>
  <c r="B186" i="2"/>
  <c r="B194" i="2"/>
  <c r="B202" i="2"/>
  <c r="B219" i="2"/>
  <c r="B239" i="2"/>
  <c r="B247" i="2"/>
  <c r="B255" i="2"/>
  <c r="B327" i="2"/>
  <c r="B336" i="2"/>
  <c r="B344" i="2"/>
  <c r="B352" i="2"/>
  <c r="B360" i="2"/>
  <c r="B400" i="2"/>
  <c r="B414" i="2"/>
  <c r="B426" i="2"/>
  <c r="B434" i="2"/>
  <c r="B450" i="2"/>
  <c r="B458" i="2"/>
  <c r="B466" i="2"/>
  <c r="B518" i="2"/>
  <c r="B537" i="2"/>
  <c r="B562" i="2"/>
  <c r="B574" i="2"/>
  <c r="B582" i="2"/>
  <c r="B592" i="2"/>
  <c r="B600" i="2"/>
  <c r="B612" i="2"/>
  <c r="B620" i="2"/>
  <c r="B628" i="2"/>
  <c r="B651" i="2"/>
  <c r="B664" i="2"/>
  <c r="B678" i="2"/>
  <c r="B689" i="2"/>
  <c r="B699" i="2"/>
  <c r="B709" i="2"/>
  <c r="B718" i="2"/>
  <c r="B726" i="2"/>
  <c r="B734" i="2"/>
  <c r="B765" i="2"/>
  <c r="B787" i="2"/>
  <c r="B806" i="2"/>
  <c r="B814" i="2"/>
  <c r="B894" i="2"/>
  <c r="B903" i="2"/>
  <c r="B932" i="2"/>
  <c r="B944" i="2"/>
  <c r="B952" i="2"/>
  <c r="B979" i="2"/>
  <c r="B989" i="2"/>
  <c r="B997" i="2"/>
  <c r="B1005" i="2"/>
  <c r="B1015" i="2"/>
  <c r="B1023" i="2"/>
  <c r="B1031" i="2"/>
  <c r="B1041" i="2"/>
  <c r="B1049" i="2"/>
  <c r="B1069" i="2"/>
  <c r="B1077" i="2"/>
  <c r="B1085" i="2"/>
  <c r="B1095" i="2"/>
  <c r="B1115" i="2"/>
  <c r="B1123" i="2"/>
  <c r="B1131" i="2"/>
  <c r="B1318" i="2"/>
  <c r="B1148" i="2"/>
  <c r="B1156" i="2"/>
  <c r="B1164" i="2"/>
  <c r="B1222" i="2"/>
  <c r="B1230" i="2"/>
  <c r="B1304" i="2"/>
  <c r="B326" i="2"/>
  <c r="B359" i="2"/>
  <c r="B571" i="2"/>
  <c r="B611" i="2"/>
  <c r="B673" i="2"/>
  <c r="B725" i="2"/>
  <c r="B805" i="2"/>
  <c r="B951" i="2"/>
  <c r="B1014" i="2"/>
  <c r="B1130" i="2"/>
  <c r="B52" i="2"/>
  <c r="B131" i="2"/>
  <c r="B187" i="2"/>
  <c r="B220" i="2"/>
  <c r="B256" i="2"/>
  <c r="B328" i="2"/>
  <c r="B337" i="2"/>
  <c r="B345" i="2"/>
  <c r="B353" i="2"/>
  <c r="B361" i="2"/>
  <c r="B401" i="2"/>
  <c r="B427" i="2"/>
  <c r="B435" i="2"/>
  <c r="B443" i="2"/>
  <c r="B459" i="2"/>
  <c r="B467" i="2"/>
  <c r="B507" i="2"/>
  <c r="B519" i="2"/>
  <c r="B544" i="2"/>
  <c r="B563" i="2"/>
  <c r="B575" i="2"/>
  <c r="B583" i="2"/>
  <c r="B593" i="2"/>
  <c r="B602" i="2"/>
  <c r="B613" i="2"/>
  <c r="B621" i="2"/>
  <c r="B634" i="2"/>
  <c r="B652" i="2"/>
  <c r="B665" i="2"/>
  <c r="B679" i="2"/>
  <c r="B690" i="2"/>
  <c r="B700" i="2"/>
  <c r="B710" i="2"/>
  <c r="B719" i="2"/>
  <c r="B727" i="2"/>
  <c r="B735" i="2"/>
  <c r="B751" i="2"/>
  <c r="B767" i="2"/>
  <c r="B788" i="2"/>
  <c r="B807" i="2"/>
  <c r="B815" i="2"/>
  <c r="B895" i="2"/>
  <c r="B904" i="2"/>
  <c r="B933" i="2"/>
  <c r="B945" i="2"/>
  <c r="B953" i="2"/>
  <c r="B980" i="2"/>
  <c r="B990" i="2"/>
  <c r="B998" i="2"/>
  <c r="B1006" i="2"/>
  <c r="B1016" i="2"/>
  <c r="B1024" i="2"/>
  <c r="B1032" i="2"/>
  <c r="B1042" i="2"/>
  <c r="B1050" i="2"/>
  <c r="B1070" i="2"/>
  <c r="B1078" i="2"/>
  <c r="B1086" i="2"/>
  <c r="B1096" i="2"/>
  <c r="B1116" i="2"/>
  <c r="B1124" i="2"/>
  <c r="B1132" i="2"/>
  <c r="B1319" i="2"/>
  <c r="B1149" i="2"/>
  <c r="B1157" i="2"/>
  <c r="B1165" i="2"/>
  <c r="B1223" i="2"/>
  <c r="B1231" i="2"/>
  <c r="B1305" i="2"/>
  <c r="B13" i="2"/>
  <c r="B75" i="2"/>
  <c r="B581" i="2"/>
  <c r="B619" i="2"/>
  <c r="B717" i="2"/>
  <c r="B773" i="2"/>
  <c r="B943" i="2"/>
  <c r="B1048" i="2"/>
  <c r="B1122" i="2"/>
  <c r="B1221" i="2"/>
  <c r="B7" i="2"/>
  <c r="B103" i="2"/>
  <c r="B16" i="2"/>
  <c r="B37" i="2"/>
  <c r="B70" i="2"/>
  <c r="B78" i="2"/>
  <c r="B92" i="2"/>
  <c r="B104" i="2"/>
  <c r="B108" i="2"/>
  <c r="B132" i="2"/>
  <c r="B168" i="2"/>
  <c r="B177" i="2"/>
  <c r="B188" i="2"/>
  <c r="B196" i="2"/>
  <c r="B204" i="2"/>
  <c r="B222" i="2"/>
  <c r="B241" i="2"/>
  <c r="B249" i="2"/>
  <c r="B281" i="2"/>
  <c r="B330" i="2"/>
  <c r="B338" i="2"/>
  <c r="B346" i="2"/>
  <c r="B354" i="2"/>
  <c r="B362" i="2"/>
  <c r="B402" i="2"/>
  <c r="B416" i="2"/>
  <c r="B428" i="2"/>
  <c r="B436" i="2"/>
  <c r="B444" i="2"/>
  <c r="B452" i="2"/>
  <c r="B468" i="2"/>
  <c r="B508" i="2"/>
  <c r="B520" i="2"/>
  <c r="B545" i="2"/>
  <c r="B566" i="2"/>
  <c r="B576" i="2"/>
  <c r="B586" i="2"/>
  <c r="B594" i="2"/>
  <c r="B603" i="2"/>
  <c r="B614" i="2"/>
  <c r="B622" i="2"/>
  <c r="B635" i="2"/>
  <c r="B654" i="2"/>
  <c r="B666" i="2"/>
  <c r="B681" i="2"/>
  <c r="B692" i="2"/>
  <c r="B701" i="2"/>
  <c r="B712" i="2"/>
  <c r="B720" i="2"/>
  <c r="B728" i="2"/>
  <c r="B736" i="2"/>
  <c r="B757" i="2"/>
  <c r="B768" i="2"/>
  <c r="B789" i="2"/>
  <c r="B808" i="2"/>
  <c r="B816" i="2"/>
  <c r="B896" i="2"/>
  <c r="B905" i="2"/>
  <c r="B936" i="2"/>
  <c r="B946" i="2"/>
  <c r="B954" i="2"/>
  <c r="B981" i="2"/>
  <c r="B991" i="2"/>
  <c r="B999" i="2"/>
  <c r="B1007" i="2"/>
  <c r="B1017" i="2"/>
  <c r="B1025" i="2"/>
  <c r="B1033" i="2"/>
  <c r="B1043" i="2"/>
  <c r="B1051" i="2"/>
  <c r="B1071" i="2"/>
  <c r="B1079" i="2"/>
  <c r="B1087" i="2"/>
  <c r="B1097" i="2"/>
  <c r="B1117" i="2"/>
  <c r="B1125" i="2"/>
  <c r="B1133" i="2"/>
  <c r="B1142" i="2"/>
  <c r="B1150" i="2"/>
  <c r="B1158" i="2"/>
  <c r="B1216" i="2"/>
  <c r="B1224" i="2"/>
  <c r="B1232" i="2"/>
  <c r="B1322" i="2"/>
  <c r="B34" i="2"/>
  <c r="B165" i="2"/>
  <c r="B201" i="2"/>
  <c r="B343" i="2"/>
  <c r="B413" i="2"/>
  <c r="B449" i="2"/>
  <c r="B649" i="2"/>
  <c r="B893" i="2"/>
  <c r="B996" i="2"/>
  <c r="B1030" i="2"/>
  <c r="B1094" i="2"/>
  <c r="B1229" i="2"/>
  <c r="B23" i="2"/>
  <c r="B69" i="2"/>
  <c r="B157" i="2"/>
  <c r="B195" i="2"/>
  <c r="B203" i="2"/>
  <c r="B8" i="2"/>
  <c r="B24" i="2"/>
  <c r="B55" i="2"/>
  <c r="B9" i="2"/>
  <c r="B17" i="2"/>
  <c r="B25" i="2"/>
  <c r="B41" i="2"/>
  <c r="B56" i="2"/>
  <c r="B71" i="2"/>
  <c r="B79" i="2"/>
  <c r="B93" i="2"/>
  <c r="B105" i="2"/>
  <c r="B109" i="2"/>
  <c r="B133" i="2"/>
  <c r="B181" i="2"/>
  <c r="B189" i="2"/>
  <c r="B197" i="2"/>
  <c r="B205" i="2"/>
  <c r="B214" i="2"/>
  <c r="B223" i="2"/>
  <c r="B232" i="2"/>
  <c r="B242" i="2"/>
  <c r="B250" i="2"/>
  <c r="B282" i="2"/>
  <c r="B331" i="2"/>
  <c r="B339" i="2"/>
  <c r="B347" i="2"/>
  <c r="B355" i="2"/>
  <c r="B363" i="2"/>
  <c r="B409" i="2"/>
  <c r="B417" i="2"/>
  <c r="B429" i="2"/>
  <c r="B437" i="2"/>
  <c r="B445" i="2"/>
  <c r="B453" i="2"/>
  <c r="B461" i="2"/>
  <c r="B509" i="2"/>
  <c r="B538" i="2"/>
  <c r="B567" i="2"/>
  <c r="B577" i="2"/>
  <c r="B587" i="2"/>
  <c r="B595" i="2"/>
  <c r="B605" i="2"/>
  <c r="B615" i="2"/>
  <c r="B623" i="2"/>
  <c r="B641" i="2"/>
  <c r="B655" i="2"/>
  <c r="B667" i="2"/>
  <c r="B682" i="2"/>
  <c r="B693" i="2"/>
  <c r="B702" i="2"/>
  <c r="B713" i="2"/>
  <c r="B721" i="2"/>
  <c r="B729" i="2"/>
  <c r="B759" i="2"/>
  <c r="B769" i="2"/>
  <c r="B790" i="2"/>
  <c r="B809" i="2"/>
  <c r="B817" i="2"/>
  <c r="B898" i="2"/>
  <c r="B906" i="2"/>
  <c r="B937" i="2"/>
  <c r="B947" i="2"/>
  <c r="B955" i="2"/>
  <c r="B984" i="2"/>
  <c r="B992" i="2"/>
  <c r="B1000" i="2"/>
  <c r="B1010" i="2"/>
  <c r="B1018" i="2"/>
  <c r="B1026" i="2"/>
  <c r="B1034" i="2"/>
  <c r="B1044" i="2"/>
  <c r="B1064" i="2"/>
  <c r="B1072" i="2"/>
  <c r="B1080" i="2"/>
  <c r="B1090" i="2"/>
  <c r="B1098" i="2"/>
  <c r="B1118" i="2"/>
  <c r="B1126" i="2"/>
  <c r="B1134" i="2"/>
  <c r="B1143" i="2"/>
  <c r="B1151" i="2"/>
  <c r="B1159" i="2"/>
  <c r="B1217" i="2"/>
  <c r="B1225" i="2"/>
  <c r="B1233" i="2"/>
  <c r="B1324" i="2"/>
  <c r="B5" i="2"/>
  <c r="B60" i="2"/>
  <c r="B185" i="2"/>
  <c r="B238" i="2"/>
  <c r="B425" i="2"/>
  <c r="B457" i="2"/>
  <c r="B513" i="2"/>
  <c r="B599" i="2"/>
  <c r="B930" i="2"/>
  <c r="B1084" i="2"/>
  <c r="B1147" i="2"/>
  <c r="B6" i="2"/>
  <c r="B15" i="2"/>
  <c r="B91" i="2"/>
  <c r="B176" i="2"/>
  <c r="B44" i="2"/>
  <c r="B57" i="2"/>
  <c r="B72" i="2"/>
  <c r="B80" i="2"/>
  <c r="B94" i="2"/>
  <c r="B122" i="2"/>
  <c r="B134" i="2"/>
  <c r="B182" i="2"/>
  <c r="B190" i="2"/>
  <c r="B198" i="2"/>
  <c r="B206" i="2"/>
  <c r="B215" i="2"/>
  <c r="B243" i="2"/>
  <c r="B251" i="2"/>
  <c r="B293" i="2"/>
  <c r="B332" i="2"/>
  <c r="B340" i="2"/>
  <c r="B348" i="2"/>
  <c r="B356" i="2"/>
  <c r="B364" i="2"/>
  <c r="B410" i="2"/>
  <c r="B422" i="2"/>
  <c r="B430" i="2"/>
  <c r="B438" i="2"/>
  <c r="B446" i="2"/>
  <c r="B454" i="2"/>
  <c r="B462" i="2"/>
  <c r="B470" i="2"/>
  <c r="B510" i="2"/>
  <c r="B539" i="2"/>
  <c r="B568" i="2"/>
  <c r="B578" i="2"/>
  <c r="B588" i="2"/>
  <c r="B596" i="2"/>
  <c r="B606" i="2"/>
  <c r="B616" i="2"/>
  <c r="B624" i="2"/>
  <c r="B645" i="2"/>
  <c r="B660" i="2"/>
  <c r="B668" i="2"/>
  <c r="B695" i="2"/>
  <c r="B703" i="2"/>
  <c r="B714" i="2"/>
  <c r="B722" i="2"/>
  <c r="B730" i="2"/>
  <c r="B760" i="2"/>
  <c r="B770" i="2"/>
  <c r="B791" i="2"/>
  <c r="B810" i="2"/>
  <c r="B818" i="2"/>
  <c r="B899" i="2"/>
  <c r="B907" i="2"/>
  <c r="B938" i="2"/>
  <c r="B948" i="2"/>
  <c r="B956" i="2"/>
  <c r="B985" i="2"/>
  <c r="B993" i="2"/>
  <c r="B1001" i="2"/>
  <c r="B1011" i="2"/>
  <c r="B1019" i="2"/>
  <c r="B1027" i="2"/>
  <c r="B1035" i="2"/>
  <c r="B1045" i="2"/>
  <c r="B1065" i="2"/>
  <c r="B1073" i="2"/>
  <c r="B1081" i="2"/>
  <c r="B1091" i="2"/>
  <c r="B1099" i="2"/>
  <c r="B1119" i="2"/>
  <c r="B1127" i="2"/>
  <c r="B1135" i="2"/>
  <c r="B1144" i="2"/>
  <c r="B1152" i="2"/>
  <c r="B1160" i="2"/>
  <c r="B1218" i="2"/>
  <c r="B1226" i="2"/>
  <c r="B1234" i="2"/>
  <c r="B1325" i="2"/>
  <c r="B21" i="2"/>
  <c r="B97" i="2"/>
  <c r="B149" i="2"/>
  <c r="B193" i="2"/>
  <c r="B246" i="2"/>
  <c r="B351" i="2"/>
  <c r="B399" i="2"/>
  <c r="B441" i="2"/>
  <c r="B465" i="2"/>
  <c r="B536" i="2"/>
  <c r="B627" i="2"/>
  <c r="B764" i="2"/>
  <c r="B902" i="2"/>
  <c r="B1004" i="2"/>
  <c r="B1068" i="2"/>
  <c r="B1315" i="2"/>
  <c r="B36" i="2"/>
  <c r="B10" i="2"/>
  <c r="B26" i="2"/>
  <c r="B11" i="2"/>
  <c r="B19" i="2"/>
  <c r="B27" i="2"/>
  <c r="B45" i="2"/>
  <c r="B58" i="2"/>
  <c r="B73" i="2"/>
  <c r="B85" i="2"/>
  <c r="B95" i="2"/>
  <c r="B120" i="2"/>
  <c r="B183" i="2"/>
  <c r="B191" i="2"/>
  <c r="B199" i="2"/>
  <c r="B208" i="2"/>
  <c r="B252" i="2"/>
  <c r="B294" i="2"/>
  <c r="B333" i="2"/>
  <c r="B341" i="2"/>
  <c r="B349" i="2"/>
  <c r="B357" i="2"/>
  <c r="B365" i="2"/>
  <c r="B411" i="2"/>
  <c r="B423" i="2"/>
  <c r="B431" i="2"/>
  <c r="B439" i="2"/>
  <c r="B447" i="2"/>
  <c r="B455" i="2"/>
  <c r="B463" i="2"/>
  <c r="B471" i="2"/>
  <c r="B511" i="2"/>
  <c r="B546" i="2"/>
  <c r="B569" i="2"/>
  <c r="B579" i="2"/>
  <c r="B589" i="2"/>
  <c r="B597" i="2"/>
  <c r="B609" i="2"/>
  <c r="B617" i="2"/>
  <c r="B625" i="2"/>
  <c r="B647" i="2"/>
  <c r="B661" i="2"/>
  <c r="B669" i="2"/>
  <c r="B684" i="2"/>
  <c r="B696" i="2"/>
  <c r="B704" i="2"/>
  <c r="B715" i="2"/>
  <c r="B723" i="2"/>
  <c r="B731" i="2"/>
  <c r="B761" i="2"/>
  <c r="B771" i="2"/>
  <c r="B792" i="2"/>
  <c r="B811" i="2"/>
  <c r="B819" i="2"/>
  <c r="B900" i="2"/>
  <c r="B908" i="2"/>
  <c r="B939" i="2"/>
  <c r="B949" i="2"/>
  <c r="B957" i="2"/>
  <c r="B986" i="2"/>
  <c r="B994" i="2"/>
  <c r="B1002" i="2"/>
  <c r="B1012" i="2"/>
  <c r="B1020" i="2"/>
  <c r="B1028" i="2"/>
  <c r="B1036" i="2"/>
  <c r="B1046" i="2"/>
  <c r="B1066" i="2"/>
  <c r="B1074" i="2"/>
  <c r="B1082" i="2"/>
  <c r="B1092" i="2"/>
  <c r="B1100" i="2"/>
  <c r="B1120" i="2"/>
  <c r="B1128" i="2"/>
  <c r="B1136" i="2"/>
  <c r="B1145" i="2"/>
  <c r="B1153" i="2"/>
  <c r="B1161" i="2"/>
  <c r="B1219" i="2"/>
  <c r="B1227" i="2"/>
  <c r="B1235" i="2"/>
  <c r="B1326" i="2"/>
  <c r="B47" i="2"/>
  <c r="B254" i="2"/>
  <c r="B335" i="2"/>
  <c r="B591" i="2"/>
  <c r="B663" i="2"/>
  <c r="B707" i="2"/>
  <c r="B797" i="2"/>
  <c r="B988" i="2"/>
  <c r="B1040" i="2"/>
  <c r="B1114" i="2"/>
  <c r="B1163" i="2"/>
  <c r="B77" i="2"/>
  <c r="B2" i="2"/>
  <c r="B18" i="2"/>
  <c r="B3" i="2"/>
  <c r="B4" i="2"/>
  <c r="B12" i="2"/>
  <c r="B20" i="2"/>
  <c r="B31" i="2"/>
  <c r="B46" i="2"/>
  <c r="B59" i="2"/>
  <c r="B74" i="2"/>
  <c r="B86" i="2"/>
  <c r="B96" i="2"/>
  <c r="B118" i="2"/>
  <c r="B148" i="2"/>
  <c r="B184" i="2"/>
  <c r="B192" i="2"/>
  <c r="B200" i="2"/>
  <c r="B209" i="2"/>
  <c r="B217" i="2"/>
  <c r="B245" i="2"/>
  <c r="B253" i="2"/>
  <c r="B325" i="2"/>
  <c r="B334" i="2"/>
  <c r="B342" i="2"/>
  <c r="B350" i="2"/>
  <c r="B358" i="2"/>
  <c r="B398" i="2"/>
  <c r="B412" i="2"/>
  <c r="B424" i="2"/>
  <c r="B432" i="2"/>
  <c r="B440" i="2"/>
  <c r="B448" i="2"/>
  <c r="B456" i="2"/>
  <c r="B464" i="2"/>
  <c r="B472" i="2"/>
  <c r="B512" i="2"/>
  <c r="B560" i="2"/>
  <c r="B570" i="2"/>
  <c r="B580" i="2"/>
  <c r="B590" i="2"/>
  <c r="B598" i="2"/>
  <c r="B610" i="2"/>
  <c r="B618" i="2"/>
  <c r="B626" i="2"/>
  <c r="B648" i="2"/>
  <c r="B662" i="2"/>
  <c r="B670" i="2"/>
  <c r="B685" i="2"/>
  <c r="B697" i="2"/>
  <c r="B706" i="2"/>
  <c r="B716" i="2"/>
  <c r="B724" i="2"/>
  <c r="B732" i="2"/>
  <c r="B762" i="2"/>
  <c r="B772" i="2"/>
  <c r="B793" i="2"/>
  <c r="B804" i="2"/>
  <c r="B812" i="2"/>
  <c r="B820" i="2"/>
  <c r="B901" i="2"/>
  <c r="B909" i="2"/>
  <c r="B942" i="2"/>
  <c r="B950" i="2"/>
  <c r="B958" i="2"/>
  <c r="B987" i="2"/>
  <c r="B995" i="2"/>
  <c r="B1003" i="2"/>
  <c r="B1013" i="2"/>
  <c r="B1021" i="2"/>
  <c r="B1029" i="2"/>
  <c r="B1037" i="2"/>
  <c r="B1047" i="2"/>
  <c r="B1067" i="2"/>
  <c r="B1075" i="2"/>
  <c r="B1083" i="2"/>
  <c r="B1093" i="2"/>
  <c r="B1101" i="2"/>
  <c r="B1121" i="2"/>
  <c r="B1129" i="2"/>
  <c r="B1137" i="2"/>
  <c r="B1146" i="2"/>
  <c r="B1154" i="2"/>
  <c r="B1162" i="2"/>
  <c r="B1220" i="2"/>
  <c r="B1228" i="2"/>
  <c r="B1302" i="2"/>
  <c r="B1327" i="2"/>
  <c r="E184" i="1"/>
  <c r="E196" i="1"/>
  <c r="E209" i="1"/>
  <c r="E253" i="1"/>
  <c r="E294" i="1"/>
  <c r="E333" i="1"/>
  <c r="E341" i="1"/>
  <c r="E361" i="1"/>
  <c r="E182" i="1"/>
  <c r="E186" i="1"/>
  <c r="E190" i="1"/>
  <c r="E194" i="1"/>
  <c r="E198" i="1"/>
  <c r="E202" i="1"/>
  <c r="E206" i="1"/>
  <c r="E215" i="1"/>
  <c r="E224" i="1"/>
  <c r="E233" i="1"/>
  <c r="E239" i="1"/>
  <c r="E243" i="1"/>
  <c r="E247" i="1"/>
  <c r="E251" i="1"/>
  <c r="E255" i="1"/>
  <c r="E283" i="1"/>
  <c r="E326" i="1"/>
  <c r="E331" i="1"/>
  <c r="E335" i="1"/>
  <c r="E339" i="1"/>
  <c r="E343" i="1"/>
  <c r="E347" i="1"/>
  <c r="E351" i="1"/>
  <c r="E355" i="1"/>
  <c r="E359" i="1"/>
  <c r="E363" i="1"/>
  <c r="E399" i="1"/>
  <c r="E403" i="1"/>
  <c r="E413" i="1"/>
  <c r="E417" i="1"/>
  <c r="E425" i="1"/>
  <c r="E429" i="1"/>
  <c r="E433" i="1"/>
  <c r="E437" i="1"/>
  <c r="E441" i="1"/>
  <c r="E445" i="1"/>
  <c r="E449" i="1"/>
  <c r="E453" i="1"/>
  <c r="E457" i="1"/>
  <c r="E465" i="1"/>
  <c r="E469" i="1"/>
  <c r="E473" i="1"/>
  <c r="E509" i="1"/>
  <c r="E513" i="1"/>
  <c r="E521" i="1"/>
  <c r="E546" i="1"/>
  <c r="E561" i="1"/>
  <c r="E567" i="1"/>
  <c r="E571" i="1"/>
  <c r="E577" i="1"/>
  <c r="E581" i="1"/>
  <c r="E587" i="1"/>
  <c r="E591" i="1"/>
  <c r="E595" i="1"/>
  <c r="E599" i="1"/>
  <c r="E604" i="1"/>
  <c r="E611" i="1"/>
  <c r="E615" i="1"/>
  <c r="E619" i="1"/>
  <c r="E623" i="1"/>
  <c r="E627" i="1"/>
  <c r="E636" i="1"/>
  <c r="E649" i="1"/>
  <c r="E655" i="1"/>
  <c r="E663" i="1"/>
  <c r="E667" i="1"/>
  <c r="E671" i="1"/>
  <c r="E680" i="1"/>
  <c r="E685" i="1"/>
  <c r="E691" i="1"/>
  <c r="E697" i="1"/>
  <c r="E701" i="1"/>
  <c r="E705" i="1"/>
  <c r="E711" i="1"/>
  <c r="E716" i="1"/>
  <c r="E720" i="1"/>
  <c r="E724" i="1"/>
  <c r="E728" i="1"/>
  <c r="E732" i="1"/>
  <c r="E736" i="1"/>
  <c r="E752" i="1"/>
  <c r="E762" i="1"/>
  <c r="E768" i="1"/>
  <c r="E772" i="1"/>
  <c r="E789" i="1"/>
  <c r="E793" i="1"/>
  <c r="E808" i="1"/>
  <c r="E812" i="1"/>
  <c r="E816" i="1"/>
  <c r="E820" i="1"/>
  <c r="E896" i="1"/>
  <c r="E901" i="1"/>
  <c r="E905" i="1"/>
  <c r="E909" i="1"/>
  <c r="E934" i="1"/>
  <c r="E940" i="1"/>
  <c r="E946" i="1"/>
  <c r="E950" i="1"/>
  <c r="E954" i="1"/>
  <c r="E958" i="1"/>
  <c r="E979" i="1"/>
  <c r="E985" i="1"/>
  <c r="E989" i="1"/>
  <c r="E993" i="1"/>
  <c r="E997" i="1"/>
  <c r="E1001" i="1"/>
  <c r="E1005" i="1"/>
  <c r="E1011" i="1"/>
  <c r="E1015" i="1"/>
  <c r="E1019" i="1"/>
  <c r="E1023" i="1"/>
  <c r="E1027" i="1"/>
  <c r="E1031" i="1"/>
  <c r="E1035" i="1"/>
  <c r="E1041" i="1"/>
  <c r="E1045" i="1"/>
  <c r="E1049" i="1"/>
  <c r="E1065" i="1"/>
  <c r="E1069" i="1"/>
  <c r="E1073" i="1"/>
  <c r="E1077" i="1"/>
  <c r="E1081" i="1"/>
  <c r="E1085" i="1"/>
  <c r="E1091" i="1"/>
  <c r="E1095" i="1"/>
  <c r="E1099" i="1"/>
  <c r="E1115" i="1"/>
  <c r="E1119" i="1"/>
  <c r="E1123" i="1"/>
  <c r="E1127" i="1"/>
  <c r="E1131" i="1"/>
  <c r="E1135" i="1"/>
  <c r="E1316" i="1"/>
  <c r="E1144" i="1"/>
  <c r="E1148" i="1"/>
  <c r="E1152" i="1"/>
  <c r="E1156" i="1"/>
  <c r="E1160" i="1"/>
  <c r="E1164" i="1"/>
  <c r="E1218" i="1"/>
  <c r="E1222" i="1"/>
  <c r="E1226" i="1"/>
  <c r="E1230" i="1"/>
  <c r="E1234" i="1"/>
  <c r="E1304" i="1"/>
  <c r="E1325" i="1"/>
  <c r="E195" i="1"/>
  <c r="E199" i="1"/>
  <c r="E203" i="1"/>
  <c r="E207" i="1"/>
  <c r="E216" i="1"/>
  <c r="E220" i="1"/>
  <c r="E240" i="1"/>
  <c r="E244" i="1"/>
  <c r="E248" i="1"/>
  <c r="E252" i="1"/>
  <c r="E256" i="1"/>
  <c r="E327" i="1"/>
  <c r="E332" i="1"/>
  <c r="E336" i="1"/>
  <c r="E340" i="1"/>
  <c r="E344" i="1"/>
  <c r="E348" i="1"/>
  <c r="E352" i="1"/>
  <c r="E356" i="1"/>
  <c r="E360" i="1"/>
  <c r="E364" i="1"/>
  <c r="E400" i="1"/>
  <c r="E410" i="1"/>
  <c r="E414" i="1"/>
  <c r="E418" i="1"/>
  <c r="E426" i="1"/>
  <c r="E430" i="1"/>
  <c r="E434" i="1"/>
  <c r="E438" i="1"/>
  <c r="E442" i="1"/>
  <c r="E446" i="1"/>
  <c r="E450" i="1"/>
  <c r="E454" i="1"/>
  <c r="E458" i="1"/>
  <c r="E462" i="1"/>
  <c r="E466" i="1"/>
  <c r="E510" i="1"/>
  <c r="E514" i="1"/>
  <c r="E537" i="1"/>
  <c r="E539" i="1"/>
  <c r="E562" i="1"/>
  <c r="E568" i="1"/>
  <c r="E572" i="1"/>
  <c r="E578" i="1"/>
  <c r="E582" i="1"/>
  <c r="E588" i="1"/>
  <c r="E592" i="1"/>
  <c r="E596" i="1"/>
  <c r="E600" i="1"/>
  <c r="E606" i="1"/>
  <c r="E612" i="1"/>
  <c r="E616" i="1"/>
  <c r="E620" i="1"/>
  <c r="E624" i="1"/>
  <c r="E628" i="1"/>
  <c r="E642" i="1"/>
  <c r="E650" i="1"/>
  <c r="E656" i="1"/>
  <c r="E664" i="1"/>
  <c r="E668" i="1"/>
  <c r="E674" i="1"/>
  <c r="E682" i="1"/>
  <c r="E686" i="1"/>
  <c r="E693" i="1"/>
  <c r="E698" i="1"/>
  <c r="E702" i="1"/>
  <c r="E707" i="1"/>
  <c r="E713" i="1"/>
  <c r="E717" i="1"/>
  <c r="E721" i="1"/>
  <c r="E725" i="1"/>
  <c r="E729" i="1"/>
  <c r="E733" i="1"/>
  <c r="E737" i="1"/>
  <c r="E758" i="1"/>
  <c r="E763" i="1"/>
  <c r="E769" i="1"/>
  <c r="E773" i="1"/>
  <c r="E790" i="1"/>
  <c r="E794" i="1"/>
  <c r="E805" i="1"/>
  <c r="E809" i="1"/>
  <c r="E813" i="1"/>
  <c r="E817" i="1"/>
  <c r="E821" i="1"/>
  <c r="E897" i="1"/>
  <c r="E902" i="1"/>
  <c r="E906" i="1"/>
  <c r="E910" i="1"/>
  <c r="E937" i="1"/>
  <c r="E943" i="1"/>
  <c r="E947" i="1"/>
  <c r="E951" i="1"/>
  <c r="E955" i="1"/>
  <c r="E959" i="1"/>
  <c r="E980" i="1"/>
  <c r="E986" i="1"/>
  <c r="E990" i="1"/>
  <c r="E994" i="1"/>
  <c r="E998" i="1"/>
  <c r="E1002" i="1"/>
  <c r="E1006" i="1"/>
  <c r="E1012" i="1"/>
  <c r="E1016" i="1"/>
  <c r="E1020" i="1"/>
  <c r="E1024" i="1"/>
  <c r="E1028" i="1"/>
  <c r="E1032" i="1"/>
  <c r="E1036" i="1"/>
  <c r="E1042" i="1"/>
  <c r="E1046" i="1"/>
  <c r="E1050" i="1"/>
  <c r="E1066" i="1"/>
  <c r="E1070" i="1"/>
  <c r="E1074" i="1"/>
  <c r="E1078" i="1"/>
  <c r="E1082" i="1"/>
  <c r="E1086" i="1"/>
  <c r="E1092" i="1"/>
  <c r="E1096" i="1"/>
  <c r="E1100" i="1"/>
  <c r="E1116" i="1"/>
  <c r="E1120" i="1"/>
  <c r="E1124" i="1"/>
  <c r="E1128" i="1"/>
  <c r="E1132" i="1"/>
  <c r="E1136" i="1"/>
  <c r="E1319" i="1"/>
  <c r="E1145" i="1"/>
  <c r="E1149" i="1"/>
  <c r="E1153" i="1"/>
  <c r="E1157" i="1"/>
  <c r="E1161" i="1"/>
  <c r="E1165" i="1"/>
  <c r="E1219" i="1"/>
  <c r="E1223" i="1"/>
  <c r="E1227" i="1"/>
  <c r="E1231" i="1"/>
  <c r="E1235" i="1"/>
  <c r="E1305" i="1"/>
  <c r="E1326" i="1"/>
  <c r="E191" i="1"/>
  <c r="E188" i="1"/>
  <c r="E200" i="1"/>
  <c r="E221" i="1"/>
  <c r="E257" i="1"/>
  <c r="E337" i="1"/>
  <c r="E357" i="1"/>
  <c r="E365" i="1"/>
  <c r="E401" i="1"/>
  <c r="E411" i="1"/>
  <c r="E415" i="1"/>
  <c r="E423" i="1"/>
  <c r="E427" i="1"/>
  <c r="E431" i="1"/>
  <c r="E435" i="1"/>
  <c r="E439" i="1"/>
  <c r="E447" i="1"/>
  <c r="E451" i="1"/>
  <c r="E455" i="1"/>
  <c r="E459" i="1"/>
  <c r="E463" i="1"/>
  <c r="E467" i="1"/>
  <c r="E471" i="1"/>
  <c r="E511" i="1"/>
  <c r="E519" i="1"/>
  <c r="E538" i="1"/>
  <c r="E540" i="1"/>
  <c r="E563" i="1"/>
  <c r="E569" i="1"/>
  <c r="E575" i="1"/>
  <c r="E579" i="1"/>
  <c r="E583" i="1"/>
  <c r="E589" i="1"/>
  <c r="E593" i="1"/>
  <c r="E597" i="1"/>
  <c r="E601" i="1"/>
  <c r="E607" i="1"/>
  <c r="E613" i="1"/>
  <c r="E617" i="1"/>
  <c r="E621" i="1"/>
  <c r="E625" i="1"/>
  <c r="E629" i="1"/>
  <c r="E646" i="1"/>
  <c r="E652" i="1"/>
  <c r="E661" i="1"/>
  <c r="E665" i="1"/>
  <c r="E669" i="1"/>
  <c r="E683" i="1"/>
  <c r="E689" i="1"/>
  <c r="E694" i="1"/>
  <c r="E703" i="1"/>
  <c r="E708" i="1"/>
  <c r="E714" i="1"/>
  <c r="E718" i="1"/>
  <c r="E722" i="1"/>
  <c r="E726" i="1"/>
  <c r="E730" i="1"/>
  <c r="E734" i="1"/>
  <c r="E760" i="1"/>
  <c r="E765" i="1"/>
  <c r="E770" i="1"/>
  <c r="E774" i="1"/>
  <c r="E791" i="1"/>
  <c r="E798" i="1"/>
  <c r="E806" i="1"/>
  <c r="E810" i="1"/>
  <c r="E814" i="1"/>
  <c r="E818" i="1"/>
  <c r="E894" i="1"/>
  <c r="E899" i="1"/>
  <c r="E903" i="1"/>
  <c r="E907" i="1"/>
  <c r="E931" i="1"/>
  <c r="E938" i="1"/>
  <c r="E944" i="1"/>
  <c r="E948" i="1"/>
  <c r="E952" i="1"/>
  <c r="E956" i="1"/>
  <c r="E981" i="1"/>
  <c r="E987" i="1"/>
  <c r="E991" i="1"/>
  <c r="E995" i="1"/>
  <c r="E999" i="1"/>
  <c r="E1003" i="1"/>
  <c r="E1007" i="1"/>
  <c r="E1013" i="1"/>
  <c r="E1017" i="1"/>
  <c r="E1021" i="1"/>
  <c r="E1025" i="1"/>
  <c r="E1029" i="1"/>
  <c r="E1033" i="1"/>
  <c r="E1037" i="1"/>
  <c r="E1043" i="1"/>
  <c r="E1047" i="1"/>
  <c r="E1051" i="1"/>
  <c r="E1067" i="1"/>
  <c r="E1071" i="1"/>
  <c r="E1075" i="1"/>
  <c r="E1079" i="1"/>
  <c r="E1083" i="1"/>
  <c r="E1087" i="1"/>
  <c r="E1093" i="1"/>
  <c r="E1097" i="1"/>
  <c r="E1101" i="1"/>
  <c r="E1117" i="1"/>
  <c r="E1121" i="1"/>
  <c r="E1125" i="1"/>
  <c r="E1129" i="1"/>
  <c r="E1133" i="1"/>
  <c r="E1137" i="1"/>
  <c r="E1320" i="1"/>
  <c r="E1146" i="1"/>
  <c r="E1150" i="1"/>
  <c r="E1154" i="1"/>
  <c r="E1158" i="1"/>
  <c r="E1162" i="1"/>
  <c r="E1166" i="1"/>
  <c r="E1220" i="1"/>
  <c r="E1224" i="1"/>
  <c r="E1228" i="1"/>
  <c r="E1232" i="1"/>
  <c r="E1236" i="1"/>
  <c r="E1306" i="1"/>
  <c r="E1327" i="1"/>
  <c r="E183" i="1"/>
  <c r="E187" i="1"/>
  <c r="E177" i="1"/>
  <c r="E192" i="1"/>
  <c r="E204" i="1"/>
  <c r="E328" i="1"/>
  <c r="E345" i="1"/>
  <c r="E349" i="1"/>
  <c r="E353" i="1"/>
  <c r="E178" i="1"/>
  <c r="E185" i="1"/>
  <c r="E189" i="1"/>
  <c r="E193" i="1"/>
  <c r="E197" i="1"/>
  <c r="E201" i="1"/>
  <c r="E205" i="1"/>
  <c r="E210" i="1"/>
  <c r="E218" i="1"/>
  <c r="E223" i="1"/>
  <c r="E242" i="1"/>
  <c r="E246" i="1"/>
  <c r="E250" i="1"/>
  <c r="E254" i="1"/>
  <c r="E282" i="1"/>
  <c r="E295" i="1"/>
  <c r="E329" i="1"/>
  <c r="E334" i="1"/>
  <c r="E338" i="1"/>
  <c r="E342" i="1"/>
  <c r="E346" i="1"/>
  <c r="E350" i="1"/>
  <c r="E354" i="1"/>
  <c r="E358" i="1"/>
  <c r="E362" i="1"/>
  <c r="E366" i="1"/>
  <c r="E402" i="1"/>
  <c r="E412" i="1"/>
  <c r="E424" i="1"/>
  <c r="E428" i="1"/>
  <c r="E432" i="1"/>
  <c r="E436" i="1"/>
  <c r="E440" i="1"/>
  <c r="E444" i="1"/>
  <c r="E448" i="1"/>
  <c r="E456" i="1"/>
  <c r="E460" i="1"/>
  <c r="E464" i="1"/>
  <c r="E468" i="1"/>
  <c r="E472" i="1"/>
  <c r="E508" i="1"/>
  <c r="E512" i="1"/>
  <c r="E520" i="1"/>
  <c r="E545" i="1"/>
  <c r="E547" i="1"/>
  <c r="E564" i="1"/>
  <c r="E570" i="1"/>
  <c r="E576" i="1"/>
  <c r="E580" i="1"/>
  <c r="E584" i="1"/>
  <c r="E590" i="1"/>
  <c r="E594" i="1"/>
  <c r="E598" i="1"/>
  <c r="E603" i="1"/>
  <c r="E610" i="1"/>
  <c r="E614" i="1"/>
  <c r="E618" i="1"/>
  <c r="E622" i="1"/>
  <c r="E626" i="1"/>
  <c r="E635" i="1"/>
  <c r="E648" i="1"/>
  <c r="E653" i="1"/>
  <c r="E662" i="1"/>
  <c r="E666" i="1"/>
  <c r="E670" i="1"/>
  <c r="E679" i="1"/>
  <c r="E690" i="1"/>
  <c r="E696" i="1"/>
  <c r="E700" i="1"/>
  <c r="E704" i="1"/>
  <c r="E710" i="1"/>
  <c r="E715" i="1"/>
  <c r="E719" i="1"/>
  <c r="E723" i="1"/>
  <c r="E727" i="1"/>
  <c r="E731" i="1"/>
  <c r="E735" i="1"/>
  <c r="E761" i="1"/>
  <c r="E766" i="1"/>
  <c r="E771" i="1"/>
  <c r="E788" i="1"/>
  <c r="E792" i="1"/>
  <c r="E807" i="1"/>
  <c r="E811" i="1"/>
  <c r="E815" i="1"/>
  <c r="E819" i="1"/>
  <c r="E895" i="1"/>
  <c r="E900" i="1"/>
  <c r="E904" i="1"/>
  <c r="E908" i="1"/>
  <c r="E933" i="1"/>
  <c r="E939" i="1"/>
  <c r="E945" i="1"/>
  <c r="E949" i="1"/>
  <c r="E953" i="1"/>
  <c r="E957" i="1"/>
  <c r="E982" i="1"/>
  <c r="E988" i="1"/>
  <c r="E992" i="1"/>
  <c r="E996" i="1"/>
  <c r="E1000" i="1"/>
  <c r="E1004" i="1"/>
  <c r="E1008" i="1"/>
  <c r="E1014" i="1"/>
  <c r="E1018" i="1"/>
  <c r="E1022" i="1"/>
  <c r="E1026" i="1"/>
  <c r="E1030" i="1"/>
  <c r="E1034" i="1"/>
  <c r="E1038" i="1"/>
  <c r="E1044" i="1"/>
  <c r="E1048" i="1"/>
  <c r="E1052" i="1"/>
  <c r="E1068" i="1"/>
  <c r="E1072" i="1"/>
  <c r="E1076" i="1"/>
  <c r="E1080" i="1"/>
  <c r="E1084" i="1"/>
  <c r="E1088" i="1"/>
  <c r="E1094" i="1"/>
  <c r="E1098" i="1"/>
  <c r="E1102" i="1"/>
  <c r="E1118" i="1"/>
  <c r="E1122" i="1"/>
  <c r="E1126" i="1"/>
  <c r="E1130" i="1"/>
  <c r="E1134" i="1"/>
  <c r="E1138" i="1"/>
  <c r="E1143" i="1"/>
  <c r="E1147" i="1"/>
  <c r="E1151" i="1"/>
  <c r="E1155" i="1"/>
  <c r="E1159" i="1"/>
  <c r="E1163" i="1"/>
  <c r="E1217" i="1"/>
  <c r="E1221" i="1"/>
  <c r="E1225" i="1"/>
  <c r="E1229" i="1"/>
  <c r="E1233" i="1"/>
  <c r="E1303" i="1"/>
  <c r="E1323" i="1"/>
  <c r="E1328" i="1"/>
  <c r="A1" i="2"/>
  <c r="E4" i="1"/>
  <c r="E20" i="1"/>
  <c r="E46" i="1"/>
  <c r="E74" i="1"/>
  <c r="E96" i="1"/>
  <c r="E130" i="1"/>
  <c r="E2" i="1"/>
  <c r="E6" i="1"/>
  <c r="E8" i="1"/>
  <c r="E10" i="1"/>
  <c r="E12" i="1"/>
  <c r="E14" i="1"/>
  <c r="E16" i="1"/>
  <c r="E18" i="1"/>
  <c r="E22" i="1"/>
  <c r="E24" i="1"/>
  <c r="E26" i="1"/>
  <c r="E28" i="1"/>
  <c r="E35" i="1"/>
  <c r="E37" i="1"/>
  <c r="E42" i="1"/>
  <c r="E48" i="1"/>
  <c r="E53" i="1"/>
  <c r="E57" i="1"/>
  <c r="E59" i="1"/>
  <c r="E61" i="1"/>
  <c r="E70" i="1"/>
  <c r="E72" i="1"/>
  <c r="E76" i="1"/>
  <c r="E78" i="1"/>
  <c r="E80" i="1"/>
  <c r="E86" i="1"/>
  <c r="E88" i="1"/>
  <c r="E92" i="1"/>
  <c r="E94" i="1"/>
  <c r="E98" i="1"/>
  <c r="E104" i="1"/>
  <c r="E106" i="1"/>
  <c r="E121" i="1"/>
  <c r="E126" i="1"/>
  <c r="E128" i="1"/>
  <c r="E110" i="1"/>
  <c r="E131" i="1"/>
  <c r="E132" i="1"/>
  <c r="E134" i="1"/>
  <c r="E152" i="1"/>
  <c r="E150" i="1"/>
  <c r="E169" i="1"/>
  <c r="E172" i="1"/>
  <c r="E174" i="1"/>
  <c r="E167" i="1"/>
  <c r="E3" i="1"/>
  <c r="E5" i="1"/>
  <c r="E7" i="1"/>
  <c r="E9" i="1"/>
  <c r="E11" i="1"/>
  <c r="E13" i="1"/>
  <c r="E15" i="1"/>
  <c r="E17" i="1"/>
  <c r="E19" i="1"/>
  <c r="E21" i="1"/>
  <c r="E23" i="1"/>
  <c r="E25" i="1"/>
  <c r="E27" i="1"/>
  <c r="E32" i="1"/>
  <c r="E36" i="1"/>
  <c r="E38" i="1"/>
  <c r="E45" i="1"/>
  <c r="E47" i="1"/>
  <c r="E52" i="1"/>
  <c r="E56" i="1"/>
  <c r="E58" i="1"/>
  <c r="E60" i="1"/>
  <c r="E68" i="1"/>
  <c r="E71" i="1"/>
  <c r="E73" i="1"/>
  <c r="E75" i="1"/>
  <c r="E77" i="1"/>
  <c r="E79" i="1"/>
  <c r="E81" i="1"/>
  <c r="E87" i="1"/>
  <c r="E91" i="1"/>
  <c r="E93" i="1"/>
  <c r="E95" i="1"/>
  <c r="E97" i="1"/>
  <c r="E103" i="1"/>
  <c r="E105" i="1"/>
  <c r="E123" i="1"/>
  <c r="E125" i="1"/>
  <c r="E127" i="1"/>
  <c r="E109" i="1"/>
  <c r="E129" i="1"/>
  <c r="E119" i="1"/>
  <c r="E124" i="1"/>
  <c r="E133" i="1"/>
  <c r="E135" i="1"/>
  <c r="E149" i="1"/>
  <c r="E168" i="1"/>
  <c r="E158" i="1"/>
  <c r="E153" i="1"/>
  <c r="E173" i="1"/>
  <c r="E1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0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value: prima corregida
GN5:prima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value: prima corregida
GN5:prima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value: prima corregida
GN5:prima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value: prima corregida
GN5:prima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<sst xmlns="http://schemas.openxmlformats.org/spreadsheetml/2006/main" count="12402" uniqueCount="2722">
  <si>
    <t>SPRINT</t>
  </si>
  <si>
    <t>COD_INFORME</t>
  </si>
  <si>
    <t>DESC_INFORME</t>
  </si>
  <si>
    <t>TABLA</t>
  </si>
  <si>
    <t>F_INICIO</t>
  </si>
  <si>
    <t>F_FIN</t>
  </si>
  <si>
    <t>CARGA_TABLAS</t>
  </si>
  <si>
    <t>PUBLICACION</t>
  </si>
  <si>
    <t>FORMATO</t>
  </si>
  <si>
    <t>DESCRIPCION</t>
  </si>
  <si>
    <t>1.1</t>
  </si>
  <si>
    <t>W-O - Rappel por Producción Resumen</t>
  </si>
  <si>
    <t>INYC_RPI_RESUMEN</t>
  </si>
  <si>
    <t>1,2,3,4,5,6,7,8,9,10,11,12</t>
  </si>
  <si>
    <t>pdf</t>
  </si>
  <si>
    <t>RPI</t>
  </si>
  <si>
    <t>1.2</t>
  </si>
  <si>
    <t>W-O - Rappel por Producción Detalle</t>
  </si>
  <si>
    <t>INYC_RPI_DETALLE</t>
  </si>
  <si>
    <t>excel</t>
  </si>
  <si>
    <t>RPI_DETALLE</t>
  </si>
  <si>
    <t>2.1</t>
  </si>
  <si>
    <t>W-E - Rappel por Producción Resumen</t>
  </si>
  <si>
    <t>INYC_RAG_RESUMEN</t>
  </si>
  <si>
    <t>RAG</t>
  </si>
  <si>
    <t>2.2</t>
  </si>
  <si>
    <t>W-E - Rappel por Producción Detalle</t>
  </si>
  <si>
    <t>INYC_RAG_DETALLE</t>
  </si>
  <si>
    <t>RAG_DETALLE</t>
  </si>
  <si>
    <t>2.3</t>
  </si>
  <si>
    <t>W-E - Rappel por producción Trimestral Resumen</t>
  </si>
  <si>
    <t>INYC_RAGT_RESUMEN</t>
  </si>
  <si>
    <t>RAGT</t>
  </si>
  <si>
    <t>3.1</t>
  </si>
  <si>
    <t>W-E - Rappel Producción Agentes Resumen</t>
  </si>
  <si>
    <t>INYC_RA_RESUMEN</t>
  </si>
  <si>
    <t>RA</t>
  </si>
  <si>
    <t>3.2</t>
  </si>
  <si>
    <t>W-E - Rappel Producción Agentes Detalle</t>
  </si>
  <si>
    <t>INYC_RA_DETALLE</t>
  </si>
  <si>
    <t>4.1</t>
  </si>
  <si>
    <t>W-E - Ranking Concurso de Producción Anual</t>
  </si>
  <si>
    <t>INYC_CONCURSO</t>
  </si>
  <si>
    <t>CONCURSO</t>
  </si>
  <si>
    <t>5.1</t>
  </si>
  <si>
    <t>W-E - Incentivo Especial Anual</t>
  </si>
  <si>
    <t>INYC_INCENTIVO</t>
  </si>
  <si>
    <t>INCENTIVO</t>
  </si>
  <si>
    <t>6.1</t>
  </si>
  <si>
    <t>W-O - Rappel Producción Agentes Resumen</t>
  </si>
  <si>
    <t>INYC_RPA_RESUMEN</t>
  </si>
  <si>
    <t>RPA</t>
  </si>
  <si>
    <t>6.2</t>
  </si>
  <si>
    <t>W-O - Rappel Producción Agentes Detalle</t>
  </si>
  <si>
    <t>INYC_RPA_DETALLE</t>
  </si>
  <si>
    <t>7.1</t>
  </si>
  <si>
    <t>W-O - Diferenciales Resumen</t>
  </si>
  <si>
    <t>INYC_DIF_RESUMEN</t>
  </si>
  <si>
    <t>DIF</t>
  </si>
  <si>
    <t>7.2</t>
  </si>
  <si>
    <t>W-O - Diferenciales Detalle</t>
  </si>
  <si>
    <t>INYC_DIF_DETALLE</t>
  </si>
  <si>
    <t>DIF_DETALLE</t>
  </si>
  <si>
    <t>8.1</t>
  </si>
  <si>
    <t>W-O - Incentivos por Cumplimiento de Objetivos y Liquidación a Cuenta Resumen</t>
  </si>
  <si>
    <t>INYC_COLC_RESUMEN</t>
  </si>
  <si>
    <t>3,6,9,12</t>
  </si>
  <si>
    <t>COLC</t>
  </si>
  <si>
    <t>8.2</t>
  </si>
  <si>
    <t>W-O - Incentivos por Cumplimiento de Objetivos y Liquidación a Cuenta Detalle</t>
  </si>
  <si>
    <t>INYC_COLC_DETALLE</t>
  </si>
  <si>
    <t>OBSOLETO</t>
  </si>
  <si>
    <t>9.1</t>
  </si>
  <si>
    <t>W-O - Compensación por Transporte Resumen</t>
  </si>
  <si>
    <t>INYC_CT_RESUMEN</t>
  </si>
  <si>
    <t>9.2</t>
  </si>
  <si>
    <t>W-O - Compensación por Transporte Detalle</t>
  </si>
  <si>
    <t>INYC_CT_DETALLE</t>
  </si>
  <si>
    <t>10.1</t>
  </si>
  <si>
    <t>W-O - Rappel Defensa Cartera Resumen</t>
  </si>
  <si>
    <t>INYC_RDC_RESUMEN</t>
  </si>
  <si>
    <t>RDC</t>
  </si>
  <si>
    <t>10.2</t>
  </si>
  <si>
    <t>W-O - Rappel Defensa Cartera Detalle</t>
  </si>
  <si>
    <t>INYC_RDC_DETALLE</t>
  </si>
  <si>
    <t>11.1</t>
  </si>
  <si>
    <t>W-O - Incentivo Rappel Especial Pre-Plan Resumen</t>
  </si>
  <si>
    <t>INYC_IPP_RESUMEN</t>
  </si>
  <si>
    <t>12.1</t>
  </si>
  <si>
    <t>W-O - Anulaciones de Primer Año Resumen</t>
  </si>
  <si>
    <t>INYC_AN1_RESUMEN</t>
  </si>
  <si>
    <t>AN</t>
  </si>
  <si>
    <t>12.2</t>
  </si>
  <si>
    <t>W-O - Anulaciones de Segundo Año Resumen</t>
  </si>
  <si>
    <t>INYC_AN2_RESUMEN</t>
  </si>
  <si>
    <t>13.1</t>
  </si>
  <si>
    <t>W-E - Diferenciales Resumen</t>
  </si>
  <si>
    <t>INYC_DIF_E_RESUMEN</t>
  </si>
  <si>
    <t>DIF_E</t>
  </si>
  <si>
    <t>13.2</t>
  </si>
  <si>
    <t>W-E - Diferenciales Detalle</t>
  </si>
  <si>
    <t>INYC_DIF_E_DETALLE</t>
  </si>
  <si>
    <t>DIF_E_DETALLE</t>
  </si>
  <si>
    <t>14.1</t>
  </si>
  <si>
    <t>W-O - Producción Propia Agentes con Grupo Resumen</t>
  </si>
  <si>
    <t>INYC_PP_RESUMEN</t>
  </si>
  <si>
    <t>3,4,5,6,7,8,9,10,11,12</t>
  </si>
  <si>
    <t>PP</t>
  </si>
  <si>
    <t>14.2</t>
  </si>
  <si>
    <t>W-O - Producción Propia Agentes con Grupo Detalle</t>
  </si>
  <si>
    <t>INYC_PP_DETALLE</t>
  </si>
  <si>
    <t>15.1</t>
  </si>
  <si>
    <t>W-O - Rappel Incremento de Prima y Pólizas</t>
  </si>
  <si>
    <t>INYC_RIN_RESUMEN</t>
  </si>
  <si>
    <t>RIP</t>
  </si>
  <si>
    <t>16.1</t>
  </si>
  <si>
    <t>W-O - Financiación Agentes Plan de Carrera Resumen</t>
  </si>
  <si>
    <t>INYC_FIN_RESUMEN</t>
  </si>
  <si>
    <t>FIN</t>
  </si>
  <si>
    <t>17.1</t>
  </si>
  <si>
    <t>W-O - Rappel Especial Resumen</t>
  </si>
  <si>
    <t>INYC_RE_RESUMEN</t>
  </si>
  <si>
    <t>RE</t>
  </si>
  <si>
    <t>17.2</t>
  </si>
  <si>
    <t>W-O - Rappel Especial Detalle</t>
  </si>
  <si>
    <t>INYC_RE_DETALLE</t>
  </si>
  <si>
    <t>18.1</t>
  </si>
  <si>
    <t>W-O - Producción Comunidades Resumen</t>
  </si>
  <si>
    <t>INYC_COMU_RESUMEN</t>
  </si>
  <si>
    <t>6,7,8,9,10,11,12</t>
  </si>
  <si>
    <t>COMU</t>
  </si>
  <si>
    <t>19.1</t>
  </si>
  <si>
    <t>W-O - Rappel Asistencias Resumen</t>
  </si>
  <si>
    <t>INYC_ASI_RESUMEN</t>
  </si>
  <si>
    <t>ASI</t>
  </si>
  <si>
    <t>SOP-PE000104</t>
  </si>
  <si>
    <t>19.2</t>
  </si>
  <si>
    <t>W-O - Rappel Asistencias Detalle</t>
  </si>
  <si>
    <t>INYC_ASI_DETALLE</t>
  </si>
  <si>
    <t>20.1</t>
  </si>
  <si>
    <t>W-E - Rappel Asistencias Resumen</t>
  </si>
  <si>
    <t>INYC_ASI_E_RESUMEN</t>
  </si>
  <si>
    <t>ASI_E</t>
  </si>
  <si>
    <t>20.2</t>
  </si>
  <si>
    <t>W-E - Rappel Asistencias Detalle</t>
  </si>
  <si>
    <t>INYC_ASI_E_DETALLE</t>
  </si>
  <si>
    <t>21.1</t>
  </si>
  <si>
    <t>W-O - Rappel Acción Comercial Hogar Resumen</t>
  </si>
  <si>
    <t>INYC_RACH_RESUMEN</t>
  </si>
  <si>
    <t>2,3,4,5,6,7,9</t>
  </si>
  <si>
    <t>RACH</t>
  </si>
  <si>
    <t>22.1</t>
  </si>
  <si>
    <t>W-O - Mínimos Garantizados Resumen</t>
  </si>
  <si>
    <t>INYC_MIN_RESUMEN</t>
  </si>
  <si>
    <t>MIN</t>
  </si>
  <si>
    <t>23.1</t>
  </si>
  <si>
    <t>W-O - Rappel Actividad Agentes con Grupo -Liquidación a Cuenta- Resumen</t>
  </si>
  <si>
    <t>INYC_REA_RESUMEN</t>
  </si>
  <si>
    <t>REA</t>
  </si>
  <si>
    <t>24.1</t>
  </si>
  <si>
    <t>W-O - Rappel Incremento Pólizas en Cartera Resumen</t>
  </si>
  <si>
    <t>INYC_RIP_RESUMEN</t>
  </si>
  <si>
    <t>RIN</t>
  </si>
  <si>
    <t>25.1</t>
  </si>
  <si>
    <t>W-O - Premios Marketing</t>
  </si>
  <si>
    <t>INYC_PMK_RESUMEN</t>
  </si>
  <si>
    <t>26.1</t>
  </si>
  <si>
    <t>W-O - Rappel Especial por Cumplimiento de Objetivo de Anulaciones Resumen</t>
  </si>
  <si>
    <t>INYC_RECOA_RESUMEN</t>
  </si>
  <si>
    <t>RECOA</t>
  </si>
  <si>
    <t>27.1</t>
  </si>
  <si>
    <t>W-O - Captación Agentes Resumen</t>
  </si>
  <si>
    <t>INYC_CAP_RESUMEN</t>
  </si>
  <si>
    <t>CAP</t>
  </si>
  <si>
    <t>28.1</t>
  </si>
  <si>
    <t>W-E - Campaña Comercial EA</t>
  </si>
  <si>
    <t>INYC_CC_E_RESUMEN</t>
  </si>
  <si>
    <t>10,11,12,1</t>
  </si>
  <si>
    <t>CC_E</t>
  </si>
  <si>
    <t>29.1</t>
  </si>
  <si>
    <t>W-O - Campaña Personales Ocaso Resumen</t>
  </si>
  <si>
    <t>INYC_CPP_RESUMEN</t>
  </si>
  <si>
    <t>CPP</t>
  </si>
  <si>
    <t>29.2</t>
  </si>
  <si>
    <t>W-O - Campaña Personales Ocaso Detalle</t>
  </si>
  <si>
    <t>INYC_CPP_DETALLE</t>
  </si>
  <si>
    <t>30.1</t>
  </si>
  <si>
    <t>W-E - Captación Agentes Resumen</t>
  </si>
  <si>
    <t>INYC_CAP_E_RESUMEN</t>
  </si>
  <si>
    <t>CAP_E</t>
  </si>
  <si>
    <t>31.1</t>
  </si>
  <si>
    <t>W-E - Objetivos Agentes Grupo</t>
  </si>
  <si>
    <t>INYC_OBJ_E_RESUMEN</t>
  </si>
  <si>
    <t>OBJ_E</t>
  </si>
  <si>
    <t>32.1</t>
  </si>
  <si>
    <t>W-O - Rappel Producción Propia Ag. Grupo Resumen</t>
  </si>
  <si>
    <t>INYC_RPP_RESUMEN</t>
  </si>
  <si>
    <t>RPP</t>
  </si>
  <si>
    <t>32.2</t>
  </si>
  <si>
    <t>W-O - Rappel Producción Propia Ag. Grupo Detalle</t>
  </si>
  <si>
    <t>INYC_RPP_DETALLE</t>
  </si>
  <si>
    <t>100.1</t>
  </si>
  <si>
    <t>W-O - S4 Factura</t>
  </si>
  <si>
    <t>INYC_S4_FACTURA</t>
  </si>
  <si>
    <t>S4</t>
  </si>
  <si>
    <t>100.2</t>
  </si>
  <si>
    <t>W-O - S4 Detalle Pólizas</t>
  </si>
  <si>
    <t>INYC_S4_POLIZAS</t>
  </si>
  <si>
    <t>100.3</t>
  </si>
  <si>
    <t>W-O - S4 Detalle Productos</t>
  </si>
  <si>
    <t>101.1</t>
  </si>
  <si>
    <t>W-O - S5 Factura</t>
  </si>
  <si>
    <t>INYC_S5_FACTURA</t>
  </si>
  <si>
    <t>S5</t>
  </si>
  <si>
    <t>101.2</t>
  </si>
  <si>
    <t>W-O - S5 Detalle Pólizas</t>
  </si>
  <si>
    <t>INYC_S5_POLIZAS</t>
  </si>
  <si>
    <t>101.3</t>
  </si>
  <si>
    <t>W-O - S5 Detalle Productos</t>
  </si>
  <si>
    <t>102.1</t>
  </si>
  <si>
    <t>W-E - S4 Factura</t>
  </si>
  <si>
    <t>INYC_S4_E_FACTURA</t>
  </si>
  <si>
    <t>S4_E</t>
  </si>
  <si>
    <t>102.2</t>
  </si>
  <si>
    <t>W-E - S4 Detalle Pólizas</t>
  </si>
  <si>
    <t>INYC_S4_E_POLIZAS</t>
  </si>
  <si>
    <t>102.3</t>
  </si>
  <si>
    <t>W-E - S4 Detalle Productos</t>
  </si>
  <si>
    <t>103.1</t>
  </si>
  <si>
    <t>W-E - S5 Factura</t>
  </si>
  <si>
    <t>INYC_S5_E_FACTURA</t>
  </si>
  <si>
    <t>S5_E</t>
  </si>
  <si>
    <t>103.2</t>
  </si>
  <si>
    <t>W-E - S5 Detalle Pólizas</t>
  </si>
  <si>
    <t>INYC_S5_E_POLIZAS</t>
  </si>
  <si>
    <t>103.3</t>
  </si>
  <si>
    <t>W-E - S5 Detalle Productos</t>
  </si>
  <si>
    <t>104.1</t>
  </si>
  <si>
    <t>W-O - Percepciones -S4- Resumen</t>
  </si>
  <si>
    <t>INYC_PEPA_RESUMEN</t>
  </si>
  <si>
    <t>DIARIO</t>
  </si>
  <si>
    <t>PEPA</t>
  </si>
  <si>
    <t>104.2</t>
  </si>
  <si>
    <t>W-O - Percepciones -S4- Detalle</t>
  </si>
  <si>
    <t>INYC_PEPA_DETALLE</t>
  </si>
  <si>
    <t>105.1</t>
  </si>
  <si>
    <t>W-O - Percepciones -S5- Resumen</t>
  </si>
  <si>
    <t>INYC_PEPI_RESUMEN</t>
  </si>
  <si>
    <t>PEPI</t>
  </si>
  <si>
    <t>105.2</t>
  </si>
  <si>
    <t>W-O - Percepciones -S5- Detalle</t>
  </si>
  <si>
    <t>INYC_PEPI_DETALLE</t>
  </si>
  <si>
    <t>106.1</t>
  </si>
  <si>
    <t>W-E - Percepciones -S4- Resumen</t>
  </si>
  <si>
    <t>INYC_PEPA_E_RESUMEN</t>
  </si>
  <si>
    <t>PEPA_E</t>
  </si>
  <si>
    <t>106.2</t>
  </si>
  <si>
    <t>W-E - Percepciones -S4- Detalle</t>
  </si>
  <si>
    <t>INYC_PEPA_E_DETALLE</t>
  </si>
  <si>
    <t>107.1</t>
  </si>
  <si>
    <t>W-E - Percepciones -S5- Resumen</t>
  </si>
  <si>
    <t>INYC_PEPI_E_RESUMEN</t>
  </si>
  <si>
    <t>PEPI_E</t>
  </si>
  <si>
    <t>107.2</t>
  </si>
  <si>
    <t>W-E - Percepciones -S5- Detalle</t>
  </si>
  <si>
    <t>INYC_PEPI_E_DETALLE</t>
  </si>
  <si>
    <t>111.1</t>
  </si>
  <si>
    <t>1.11 Percepciones Agentes</t>
  </si>
  <si>
    <t>INYC_PERC_AGENTES</t>
  </si>
  <si>
    <t>PEAG</t>
  </si>
  <si>
    <t>112.1</t>
  </si>
  <si>
    <t>1.12 Produccion Agentes</t>
  </si>
  <si>
    <t>INYC_PROD_AGENTES</t>
  </si>
  <si>
    <t>PRAG</t>
  </si>
  <si>
    <t>113.1</t>
  </si>
  <si>
    <t>1.13 Percepciones Inspectores</t>
  </si>
  <si>
    <t>INYC_PERC_INSPECTORES</t>
  </si>
  <si>
    <t>PEIN</t>
  </si>
  <si>
    <t>114.1</t>
  </si>
  <si>
    <t>1.14 Produccion Inspectores</t>
  </si>
  <si>
    <t>INYC_PROD_INSPECTORES</t>
  </si>
  <si>
    <t>PRIN</t>
  </si>
  <si>
    <t>115.1</t>
  </si>
  <si>
    <t>1.15 Cartera Agentes</t>
  </si>
  <si>
    <t>INYC_CARTERA_AGENTES</t>
  </si>
  <si>
    <t>CARTERA</t>
  </si>
  <si>
    <t>116.1</t>
  </si>
  <si>
    <t>1.16 Agentes Activos - OMESCU</t>
  </si>
  <si>
    <t>INYC_INSP_ACTIVOS</t>
  </si>
  <si>
    <t>OMESCU</t>
  </si>
  <si>
    <t>302.1</t>
  </si>
  <si>
    <t>3.2 Produccion Agentes</t>
  </si>
  <si>
    <t>INYC_PROD_E_AGENTES</t>
  </si>
  <si>
    <t>PRAG_E</t>
  </si>
  <si>
    <t>128.1</t>
  </si>
  <si>
    <t>1.28 Super Accion Resumen</t>
  </si>
  <si>
    <t>INYC_SAC_RESUMEN</t>
  </si>
  <si>
    <t>SAC</t>
  </si>
  <si>
    <t>128.2</t>
  </si>
  <si>
    <t>1.28 Super Accion Detalle</t>
  </si>
  <si>
    <t>INYC_SAC_DETALLE</t>
  </si>
  <si>
    <t>33.1</t>
  </si>
  <si>
    <t>W-O - Gestiones Explotacion Resumen</t>
  </si>
  <si>
    <t>INYC_GES_RESUMEN</t>
  </si>
  <si>
    <t>GEX</t>
  </si>
  <si>
    <t>33.2</t>
  </si>
  <si>
    <t>W-O - Gestiones Explotacion Detalle</t>
  </si>
  <si>
    <t>INYC_GES_DETALLE</t>
  </si>
  <si>
    <t>3.3</t>
  </si>
  <si>
    <t>3.3 Percepciones Agentes Eterna</t>
  </si>
  <si>
    <t>INYC_PERC_E_AGENTES</t>
  </si>
  <si>
    <t>PEAG_E</t>
  </si>
  <si>
    <t>3.4</t>
  </si>
  <si>
    <t>3.4 Percepciones Inspectores Eterna</t>
  </si>
  <si>
    <t>INYC_PERC_E_INSPECTORES</t>
  </si>
  <si>
    <t>PEIN_E</t>
  </si>
  <si>
    <t>117.1</t>
  </si>
  <si>
    <t>1.17 Produccion Inspectores Eterna</t>
  </si>
  <si>
    <t>INYC_PROD_E_INSPECTORES</t>
  </si>
  <si>
    <t>PRIN_E</t>
  </si>
  <si>
    <t>W-O - Incentivos Inspectores Comerciales</t>
  </si>
  <si>
    <t>NOMBRE</t>
  </si>
  <si>
    <t>REGLA ANTIGUAS</t>
  </si>
  <si>
    <t>REGLA</t>
  </si>
  <si>
    <t>EJEMPLO</t>
  </si>
  <si>
    <t>SM - Objetivo Anual RRTT</t>
  </si>
  <si>
    <t>SM-O-RPP-Inspector-ObjetivoAnual-NumPolizas-001</t>
  </si>
  <si>
    <t>SM - Objetivo Anual Hogar</t>
  </si>
  <si>
    <t>SM-O-RPP-Inspector-ObjetivoAnual-NumPolizas-002</t>
  </si>
  <si>
    <t>SM - Objetivo Anual RRPP</t>
  </si>
  <si>
    <t>SM-O-RPP-Inspector-ObjetivoAnual-NumPolizas-906</t>
  </si>
  <si>
    <t>SM - Objetivo Anual Total Ramos</t>
  </si>
  <si>
    <t>SM-O-RPP-Inspector-ObjetivoAnual-NumPolizas-998</t>
  </si>
  <si>
    <t>SM - Objetivo Único Anual PC</t>
  </si>
  <si>
    <t>SM-O-RPP-Inspector-ObjetivoUnicoAnual-PrimaCorregida</t>
  </si>
  <si>
    <t>SM - Objetivo Trimestral Rappel1 RRTT</t>
  </si>
  <si>
    <t>SM-O-RPP-Inspector-ObjetivoTrimestral-Rappel1-NumPolizas-001</t>
  </si>
  <si>
    <t>SM - Objetivo Trimestral Rappel1 Hogar</t>
  </si>
  <si>
    <t>SM-O-RPP-Inspector-ObjetivoTrimestral-Rappel1-NumPolizas-002</t>
  </si>
  <si>
    <t>SM - Objetivo Trimestral Rappel1 RRPP</t>
  </si>
  <si>
    <t>SM-O-RPP-Inspector-ObjetivoTrimestral-Rappel1-NumPolizas-906</t>
  </si>
  <si>
    <t>SM - Objetivo Trimestral Rappel1 Total Ramos</t>
  </si>
  <si>
    <t>SM-O-RPP-Inspector-ObjetivoTrimestral-Rappel1-NumPolizas-998</t>
  </si>
  <si>
    <t>SM - Objetivo Trimestral Rappel2 Total Ramos</t>
  </si>
  <si>
    <t>SM-O-RPP-Inspector-ObjetivoTrimestral-Rappel2-NumPolizas-998</t>
  </si>
  <si>
    <t>SM - Importe Reg. Anual Rappel1 Mes1</t>
  </si>
  <si>
    <t>SM-RPP-Inspector-ImportesRegularizacionAnual-Rappel1-Mes1</t>
  </si>
  <si>
    <t>SM - Importe Reg. Anual Rappel1 Mes10</t>
  </si>
  <si>
    <t>SM-RPP-Inspector-ImportesRegularizacionAnual-Rappel1-Mes10</t>
  </si>
  <si>
    <t>SM - Importe Reg. Anual Rappel1 Mes11</t>
  </si>
  <si>
    <t>SM-RPP-Inspector-ImportesRegularizacionAnual-Rappel1-Mes11</t>
  </si>
  <si>
    <t>SM - Importe Reg. Anual Rappel1 Mes12</t>
  </si>
  <si>
    <t>SM-RPP-Inspector-ImportesRegularizacionAnual-Rappel1-Mes12</t>
  </si>
  <si>
    <t>SM - Importe Reg. Anual Rappel1 Mes2</t>
  </si>
  <si>
    <t>SM-RPP-Inspector-ImportesRegularizacionAnual-Rappel1-Mes2</t>
  </si>
  <si>
    <t>SM - Importe Reg. Anual Rappel1 Mes3</t>
  </si>
  <si>
    <t>SM-RPP-Inspector-ImportesRegularizacionAnual-Rappel1-Mes3</t>
  </si>
  <si>
    <t>SM - Importe Reg. Anual Rappel1 Mes4</t>
  </si>
  <si>
    <t>SM-RPP-Inspector-ImportesRegularizacionAnual-Rappel1-Mes4</t>
  </si>
  <si>
    <t>SM - Importe Reg. Anual Rappel1 Mes5</t>
  </si>
  <si>
    <t>SM-RPP-Inspector-ImportesRegularizacionAnual-Rappel1-Mes5</t>
  </si>
  <si>
    <t>SM - Importe Reg. Anual Rappel1 Mes6</t>
  </si>
  <si>
    <t>SM-RPP-Inspector-ImportesRegularizacionAnual-Rappel1-Mes6</t>
  </si>
  <si>
    <t>SM - Importe Reg. Anual Rappel1 Mes7</t>
  </si>
  <si>
    <t>SM-RPP-Inspector-ImportesRegularizacionAnual-Rappel1-Mes7</t>
  </si>
  <si>
    <t>SM - Importe Reg. Anual Rappel1 Mes8</t>
  </si>
  <si>
    <t>SM-RPP-Inspector-ImportesRegularizacionAnual-Rappel1-Mes8</t>
  </si>
  <si>
    <t>SM - Importe Reg. Anual Rappel1 Mes9</t>
  </si>
  <si>
    <t>SM-RPP-Inspector-ImportesRegularizacionAnual-Rappel1-Mes9</t>
  </si>
  <si>
    <t>SM - Pago Reg. Anual Final</t>
  </si>
  <si>
    <t>SM-RPP-Inspector-PagoRegularizacion-Anual-Final</t>
  </si>
  <si>
    <t>PM - Numero Pólizas RRTT</t>
  </si>
  <si>
    <t>PM-GEN-NumeroPolizas-001</t>
  </si>
  <si>
    <t>Version 20180126</t>
  </si>
  <si>
    <t>PM - Numero Pólizas Hogar</t>
  </si>
  <si>
    <t>PM-GEN-NumeroPolizas-002</t>
  </si>
  <si>
    <t>PM - Numero Pólizas RRPP</t>
  </si>
  <si>
    <t>PM-GEN-NumeroPolizas-906</t>
  </si>
  <si>
    <t>PM - Numero Pólizas Total Ramos</t>
  </si>
  <si>
    <t>PM-GEN-NumeroPolizas-998</t>
  </si>
  <si>
    <t>PM - Numero Pólizas Corregidas RRTT</t>
  </si>
  <si>
    <t>PM-O-GEN-Inspector-NumeroPolizasCorregidas-001</t>
  </si>
  <si>
    <t>PM - Numero Pólizas Corregidas Hogar</t>
  </si>
  <si>
    <t>PM-O-GEN-Inspector-NumeroPolizasCorregidas-002</t>
  </si>
  <si>
    <t>PM - Numero Pólizas Corregidas RRPP</t>
  </si>
  <si>
    <t>PM-O-GEN-Inspector-NumeroPolizasCorregidas-906</t>
  </si>
  <si>
    <t>PM - Prima Corregida Total Ramos</t>
  </si>
  <si>
    <t>PM-RPP-Inspector-PrimaCorregida</t>
  </si>
  <si>
    <t>PM - Numero Pólizas Corregidas Total Ramos</t>
  </si>
  <si>
    <t>PM-O-GEN-Inspector-NumeroPolizasCorregidas-998</t>
  </si>
  <si>
    <t>Version 20180119</t>
  </si>
  <si>
    <t>PM - Nº Asegurados Inspector</t>
  </si>
  <si>
    <t>PM-O-GEN-Agente-NumAsegurados</t>
  </si>
  <si>
    <t>PM - Numero Pólizas RRTT Agentes</t>
  </si>
  <si>
    <t>PM-GEN-NumeroPolizas-001-Agentes</t>
  </si>
  <si>
    <t>PM - Numero Pólizas Hogar Agentes</t>
  </si>
  <si>
    <t>PM-GEN-NumeroPolizas-002-Agentes</t>
  </si>
  <si>
    <t>PM - Numero Pólizas RRPP Agentes</t>
  </si>
  <si>
    <t>PM-GEN-NumeroPolizas-906-Agentes</t>
  </si>
  <si>
    <t>PM - Numero Pólizas Total Ramos Agentes</t>
  </si>
  <si>
    <t>PM-GEN-NumeroPolizas-998-Agentes</t>
  </si>
  <si>
    <t>PM - Numero Pólizas Corregidas RRTT Agentes</t>
  </si>
  <si>
    <t>PM-O-GEN-Inspector-NumeroPolizasCorregidas-001-Agentes</t>
  </si>
  <si>
    <t>PM - Numero Pólizas Corregidas Hogar Agentes</t>
  </si>
  <si>
    <t>PM-O-GEN-Inspector-NumeroPolizasCorregidas-002-Agentes</t>
  </si>
  <si>
    <t>PM - Numero Pólizas Corregidas RRPP Agentes</t>
  </si>
  <si>
    <t>PM-O-GEN-Inspector-NumeroPolizasCorregidas-906-Agentes</t>
  </si>
  <si>
    <t>PM - Prima Corregida Total Ramos Agentes</t>
  </si>
  <si>
    <t>PM-RPP-Inspector-PrimaCorregida-Agentes</t>
  </si>
  <si>
    <t>PM-O-GEN-Inspector-NumeroPolizasCorregidas-998-Agentes</t>
  </si>
  <si>
    <t>PM - Nº Asegurados Inspector Agentes</t>
  </si>
  <si>
    <t>PM-O-GEN-Inspector-NumAsegurados-Agentes</t>
  </si>
  <si>
    <t>Version 20180117</t>
  </si>
  <si>
    <t>SM - Nº Pólizas Inspector RRTT Mensual</t>
  </si>
  <si>
    <t>SM-RPP-Inspector-NumeroPolizas-001-TotalMes</t>
  </si>
  <si>
    <t>SM - Nº Pólizas Inspector Hogar Mensual</t>
  </si>
  <si>
    <t>SM-RPP-Inspector-NumeroPolizas-002-TotalMes</t>
  </si>
  <si>
    <t>SM - Nº Pólizas Inspector RRPP (excl PU y conv/colec) Mensual</t>
  </si>
  <si>
    <t>SM-RPP-Inspector-NumeroPolizas-906-TotalMes</t>
  </si>
  <si>
    <t>SM - Nº Pólizas Inspector Total Productos Mensual</t>
  </si>
  <si>
    <t>SM-RPP-Inspector-NumeroPolizas-998-TotalMes</t>
  </si>
  <si>
    <t>SM - Nº Pólizas Corregidas Inspector RRTT Mensual</t>
  </si>
  <si>
    <t>SM-O-GEN-Inspector-NumeroPolizasCorregidas-001-TotalMes</t>
  </si>
  <si>
    <t>SM - Nº Pólizas Corregidas Inspector Hogar Mensual</t>
  </si>
  <si>
    <t>SM-O-GEN-Inspector-NumeroPolizasCorregidas-002-TotalMes</t>
  </si>
  <si>
    <t>SM - Nº Pólizas Corregidas Inspector RRPP (excl PU y conv/colec) Mensual</t>
  </si>
  <si>
    <t>SM-O-GEN-Inspector-NumeroPolizasCorregidas-906-TotalMes</t>
  </si>
  <si>
    <t>SM - Pago Mensual</t>
  </si>
  <si>
    <t>SM-RPP-Inspector-PagoMensual</t>
  </si>
  <si>
    <t>SM - Prima Corregida Inspector Total Productos Mensual</t>
  </si>
  <si>
    <t>SM-RPP-Inspector-PrimaCorregida-TotalMes</t>
  </si>
  <si>
    <t>SM - Nº Pólizas Corregidas Inspector Total Productos Mensual</t>
  </si>
  <si>
    <t>SM-O-GEN-Inspector-NumeroPolizasCorregidas-998-TotalMes</t>
  </si>
  <si>
    <t>SM - Nº Asegurados Inspector Mensual</t>
  </si>
  <si>
    <t>SM-O-GEN-Inspector-NumAsegurados-TotalMes</t>
  </si>
  <si>
    <t>SM - importe Reg. Trimestral Rappel1 Mes1</t>
  </si>
  <si>
    <t>SM-RPP-Inspector-ImportesRegularizacionTrimestral-Rappel1-Mes1</t>
  </si>
  <si>
    <t>SM - importe Reg. Trimestral Rappel1 Mes2</t>
  </si>
  <si>
    <t>SM-RPP-Inspector-ImportesRegularizacionTrimestral-Rappel1-Mes2</t>
  </si>
  <si>
    <t>SM - importe Reg. Trimestral Rappel1 Mes3</t>
  </si>
  <si>
    <t>SM-RPP-Inspector-ImportesRegularizacionTrimestral-Rappel1-Mes3</t>
  </si>
  <si>
    <t>SM - importe Reg. Trimestral Rappel2 Mes1</t>
  </si>
  <si>
    <t>SM-RPP-Inspector-ImportesRegularizacionTrimestral-Rappel2-Mes1</t>
  </si>
  <si>
    <t>SM - importe Reg. Trimestral Rappel2 Mes2</t>
  </si>
  <si>
    <t>SM-RPP-Inspector-ImportesRegularizacionTrimestral-Rappel2-Mes2</t>
  </si>
  <si>
    <t>SM - importe Reg. Trimestral Rappel2 Mes3</t>
  </si>
  <si>
    <t>SM-RPP-Inspector-ImportesRegularizacionTrimestral-Rappel2-Mes3</t>
  </si>
  <si>
    <t>I - Importe Reg. Trimestral Rappel1 Mes1</t>
  </si>
  <si>
    <t>I-RPP-Inspector-ImporteRegTrimestral-Mes1</t>
  </si>
  <si>
    <t>Version 20180718</t>
  </si>
  <si>
    <t>I - Importe Reg. Trimestral Rappel1 Mes2</t>
  </si>
  <si>
    <t>I-RPP-Inspector-ImporteRegTrimestral-Mes2</t>
  </si>
  <si>
    <t>I - Importe Reg. Trimestral Rappel1 Mes3</t>
  </si>
  <si>
    <t>I-RPP-Inspector-ImporteRegTrimestral-Mes3</t>
  </si>
  <si>
    <t>I - Importe Reg. Trimestral Rappel2 Mes1</t>
  </si>
  <si>
    <t>I-RPP-Inspector-ImporteRegTrimestral-MinMes1</t>
  </si>
  <si>
    <t>I - Importe Reg. Trimestral Rappel2 Mes2</t>
  </si>
  <si>
    <t>I-RPP-Inspector-ImporteRegTrimestral-MinMes2</t>
  </si>
  <si>
    <t>I - Importe Reg. Trimestral Rappel2 Mes3</t>
  </si>
  <si>
    <t>I-RPP-Inspector-ImporteRegTrimestral-MinMes3</t>
  </si>
  <si>
    <t>SM - Pago Reg. Trimestral Final</t>
  </si>
  <si>
    <t>SM-RPP-Inspector-PagoRegularizacion-Trimestral-Final</t>
  </si>
  <si>
    <t>I - Pago Reg. Trimestral Final</t>
  </si>
  <si>
    <t>I-RPP-Inspector-ImporteRegTrimestral</t>
  </si>
  <si>
    <t>SM - Consecución Anual RRTT</t>
  </si>
  <si>
    <t>SM-RPP-Inspector-ConsecucionAnual-001</t>
  </si>
  <si>
    <t>SM - Consecución Anual Hogar</t>
  </si>
  <si>
    <t>SM-RPP-Inspector-ConsecucionAnual-002</t>
  </si>
  <si>
    <t>SM - Consecución Anual RRPP</t>
  </si>
  <si>
    <t>SM-RPP-Inspector-ConsecucionAnual-906</t>
  </si>
  <si>
    <t>SM - Consecución Anual Total Ramos</t>
  </si>
  <si>
    <t>SM-RPP-Inspector-ConsecucionAnual-998</t>
  </si>
  <si>
    <t>SM - Consecución Anual Total Ramos Propia</t>
  </si>
  <si>
    <t>SM-RPP-Inspector-ConsecucionAnual-998-Propia</t>
  </si>
  <si>
    <t>SM - Consecución Anual Importe</t>
  </si>
  <si>
    <t>SM-RPP-Inspector-ConsecucionAnual-Importe</t>
  </si>
  <si>
    <t>SM - Consecución Anual PC Agentes</t>
  </si>
  <si>
    <t>SM-RPP-Inspector-ConsecucionAnual-PrimaCorregida-Agentes</t>
  </si>
  <si>
    <t>SM - Nº Pólizas Inspector RRTT Anual</t>
  </si>
  <si>
    <t>SM-RPP-Inspector-NumeroPolizas-001-TotalAnual</t>
  </si>
  <si>
    <t>Version 20180324</t>
  </si>
  <si>
    <t>SM - Nº Pólizas Inspector Hogar Anual</t>
  </si>
  <si>
    <t>SM-RPP-Inspector-NumeroPolizas-002-TotalAnual</t>
  </si>
  <si>
    <t>SM - Nº Pólizas Inspector RRPP (excl PU y conv/colec) Anual</t>
  </si>
  <si>
    <t>SM-RPP-Inspector-NumeroPolizas-906-TotalAnual</t>
  </si>
  <si>
    <t>SM - Nº Pólizas Propias Inspector Total Productos Anual</t>
  </si>
  <si>
    <t>SM-RPP-Inspector-NumeroPolizas-998-Propia-TotalAnual</t>
  </si>
  <si>
    <t>SM - Nº Pólizas Inspector Total Productos Anual</t>
  </si>
  <si>
    <t>SM-RPP-Inspector-NumeroPolizas-998-TotalAnual</t>
  </si>
  <si>
    <t>SM - Nº Pólizas Corregidas Inspector RRTT Anual</t>
  </si>
  <si>
    <t>SM-O-GEN-Inspector-NumeroPolizasCorregidas-001-TotalAnual</t>
  </si>
  <si>
    <t>SM - Nº Pólizas Corregidas Inspector Hogar Anual</t>
  </si>
  <si>
    <t>SM-O-GEN-Inspector-NumeroPolizasCorregidas-002-TotalAnual</t>
  </si>
  <si>
    <t>SM - Nº Pólizas Corregidas Inspector RRPP (excl PU y conv/colec) Anual</t>
  </si>
  <si>
    <t>SM-O-GEN-Inspector-NumeroPolizasCorregidas-906-TotalAnual</t>
  </si>
  <si>
    <t>SM - Nº Pólizas Corregidas Propias Inspector Total Productos Anual</t>
  </si>
  <si>
    <t>SM-O-GEN-Inspector-NumeroPolizasCorregidas-998-Propia-TotalAnual</t>
  </si>
  <si>
    <t>SM - Prima Corregida Agentes Inspector Total Productos Anual</t>
  </si>
  <si>
    <t>SM-RPP-Inspector-PrimaCorregida-AgentesAnual</t>
  </si>
  <si>
    <t>SM - Prima Corregida Propia Inspector Total Productos Anual</t>
  </si>
  <si>
    <t>SM-RPP-Inspector-PrimaCorregida-PropiaAnual</t>
  </si>
  <si>
    <t>SM - Prima Corregida Inspector Total Productos Anual</t>
  </si>
  <si>
    <t>SM-RPP-Inspector-PrimaCorregida-TotalAnual</t>
  </si>
  <si>
    <t>SM - Nº Pólizas Corregidas Inspector Total Productos Anual</t>
  </si>
  <si>
    <t>SM-O-GEN-Inspector-NumeroPolizasCorregidas-998-TotalAnual</t>
  </si>
  <si>
    <t>SM - Nº Asegurados Inspector Anual</t>
  </si>
  <si>
    <t>SM-O-GEN-Inspector-NumAsegurados-TotalAnual</t>
  </si>
  <si>
    <t>SM - Consecución Trimestral RRTT</t>
  </si>
  <si>
    <t>SM-RPP-Inspector-ConsecucionTrimestral-001</t>
  </si>
  <si>
    <t>SM - Consecución Trimestral Hogar</t>
  </si>
  <si>
    <t>SM-RPP-Inspector-ConsecucionTrimestral-002</t>
  </si>
  <si>
    <t>SM - Consecución Trimestral RRPP</t>
  </si>
  <si>
    <t>SM-RPP-Inspector-ConsecucionTrimestral-906</t>
  </si>
  <si>
    <t>SM - Consecución Trimestral Total Ramos</t>
  </si>
  <si>
    <t>SM-RPP-Inspector-ConsecucionTrimestral-998</t>
  </si>
  <si>
    <t>SM - Numero Pólizas Trimestral RRTT</t>
  </si>
  <si>
    <t>SM-RPP-Inspector-NumeroPolizas-001-TotalTrimestre</t>
  </si>
  <si>
    <t>Version 20180321</t>
  </si>
  <si>
    <t>SM - Numero Pólizas Trimestral Hogar</t>
  </si>
  <si>
    <t>SM-RPP-Inspector-NumeroPolizas-002-TotalTrimestre</t>
  </si>
  <si>
    <t>SM - Numero Pólizas Trimestral RRPP</t>
  </si>
  <si>
    <t>SM-RPP-Inspector-NumeroPolizas-906-TotalTrimestre</t>
  </si>
  <si>
    <t>SM - Numero Pólizas Trimestral Total Ramos</t>
  </si>
  <si>
    <t>SM-RPP-Inspector-NumeroPolizas-998-TotalTrimestre</t>
  </si>
  <si>
    <t>SM - Numero Pólizas Corregidas Trimestral RRTT</t>
  </si>
  <si>
    <t>SM-O-GEN-Inspector-NumeroPolizasCorregidas-001-TotalTrimestre</t>
  </si>
  <si>
    <t>SM - Numero Pólizas Corregidas Trimestral Hogar</t>
  </si>
  <si>
    <t>SM-O-GEN-Inspector-NumeroPolizasCorregidas-002-TotalTrimestre</t>
  </si>
  <si>
    <t>SM - Numero Pólizas Corregidas Trimestral RRPP</t>
  </si>
  <si>
    <t>SM-O-GEN-Inspector-NumeroPolizasCorregidas-906-TotalTrimestre</t>
  </si>
  <si>
    <t>SM - Numero Pólizas Corregidas Trimestral Total Ramos</t>
  </si>
  <si>
    <t>SM-O-GEN-Inspector-NumeroPolizasCorregidas-998-TotalTrimestre</t>
  </si>
  <si>
    <t>DC - Prima Corregida Anual Total Ramos</t>
  </si>
  <si>
    <t>DC-RPP-Inspector-PrimaCorregida</t>
  </si>
  <si>
    <t>IC - Prima Corregida Anual Total Ramos</t>
  </si>
  <si>
    <t>IC-RPP-Inspector-PrimaCorregida</t>
  </si>
  <si>
    <t>DC - Numero Pólizas Total Ramos</t>
  </si>
  <si>
    <t>DC-GEN-NumeroPolizas-998</t>
  </si>
  <si>
    <t>IC - Numero Pólizas Total Ramos</t>
  </si>
  <si>
    <t>IC-GEN-NumeroPolizas-998</t>
  </si>
  <si>
    <t>PM - Numero Pólizas 001</t>
  </si>
  <si>
    <t>PM-E-GEN-Inspector-NumeroPolizas-001</t>
  </si>
  <si>
    <t>PM - Numero Pólizas 001 Agentes</t>
  </si>
  <si>
    <t>PM-E-GEN-Inspector-NumeroPolizas-001-Agentes</t>
  </si>
  <si>
    <t>PM - Numero Pólizas 004</t>
  </si>
  <si>
    <t>PM-E-GEN-Inspector-NumeroPolizas-004</t>
  </si>
  <si>
    <t>PM - Numero Pólizas 004 Agentes</t>
  </si>
  <si>
    <t>PM-E-GEN-Inspector-NumeroPolizas-004-Agentes</t>
  </si>
  <si>
    <t>PM - Nº Pólizas Corregidas Inspector RRTT Propia</t>
  </si>
  <si>
    <t>PM-E-GEN-Inspector-NumeroPolizasCorregidas-Decesos-Propia</t>
  </si>
  <si>
    <t>PM - Nº Pólizas Corregidas Inspector RRTT Agentes</t>
  </si>
  <si>
    <t>PM-E-GEN-Inspector-NumeroPolizasCorregidas-Decesos-Agentes</t>
  </si>
  <si>
    <t>PM - Nº Pólizas Corregidas Inspector Prod. Prioritarios Propia</t>
  </si>
  <si>
    <t>PM-E-GEN-Inspector-NumeroPolizasCorregidas-ProdPrioritarios-Propia</t>
  </si>
  <si>
    <t>PM - Nº Pólizas Corregidas Inspector Prod. Prioritarios Agentes</t>
  </si>
  <si>
    <t>PM-E-GEN-Inspector-NumeroPolizasCorregidas-ProdPrioritarios-Agentes</t>
  </si>
  <si>
    <t>PM - Prima Corregida 004</t>
  </si>
  <si>
    <t>PM-E-GEN-Inspector-PrimaCorregida-004</t>
  </si>
  <si>
    <t>PM - Prima Corregida 004 Agentes</t>
  </si>
  <si>
    <t>PM-E-GEN-Inspector-PrimaCorregida-004-Agentes</t>
  </si>
  <si>
    <t>PM - Prima Corregida Inspector Prod. Prioritarios Propia</t>
  </si>
  <si>
    <t>PM-E-GEN-Inspector-PrimaCorregida-ProdPrioritarios-Propia</t>
  </si>
  <si>
    <t>PM - Prima Corregida Inspector Prod. Prioritarios Agentes</t>
  </si>
  <si>
    <t>PM-E-GEN-Inspector-PrimaCorregida-ProdPrioritarios-Agentes</t>
  </si>
  <si>
    <t>SM - Numero Pólizas 004 Total Mes</t>
  </si>
  <si>
    <t>SM-E-GEN-Inspector-NumeroPolizas-004-TotalMes</t>
  </si>
  <si>
    <t>SM - Nº Pólizas Corregidas Inspector Prod. Prioritarios Mensual</t>
  </si>
  <si>
    <t>SM-E-GEN-Inspector-NumeroPolizasCorregidas-ProdPrioritarios-TotalMes</t>
  </si>
  <si>
    <t>SM - Prima Corregida 004 Total Mes</t>
  </si>
  <si>
    <t>SM-E-GEN-Inspector-PrimaCorregida-004-TotalMes</t>
  </si>
  <si>
    <t>SM - Prima Corregida Inspector Prod. Prioritarios Mensual</t>
  </si>
  <si>
    <t>SM-E-GEN-Inspector-PrimaCorregida-ProdPrioritarios-TotalMes</t>
  </si>
  <si>
    <t>SM - Pago Mensual Rappel Primas</t>
  </si>
  <si>
    <t>SM-E-RP2-Inspector-PagoMensual</t>
  </si>
  <si>
    <t>SM - Pago Mensual Superrapel</t>
  </si>
  <si>
    <t>SM-E-SP-Inspector-PagoMensual</t>
  </si>
  <si>
    <t>PM - Numero Pólizas 001 Propia</t>
  </si>
  <si>
    <t>PM-E-RP1-Inspector-NumeroPolizas-001</t>
  </si>
  <si>
    <t>PM-E-RP1-Inspector-NumeroPolizas-001-Agentes</t>
  </si>
  <si>
    <t>SM - Numero Pólizas 001 Total Mes</t>
  </si>
  <si>
    <t>SM-E-RP1-Inspector-NumeroPolizas-001-TotalMes</t>
  </si>
  <si>
    <t>SM - Pago Mensual Rappel Pólizas</t>
  </si>
  <si>
    <t>SM-E-RP1-Inspector-PagoMensual</t>
  </si>
  <si>
    <t>PM - Numero Pólizas Especiales</t>
  </si>
  <si>
    <t>PM-E-GEN-Inspector-NumeroPolizasEspeciales</t>
  </si>
  <si>
    <t>PM - Numero Pólizas Especiales Agentes</t>
  </si>
  <si>
    <t>PM-E-GEN-Inspector-NumeroPolizasEspeciales-Agentes</t>
  </si>
  <si>
    <t>SM - Numero Pólizas 004 Total Mes Sin Corregir</t>
  </si>
  <si>
    <t>SM-E-GEN-Inspector-NumeroPolizas-004-TotalMes-SinCorregir</t>
  </si>
  <si>
    <t>DC - Primas Corregidas 998</t>
  </si>
  <si>
    <t>DC-E-GEN-Inspector-PrimaCorregida-998</t>
  </si>
  <si>
    <t>IC - Primas Corregidas 998</t>
  </si>
  <si>
    <t>IC-E-GEN-Inspector-PrimaCorregida-998</t>
  </si>
  <si>
    <t>DC - Numero Pólizas 998</t>
  </si>
  <si>
    <t>DC-E-GEN-Inspector-NumeroPolizas-998</t>
  </si>
  <si>
    <t>IC - Numero Pólizas 998</t>
  </si>
  <si>
    <t>IC-E-GEN-Inspector-NumeroPolizas-998</t>
  </si>
  <si>
    <t>Version 20190205</t>
  </si>
  <si>
    <t>SM - Nº Pólizas Corregidas Inspector Prod. Prioritarios Trimestral</t>
  </si>
  <si>
    <t>SM-E-GEN-Inspector-NumeroPolizasCorregidas-ProdPrioritarios-TotalTrimestre</t>
  </si>
  <si>
    <t>SM - Pago Trimestral Pólizas Corregidas</t>
  </si>
  <si>
    <t>SM-E-RP3-Inspector-PolCorr-PagoTrimestre</t>
  </si>
  <si>
    <t>SM - Objetivo Anual Pólizas Prod. Prioritarios</t>
  </si>
  <si>
    <t>SM-E-GEN-Inspector-NumeroPolizas-ProdPrioritarios-ObjetivoAnual</t>
  </si>
  <si>
    <t>Version 20191228</t>
  </si>
  <si>
    <t>SM - Prima Corregida Inspector Prod. Prioritarios Trimestral</t>
  </si>
  <si>
    <t>SM-E-GEN-Inspector-PrimaCorregida-ProdPrioritarios-TotalTrimestre</t>
  </si>
  <si>
    <t>SM - Pago Trimestral Prima Corregida</t>
  </si>
  <si>
    <t>SM-E-RP2-Inspector-PrimaCorregida-PagoTrimestre</t>
  </si>
  <si>
    <t>SM-E-GEN-Inspector-PrimaCorregida-ProdPrioritarios-ObjetivoAnual</t>
  </si>
  <si>
    <t>SM - Consecución Acumulada Pólizas Productos Prioritarios</t>
  </si>
  <si>
    <t>SM-E-GEN-AgenteGrupo-Consecucion-Polizas-ProdPrioritarios</t>
  </si>
  <si>
    <t>SM - Consecución Acumulada Primas Productos Prioritarios</t>
  </si>
  <si>
    <t>SM-E-GEN-AgenteGrupo-Consecucion-Primas</t>
  </si>
  <si>
    <t>SM - Acumulado de Meses en la Categoría Actual</t>
  </si>
  <si>
    <t>SM-E-GEN-Categoria-MesesTotal</t>
  </si>
  <si>
    <t>PM - Numero Pólizas 0329030 (Todos)</t>
  </si>
  <si>
    <t>PM-E-GEN-Agente-NumeroPolizas-0329030</t>
  </si>
  <si>
    <t>Version 20180124</t>
  </si>
  <si>
    <t>PM - Numero Pólizas Especiales (RS1)</t>
  </si>
  <si>
    <t>PM-E-GEN-Agente-NumeroPolizas-Especiales</t>
  </si>
  <si>
    <t>PM - Numero Pólizas Corregidas 004 (RS1)</t>
  </si>
  <si>
    <t>PM-E-GEN-Agente-NumeroPolizas-004</t>
  </si>
  <si>
    <t>PM - Numero Pólizas 001 (RS2)</t>
  </si>
  <si>
    <t>PM-E-GEN-Agente-NumeroPolizas-001</t>
  </si>
  <si>
    <t>PM - Numero Pólizas Corregidas 003 (RS3)</t>
  </si>
  <si>
    <t>PM-E-GEN-Agente-NumeroPolizasCorregidas-003</t>
  </si>
  <si>
    <t>SM - Numero Pólizas 004 y 0329030 Total Mes</t>
  </si>
  <si>
    <t>SM-E-RS1-Agente-NumeroPolizas-TotalMes-SinCorregir</t>
  </si>
  <si>
    <t>SM - Numero Pólizas Especiales Total Mes</t>
  </si>
  <si>
    <t>SM-E-RS1-Agente-NumeroPolizasEspeciales-TotalMes</t>
  </si>
  <si>
    <t>SM - Numero Pólizas 001 y 0329030 Total Mes</t>
  </si>
  <si>
    <t>SM-E-RS2-Agente-NumeroPolizas-TotalMes-SinCorregir</t>
  </si>
  <si>
    <t>SM - Numero Pólizas 003 y 0329030 Total Mes</t>
  </si>
  <si>
    <t>SM-E-RS3-Agente-NumeroPolizas-TotalMes-SinCorregir</t>
  </si>
  <si>
    <t>SM - Numero Pólizas RS Total Mes</t>
  </si>
  <si>
    <t>SM-E-RS-Agente-NumeroPolizas-TotalMes</t>
  </si>
  <si>
    <t>SM - Nº Pólizas Agente Accidentes Mensual</t>
  </si>
  <si>
    <t>SM-E-GEN-Agente-NumeroPolizas-Accidente-TotalMes</t>
  </si>
  <si>
    <t>Version 20180125</t>
  </si>
  <si>
    <t>SM - Nº Pólizas Agente Hogar Mensual</t>
  </si>
  <si>
    <t>SM-E-GEN-Agente-NumeroPolizas-Hogar-TotalMes</t>
  </si>
  <si>
    <t>SM - Nº Pólizas Agente Comunidades Mensual</t>
  </si>
  <si>
    <t>SM-E-GEN-Agente-NumeroPolizas-Comunidades-TotalMes</t>
  </si>
  <si>
    <t>SM - Nº Pólizas Agente RRTT Mensual</t>
  </si>
  <si>
    <t>SM-E-GEN-Agente-NumeroPolizas-Decesos-TotalMes</t>
  </si>
  <si>
    <t>SM - Nº Pólizas Agente Prod. Prioritarios Mensual</t>
  </si>
  <si>
    <t>SM-E-GEN-Agente-NumeroPolizas-ProdPrioritarios-TotalMes</t>
  </si>
  <si>
    <t>PM- Nº Pólizas asistencia ETERNA</t>
  </si>
  <si>
    <t>PM-E-COM-NumeroAsistencias</t>
  </si>
  <si>
    <t>Version 20190121</t>
  </si>
  <si>
    <t>SM - Nº Asegurados Agente Mensual</t>
  </si>
  <si>
    <t>SM-E-GEN-Agente-NumAsegurados-TotalMes</t>
  </si>
  <si>
    <t>SM - Numero Pólizas RS Resto Mes Anterior</t>
  </si>
  <si>
    <t>SM-E-RS-Agente-NumeroPolizas-RestoMesAnterior</t>
  </si>
  <si>
    <t>SM - Numero Pólizas RS Resto</t>
  </si>
  <si>
    <t>SM-E-RS-Agente-NumeroPolizas-Resto</t>
  </si>
  <si>
    <t>SM - Pago Mensual Rappel</t>
  </si>
  <si>
    <t>SM-E-R-Agente-PagoMensual</t>
  </si>
  <si>
    <t>SM-E-S-Agente-PagoMensual</t>
  </si>
  <si>
    <t>SM - Pago Mensual Rappel agentes 317</t>
  </si>
  <si>
    <t>SM-E-R-Agente-Tipo317-PagoMensual</t>
  </si>
  <si>
    <t>Version 20200214</t>
  </si>
  <si>
    <t>SM - Pago Mensual Superrapel agente 317</t>
  </si>
  <si>
    <t>SM-E-SR-Agente-Tipo317-PagoMensual</t>
  </si>
  <si>
    <t>SM - Numero Pólizas SR Total Mes</t>
  </si>
  <si>
    <t xml:space="preserve">SM-E-SR-Agente-NumeroPolizas-TotalMes </t>
  </si>
  <si>
    <t>SM - Numero Pólizas SR Total Mes Sin Corregir</t>
  </si>
  <si>
    <t>SM-E-SR-Agente-NumeroPolizas-TotalMes-SinCorregir</t>
  </si>
  <si>
    <t>SM - Pago Mensual R</t>
  </si>
  <si>
    <t>SM-E-SR-Agente-PagoMensual</t>
  </si>
  <si>
    <t>SM - Numero Polizas corregidas Prod Prioritarios</t>
  </si>
  <si>
    <t>SM-E-GEN-Agente-NumeroPolizasCorregidas-ProdPrioritarios-TotalTrimestre</t>
  </si>
  <si>
    <t>Version 20190326</t>
  </si>
  <si>
    <t>SM -Pago Trimestral</t>
  </si>
  <si>
    <t>SM-E-R-Agente-PagoTrimestre</t>
  </si>
  <si>
    <t>DC-E-GEN-Agente-NumeroPolizas-998</t>
  </si>
  <si>
    <t>SM - Puntos Agentes</t>
  </si>
  <si>
    <t>SM-E-CP-Agente-PuntosPoliza-Acumulado</t>
  </si>
  <si>
    <t>SM - Primas Agentes</t>
  </si>
  <si>
    <t>SM-E-CP-Agente-PrimaCorregida-Acumulado</t>
  </si>
  <si>
    <t>SM - Puntos Agentes con Grupo</t>
  </si>
  <si>
    <t>SM-E-CP-Inspector-PuntosPoliza-Acumulado</t>
  </si>
  <si>
    <t>SM - Primas Agentes con Grupo</t>
  </si>
  <si>
    <t>SM-E-CP-Inspector-PrimaCorregida-Acumulado</t>
  </si>
  <si>
    <t>Incremento Numero de Asegurados</t>
  </si>
  <si>
    <t>SM-E-IE-NumAsegurados</t>
  </si>
  <si>
    <t>SM-E-IE-NumAsegurados-Importe</t>
  </si>
  <si>
    <t>SM-E-IE-NumAsegurados-Obj</t>
  </si>
  <si>
    <t>SM-E-IE-NumAsegurados-Porcentaje</t>
  </si>
  <si>
    <t>Nivel Maximo de Anulaciones en Numero de Polizas</t>
  </si>
  <si>
    <t>SM-E-IE-NivelAnulaciones</t>
  </si>
  <si>
    <t>SM-E-IE-NivelAnulaciones-Importe</t>
  </si>
  <si>
    <t>SM-E-IE-NivelAnulaciones-Obj</t>
  </si>
  <si>
    <t>SM-E-IE-NivelAnulaciones-Porcentaje</t>
  </si>
  <si>
    <t>Nivel Maximo de Pendiente</t>
  </si>
  <si>
    <t>SM-E-IE-NivelPendiente</t>
  </si>
  <si>
    <t>SM-E-IE-NivelPendiente-Importe</t>
  </si>
  <si>
    <t>SM-E-IE-NivelPendiente-Obj</t>
  </si>
  <si>
    <t>SM-E-IE-NivelPendiente-Porcentaje</t>
  </si>
  <si>
    <t>RRGG Hogar</t>
  </si>
  <si>
    <t>SM-E-IE-RRGG-Hogar</t>
  </si>
  <si>
    <t>SM-E-IE-RRGG-Hogar-Importe</t>
  </si>
  <si>
    <t>SM-E-IE-RRGG-Hogar-Obj</t>
  </si>
  <si>
    <t>SM-E-IE-RRGG-Hogar-Porcentaje</t>
  </si>
  <si>
    <t>RRGG Comunidades</t>
  </si>
  <si>
    <t>SM-E-IE-RRGG-Comunidades</t>
  </si>
  <si>
    <t>SM-E-IE-RRGG-Comunidades-Importe</t>
  </si>
  <si>
    <t>SM-E-IE-RRGG-Comunidades-Obj</t>
  </si>
  <si>
    <t>SM-E-IE-RRGG-Comunidades-Porcentaje</t>
  </si>
  <si>
    <t>RRGG Accidentes de la Mujer</t>
  </si>
  <si>
    <t>SM-E-IE-RRGG-Accidentes</t>
  </si>
  <si>
    <t>SM-E-IE-RRGG-Accidentes-Importe</t>
  </si>
  <si>
    <t>SM-E-IE-RRGG-Accidentes-Obj</t>
  </si>
  <si>
    <t>SM-E-IE-RRGG-Accidentes-Porcentaje</t>
  </si>
  <si>
    <t>Pago</t>
  </si>
  <si>
    <t>SM E-IE-Pago-Total</t>
  </si>
  <si>
    <t>Detalle por Linea</t>
  </si>
  <si>
    <t>PM-O-RPP-Agente-NumeroPolizas-001</t>
  </si>
  <si>
    <t>PM - Nº Asegurados Agente</t>
  </si>
  <si>
    <t>PM-O-RPP-Agente-NumeroPolizas-002</t>
  </si>
  <si>
    <t>PM-O-GEN-Agente-NumeroPolizas-906</t>
  </si>
  <si>
    <t>PM-O-RPP-Agente-NumeroPolizas-003</t>
  </si>
  <si>
    <t>PM-O-RPP-Agente-NumeroPolizas-004</t>
  </si>
  <si>
    <t>PM-O-RPP-Agente-NumeroPolizas-005-SINCC</t>
  </si>
  <si>
    <t>PM-O-RPP-Agente-NumeroPolizas-997</t>
  </si>
  <si>
    <t>Total Productos</t>
  </si>
  <si>
    <t>PM-O-RPP-Agente-NumeroPolizas-998-Otros-Productos</t>
  </si>
  <si>
    <t>PM-O-RPP-Agente-NumeroPolizas-998-01501-Campania</t>
  </si>
  <si>
    <t>PM-O-RPP-Agente-NumeroPolizas-998-01501-01503-Ag20</t>
  </si>
  <si>
    <t>PM-O-RPP-Agente-NumeroPolizas-998-01501-01503-AgNO20</t>
  </si>
  <si>
    <t>PM-O-RPP-Agente-NumeroPolizas-998-Total-Productos</t>
  </si>
  <si>
    <t>PM-O-RPP-Agente-Prima-998</t>
  </si>
  <si>
    <t>SM-O-RPP-Agente-NumeroPolizas-001-Total-Mes</t>
  </si>
  <si>
    <t>Version 20180427</t>
  </si>
  <si>
    <t>SM-O-GEN-Agente-NumAsegurados-TotalMes</t>
  </si>
  <si>
    <t>SM-O-RPP-Agente-NumeroPolizas-002-Total-Mes</t>
  </si>
  <si>
    <t>SM - Nº Pólizas Agente RRPP (excl PU y conv/colec) Mensual</t>
  </si>
  <si>
    <t>SM-O-GEN-Agente-NumeroPolizas-906-TotalMes</t>
  </si>
  <si>
    <t>SM - Nº Pólizas Agente Ocaso Oro Mensual</t>
  </si>
  <si>
    <t>SM-O-GEN-Agente-NumeroPolizas-007-TotalMes</t>
  </si>
  <si>
    <t>Version 20220323</t>
  </si>
  <si>
    <t>Resumen Mensual</t>
  </si>
  <si>
    <t>SM-O-RPP-Agente-NumeroPolizas-003-Total-Mes</t>
  </si>
  <si>
    <t>SM-O-RPP-Agente-NumeroPolizas-004-Total-Mes</t>
  </si>
  <si>
    <t>SM-O-RPP-Agente-NumeroPolizas-005-SINCC-Total-Mes</t>
  </si>
  <si>
    <t>SM-O-RPP-Agente-NumeroPolizas-997-Total-Mes</t>
  </si>
  <si>
    <t>SM-O-RPP-Agente-NumeroPolizas-998-01501-Campania</t>
  </si>
  <si>
    <t>SM-O-RPP-Agente-NumeroPolizas-998-01501-01503-Recup-Ag20</t>
  </si>
  <si>
    <t>SM-O-RPP-Agente-NumeroPolizas-998-01501-01503-Recup-AgNO20</t>
  </si>
  <si>
    <t>SM-O-RPP-Agente-NumeroPolizas-998-Total-Mes</t>
  </si>
  <si>
    <t>SM-O-GEN-Agente-NumeroPolizas-998-TotalMes</t>
  </si>
  <si>
    <t>Version 20180425</t>
  </si>
  <si>
    <t>SM - Nº Pólizas Corregidas Agente Total Productos Mensual</t>
  </si>
  <si>
    <t>SM-O-GEN-Agente-NumeroPolizasCorregidas-998-TotalMes</t>
  </si>
  <si>
    <t>SM-O-RPP-Agente-NumeroPolizas-998-01501-Campania-Total</t>
  </si>
  <si>
    <t>SM-O-RPP-Agente-NumeroPolizas-998-01501-01503-Recup-Ag20-Total</t>
  </si>
  <si>
    <t>SM-O-RPP-Agente-NumeroPolizas-998-01501-01503-Recup-AgNO20-Total</t>
  </si>
  <si>
    <t>SM-O-RPP-Agente-NumeroPolizas-998-Total-Mes-Resto</t>
  </si>
  <si>
    <t>SM-O-RPP-Agente-NumeroPolizas-998-01501-Campania-Resto</t>
  </si>
  <si>
    <t>SM-O-RPP-Agente-NumeroPolizas-998-01501-01503-Recup-Ag20-Resto</t>
  </si>
  <si>
    <t>SM-O-RPP-Agente-NumeroPolizas-998-01501-01503-Recup-AgNO20-Resto</t>
  </si>
  <si>
    <t>SM-O-RPP-Agente-NumeroPolizas-998-Otros-Productos</t>
  </si>
  <si>
    <t>SM-O-RPP-Agente-NumeroPolizas-998-01501-Campania-SinResto</t>
  </si>
  <si>
    <t>SM-O-RPP-Agente-NumeroPolizas-998-01501-01503-Recup-Ag20-SinResto</t>
  </si>
  <si>
    <t>SM-O-RPP-Agente-NumeroPolizas-998-01501-01503-Recup-AgNO20-SinResto</t>
  </si>
  <si>
    <t>SM-O-RPP-Agente-NumeroPolizas-998-Resto-Mes-Anterior</t>
  </si>
  <si>
    <t>SM-O-RPP-Agente-NumeroPolizas-998-Resto-01501-Campania-Mes-Anterior</t>
  </si>
  <si>
    <t>SM-O-RPP-Agente-NumeroPolizas-998-Resto-01501-01503-Ag20-Mes-Anterior</t>
  </si>
  <si>
    <t>SM-O-RPP-Agente-NumeroPolizas-998-Resto-01501-01503-AgNO20-Mes-Anterior</t>
  </si>
  <si>
    <t>SM - Primas Agente Total Productos Mensual</t>
  </si>
  <si>
    <t>SM-O-RPP-Agente-Prima-998-Total-Mes</t>
  </si>
  <si>
    <t>Pago Mensual</t>
  </si>
  <si>
    <t>SM-O-RPP-Agente-Pago-Fijo-Mensual</t>
  </si>
  <si>
    <t>SM-O-RPP-Agente-Rappel-Pago-Mensual</t>
  </si>
  <si>
    <t>SM-O-RPP-Agente-SuperRappel-Pago-Mensual</t>
  </si>
  <si>
    <t>SM-O-RPP-Agente-N2N3-Pago-Fijo-Mensual</t>
  </si>
  <si>
    <t>SM-O-RPP-Agente-N2N3-Rappel-Pago-Mensual</t>
  </si>
  <si>
    <t>SM-O-RPP-Agente-N2N3-SuperRappel-Pago-Mensual</t>
  </si>
  <si>
    <t>Regularizacion Trimestral</t>
  </si>
  <si>
    <t>SM-O-RPP-Agente-NumeroPolizas-998-TotalTrimestral</t>
  </si>
  <si>
    <t>SM-O-RPP-Agente-Prima-998-TotalTrimestral</t>
  </si>
  <si>
    <t>SM-O-RPP-Agente-NumeroPolizas-902-TotalTrimestral</t>
  </si>
  <si>
    <t>SM-O-RPP-Agente-APRO-Regularizacion</t>
  </si>
  <si>
    <t>SM-O-RPP-Agente-Prima-998-TotalAnual</t>
  </si>
  <si>
    <t>SM-O-RPP-Agente-NumeroPolizas-001-TotalAnual</t>
  </si>
  <si>
    <t>SM-O-RPP-Agente-NumeroPolizas-002-TotalAnual</t>
  </si>
  <si>
    <t>SM-O-RPP-Agente-NumeroPolizas-906-TotalAnual</t>
  </si>
  <si>
    <t>SM-O-RPP-Agente-NumeroPolizas-004-TotalAnual</t>
  </si>
  <si>
    <t>SM-O-RPP-Agente-NumeroPolizas-998-TotalAnual</t>
  </si>
  <si>
    <t>SM-O-RPP-Agente-PlanesCarrera-Regularizacion</t>
  </si>
  <si>
    <t>SM-O-RPP-Agente-SuperRappel-Pago-Regularizacion</t>
  </si>
  <si>
    <t>Pagos</t>
  </si>
  <si>
    <t>SM-O-RPP-Agente-Rappel-Pago-TotalTrimestral</t>
  </si>
  <si>
    <t>SM-O-RPP-Agente-SuperRappel-Pago-TotalTrimestral</t>
  </si>
  <si>
    <t>SM-O-RPP-Agente-Rappel-Pago-TotalAnual</t>
  </si>
  <si>
    <t>SM-O-RPP-Agente-SuperRappel-Pago-TotalAnual</t>
  </si>
  <si>
    <t>SM-O-RPP-Agente-PlanesCarrera-RegularizacionTotalAnual</t>
  </si>
  <si>
    <t>SM-O-RPP-Agente-Regularizacion-Pago</t>
  </si>
  <si>
    <t>SM-O-RPP-Agente-Pago-TotalMes1</t>
  </si>
  <si>
    <t>SM-O-RPP-Agente-Pago-TotalMes2</t>
  </si>
  <si>
    <t>SM-O-RPP-Agente-Pago-TotalMes3</t>
  </si>
  <si>
    <t>SM-O-RPP-Agente-APRO-Regularizacion-Mes1</t>
  </si>
  <si>
    <t>SM-O-RPP-Agente-APRO-Regularizacion-Mes2</t>
  </si>
  <si>
    <t>SM-O-RPP-Agente-APRO-Regularizacion-Mes3</t>
  </si>
  <si>
    <t>SM - Primas Agente Total Productos Anual</t>
  </si>
  <si>
    <t>SM-O-GEN-Agente-Prima-998-TotalAnual</t>
  </si>
  <si>
    <t>SM - Nº Pólizas Agente RRTT Anual</t>
  </si>
  <si>
    <t>SM-O-GEN-Agente-NumeroPolizas-001-TotalAnual</t>
  </si>
  <si>
    <t>Version 20220426</t>
  </si>
  <si>
    <t>SM - Nº Asegurados Agente Anual</t>
  </si>
  <si>
    <t>SM-O-GEN-Agente-NumAsegurados-TotalAnual</t>
  </si>
  <si>
    <t>SM - Nº Asegurados Agente Trimestral</t>
  </si>
  <si>
    <t>SM-O-GEN-Agente-NumAsegurados-TotalTrim</t>
  </si>
  <si>
    <t>SM - Nº Pólizas Agente RRTT Trimestral</t>
  </si>
  <si>
    <t>SM-O-GEN-Agente-NumeroPolizas-001-TotalTrim</t>
  </si>
  <si>
    <t>SM - Nº Pólizas Agente Hogar Trimestral</t>
  </si>
  <si>
    <t>SM-O-GEN-Agente-NumeroPolizas-002-TotalTrim</t>
  </si>
  <si>
    <t>SM - Nº Pólizas Agente OCASO Oro Trimestral</t>
  </si>
  <si>
    <t>SM-O-GEN-Agente-NumeroPolizas-007-TotalTrim</t>
  </si>
  <si>
    <t>SM - Nº Pólizas Agente RRPP Trimestral</t>
  </si>
  <si>
    <t>SM-O-GEN-Agente-NumeroPolizas-906-TotalTrim</t>
  </si>
  <si>
    <t>SM - Nº Pólizas Corregidas Agente Total Productos Trimestral</t>
  </si>
  <si>
    <t>SM-O-GEN-Agente-NumeroPolizasCorregidas-998-TotalTrimestre</t>
  </si>
  <si>
    <t>SM-O-GEN-Agente-NumeroPolizasCorregidas-998-TotalTrim</t>
  </si>
  <si>
    <t>Version 20220412</t>
  </si>
  <si>
    <t>SM - Prima Agente Total Productos Trimestral</t>
  </si>
  <si>
    <t>SM-O-GEN-Agente-Prima-998-TotalTrim</t>
  </si>
  <si>
    <t>SM - Nº Pólizas Agente Hogar Anual</t>
  </si>
  <si>
    <t>SM-O-GEN-Agente-NumeroPolizas-002-TotalAnual</t>
  </si>
  <si>
    <t>SM - Nº Pólizas Agente Vida Ahorro Anual</t>
  </si>
  <si>
    <t>SM-O-GEN-Agente-NumeroPolizas-906-TotalAnual</t>
  </si>
  <si>
    <t>SM - Núm Pólizas 998 acumuladas</t>
  </si>
  <si>
    <t>SM - Importe a Regularizar</t>
  </si>
  <si>
    <t>SM - Importe cobrado acumulado</t>
  </si>
  <si>
    <t>SM - Importe Pago regularización</t>
  </si>
  <si>
    <t>SM - Importe Pago Mes1</t>
  </si>
  <si>
    <t>SM-O-RPP-Agente-Pago-Mes1Cuat</t>
  </si>
  <si>
    <t>SM - Importe Pago Mes2</t>
  </si>
  <si>
    <t>SM-O-RPP-Agente-Pago-Mes2Cuat</t>
  </si>
  <si>
    <t>SM - Importe Pago Mes3</t>
  </si>
  <si>
    <t>SM-O-RPP-Agente-Pago-Mes3Cuat</t>
  </si>
  <si>
    <t>SM - Importe Pago Mes4</t>
  </si>
  <si>
    <t>SM-O-RPP-Agente-Pago-Mes4Cuat</t>
  </si>
  <si>
    <t>SM - Importe Pago Regularización Cuatrimestral Mes1</t>
  </si>
  <si>
    <t>SM-O-RPP-Agente-ImporteRegNetaCuat-Mes1</t>
  </si>
  <si>
    <t>SM - Importe Pago Regularización Cuatrimestral Mes2</t>
  </si>
  <si>
    <t>SM-O-RPP-Agente-ImporteRegNetaCuat-Mes2</t>
  </si>
  <si>
    <t>SM - Importe Pago Regularización Cuatrimestral Mes3</t>
  </si>
  <si>
    <t>SM-O-RPP-Agente-ImporteRegNetaCuat-Mes3</t>
  </si>
  <si>
    <t>SM - Importe Pago Regularización Cuatrimestral Mes4</t>
  </si>
  <si>
    <t>SM-O-RPP-Agente-ImporteRegNetaCuat-Mes4</t>
  </si>
  <si>
    <t>SM - Importe Pago Regularización Cuatrimestral Total</t>
  </si>
  <si>
    <t>SM-O-RPP-Agente-ImporteRegNetaCuat</t>
  </si>
  <si>
    <t>SM - Escalado Rappel Regularizacion Trimestral</t>
  </si>
  <si>
    <t>SM-O-RPP-Agente-Importe-RegTrim</t>
  </si>
  <si>
    <t>SM - Total Rappel Abonado Regularizacion Trimestral</t>
  </si>
  <si>
    <t>SM-O-RPP-Agente-TotalPagoRappel-RegTrim</t>
  </si>
  <si>
    <t>SM - Importe Regularizacion Trimestral</t>
  </si>
  <si>
    <t>SM-O-RPP-Agente-ImporteNeto-RegTrim</t>
  </si>
  <si>
    <t>SM - Objetivos Agente General</t>
  </si>
  <si>
    <t>SM-O-RPP-AgenteGeneral-Cumple-Objetivos</t>
  </si>
  <si>
    <t>Version 20210201</t>
  </si>
  <si>
    <t>SM - Objetivos Agentes</t>
  </si>
  <si>
    <t>SM-O-RPP-Agente-Cumple-Objetivos</t>
  </si>
  <si>
    <t>SM - Objetivos Agentes Regularizacion Trimestral</t>
  </si>
  <si>
    <t>SM-O-RPP-Agente-CumpleObjetivos-RegulTrimestral</t>
  </si>
  <si>
    <t>SM - Cumple Llave</t>
  </si>
  <si>
    <t>SM-O-RPP-Agente-Cumple-Llave</t>
  </si>
  <si>
    <t>SM - Categoria Meses</t>
  </si>
  <si>
    <t>SM-O-GEN-Categoria-MesesTotal</t>
  </si>
  <si>
    <t>SM - Bolsa Estabilidad General</t>
  </si>
  <si>
    <t>SM-O-RPP-BolsaFinanciacion-Cumple-Criterios-General</t>
  </si>
  <si>
    <t>Version 20220419</t>
  </si>
  <si>
    <t>SM - Bolsa Estabilidad N1</t>
  </si>
  <si>
    <t>SM-O-RPP-BolsaFinanciacionN1-Cumple-Criterios</t>
  </si>
  <si>
    <t>SM - Bolsa Estabilidad Comodin Hogar</t>
  </si>
  <si>
    <t>SM-O-RPP-BolsaFinanciacion-Estado-Comodin-Hogar</t>
  </si>
  <si>
    <t>SM - Bolsa Estabilidad Comodin Hogar N1</t>
  </si>
  <si>
    <t>SM-O-RPP-BolsaFinanciacionN1-Estado-Comodin-Hogar</t>
  </si>
  <si>
    <t>SM - Bolsa Estabilidad Devolucion Hogar</t>
  </si>
  <si>
    <t>SM-O-BolsaFinanciacion-N2-Devolucion-Hogar</t>
  </si>
  <si>
    <t>SM - Bolsa Estabilidad Devolucion Hogar N1</t>
  </si>
  <si>
    <t>SM-O-RPP-BolsaFinanciacionN1-Devolucion-Hogar</t>
  </si>
  <si>
    <t>SM - Bolsa Estabilidad Comodin RRTT</t>
  </si>
  <si>
    <t>SM-O-RPP-BolsaFinanciacion-Estado-Comodin-RRTT-Combinado</t>
  </si>
  <si>
    <t>SM - Bolsa Estabilidad Comodin Asegurados N1</t>
  </si>
  <si>
    <t>SM-O-RPP-BolsaFinanciacionN1-Estado-Comodin-Asegurados</t>
  </si>
  <si>
    <t>SM - Bolsa Estabilidad Devolucion RRTT</t>
  </si>
  <si>
    <t>SM-O-BolsaFinanciacion-N2-Devolucion-RRTT-Combinado</t>
  </si>
  <si>
    <t>SM - Bolsa Estabilidad Devolucion Asegurados N1</t>
  </si>
  <si>
    <t>SM-O-RPP-BolsaFinanciacionN1-Devolucion-Asegurados</t>
  </si>
  <si>
    <t>DC - Primas</t>
  </si>
  <si>
    <t>DC-O-GEN-Agente-Prima-998</t>
  </si>
  <si>
    <t>DC - Pólizas</t>
  </si>
  <si>
    <t>DC-O-GEN-Agente-NumeroPolizas-998</t>
  </si>
  <si>
    <t>DC - Recuperaciones</t>
  </si>
  <si>
    <t>DC-O-GEN-Agente-NumeroPolizas-998-Recup</t>
  </si>
  <si>
    <t>DC - Renovaciones</t>
  </si>
  <si>
    <t>DC-O-GEN-Agente-NumeroPolizas-998-Renov</t>
  </si>
  <si>
    <t>DC - Nº Asegurados Agente</t>
  </si>
  <si>
    <t>DC-O-GEN-Agente-NumAsegurados</t>
  </si>
  <si>
    <t>Detalle Mensual</t>
  </si>
  <si>
    <t>Total Mensual</t>
  </si>
  <si>
    <t>PM-O-DIF-Inspector-PrimaCorregida-004-y-NoPrioritarios</t>
  </si>
  <si>
    <t>PM-O-DIF-Inspector-PrimaCorregida-Prioritarios-Sin-VidaAhorro</t>
  </si>
  <si>
    <t>SM-O-DIF-Inspector-NumeroPolizas-998-TotalMes</t>
  </si>
  <si>
    <t>SM-O-DIF-Inspector-PrimaCorregida-998-TotalMes</t>
  </si>
  <si>
    <t>SM-O-DIF-Inspector-PrimaCorregida-004-y-NoPrioritarios-TotalMes</t>
  </si>
  <si>
    <t>SM-O-DIF-Inspector-PrimaCorregida-Prioritarios-Sin-VidaAhorro-TotalMes</t>
  </si>
  <si>
    <t>Total Mensual - CT</t>
  </si>
  <si>
    <t>SM-O-CT-Inspector-PagoMensual</t>
  </si>
  <si>
    <t>I-O-DIF-Inspector-ImporteMensual-004-y-NoPrioritarios-RRTT</t>
  </si>
  <si>
    <t>I-O-DIF-Inspector-ImporteMensual-004-y-NoPrioritarios-RRGG</t>
  </si>
  <si>
    <t>I-O-DIF-Inspector-ImporteMensual-Prioritarios-Sin-VidaAhorro-RRTT</t>
  </si>
  <si>
    <t>I-O-DIF-Inspector-ImporteMensual-Prioritarios-Sin-VidaAhorro-RRGG</t>
  </si>
  <si>
    <t>Objetivos Anuales</t>
  </si>
  <si>
    <t>SM-O-DIF-Inspector-Regularizacion-Objetivos-Polizas</t>
  </si>
  <si>
    <t>SM-O-DIF-Inspector-Regularizacion-Objetivos-Primas</t>
  </si>
  <si>
    <t>Total Anual</t>
  </si>
  <si>
    <t>SM-O-DIF-Inspector-NumeroPolizas-998-TotalAnual</t>
  </si>
  <si>
    <t>SM-O-DIF-Inspector-PrimaCorregida-998-TotalAnual</t>
  </si>
  <si>
    <t>Pago Anual</t>
  </si>
  <si>
    <t>I-O-DIF-Inspector-Pago-004-y-NoPrioritarios-RRTT-TotalAnual</t>
  </si>
  <si>
    <t>I-O-DIF-Inspector-Pago-004-y-NoPrioritarios-RRGG-TotalAnual</t>
  </si>
  <si>
    <t>I-O-DIF-Inspector-Pago-Prioritarios-Sin-VidaAhorro-RRTT-TotalAnual</t>
  </si>
  <si>
    <t>I-O-DIF-Inspector-Pago-Prioritarios-Sin-VidaAhorro-RRGG-TotalAnual</t>
  </si>
  <si>
    <t>Regularizacion Anual</t>
  </si>
  <si>
    <t>I-O-DIF-Inspector-Reg-004-y-NoPrioritarios-RRTT</t>
  </si>
  <si>
    <t>I-O-DIF-Inspector-Reg-004-y-NoPrioritarios-RRGG</t>
  </si>
  <si>
    <t>I-O-DIF-Inspector-Reg-Prioritarios-Sin-VidaAhorro-RRTT</t>
  </si>
  <si>
    <t>I-O-DIF-Inspector-Reg-Prioritarios-Sin-VidaAhorro-RRGG</t>
  </si>
  <si>
    <t>Pago Regularizacion Anual</t>
  </si>
  <si>
    <t>I-O-DIF-Inspector-PagoReg-004-y-NoPrioritarios-RRGG</t>
  </si>
  <si>
    <t>I-O-DIF-Inspector-PagoReg-004-y-NoPrioritarios-RRTT</t>
  </si>
  <si>
    <t>I-O-DIF-Inspector-PagoReg-Prioritarios-Sin-VidaAhorro-RRGG</t>
  </si>
  <si>
    <t>I-O-DIF-Inspector-PagoReg-Prioritarios-Sin-VidaAhorro-RRTT</t>
  </si>
  <si>
    <t>Prima Neta Corregida</t>
  </si>
  <si>
    <t>DC-O-GEN-Inspector-PrimaCorregida-004</t>
  </si>
  <si>
    <t>IC-O-GEN-Inspector-PrimaCorregida-004</t>
  </si>
  <si>
    <t>Total Ramos</t>
  </si>
  <si>
    <t>PM-O-GEN-Inspector-NumeroPolizas-997</t>
  </si>
  <si>
    <t>PM-O-GEN-Inspector-NumeroPolizas-997-Agentes</t>
  </si>
  <si>
    <t>PM-O-GEN-Inspector-NumeroPolizas-008</t>
  </si>
  <si>
    <t>PM-O-GEN-Inspector-NumeroPolizas-008-Agentes</t>
  </si>
  <si>
    <t>PM-O-GEN-Inspector-PrimaCorregida-997</t>
  </si>
  <si>
    <t>PM-O-GEN-Inspector-PrimaCorregida-997-Agentes</t>
  </si>
  <si>
    <t>PM-O-GEN-Inspector-PrimaCorregida-001</t>
  </si>
  <si>
    <t>PM-O-GEN-Inspector-PrimaCorregida-001-Agentes</t>
  </si>
  <si>
    <t>PM-O-GEN-Inspector-PrimaCorregida-002</t>
  </si>
  <si>
    <t>PM-O-GEN-Inspector-PrimaCorregida-002-Agentes</t>
  </si>
  <si>
    <t>PM-O-GEN-Inspector-PrimaCorregida-003</t>
  </si>
  <si>
    <t>PM-O-GEN-Inspector-PrimaCorregida-003-Agentes</t>
  </si>
  <si>
    <t>PM-O-GEN-Inspector-PrimaCorregida-004</t>
  </si>
  <si>
    <t>PM-O-GEN-Inspector-PrimaCorregida-004-Agentes</t>
  </si>
  <si>
    <t>PM-O-GEN-Inspector-PrimaCorregida-005</t>
  </si>
  <si>
    <t>PM-O-GEN-Inspector-PrimaCorregida-005-Agentes</t>
  </si>
  <si>
    <t>PM-O-GEN-Inspector-PrimaCorregida-006</t>
  </si>
  <si>
    <t>PM-O-GEN-Inspector-PrimaCorregida-006-Agentes</t>
  </si>
  <si>
    <t>PM-O-GEN-Inspector-PrimaCorregida-007</t>
  </si>
  <si>
    <t>PM-O-GEN-Inspector-PrimaCorregida-007-Agentes</t>
  </si>
  <si>
    <t>PM-O-GEN-Inspector-PrimaCorregida-008</t>
  </si>
  <si>
    <t>PM-O-GEN-Inspector-PrimaCorregida-008-Agentes</t>
  </si>
  <si>
    <t>PM-O-GEN-Inspector-PrimaCorregida-009</t>
  </si>
  <si>
    <t>PM-O-GEN-Inspector-PrimaCorregida-009-Agentes</t>
  </si>
  <si>
    <t>SM-O-GEN-Inspector-NumeroPolizas-001-TotalAnual</t>
  </si>
  <si>
    <t>SM-O-GEN-Inspector-NumeroPolizas-002-TotalAnual</t>
  </si>
  <si>
    <t>SM - Nº Pólizas Inspector Vida Riesgo Anual</t>
  </si>
  <si>
    <t>SM-O-GEN-Inspector-NumeroPolizas-003-TotalAnual</t>
  </si>
  <si>
    <t>SM - Nº Pólizas Inspector Vida Ahorro Anual</t>
  </si>
  <si>
    <t>SM-O-GEN-Inspector-NumeroPolizas-004-TotalAnual</t>
  </si>
  <si>
    <t>SM - Nº Pólizas Inspector Accidentes Anual</t>
  </si>
  <si>
    <t>SM-O-GEN-Inspector-NumeroPolizas-005-TotalAnual</t>
  </si>
  <si>
    <t>SM - Nº Pólizas Inspector Resto Productos Anual</t>
  </si>
  <si>
    <t>SM-O-GEN-Inspector-NumeroPolizas-006-TotalAnual</t>
  </si>
  <si>
    <t>SM - Nº Pólizas Inspector Comunidades Anual</t>
  </si>
  <si>
    <t>SM-O-GEN-Inspector-NumeroPolizas-008-TotalAnual</t>
  </si>
  <si>
    <t>SM - Nº Pólizas Inspector Ocaso Oro Anual</t>
  </si>
  <si>
    <t>SM-O-GEN-Inspector-NumeroPolizas-009-TotalAnual</t>
  </si>
  <si>
    <t>SM-O-GEN-Inspector-NumeroPolizas-906-TotalAnual</t>
  </si>
  <si>
    <t>SM - Nº Pólizas Inspector Prod. Prioritarios Anual</t>
  </si>
  <si>
    <t>SM-O-GEN-Inspector-NumeroPolizas-997-TotalAnual</t>
  </si>
  <si>
    <t>SM-O-GEN-Inspector-NumeroPolizas-998-TotalAnual</t>
  </si>
  <si>
    <t>SM - Prima Corregida Inspector RRTT Anual</t>
  </si>
  <si>
    <t>SM-O-GEN-Inspector-PrimaCorregida-001-TotalAnual</t>
  </si>
  <si>
    <t>SM - Prima Corregida Inspector Hogar Anual</t>
  </si>
  <si>
    <t>SM-O-GEN-Inspector-PrimaCorregida-002-TotalAnual</t>
  </si>
  <si>
    <t>SM - Prima Corregida Inspector Vida Riesgo Anual</t>
  </si>
  <si>
    <t>SM-O-GEN-Inspector-PrimaCorregida-003-TotalAnual</t>
  </si>
  <si>
    <t>SM - Prima Corregida Inspector Vida Ahorro Anual</t>
  </si>
  <si>
    <t>SM-O-GEN-Inspector-PrimaCorregida-004-TotalAnual</t>
  </si>
  <si>
    <t>SM - Prima Corregida Inspector Accidentes Anual</t>
  </si>
  <si>
    <t>SM-O-GEN-Inspector-PrimaCorregida-005-TotalAnual</t>
  </si>
  <si>
    <t>SM - Prima Corregida Inspector Resto Productos Anual</t>
  </si>
  <si>
    <t>SM-O-GEN-Inspector-PrimaCorregida-006-TotalAnual</t>
  </si>
  <si>
    <t>Resumen Anual</t>
  </si>
  <si>
    <t>SM-O-GEN-Inspector-PrimaCorregida-007-TotalAnual</t>
  </si>
  <si>
    <t>SM - Prima Corregida Inspector Comunidades Anual</t>
  </si>
  <si>
    <t>SM-O-GEN-Inspector-PrimaCorregida-008-TotalAnual</t>
  </si>
  <si>
    <t>SM - Prima Corregida Inspector OCASO Oro Anual</t>
  </si>
  <si>
    <t>SM-O-GEN-Inspector-PrimaCorregida-009-TotalAnual</t>
  </si>
  <si>
    <t>SM - Prima Corregida Inspector RRPP (excl PU y conv/colec) Anual</t>
  </si>
  <si>
    <t>SM-O-GEN-Inspector-PrimaCorregida-906-TotalAnual</t>
  </si>
  <si>
    <t>SM - Prima Corregida Inspector Prod. Prioritarios Anual</t>
  </si>
  <si>
    <t>SM-O-GEN-Inspector-PrimaCorregida-997-TotalAnual</t>
  </si>
  <si>
    <t>SM-O-GEN-Inspector-PrimaCorregida-998-TotalAnual</t>
  </si>
  <si>
    <t>SM-O-GEN-Inspector-PrimaCorregida-998-TotalAnual-Incr</t>
  </si>
  <si>
    <t>Version 20201229</t>
  </si>
  <si>
    <t>Objetivos</t>
  </si>
  <si>
    <t>SM-O-COLC-Inspector-Objetivo-998-Polizas</t>
  </si>
  <si>
    <t>SM-O-COLC-Inspector-Objetivo-998-Prima</t>
  </si>
  <si>
    <t>SM-O-COLC-Inspector-Objetivo-997-Polizas</t>
  </si>
  <si>
    <t>SM-O-COLC-Inspector-Objetivo-997-Prima</t>
  </si>
  <si>
    <t>Mínimos</t>
  </si>
  <si>
    <t>SM-O-COLC-Inspector-Minimo-Polizas-002</t>
  </si>
  <si>
    <t>SM-O-COLC-Inspector-Minimo-Polizas-008</t>
  </si>
  <si>
    <t>SM-O-COLC-Inspector-Minimo-Polizas-906</t>
  </si>
  <si>
    <t>Objetivos Captacion</t>
  </si>
  <si>
    <t>SM-O-COLC-Inspector-Objetivos-Captacion-Agentes</t>
  </si>
  <si>
    <t>SM-O-COLC-Inspector-Objetivos-Captacion-Agentes-Polizas-998</t>
  </si>
  <si>
    <t>SM-O-COLC-Inspector-Objetivos-Captacion-Agentes-PrimaNeta-998</t>
  </si>
  <si>
    <t>SM-O-COLC-Inspector-Objetivos-Captacion-Penalizacion</t>
  </si>
  <si>
    <t>Captacion Agentes</t>
  </si>
  <si>
    <t>SM-O-COLC-Inspector-Quota-AgentesCaptados</t>
  </si>
  <si>
    <t>SM-O-COLC-Inspector-NumeroPolizas-998-AgentesCaptados-TotalAnual</t>
  </si>
  <si>
    <t>SM-O-COLC-Inspector-PrimaNeta-998-AgentesCaptados-TotalAnual</t>
  </si>
  <si>
    <t>Porcentaje Autofinanciación</t>
  </si>
  <si>
    <t>SM-O-COLC-Inspector-Porcentaje-Autofinanciacion-Prima-001</t>
  </si>
  <si>
    <t>SM-O-COLC-Inspector-Porcentaje-Autofinanciacion-Prima-002</t>
  </si>
  <si>
    <t>SM-O-COLC-Inspector-Porcentaje-Autofinanciacion-Prima-003</t>
  </si>
  <si>
    <t>SM-O-COLC-Inspector-Porcentaje-Autofinanciacion-Prima-004</t>
  </si>
  <si>
    <t>SM-O-COLC-Inspector-Porcentaje-Autofinanciacion-Prima-005</t>
  </si>
  <si>
    <t>SM-O-COLC-Inspector-Porcentaje-Autofinanciacion-Prima-006</t>
  </si>
  <si>
    <t>SM-O-COLC-Inspector-Porcentaje-Autofinanciacion-Prima-007</t>
  </si>
  <si>
    <t>SM-O-COLC-Inspector-Porcentaje-Autofinanciacion-Prima-008</t>
  </si>
  <si>
    <t>SM-O-COLC-Inspector-Porcentaje-Autofinanciacion-Prima-009</t>
  </si>
  <si>
    <t>SM-O-COLC-Inspector-Porcentaje-Autofinanciacion-Polizas-001</t>
  </si>
  <si>
    <t>SM-O-COLC-Inspector-Porcentaje-Autofinanciacion-Polizas-002</t>
  </si>
  <si>
    <t>SM-O-COLC-Inspector-Porcentaje-Autofinanciacion-Polizas-003</t>
  </si>
  <si>
    <t>SM-O-COLC-Inspector-Porcentaje-Autofinanciacion-Polizas-004</t>
  </si>
  <si>
    <t>SM-O-COLC-Inspector-Porcentaje-Autofinanciacion-Polizas-005</t>
  </si>
  <si>
    <t>SM-O-COLC-Inspector-Porcentaje-Autofinanciacion-Polizas-006</t>
  </si>
  <si>
    <t>SM-O-COLC-Inspector-Porcentaje-Autofinanciacion-Polizas-007</t>
  </si>
  <si>
    <t>SM-O-COLC-Inspector-Porcentaje-Autofinanciacion-Polizas-008</t>
  </si>
  <si>
    <t>SM-O-COLC-Inspector-Porcentaje-Autofinanciacion-Polizas-009</t>
  </si>
  <si>
    <t>SM-O-COLC-Inspector-Porcentaje-Autofinanciacion-PrimasPolizas-001</t>
  </si>
  <si>
    <t>SM-O-COLC-Inspector-Porcentaje-Autofinanciacion-PrimasPolizas-002</t>
  </si>
  <si>
    <t>SM-O-COLC-Inspector-Porcentaje-Autofinanciacion-PrimasPolizas-003</t>
  </si>
  <si>
    <t>SM-O-COLC-Inspector-Porcentaje-Autofinanciacion-PrimasPolizas-004</t>
  </si>
  <si>
    <t>SM-O-COLC-Inspector-Porcentaje-Autofinanciacion-PrimasPolizas-005</t>
  </si>
  <si>
    <t>SM-O-COLC-Inspector-Porcentaje-Autofinanciacion-PrimasPolizas-006</t>
  </si>
  <si>
    <t>SM-O-COLC-Inspector-Porcentaje-Autofinanciacion-PrimasPolizas-007</t>
  </si>
  <si>
    <t>SM-O-COLC-Inspector-Porcentaje-Autofinanciacion-PrimasPolizas-008</t>
  </si>
  <si>
    <t>SM-O-COLC-Inspector-Porcentaje-Autofinanciacion-PrimasPolizas-009</t>
  </si>
  <si>
    <t>SM-O-COLC-Inspector-Pago-001</t>
  </si>
  <si>
    <t>SM-O-COLC-Inspector-Pago-002</t>
  </si>
  <si>
    <t>SM-O-COLC-Inspector-Pago-003</t>
  </si>
  <si>
    <t>SM-O-COLC-Inspector-Pago-004</t>
  </si>
  <si>
    <t>SM-O-COLC-Inspector-Pago-005</t>
  </si>
  <si>
    <t>SM-O-COLC-Inspector-Pago-006</t>
  </si>
  <si>
    <t>SM-O-COLC-Inspector-Pago-007</t>
  </si>
  <si>
    <t>SM-O-COLC-Inspector-Pago-008</t>
  </si>
  <si>
    <t>SM-O-COLC-Inspector-Pago-009</t>
  </si>
  <si>
    <t>SM-O-COLC-Inspector-Pago-Total</t>
  </si>
  <si>
    <t>RRPP</t>
  </si>
  <si>
    <t>DC-GEN-NumeroPolizas-906</t>
  </si>
  <si>
    <t>IC-GEN-NumeroPolizas-906</t>
  </si>
  <si>
    <t>Hogar</t>
  </si>
  <si>
    <t>DC-GEN-NumeroPolizas-002</t>
  </si>
  <si>
    <t>IC-GEN-NumeroPolizas-002</t>
  </si>
  <si>
    <t>Prima Vida Ahorro</t>
  </si>
  <si>
    <t>Comunidades</t>
  </si>
  <si>
    <t>DC-O-GEN-Inspector-NumeroPolizas-008</t>
  </si>
  <si>
    <t>IC-O-GEN-Inspector-NumeroPolizas-008</t>
  </si>
  <si>
    <t>Prima RRTT</t>
  </si>
  <si>
    <t>DC-O-GEN-Inspector-PrimaCorregida-001</t>
  </si>
  <si>
    <t>IC-O-GEN-Inspector-PrimaCorregida-001</t>
  </si>
  <si>
    <t>Prima Hogar</t>
  </si>
  <si>
    <t>DC-O-GEN-Inspector-PrimaCorregida-002</t>
  </si>
  <si>
    <t>IC-O-GEN-Inspector-PrimaCorregida-002</t>
  </si>
  <si>
    <t>Prima Vida Riesgo</t>
  </si>
  <si>
    <t>DC-O-GEN-Inspector-PrimaCorregida-003</t>
  </si>
  <si>
    <t>IC-O-GEN-Inspector-PrimaCorregida-003</t>
  </si>
  <si>
    <t>Prima Accidentes</t>
  </si>
  <si>
    <t>DC-O-GEN-Inspector-PrimaCorregida-005</t>
  </si>
  <si>
    <t>IC-O-GEN-Inspector-PrimaCorregida-005</t>
  </si>
  <si>
    <t>Prima Resto Productos</t>
  </si>
  <si>
    <t>DC-O-GEN-Inspector-PrimaCorregida-006</t>
  </si>
  <si>
    <t>IC-O-GEN-Inspector-PrimaCorregida-006</t>
  </si>
  <si>
    <t>Prima OCASO-ORO</t>
  </si>
  <si>
    <t>DC-O-GEN-Inspector-PrimaCorregida-007</t>
  </si>
  <si>
    <t>IC-O-GEN-Inspector-PrimaCorregida-007</t>
  </si>
  <si>
    <t>Prima Comunidades</t>
  </si>
  <si>
    <t>DC-O-GEN-Inspector-PrimaCorregida-008</t>
  </si>
  <si>
    <t>IC-O-GEN-Inspector-PrimaCorregida-008</t>
  </si>
  <si>
    <t>Prima PYME EXPRESS</t>
  </si>
  <si>
    <t>DC-O-GEN-Inspector-PrimaCorregida-009</t>
  </si>
  <si>
    <t>IC-O-GEN-Inspector-PrimaCorregida-009</t>
  </si>
  <si>
    <t>SM-O-GEN-Inspector-PrimaCorregida-998-TotalMes</t>
  </si>
  <si>
    <t>PM-O-RDC-Agente-PrimaCorregida-002</t>
  </si>
  <si>
    <t>PM-O-RDC-Agente-Polizas-002</t>
  </si>
  <si>
    <t>PM-O-RDC-Agente-PolizasCorregidas-002</t>
  </si>
  <si>
    <t>SM - Prima Corregida</t>
  </si>
  <si>
    <t>SM-O-RDC-Agente-PrimaCorregida-002</t>
  </si>
  <si>
    <t>SM - Nº Polizas</t>
  </si>
  <si>
    <t>SM-O-RDC-Agente-Polizas-002</t>
  </si>
  <si>
    <t>SM - Nº Polizas Corregidas</t>
  </si>
  <si>
    <t>SM-O-RDC-Agente-PolizasCorregidas-002</t>
  </si>
  <si>
    <t>SM - Importe Pago</t>
  </si>
  <si>
    <t>SM-O-RDC-Agente-Pago</t>
  </si>
  <si>
    <t>SM - Nº Polizas Corregidas Total Cuatrimestre</t>
  </si>
  <si>
    <t>SM-O-RDC-Agente-PolizasCorregidas-TotalCuatrimestre</t>
  </si>
  <si>
    <t>Version 20180807</t>
  </si>
  <si>
    <t>SM - Importe Pagado Total Cuatrimestre</t>
  </si>
  <si>
    <t>SM-O-RDC-ImportePagadoCuatrim</t>
  </si>
  <si>
    <t>SM - Objetivo Importe Pago Total Cuatrimestre</t>
  </si>
  <si>
    <t>SM-O-RDC-ImportePagoCuatrim</t>
  </si>
  <si>
    <t>SM - Importe Pago Final Total Cuatrimestre</t>
  </si>
  <si>
    <t>SM-O-RDC-ImportePagoCuatrim-Final</t>
  </si>
  <si>
    <t>DC-O-RDC-Agente-PrimaCorregida-002</t>
  </si>
  <si>
    <t>Polizas Corregidas Hogar</t>
  </si>
  <si>
    <t>DC-O-RDC-Agente-Polizas-002</t>
  </si>
  <si>
    <t>Polizas Hogar</t>
  </si>
  <si>
    <t>DC-O-RDC-Agente-PolizasCorregidas-002</t>
  </si>
  <si>
    <t>Resumen Acumulado Anual</t>
  </si>
  <si>
    <t>SM-O-IPP-Agente-NumeroPolizas-998-Preplan-AcumuladoAnual</t>
  </si>
  <si>
    <t>SM-O-IPP-Agente-NumeroPolizas-002-Preplan-AcumuladoAnual</t>
  </si>
  <si>
    <t>SM-O-IPP-Agente-ImportePago</t>
  </si>
  <si>
    <t>INYC_AN_RESUMEN</t>
  </si>
  <si>
    <t>Version 201712</t>
  </si>
  <si>
    <t>SM - Objetivo Anual Pólizas Total Ramos</t>
  </si>
  <si>
    <t>SM - Objetivo Único Anual Primas</t>
  </si>
  <si>
    <t>SM - AN1 No Primer Recibo Mensual</t>
  </si>
  <si>
    <t>SM-O-AN1-Inspector-NumeroPolizas-998-NoPrimerRecibo-TotalMes</t>
  </si>
  <si>
    <t>Version 20190213</t>
  </si>
  <si>
    <t>SM - AN1 Primer Recibo Mensual</t>
  </si>
  <si>
    <t>SM-O-AN1-Inspector-NumeroPolizas-998-PrimerRecibo-TotalMes</t>
  </si>
  <si>
    <t>SM - AN1 Produccion Mensual</t>
  </si>
  <si>
    <t>SM-O-AN1-Inspector-NumeroPolizas-998-Produccion-TotalMes</t>
  </si>
  <si>
    <t>SM - AN1 Anulaciones Mensual</t>
  </si>
  <si>
    <t>SM-O-AN1-Inspector-NumeroPolizas-998-Anulaciones-TotalMes</t>
  </si>
  <si>
    <t>SM - AN1 No Primer Recibo Acumulado</t>
  </si>
  <si>
    <t>SM-O-AN1-Inspector-NumeroPolizas-998-NoPrimerRecibo-Acumulado</t>
  </si>
  <si>
    <t>SM - AN1 Primer Recibo Acumulado</t>
  </si>
  <si>
    <t>SM-O-AN1-Inspector-NumeroPolizas-998-PrimerRecibo-Acumulado</t>
  </si>
  <si>
    <t>SM - AN1 Anulaciones Acumulado</t>
  </si>
  <si>
    <t>SM-O-AN1-Inspector-NumeroPolizas-998-Anulaciones-Acumulado</t>
  </si>
  <si>
    <t>I - AN1 Pago Anulaciones</t>
  </si>
  <si>
    <t>I-O-AN1-Inspector-Pago-Anulaciones</t>
  </si>
  <si>
    <t>SM - AN2 Anulaciones Bloque1 Acumulado</t>
  </si>
  <si>
    <t>SM-O-AN2-Inspector-NumPol-BLOQUE1-Anulacion-Acumulado</t>
  </si>
  <si>
    <t>SM - AN2 Anulaciones Bloque2 Acumulado</t>
  </si>
  <si>
    <t>SM-O-AN2-Inspector-NumPol-BLOQUE2-Anulacion-Acumulado</t>
  </si>
  <si>
    <t>SM - AN2 Producción Bloque1 Año Anterior Acumulado</t>
  </si>
  <si>
    <t>SM-O-AN2-Inspector-BLOQUE1-NumeroPolizasAnioAnterior</t>
  </si>
  <si>
    <t>SM - AN2 Producción Bloque2 Año Anterior Acumulado</t>
  </si>
  <si>
    <t>SM-O-AN2-Inspector-BLOQUE2-NumeroPolizasAnioAnterior</t>
  </si>
  <si>
    <t>SM - AN2 Anulaciones Bloque1 Año Actual Acumulado</t>
  </si>
  <si>
    <t>SM-O-AN2-Inspector-NumPol-BLOQUE1-Anulaciones2-Acumulado</t>
  </si>
  <si>
    <t>SM - AN2 Anulaciones Bloque2 Año Actual Acumulado</t>
  </si>
  <si>
    <t>SM-O-AN2-Inspector-NumPol-BLOQUE2-Anulaciones2-Acumulado</t>
  </si>
  <si>
    <t>SM - AN2 No Primer Recibo Bloque1 Año Actual Acumulado</t>
  </si>
  <si>
    <t>SM-O-AN2-Inspector-NumPol-BLOQUE1-NoPrimerRecibo2-Acumulado</t>
  </si>
  <si>
    <t>SM - AN2 No Primer Recibo Bloque2 Año Actual Acumulado</t>
  </si>
  <si>
    <t>SM-O-AN2-Inspector-NumPol-BLOQUE2-NoPrimerRecibo2-Acumulado</t>
  </si>
  <si>
    <t>SM - AN2 Anulaciones Bloque1 Mensual</t>
  </si>
  <si>
    <t>SM-O-AN2-Inspector-NumPol-BLOQUE1-Anulacion-TotalMes</t>
  </si>
  <si>
    <t>SM - AN2 Anulaciones Bloque2 Mensual</t>
  </si>
  <si>
    <t>SM-O-AN2-Inspector-NumPol-BLOQUE2-Anulacion-TotalMes</t>
  </si>
  <si>
    <t>SM - AN2 Anulaciones Bloque1 Año Anterior Mensual</t>
  </si>
  <si>
    <t>SM-O-AN2-Inspector-NumPol-BLOQUE1-Anulaciones-TotalMes-AnioAnterior</t>
  </si>
  <si>
    <t>SM - AN2 Anulaciones Bloque2 Año Anterior Mensual</t>
  </si>
  <si>
    <t>SM-O-AN2-Inspector-NumPol-BLOQUE2-Anulaciones-TotalMes-AnioAnterior</t>
  </si>
  <si>
    <t>SM - AN2 Anulaciones Bloque1 Año Actual Mensual</t>
  </si>
  <si>
    <t>SM-O-AN2-Inspector-NumPol-BLOQUE1-Anulaciones-TotalMes</t>
  </si>
  <si>
    <t>SM - AN2 Anulaciones Bloque2 Año Actual Mensual</t>
  </si>
  <si>
    <t>SM-O-AN2-Inspector-NumPol-BLOQUE2-Anulaciones-TotalMes</t>
  </si>
  <si>
    <t>SM - AN2 No Primer Recibo Bloque1 Año Anterior Mensual</t>
  </si>
  <si>
    <t>SM-O-AN2-Inspector-NumPol-BLOQUE1-NoPrimerRecibo-TotalMes-AnioAnterior</t>
  </si>
  <si>
    <t>SM - AN2 No Primer Recibo Bloque2 Año Anterior Mensual</t>
  </si>
  <si>
    <t>SM-O-AN2-Inspector-NumPol-BLOQUE2-NoPrimerRecibo-TotalMes-AnioAnterior</t>
  </si>
  <si>
    <t>SM - AN2 Primer Recibo Bloque1 Año Anterior Mensual</t>
  </si>
  <si>
    <t>SM-O-AN2-Inspector-NumPol-BLOQUE1-PrimerRecibo-TotalMes-AnioAnterior</t>
  </si>
  <si>
    <t>SM - AN2 Primer Recibo Bloque2 Año Anterior Mensual</t>
  </si>
  <si>
    <t>SM-O-AN2-Inspector-NumPol-BLOQUE2-PrimerRecibo-TotalMes-AnioAnterior</t>
  </si>
  <si>
    <t>SM - AN2 Produccion Bloque1 Año Anterior Mensual</t>
  </si>
  <si>
    <t>SM-O-AN2-Inspector-NumPol-BLOQUE1-Produccion-TotalMes-AnioAnterior</t>
  </si>
  <si>
    <t>SM - AN2 Produccion Bloque2 Año Anterior Mensual</t>
  </si>
  <si>
    <t>SM-O-AN2-Inspector-NumPol-BLOQUE2-Produccion-TotalMes-AnioAnterior</t>
  </si>
  <si>
    <t>SM-O-AN2-Inspector-NumPol-BLOQUE1-Anulaciones2-TotalMes</t>
  </si>
  <si>
    <t>SM-O-AN2-Inspector-NumPol-BLOQUE2-Anulaciones2-TotalMes</t>
  </si>
  <si>
    <t>SM - AN2 No Primer Recibo Bloque1 Año Actual Mensual</t>
  </si>
  <si>
    <t>SM-O-AN2-Inspector-NumPol-BLOQUE1-NoPrimerRecibo2-TotalMes</t>
  </si>
  <si>
    <t>SM - AN2 No Primer Recibo Bloque2 Año Actual Mensual</t>
  </si>
  <si>
    <t>SM-O-AN2-Inspector-NumPol-BLOQUE2-NoPrimerRecibo2-TotalMes</t>
  </si>
  <si>
    <t>I - AN2 Pago Anulaciones Bloque1</t>
  </si>
  <si>
    <t>I-O-AN2-Inspector-BLOQUE1-Pago-Anulaciones</t>
  </si>
  <si>
    <t>I - AN2 Pago Anulaciones Bloque2</t>
  </si>
  <si>
    <t>I-O-AN2-Inspector-BLOQUE2-Pago-Anulaciones</t>
  </si>
  <si>
    <t>INYC_AN_DETALLE</t>
  </si>
  <si>
    <t>Anulaciones</t>
  </si>
  <si>
    <t>DC-O-AN1-Inspector-NumeroPolizas-998-PrimerRecibo</t>
  </si>
  <si>
    <t>IC-O-AN1-Inspector-NumeroPolizas-998-PrimerRecibo</t>
  </si>
  <si>
    <t>DC-O-AN1-Inspector-NumeroPolizas-998-Produccion</t>
  </si>
  <si>
    <t>IC-O-AN1-Inspector-NumeroPolizas-998-Produccion</t>
  </si>
  <si>
    <t>DC-O-AN1-Inspector-NumeroPolizas-998-NoPrimerRecibo</t>
  </si>
  <si>
    <t>IC-O-AN1-Inspector-NumeroPolizas-998-NoPrimerRecibo</t>
  </si>
  <si>
    <t>DC-O-AN1-Inspector-NumeroPolizas-998-Anulaciones</t>
  </si>
  <si>
    <t>IC-O-AN1-Inspector-NumeroPolizas-998-Anulaciones</t>
  </si>
  <si>
    <t>DC-O-AN2-Inspector-NumPol-BLOQUE1-PrimerRecibo</t>
  </si>
  <si>
    <t>IC-O-AN2-Inspector-NumPol-BLOQUE1-PrimerRecibo</t>
  </si>
  <si>
    <t>DC-O-AN2-Inspector-NumPol-BLOQUE1-Produccion</t>
  </si>
  <si>
    <t>IC-O-AN2-Inspector-NumPol-BLOQUE1-Produccion</t>
  </si>
  <si>
    <t>DC-O-AN2-Inspector-NumPol-BLOQUE1-NoPrimerRecibo</t>
  </si>
  <si>
    <t>IC-O-AN2-Inspector-NumPol-BLOQUE1-NoPrimerRecibo</t>
  </si>
  <si>
    <t>DC-O-AN2-Inspector-NumPol-BLOQUE1-Anulaciones</t>
  </si>
  <si>
    <t>IC-O-AN2-Inspector-NumPol-BLOQUE1-Anulaciones</t>
  </si>
  <si>
    <t>DC-O-AN2-Inspector-NumPol-BLOQUE1-Anulacion</t>
  </si>
  <si>
    <t>IC-O-AN2-Inspector-NumPol-BLOQUE1-Anulacion</t>
  </si>
  <si>
    <t>IC-O-AN2-Inspector-NumPol-BLOQUE1-Rehabilitacion</t>
  </si>
  <si>
    <t>DC-O-AN2-Inspector-NumPol-BLOQUE2-PrimerRecibo</t>
  </si>
  <si>
    <t>IC-O-AN2-Inspector-NumPol-BLOQUE2-PrimerRecibo</t>
  </si>
  <si>
    <t>DC-O-AN2-Inspector-NumPol-BLOQUE2-Produccion</t>
  </si>
  <si>
    <t>IC-O-AN2-Inspector-NumPol-BLOQUE2-Produccion</t>
  </si>
  <si>
    <t>DC-O-AN2-Inspector-NumPol-BLOQUE2-Anulaciones</t>
  </si>
  <si>
    <t>IC-O-AN2-Inspector-NumPol-BLOQUE2-Anulaciones</t>
  </si>
  <si>
    <t>DC-O-AN2-Inspector-NumPol-BLOQUE2-Anulacion</t>
  </si>
  <si>
    <t>IC-O-AN2-Inspector-NumPol-BLOQUE2-Anulacion</t>
  </si>
  <si>
    <t>IC-O-AN2-Inspector-NumPol-BLOQUE2-Rehabilitacion</t>
  </si>
  <si>
    <t>PM-E-DIF-Inspector-Importe-RRTT</t>
  </si>
  <si>
    <t>PM-E-DIF-Inspector-Importe-RRGG</t>
  </si>
  <si>
    <t>PM-E-DIF-Inspector-Importe-Agentes-RRTT</t>
  </si>
  <si>
    <t>PM-E-DIF-Inspector-Importe-Agentes-RRGG</t>
  </si>
  <si>
    <t>SM-E-DIF-Inspector-PagoMensual</t>
  </si>
  <si>
    <t>I-E-DIF-Inspector-PagoMensual-RRTT</t>
  </si>
  <si>
    <t>I-E-DIF-Inspector-PagoMensual-RRGG</t>
  </si>
  <si>
    <t>Diferenciales Eterna</t>
  </si>
  <si>
    <t>SM - Nº Pólizas Inspector Total Productos Acumulado</t>
  </si>
  <si>
    <t>SM-O-GEN-Inspector-NumeroPolizas-998-TotalAcum</t>
  </si>
  <si>
    <t>Version 20180312</t>
  </si>
  <si>
    <t>PM - Nº Pólizas Corregidas Inspector Total Productos</t>
  </si>
  <si>
    <t>Version 20180314</t>
  </si>
  <si>
    <t>Resumen Trimestral</t>
  </si>
  <si>
    <t>SM-O-PP-Inspector-Extorno</t>
  </si>
  <si>
    <t>SM - Meses como Inspector</t>
  </si>
  <si>
    <t>SM-O-PP-Inspector-Meses</t>
  </si>
  <si>
    <t>Version 20200805</t>
  </si>
  <si>
    <t>SM-O-RIN-Agente-Prima-998-AcumuladoAnual</t>
  </si>
  <si>
    <t>SM-O-RIN-Agente-Prima-997-AcumuladoAnual</t>
  </si>
  <si>
    <t>SM-O-RIN-Agente-Prima-998-AcumuladoAnual-AnioAnterior</t>
  </si>
  <si>
    <t>Version 20180918</t>
  </si>
  <si>
    <t>SM-O-RIN-Agente-Prima-997-AcumuladoAnual-AnioAnterior</t>
  </si>
  <si>
    <t>SM-O-RIN-Agente-NumeroPolizas-998-AcumuladoAnual</t>
  </si>
  <si>
    <t>SM-O-RIN-Agente-NumeroPolizas-997-AcumuladoAnual</t>
  </si>
  <si>
    <t>SM-O-RIN-Agente-TasaSiniestralidad</t>
  </si>
  <si>
    <t>SM-O-RIN-Agente-Prima-998-Incremento</t>
  </si>
  <si>
    <t>SM-O-RIN-Agente-Prima-997-Incremento</t>
  </si>
  <si>
    <t>SM-O-RIN-Agente-NumeroPolizas-998-Incremento</t>
  </si>
  <si>
    <t>SM-O-RIN-Agente-NumeroPolizas-997-Incremento</t>
  </si>
  <si>
    <t>SM-O-RIN-Agente-APRO-Porcentaje-998</t>
  </si>
  <si>
    <t>SM-O-RIN-Agente-APRO-Pago</t>
  </si>
  <si>
    <t>SM-O-RIN-Agente-PlanCarrera-Porcentaje-998</t>
  </si>
  <si>
    <t>SM-O-RIN-Agente-PlanCarrera-Pago</t>
  </si>
  <si>
    <t>SM-O-RIN-Agente-APRO-IncrementoPolizas-Pago</t>
  </si>
  <si>
    <t>SM-O-GEN-Agente-Prima-998-TotalMes</t>
  </si>
  <si>
    <t>SM - Nº Pólizas Agente Total Productos Mensual</t>
  </si>
  <si>
    <t>SM-O-FIN-Agente-MinimoGarantizado</t>
  </si>
  <si>
    <t>SM - Importe Agente Total Comisiones</t>
  </si>
  <si>
    <t>SM-O-GEN-Agente-Total-Comisiones</t>
  </si>
  <si>
    <t>SM-E-GEN-Agente-Total-Comisiones</t>
  </si>
  <si>
    <t>SM-O-FIN-Agente-Pago</t>
  </si>
  <si>
    <t>SM-O-GEN-Inspector-NumeroPolizas-002-TotalMes</t>
  </si>
  <si>
    <t>SM - Objetivo Nº Pólizas Hogar</t>
  </si>
  <si>
    <t>SM-O-REH-Inspector-Objetivo-NumeroPolizas</t>
  </si>
  <si>
    <t>SM - Prima Anualizada Inspector Hogar Trimestral</t>
  </si>
  <si>
    <t>SM-O-GEN-Inspector-PrimaAnual-002-Trim</t>
  </si>
  <si>
    <t>SM-O-GEN-Inspector-Prima-002-TotalAnual</t>
  </si>
  <si>
    <t>SM - Objetivo Prima Anualizada Hogar</t>
  </si>
  <si>
    <t>SM-O-REH-Inspector-Objetivo-PrimaAnualizada</t>
  </si>
  <si>
    <t>Version 20180326</t>
  </si>
  <si>
    <t>SM - Pago Mensual Hogar</t>
  </si>
  <si>
    <t>SM-O-REH-Inspector-Pago</t>
  </si>
  <si>
    <t>SM-O-GEN-Inspector-NumeroPolizas-906-TotalMes</t>
  </si>
  <si>
    <t>SM - Objetivo Nº Pólizas RRPP</t>
  </si>
  <si>
    <t>SM-O-REP-Inspector-Objetivo-NumeroPolizas</t>
  </si>
  <si>
    <t>SM - Prima Anualizada Inspector RRPP Trimestral</t>
  </si>
  <si>
    <t>SM-O-GEN-Inspector-PrimaAnual-906-Trim</t>
  </si>
  <si>
    <t>Version 20180508</t>
  </si>
  <si>
    <t>SM-O-GEN-Inspector-Prima-906-TotalAnual</t>
  </si>
  <si>
    <t>SM-O-REP-Inspector-Objetivo-PrimaAnualizada</t>
  </si>
  <si>
    <t>SM - Pago Mensual RRPP</t>
  </si>
  <si>
    <t>SM-O-REP-Inspector-PagoMensual</t>
  </si>
  <si>
    <t>SM-O-REP-Inspector-Pago</t>
  </si>
  <si>
    <t>SM-O-GEN-Inspector-NumeroPolizas-001-TotalMes</t>
  </si>
  <si>
    <t>Version 20210324</t>
  </si>
  <si>
    <t>SM - Objetivo Nº Pólizas RRTT</t>
  </si>
  <si>
    <t>SM-O-RETT-Inspector-Objetivo-NumeroPolizas</t>
  </si>
  <si>
    <t>SM - Pago Mensual RRTT</t>
  </si>
  <si>
    <t>SM-O-RETT-Inspector-PagoMensual</t>
  </si>
  <si>
    <t>SM-O-RETT-Inspector-Pago</t>
  </si>
  <si>
    <t>PM - Nº Pólizas Propias Hogar</t>
  </si>
  <si>
    <t>PM - Nº Pólizas Resto Agentes Hogar</t>
  </si>
  <si>
    <t>PM - Primas Anualizadas Hogar</t>
  </si>
  <si>
    <t>PM-O-GEN-Inspector-PrimaAnual-002</t>
  </si>
  <si>
    <t>PM - Nº Pólizas Propias RRPP</t>
  </si>
  <si>
    <t>PM-O-GEN-Inspector-NumeroPolizas-906</t>
  </si>
  <si>
    <t>PM - Nº Pólizas Resto Agentes RRPP</t>
  </si>
  <si>
    <t>PM-O-GEN-Inspector-NumeroPolizas-906-Agentes</t>
  </si>
  <si>
    <t>PM - Primas Anulaizadas RRPP</t>
  </si>
  <si>
    <t>PM-O-GEN-Inspector-PrimaAnual-906</t>
  </si>
  <si>
    <t>PM - Nº Pólizas Propias RRTT</t>
  </si>
  <si>
    <t>PM-O-GEN-Inspector-NumeroPolizas-001</t>
  </si>
  <si>
    <t>PM - Nº Pólizas Resto Agentes RRTT</t>
  </si>
  <si>
    <t>PM-O-GEN-Inspector-NumeroPolizas-001-Agentes</t>
  </si>
  <si>
    <t>Pago Semestral</t>
  </si>
  <si>
    <t>SM-O-COMU-Inspector-NumeroPolizas</t>
  </si>
  <si>
    <t>Version 20180118</t>
  </si>
  <si>
    <t>SM-O-COMU-Inspector-Pago</t>
  </si>
  <si>
    <t>PM - Nº Asistencias</t>
  </si>
  <si>
    <t>PM-O-COM-NumeroAsistencias</t>
  </si>
  <si>
    <t>PM - Importe Asistencias</t>
  </si>
  <si>
    <t>PM-O-COM-Asistencia-Importe</t>
  </si>
  <si>
    <t>SM - Importe Asistencias</t>
  </si>
  <si>
    <t>SM-O-COM-Asistencia-Importe</t>
  </si>
  <si>
    <t>SM - Prima Agente Total Productos Mensual</t>
  </si>
  <si>
    <t>SM - Nº Pólizas Corregidas Agente Total Productos con Resto Mensual</t>
  </si>
  <si>
    <t>SM-O-ARA-NumeroPolizasCorregidas-998-Total-ConResto</t>
  </si>
  <si>
    <t>SM - Importe Pago Rappel Asistencia</t>
  </si>
  <si>
    <t>SM-O-ARA-ImportePago</t>
  </si>
  <si>
    <t>SM - Importe Final Rappel Asistencia</t>
  </si>
  <si>
    <t>SM-O-ARA-ImporteFinal</t>
  </si>
  <si>
    <t>SM - Importe Mínimo Asistencia</t>
  </si>
  <si>
    <t>SM-O-ARA-TotalPagoSubvencion</t>
  </si>
  <si>
    <t>SM - Importe Objetivo Reg. Trimestral Asistencia</t>
  </si>
  <si>
    <t>SM-O-ARA-ImportePagoTrim</t>
  </si>
  <si>
    <t>SM - Importe Compensación Trimestral Asistencia</t>
  </si>
  <si>
    <t>SM-O-ARA-ImportePagoTrim-Final</t>
  </si>
  <si>
    <t>SM - Importe Final Superrappel Asistencia</t>
  </si>
  <si>
    <t>SM-O-ASR-ImporteFinal</t>
  </si>
  <si>
    <t>SM - Importe Mínimo Garantizado Asistencia</t>
  </si>
  <si>
    <t>SM-O-AMI-ImportePago</t>
  </si>
  <si>
    <t>SM - Resto Mes Anterior Rappel</t>
  </si>
  <si>
    <t>SM-O-ARA-RestoMesAnterior</t>
  </si>
  <si>
    <t>SM - Resto Mes Siguiente Rappel</t>
  </si>
  <si>
    <t>SM - Bolsa Estabilidad Comodin Asegurados</t>
  </si>
  <si>
    <t>SM-O-ARA-BolsaFinanciacion-Estado-Comodin-Asegurados</t>
  </si>
  <si>
    <t>SM - Bolsa Estabilidad Devolucion Asegurados</t>
  </si>
  <si>
    <t>SM-O-ARA-BolsaFinanciacion-Devolucion-Asegurados</t>
  </si>
  <si>
    <t>DC - Polizas</t>
  </si>
  <si>
    <t>Version 20180213</t>
  </si>
  <si>
    <t>SM - Nº Pólizas antes de Botes</t>
  </si>
  <si>
    <t>SM-E-RS1-Agente-NumeroPolizas-TotalMes-SinBotes</t>
  </si>
  <si>
    <t>PM-E-COM-Asistencia-Importe</t>
  </si>
  <si>
    <t>SM-E-ARA-ImportePago</t>
  </si>
  <si>
    <t>SM-E-ARA-ImporteFinal</t>
  </si>
  <si>
    <t>SM-E-ASR-ImporteFinal</t>
  </si>
  <si>
    <t>SM-E-AMI-ImportePago</t>
  </si>
  <si>
    <t>SM-E-ARA-RestoMesAnterior</t>
  </si>
  <si>
    <t>SM - Resto Mes Anterior SuperRappel</t>
  </si>
  <si>
    <t>SM-E-ASR-RestoMesAnterior</t>
  </si>
  <si>
    <t>SM-E-ARA-ImportePago-Resto</t>
  </si>
  <si>
    <t>SM - Resto Mes Siguiente SuperRappel</t>
  </si>
  <si>
    <t>SM-E-ASR-ImporteFinal-Resto</t>
  </si>
  <si>
    <t>DC - Importe Asistencias</t>
  </si>
  <si>
    <t>DC-O-COM-ServiciosAsistencia-Importe</t>
  </si>
  <si>
    <t>DC-E-GEN-Agente-NumAsegurados</t>
  </si>
  <si>
    <t>I - Pago Mensual Inspectores</t>
  </si>
  <si>
    <t>I-O-RACH-Inspector-PagoMensual</t>
  </si>
  <si>
    <t>I - Pago Mensual Agentes</t>
  </si>
  <si>
    <t>I-O-RACH-Agente-PagoMensual</t>
  </si>
  <si>
    <t>I - Pago Mensual Agentes con Grupo</t>
  </si>
  <si>
    <t>I-O-RACH-AgenteGrupo-PagoMensual</t>
  </si>
  <si>
    <t>I - Pago Premio Inspectores</t>
  </si>
  <si>
    <t>I-O-RACH-Inspector-PagoPremio</t>
  </si>
  <si>
    <t>I - Pago Premio Agentes</t>
  </si>
  <si>
    <t>I-O-RACH-Agente-PagoPremio</t>
  </si>
  <si>
    <t>I - Pago Premio Agentes con Grupo</t>
  </si>
  <si>
    <t>I-O-RACH-AgenteGrupo-PagoPremio</t>
  </si>
  <si>
    <t>S4/S5</t>
  </si>
  <si>
    <t>I-GEN-MIN-S4S5-Pago</t>
  </si>
  <si>
    <t>I-GEN-MIN-S5-Pago</t>
  </si>
  <si>
    <t>Rappel</t>
  </si>
  <si>
    <t>I-GEN-MIN-Rappel-Pago</t>
  </si>
  <si>
    <t>Restas</t>
  </si>
  <si>
    <t>I-RPP-Inspector-ImporteMensual</t>
  </si>
  <si>
    <t>I-RPP-Inspector-ImporteRegAnual</t>
  </si>
  <si>
    <t>I-O-REA-Inspector-Pago</t>
  </si>
  <si>
    <t>I-O-RECOA-Inspector-PagoTrimestral</t>
  </si>
  <si>
    <t>I-O-PP-Inspector-Extorno</t>
  </si>
  <si>
    <t>I-O-COMU-Inspector-Pago</t>
  </si>
  <si>
    <t>I-O-REH-Inspector-PagoMensual</t>
  </si>
  <si>
    <t>I-O-REP-Inspector-PagoMensual</t>
  </si>
  <si>
    <t>I-O-AN2-Inspecotr-BLOQUE1-Pago-Anulaciones</t>
  </si>
  <si>
    <t>I-O-AN2-Inspecotr-BLOQUE2-Pago-Anulaciones</t>
  </si>
  <si>
    <t>Detalle Pólizas</t>
  </si>
  <si>
    <t>PM-O-GEN-Inspector-NumeroPolizas-998</t>
  </si>
  <si>
    <t>PM-O-GEN-Inspector-NumeroPolizas-998-Agentes</t>
  </si>
  <si>
    <t>PM-O-GEN-Inspector-PrimaCorregida-998</t>
  </si>
  <si>
    <t>PM-O-GEN-Inspector-PrimaCorregida-998-Agentes</t>
  </si>
  <si>
    <t>PM-O-GEN-Inspector-NumeroPolizas-991</t>
  </si>
  <si>
    <t>PM-O-GEN-Inspector-NumeroPolizas-991-Agentes</t>
  </si>
  <si>
    <t>PM-O-GEN-Inspector-NumeroPolizas-002</t>
  </si>
  <si>
    <t>PM-O-GEN-Inspector-NumeroPolizas-002-Agentes</t>
  </si>
  <si>
    <t>Version 20180618</t>
  </si>
  <si>
    <t>SM - Nº Pólizas Corregidas Inspector Prioritarias Anual</t>
  </si>
  <si>
    <t>SM-O-GEN-Inspector-NumeroPolizasCorregidas-997-TotalAnual</t>
  </si>
  <si>
    <t>Version 20191220</t>
  </si>
  <si>
    <t>SM - Nº Pólizas Corregidas Inspector Prioritarias (excl PU y conv/colec) Anual</t>
  </si>
  <si>
    <t>SM-O-REA-Inspector-Polizas-997-excl</t>
  </si>
  <si>
    <t>SM-O-REA-Inspector-NumeroPolizasCorregidas-997-excl-Anual</t>
  </si>
  <si>
    <t>SM - Nº Pólizas RRPP (excl PU y conv/colec) Anual</t>
  </si>
  <si>
    <t>SM-O-GEN-Inspector-NumeroPolizas-991-TotalAnual</t>
  </si>
  <si>
    <t>SM - Prima Corregida Inspector Total con Incentivo Anual</t>
  </si>
  <si>
    <t>SM - Importe Pago Semestral</t>
  </si>
  <si>
    <t>SM-O-REA-Inspector-Pago</t>
  </si>
  <si>
    <t>SM - Importe Pago Semestral sin Penalización</t>
  </si>
  <si>
    <t>SM-O-REA-Inspector-PagoSinPenalizacion</t>
  </si>
  <si>
    <t>SM - Importe Anual</t>
  </si>
  <si>
    <t>SM-O-REA-Inspector-Importe</t>
  </si>
  <si>
    <t>SM - Objetivos Captacion Agentes</t>
  </si>
  <si>
    <t>SM - Objetivos Captacion Pólizas</t>
  </si>
  <si>
    <t>SM - Objetivos Captacion Primas</t>
  </si>
  <si>
    <t>SM - Objetivos Captacion Penalización</t>
  </si>
  <si>
    <t>SM - Total Agentes Captados Anual</t>
  </si>
  <si>
    <t>SM - Total Pólizas Agentes Captados Anual</t>
  </si>
  <si>
    <t>SM - Total Primas Agentes Captados Anual</t>
  </si>
  <si>
    <t>SM - Total Pólizas Año Anterior</t>
  </si>
  <si>
    <t>SM-O-RIP-Agente-NumeroPolizasAnterior</t>
  </si>
  <si>
    <t>SM - Pólizas Acumuladas Trimestre Anterior</t>
  </si>
  <si>
    <t>SM-O-RIP-Agente-NumeroPolizas-TotalAnual-Reporting</t>
  </si>
  <si>
    <t>SM - Pólizas Acumuladas Trimestre Actual</t>
  </si>
  <si>
    <t>SM-O-RIP-Agente-NumeroPolizas-TotalAnual</t>
  </si>
  <si>
    <t>SM - Incremento Pólizas</t>
  </si>
  <si>
    <t>SM-O-RIP-Agente-NumeroPolizas-Incremento</t>
  </si>
  <si>
    <t>SM - Pólizas Hogar Acumuladas Trimestre Anterior</t>
  </si>
  <si>
    <t>SM-O-RIP-Agente-NumeroPolizas-002-TotalAnual-Reporting</t>
  </si>
  <si>
    <t>SM - Pólizas Hogar Acumuladas Trimestre Actual</t>
  </si>
  <si>
    <t>SM-O-RIP-Agente-NumeroPolizas-002-TotalAnual</t>
  </si>
  <si>
    <t>SM - Prima Acumuladas Trimestre Anterior</t>
  </si>
  <si>
    <t>SM-O-RIP-Agente-Prima-TotalAnual-Reporting</t>
  </si>
  <si>
    <t>SM - Prima Acumuladas Trimestre Actual</t>
  </si>
  <si>
    <t>SM-O-RIP-Agente-Prima-TotalAnual</t>
  </si>
  <si>
    <t>SM - Objetivo Incremento Pólizas</t>
  </si>
  <si>
    <t>SM-O-RIP-Agente-NumeroPolizas-Incremento-Objetivo</t>
  </si>
  <si>
    <t>SM - Anulaciones Acumuladas Trimestre Actual</t>
  </si>
  <si>
    <t>SM-O-RIP-Agente-Anulaciones-TotalAnual</t>
  </si>
  <si>
    <t>SM - % Anulaciones</t>
  </si>
  <si>
    <t>SM-O-RIP-Agente-Porcentaje-Anulaciones</t>
  </si>
  <si>
    <t>SM - Pago Trimestral</t>
  </si>
  <si>
    <t>SM-O-RIP-Agente-Pago</t>
  </si>
  <si>
    <t>SM - Acumulados Pólizas 2017 Q1</t>
  </si>
  <si>
    <t>SM-O-RIP-Agente-NumeroPolizas-TotalAnual-2017Q1</t>
  </si>
  <si>
    <t>Version 20180220</t>
  </si>
  <si>
    <t>SM - Acumulados Pólizas 2017 Q2</t>
  </si>
  <si>
    <t>SM-O-RIP-Agente-NumeroPolizas-TotalAnual-2017Q2</t>
  </si>
  <si>
    <t>SM - Acumulados Pólizas 2017 Q3</t>
  </si>
  <si>
    <t>SM-O-RIP-Agente-NumeroPolizas-TotalAnual-2017Q3</t>
  </si>
  <si>
    <t>SM - Acumulados Pólizas 2017 Q4</t>
  </si>
  <si>
    <t>SM-O-RIP-Agente-NumeroPolizas-TotalAnual-2017Q4</t>
  </si>
  <si>
    <t>SM - Acumulados Pólizas Cartera 2017 Q1</t>
  </si>
  <si>
    <t>SM-O-RIP-Agente-NumeroPolizas-002-TotalAnual-2017Q1</t>
  </si>
  <si>
    <t>SM - Acumulados Pólizas Cartera 2017 Q2</t>
  </si>
  <si>
    <t>SM-O-RIP-Agente-NumeroPolizas-002-TotalAnual-2017Q2</t>
  </si>
  <si>
    <t>SM - Acumulados Pólizas Cartera 2017 Q3</t>
  </si>
  <si>
    <t>SM-O-RIP-Agente-NumeroPolizas-002-TotalAnual-2017Q3</t>
  </si>
  <si>
    <t>SM - Acumulados Pólizas Cartera 2017 Q4</t>
  </si>
  <si>
    <t>SM-O-RIP-Agente-NumeroPolizas-002-TotalAnual-2017Q4</t>
  </si>
  <si>
    <t>SM - Acumulados Primas 2017 Q1</t>
  </si>
  <si>
    <t>SM-O-RIP-Agente-Prima-TotalAnual-2017Q1</t>
  </si>
  <si>
    <t>SM - Acumulados Primas 2017 Q2</t>
  </si>
  <si>
    <t>SM-O-RIP-Agente-Prima-TotalAnual-2017Q2</t>
  </si>
  <si>
    <t>SM - Acumulados Primas 2017 Q3</t>
  </si>
  <si>
    <t>SM-O-RIP-Agente-Prima-TotalAnual-2017Q3</t>
  </si>
  <si>
    <t>SM - Acumulados Primas 2017 Q4</t>
  </si>
  <si>
    <t>SM-O-RIP-Agente-Prima-TotalAnual-2017Q4</t>
  </si>
  <si>
    <t>Rappel Fidelización Clientes</t>
  </si>
  <si>
    <t>I-O-RFM-Inspector-Pago</t>
  </si>
  <si>
    <t>Rappel Competencia Hogar</t>
  </si>
  <si>
    <t>I-O-RCH-Inspector-Pago</t>
  </si>
  <si>
    <t>Rappel Calidad de Datos</t>
  </si>
  <si>
    <t>I-O-RCD-Inspector-Pago</t>
  </si>
  <si>
    <t>Venta Cruzada Hogar</t>
  </si>
  <si>
    <t>I-O-VCH-Inspector-Pago</t>
  </si>
  <si>
    <t>Venta Cruzada Decesos</t>
  </si>
  <si>
    <t>I-O-VCD-Inspector-Pago</t>
  </si>
  <si>
    <t>Venta Cruzada Vida</t>
  </si>
  <si>
    <t>I-O-VCV-Inspector-Pago</t>
  </si>
  <si>
    <t>Pago Trimestral</t>
  </si>
  <si>
    <t>SM-O-RECOA-Inspector-Pago-HOGAR</t>
  </si>
  <si>
    <t>SM-O-RECOA-Inspector-Pago-RRTT</t>
  </si>
  <si>
    <t>SM-O-RECOA-Inspector-Pago-AHORRO</t>
  </si>
  <si>
    <t>Porcentajes</t>
  </si>
  <si>
    <t>SM-O-RECOA-Inspector-Porcentaje-PendOfi-Hogar-Actual</t>
  </si>
  <si>
    <t>SM-O-RECOA-Inspector-Porcentaje-PendOfi-Hogar-Anterior</t>
  </si>
  <si>
    <t>SM-O-RECOA-Inspector-Porcentaje-PendCia-Hogar-Anterior</t>
  </si>
  <si>
    <t>SM-O-RECOA-Inspector-Porcentaje-AnulacionOfi-Hogar-Actual</t>
  </si>
  <si>
    <t>SM-O-RECOA-Inspector-Porcentaje-PendOfi-RRTT-Actual</t>
  </si>
  <si>
    <t>SM-O-RECOA-Inspector-Porcentaje-PendOfi-RRTT-Anterior</t>
  </si>
  <si>
    <t>SM-O-RECOA-Inspector-Porcentaje-PendCia-RRTT-Anterior</t>
  </si>
  <si>
    <t>SM-O-RECOA-Inspector-Porcentaje-AnulacionOfi-RRTT-Actual</t>
  </si>
  <si>
    <t>SM-O-RECOA-Inspector-Porcentaje-PendOfi-Ahorro-Actual</t>
  </si>
  <si>
    <t>SM-O-RECOA-Inspector-Porcentaje-PendOfi-Ahorro-Anterior</t>
  </si>
  <si>
    <t>SM-O-RECOA-Inspector-Porcentaje-PendCia-Ahorro-Anterior</t>
  </si>
  <si>
    <t>SM-O-RECOA-Inspector-Porcentaje-AnulacionOfi-Ahorro-Actual</t>
  </si>
  <si>
    <t>Objetivo Primas</t>
  </si>
  <si>
    <t>SM-O-RECOA-Inspector-Objetivo-Prima</t>
  </si>
  <si>
    <t>Prima Total Ramos Mes Anterior</t>
  </si>
  <si>
    <t>SM-O-RECOA-Inspector-PrimaAcumTrim</t>
  </si>
  <si>
    <t>SM - Numero Meses Agente</t>
  </si>
  <si>
    <t>SM-O-CAP-Agente-NumeroMeses</t>
  </si>
  <si>
    <t>Version 20180222</t>
  </si>
  <si>
    <t>SM - Pólizas Agente Acumulado</t>
  </si>
  <si>
    <t>SM-O-CAP-Agente-Polizas-Acumulado</t>
  </si>
  <si>
    <t>SM - Primas Agente Acumulado</t>
  </si>
  <si>
    <t>SM-O-CAP-Agente-Prima-Acumulado</t>
  </si>
  <si>
    <t>SM - Importe Pago Agente</t>
  </si>
  <si>
    <t>SM-O-CAP-Agente-ImportePago</t>
  </si>
  <si>
    <t>SM - Importe Pago Inspector Total</t>
  </si>
  <si>
    <t>SM-O-CAP-Inspector-ImportePago</t>
  </si>
  <si>
    <t>SM - Pago Inspector Hogar</t>
  </si>
  <si>
    <t>SM-E-CC-Inspector-CampaniaHogar-Pago</t>
  </si>
  <si>
    <t>Version 20190404</t>
  </si>
  <si>
    <t>SM - Pago Inspector Decesos</t>
  </si>
  <si>
    <t>SM-E-CC-Inspector-CampaniaDecesos-Pago</t>
  </si>
  <si>
    <t>SM - Pago Inspector Hogar + Decesos</t>
  </si>
  <si>
    <t>SM-E-CC-Inspector-CampaniaHogar+Decesos-Pago</t>
  </si>
  <si>
    <t>SM - Num. Polizas Hogar Inspector</t>
  </si>
  <si>
    <t>SM-E-CC-Inspector-NumeroPolizas-Hogar-TotalMes</t>
  </si>
  <si>
    <t>SM - Num. Asegurados Inspector</t>
  </si>
  <si>
    <t>SM-E-CC-Inspector-NumeroAsegurados-Decesos-TotalMes</t>
  </si>
  <si>
    <t>SM - Pago Agente Hogar</t>
  </si>
  <si>
    <t>SM-E-CC-Agente-CampaniaHogar-Pago</t>
  </si>
  <si>
    <t>SM - Pago Agente Decesos</t>
  </si>
  <si>
    <t>SM-E-CC-Agente-CampaniaDecesos-Pago</t>
  </si>
  <si>
    <t>SM - Pago Agente Hogar + Decesos</t>
  </si>
  <si>
    <t>SM-E-CC-Agente-CampaniaHogar+Decesos-Pago</t>
  </si>
  <si>
    <t>SM - Num. Polizas Hogar Agente</t>
  </si>
  <si>
    <t>SM-E-CC-Agente-NumeroPolizas-Hogar-TotalMes</t>
  </si>
  <si>
    <t>SM - Num. Asegurados Agente</t>
  </si>
  <si>
    <t>SM-E-CC-Agente-NumeroAsegurados-Decesos-TotalMes</t>
  </si>
  <si>
    <t>SM - Num Polizas Decesos Mes Agente</t>
  </si>
  <si>
    <t>SM-E-CC-Agente-NumPolizas-Decesos-TotalMes</t>
  </si>
  <si>
    <t>Versión 20190404</t>
  </si>
  <si>
    <t>SM - Num Polizas Decesos Mes Inspector</t>
  </si>
  <si>
    <t>SM-E-CC-Inspector-NumPolizas-Decesos-TotalMes</t>
  </si>
  <si>
    <t>SM - Num Polizas Hogar Mes Agente</t>
  </si>
  <si>
    <t>SM-E-CC-Agente-NumPolizas-Hogar-TotalMes</t>
  </si>
  <si>
    <t>SM - Num Polizas Hogar Mes Inspector</t>
  </si>
  <si>
    <t>SM-E-CC-Inspector-NumPolizas-Hogar-TotalMes</t>
  </si>
  <si>
    <t>SM - Num Polizas Comunidades Mes Agente</t>
  </si>
  <si>
    <t>SM-E-CC-Agente-NumPolizas-Comunidades-TotalMes</t>
  </si>
  <si>
    <t>SM - Num Polizas Comunidades Mes Inspector</t>
  </si>
  <si>
    <t>SM-E-CC-Inspector-NumPolizas-Comunidades-TotalMes</t>
  </si>
  <si>
    <t>SM - Num Polizas Accidentes Mes Agente</t>
  </si>
  <si>
    <t>SM-E-CC-Agente-NumPolizas-Accidentes-TotalMes</t>
  </si>
  <si>
    <t>SM - Num Polizas Accidentes Mes Inspector</t>
  </si>
  <si>
    <t>SM-E-CC-Inspector-NumPolizas-Accidentes-TotalMes</t>
  </si>
  <si>
    <t>SM - Num Polizas Decesos Anual Agente</t>
  </si>
  <si>
    <t>SM-E-CC-Agente-NumPolizas-Decesos-TotalAnual</t>
  </si>
  <si>
    <t>SM - Num Polizas Decesos Anual Inspector</t>
  </si>
  <si>
    <t>SM-E-CC-Inspector-NumPolizas-Decesos-TotalAnual</t>
  </si>
  <si>
    <t>SM - Num Polizas Hogar Anual Agente</t>
  </si>
  <si>
    <t>SM-E-CC-Agente-NumPolizas-Hogar-TotalAnual</t>
  </si>
  <si>
    <t>SM - Num Polizas Hogar Anual Inspector</t>
  </si>
  <si>
    <t>SM-E-CC-Inspector-NumPolizas-Hogar-TotalAnual</t>
  </si>
  <si>
    <t>SM - Num Polizas Comunidades Anual Agente</t>
  </si>
  <si>
    <t>SM-E-CC-Agente-NumPolizas-Comunidades-TotalAnual</t>
  </si>
  <si>
    <t>SM - Num Polizas Comunidades Anual Inspector</t>
  </si>
  <si>
    <t>SM-E-CC-Inspector-NumPolizas-Comunidades-TotalAnual</t>
  </si>
  <si>
    <t>SM - Num Polizas Accidentes Anual Agente</t>
  </si>
  <si>
    <t>SM-E-CC-Agente-NumPolizas-Accidentes-TotalAnual</t>
  </si>
  <si>
    <t>SM - Num Polizas Accidentes Anual Inspector</t>
  </si>
  <si>
    <t>SM-E-CC-Inspector-NumPolizas-Accidentes-TotalAnual</t>
  </si>
  <si>
    <t>SM - Primas Inspector Anual</t>
  </si>
  <si>
    <t>SM-E-CC-Inspector-PrimaCorregida-TotalAnual</t>
  </si>
  <si>
    <t>SM - Cumplimiento Agente</t>
  </si>
  <si>
    <t>SM-E-CC-Agente-CampaniaAgente2019-Cumple</t>
  </si>
  <si>
    <t>SM - Cumplimiento Inspector</t>
  </si>
  <si>
    <t>SM-E-CC-Inspector-CampaniaAgente2019-Cumple</t>
  </si>
  <si>
    <t>SM - Importe Agente Mensual</t>
  </si>
  <si>
    <t>SM-O-Agente-CampanaPersonales-TotalMes</t>
  </si>
  <si>
    <t>Version 20181127</t>
  </si>
  <si>
    <t>SM - Importe Agente Acumulado</t>
  </si>
  <si>
    <t>SM-O-Agentes-CampanaPersonales-TotalCampana</t>
  </si>
  <si>
    <t>SM - Soles Inspector Mensual</t>
  </si>
  <si>
    <t>SM-O-Inspector-CampanaPersonales-TotalMes</t>
  </si>
  <si>
    <t>SM - Soles Inspector Acumulado</t>
  </si>
  <si>
    <t>SM-O-Inspector-CampanaPersonales-TotalAcumulado</t>
  </si>
  <si>
    <t>DC - Importe Agentes</t>
  </si>
  <si>
    <t>DC-O-Agentes-CampanaPersonales</t>
  </si>
  <si>
    <t>SM - Soles Propios</t>
  </si>
  <si>
    <t>DC-O-Inspector-CampanaPersonales</t>
  </si>
  <si>
    <t>SM - Soles Agentes</t>
  </si>
  <si>
    <t>IC-O-Inspector-CampanaPersonales</t>
  </si>
  <si>
    <t>SM-E-CAP-Agente-Acumulado-NumeroMeses</t>
  </si>
  <si>
    <t>Version 20190313</t>
  </si>
  <si>
    <t>SM-E-CAP-Agente-Polizas-Acumulado</t>
  </si>
  <si>
    <t>SM-E-CAP-Agente-Prima-Acumulado</t>
  </si>
  <si>
    <t>SM-E-CAP-Agente-ImportePago</t>
  </si>
  <si>
    <t>SM-E-CAP-Inspector-ImportePago</t>
  </si>
  <si>
    <t>SM-Categoria Meses</t>
  </si>
  <si>
    <t>SM-E-GEN-Categoria-Meses</t>
  </si>
  <si>
    <t>SM - Prima ProdPrioritarios Anual</t>
  </si>
  <si>
    <t>SM-E-GEN-Inspector-PrimaCorregida-ProdPrioritarios-TotalAnual</t>
  </si>
  <si>
    <t>Version 20190329</t>
  </si>
  <si>
    <t>SM - Polizas Decesos Anual</t>
  </si>
  <si>
    <t>SM-E-GEN-Inspector-NumeroPolizasCorregidas-Decesos-TotalAnual</t>
  </si>
  <si>
    <t>SM - Polizas Hogar Anual</t>
  </si>
  <si>
    <t>SM-E-GEN-Inspector-NumeroPolizasCorregidas-Hogar-TotalAnual</t>
  </si>
  <si>
    <t>SM - Polizas Comunidades Anual</t>
  </si>
  <si>
    <t>SM-E-GEN-Inspector-NumeroPolizasCorregidas-Comunidades-TotalAnual</t>
  </si>
  <si>
    <t>SM - Polizas Accidentes Anual</t>
  </si>
  <si>
    <t>SM-E-GEN-Inspector-NumeroPolizasCorregidas-Accidente-TotalAnual</t>
  </si>
  <si>
    <t>SM - Polizas ProdPrioritarios Anual</t>
  </si>
  <si>
    <t>SM-E-GEN-Inspector-NumeroPolizasCorregidas-ProdPrioritarios-TotalAnual</t>
  </si>
  <si>
    <t>SM -Cumplimiento Primas ProdPrioritarios</t>
  </si>
  <si>
    <t>Cumplimiento Primas ProdPrioritarios</t>
  </si>
  <si>
    <t>SM - Cumplimiento Polizas Accdientes</t>
  </si>
  <si>
    <t>Cumplimiento Pólizas Accidentes</t>
  </si>
  <si>
    <t>SM - Cumplimiento Polizas Comunidades</t>
  </si>
  <si>
    <t>Cumplimiento Pólizas Comunidades</t>
  </si>
  <si>
    <t>SM - Cumplimiento Polizas Hogar</t>
  </si>
  <si>
    <t>Cumplimiento Pólizas Hogar</t>
  </si>
  <si>
    <t>SM - Cumplimiento Polizas ProdPrioritarios</t>
  </si>
  <si>
    <t>Cumplimiento Pólizas ProdPrioritarios</t>
  </si>
  <si>
    <t>SM - Cumplimiento Pólizas RRTT</t>
  </si>
  <si>
    <t>Cumplimiento Pólizas RRTT</t>
  </si>
  <si>
    <t>Versión 20190403</t>
  </si>
  <si>
    <t>SM-E-GEN-AgenteGrupo-Consecucion-Polizas-Accidentes</t>
  </si>
  <si>
    <t>SM-E-GEN-AgenteGrupo-Consecucion-Polizas-Comunidades</t>
  </si>
  <si>
    <t>SM-E-GEN-AgenteGrupo-Consecucion-Polizas-Hogar</t>
  </si>
  <si>
    <t>SM-E-GEN-AgenteGrupo-Consecucion-Polizas-RRTT</t>
  </si>
  <si>
    <t>SM - Polizas Inspector TotalProd Anual</t>
  </si>
  <si>
    <t>SM-E-GEN-Inspector-NumeroPolizasCorregidas-TotalProduccion-TotalAnual</t>
  </si>
  <si>
    <t>Versión 20190408</t>
  </si>
  <si>
    <t>SM - Primas Inspector TotalProd Anual</t>
  </si>
  <si>
    <t>SM-E-GEN-Inspector-PrimaCorregida-TotalProduccion-TotalAnual</t>
  </si>
  <si>
    <t>SM - Polizas AgenteGrupo TotalProd Mensual</t>
  </si>
  <si>
    <t>SM-O-RPP-AgenteGrupo-NumeroPolizas-998-Total-Mes</t>
  </si>
  <si>
    <t>Versión 20200629</t>
  </si>
  <si>
    <t>SM - Primas AgenteGrupo TotalProd Mensual</t>
  </si>
  <si>
    <t>SM-O-RPP-AgenteGrupo-Primas-998-Total-Mes</t>
  </si>
  <si>
    <t>SM - Pago AgenteGrupo Mensual</t>
  </si>
  <si>
    <t>SM-O-RPP-AgenteGrupo-ProduccionPropia-Pago-Mensual</t>
  </si>
  <si>
    <t>PM - Polizas AgenteGrupo TotalProd Mensual</t>
  </si>
  <si>
    <t>PM-O-RPP-AgenteGrupo-NumeroPolizas-998-Total-Mes</t>
  </si>
  <si>
    <t>PM - Primas AgenteGrupo TotalProd Mensual</t>
  </si>
  <si>
    <t>PM-O-RPP-AgenteGrupo-Primas-998-Total-Mes</t>
  </si>
  <si>
    <t>Comision Nueva Produccion</t>
  </si>
  <si>
    <t>DC-O-COM-NuevaProduccion-Emision</t>
  </si>
  <si>
    <t>DC-O-COM-NuevaProduccion-Suplementos</t>
  </si>
  <si>
    <t>DC-O-COM-NuevaProduccion-PorcentajeFijo</t>
  </si>
  <si>
    <t>DC-O-COM-NuevaProduccion-ComisionCalculada</t>
  </si>
  <si>
    <t>DC-O-COM-NuevaProduccion-SECI</t>
  </si>
  <si>
    <t>Comision Candidatos</t>
  </si>
  <si>
    <t>DC-O-COM-NuevaProduccion-Candidatos</t>
  </si>
  <si>
    <t>Comision Conservacion</t>
  </si>
  <si>
    <t>DC-O-COM-GestionCobro</t>
  </si>
  <si>
    <t>DC-O-COM-GestionCobro-ComisionCalculada</t>
  </si>
  <si>
    <t>DC-O-COM-GestionCobro-PorcentajeFijo</t>
  </si>
  <si>
    <t>DC-O-COM-Conservacion-PorcentajeFijo</t>
  </si>
  <si>
    <t>DC-O-COM-Conservacion-ComisionCalculada</t>
  </si>
  <si>
    <t>DC-O-COM-Conservacion-RecalcularPorcentaje</t>
  </si>
  <si>
    <t>DC-O-COM-Conservacion-Consolidacion</t>
  </si>
  <si>
    <t>Comision Cartera</t>
  </si>
  <si>
    <t>DC-O-COM-Cartera-Porcentaje</t>
  </si>
  <si>
    <t>DC-O-COM-Cartera-Importe</t>
  </si>
  <si>
    <t>Comision Recuperacion</t>
  </si>
  <si>
    <t>DC-O-COM-Conservacion-Recuperadas</t>
  </si>
  <si>
    <t>Asistencias</t>
  </si>
  <si>
    <t>DC-O-COM-AUT-NuevaProduccion-Emision</t>
  </si>
  <si>
    <t>Version 20180730</t>
  </si>
  <si>
    <t>DC-O-COM-AUT-NuevaProduccion-Suplementos</t>
  </si>
  <si>
    <t>DC-O-COM-AUT-NuevaProduccion-PorcentajeFijo</t>
  </si>
  <si>
    <t>DC-O-COM-AUT-NuevaProduccion-ComisionCalculada</t>
  </si>
  <si>
    <t>DC-O-COM-AUT-NuevaProduccion-SECI</t>
  </si>
  <si>
    <t>DC-O-COM-AUT-NuevaProduccion-Candidatos</t>
  </si>
  <si>
    <t>DC-O-COM-AUT-GestionCobro</t>
  </si>
  <si>
    <t>DC-O-COM-AUT-GestionCobro-ComisionCalculada</t>
  </si>
  <si>
    <t>DC-O-COM-AUT-GestionCobro-PorcentajeFijo</t>
  </si>
  <si>
    <t>DC-O-COM-AUT-Conservacion-PorcentajeFijo</t>
  </si>
  <si>
    <t>DC-O-COM-AUT-Conservacion-ComisionCalculada</t>
  </si>
  <si>
    <t>DC-O-COM-AUT-Conservacion-RecalcularPorcentaje</t>
  </si>
  <si>
    <t>DC-O-COM-AUT-Conservacion-Consolidacion</t>
  </si>
  <si>
    <t>DC-O-COM-AUT-Cartera-Porcentaje</t>
  </si>
  <si>
    <t>DC-O-COM-AUT-Cartera-Importe</t>
  </si>
  <si>
    <t>DC-O-COM-AUT-Conservacion-Recuperadas</t>
  </si>
  <si>
    <t>DC-O-COM-AUT-ServiciosAsistencia-Importe</t>
  </si>
  <si>
    <t>Recuperaciones Comision</t>
  </si>
  <si>
    <t>DC-O-SER-COM</t>
  </si>
  <si>
    <t>Version 20200227</t>
  </si>
  <si>
    <t>DC-O-SER-COM-RRTT</t>
  </si>
  <si>
    <t>Version 20210226</t>
  </si>
  <si>
    <t>Recuperaciones Gratificacion</t>
  </si>
  <si>
    <t>DC-O-SER-SUBV</t>
  </si>
  <si>
    <t>Pagos Comerciales</t>
  </si>
  <si>
    <t>D-O-Pagos-Fijos</t>
  </si>
  <si>
    <t>Comisiones Premio Comunidades</t>
  </si>
  <si>
    <t>DC-O-COM-INC-Agente-Campania</t>
  </si>
  <si>
    <t>Version 20200727</t>
  </si>
  <si>
    <t>Diferenciales</t>
  </si>
  <si>
    <t>DC-O-GEN-Inspector-NumeroPolizas-998</t>
  </si>
  <si>
    <t>IC-O-GEN-Inspector-NumeroPolizas-998</t>
  </si>
  <si>
    <t>DC-O-GEN-Inspector-NumeroPolizas-998-Renov</t>
  </si>
  <si>
    <t>IC-O-GEN-Inspector-NumeroPolizas-998-Renov</t>
  </si>
  <si>
    <t>DC-O-GEN-Inspector-PrimaCorregida-998</t>
  </si>
  <si>
    <t>IC-O-GEN-Inspector-PrimaCorregida-998</t>
  </si>
  <si>
    <t>IC - Nº Asegurados Inspector</t>
  </si>
  <si>
    <t>IC-O-GEN-Inspector-NumAsegurados</t>
  </si>
  <si>
    <t>DD - COLC</t>
  </si>
  <si>
    <t>DD-O-COLC-Inspector-Pago-00</t>
  </si>
  <si>
    <t>DC-E-COM-NuevaProduccion-Emision</t>
  </si>
  <si>
    <t>DC-E-COM-NuevaProduccion-Suplementos</t>
  </si>
  <si>
    <t>DC-E-COM-NuevaProduccion-PorcentajeFijo</t>
  </si>
  <si>
    <t>DC-E-COM-NuevaProduccion-ComisionCalculada</t>
  </si>
  <si>
    <t>DC-E-COM-NuevaProduccion-Candidatos</t>
  </si>
  <si>
    <t>DC-E-COM-GestionCobro</t>
  </si>
  <si>
    <t>DC-E-COM-GestionCobro-ComisionCalculada</t>
  </si>
  <si>
    <t>DC-E-COM-GestionCobro-PorcentajeFijo</t>
  </si>
  <si>
    <t>DC-E-COM-Conservacion-PorcentajeFijo</t>
  </si>
  <si>
    <t>DC-E-COM-Conservacion-ComisionCalculada</t>
  </si>
  <si>
    <t>DC-E-COM-Conservacion-RecalcularPorcentaje</t>
  </si>
  <si>
    <t>DC-E-COM-Cartera-Porcentaje</t>
  </si>
  <si>
    <t>DC-E-COM-Cartera-Importe</t>
  </si>
  <si>
    <t>DC-E-COM-Conservacion-Recuperadas</t>
  </si>
  <si>
    <t>DC-E-COM-AUT-NuevaProduccion-Emision</t>
  </si>
  <si>
    <t>DC-E-COM-AUT-NuevaProduccion-Suplementos</t>
  </si>
  <si>
    <t>DC-E-COM-AUT-NuevaProduccion-PorcentajeFijo</t>
  </si>
  <si>
    <t>DC-E-COM-AUT-NuevaProduccion-ComisionCalculada</t>
  </si>
  <si>
    <t>DC-E-COM-AUT-NuevaProduccion-Candidatos</t>
  </si>
  <si>
    <t>DC-E-COM-AUT-GestionCobro</t>
  </si>
  <si>
    <t>DC-E-COM-AUT-GestionCobro-ComisionCalculada</t>
  </si>
  <si>
    <t>DC-E-COM-AUT-GestionCobro-PorcentajeFijo</t>
  </si>
  <si>
    <t>DC-E-COM-AUT-Conservacion-PorcentajeFijo</t>
  </si>
  <si>
    <t>DC-E-COM-AUT-Conservacion-ComisionCalculada</t>
  </si>
  <si>
    <t>DC-E-COM-AUT-Conservacion-RecalcularPorcentaje</t>
  </si>
  <si>
    <t>DC-E-COM-AUT-Cartera-Porcentaje</t>
  </si>
  <si>
    <t>DC-E-COM-AUT-Cartera-Importe</t>
  </si>
  <si>
    <t>DC-E-COM-AUT-Conservacion-Recuperadas</t>
  </si>
  <si>
    <t>DC-E-SER-COM</t>
  </si>
  <si>
    <t>DC-E-SER-SUBV</t>
  </si>
  <si>
    <t>D-E-Pagos-Fijos</t>
  </si>
  <si>
    <t>IC-E-GEN-Inspector-NumAsegurados</t>
  </si>
  <si>
    <t>SM-O-GEN-Agente-NumeroPolizas-001-TotalMes</t>
  </si>
  <si>
    <t>SM-O-GEN-Agente-NumeroPolizas-002-TotalMes</t>
  </si>
  <si>
    <t>SM - Nº Pólizas Agente Vida Riesgo Mensual</t>
  </si>
  <si>
    <t>SM-O-GEN-Agente-NumeroPolizas-003-TotalMes</t>
  </si>
  <si>
    <t>SM - Nº Pólizas Agente Vida Ahorro Mensual</t>
  </si>
  <si>
    <t>SM-O-GEN-Agente-NumeroPolizas-004-TotalMes</t>
  </si>
  <si>
    <t>SM-O-GEN-Agente-NumeroPolizas-005-TotalMes</t>
  </si>
  <si>
    <t>SM-O-GEN-Agente-NumeroPolizas-997-TotalMes</t>
  </si>
  <si>
    <t>SM - Nº Pólizas Corregidas Agente RRTT Mensual</t>
  </si>
  <si>
    <t>SM-O-GEN-Agente-NumeroPolizasCorregidas-001-TotalMes</t>
  </si>
  <si>
    <t>SM - Nº Pólizas Corregidas Agente Hogar Mensual</t>
  </si>
  <si>
    <t>SM-O-GEN-Agente-NumeroPolizasCorregidas-002-TotalMes</t>
  </si>
  <si>
    <t>SM - Nº Pólizas Corregidas Agente Vida Riesgo Mensual</t>
  </si>
  <si>
    <t>SM-O-GEN-Agente-NumeroPolizasCorregidas-003-TotalMes</t>
  </si>
  <si>
    <t>SM - Nº Pólizas Corregidas Agente Vida Ahorro Mensual</t>
  </si>
  <si>
    <t>SM-O-GEN-Agente-NumeroPolizasCorregidas-004-TotalMes</t>
  </si>
  <si>
    <t>SM - Nº Pólizas Corregidas Agente Accidentes Mensual</t>
  </si>
  <si>
    <t>SM-O-GEN-Agente-NumeroPolizasCorregidas-005-TotalMes</t>
  </si>
  <si>
    <t>SM - Nº Pólizas Corregidas Agente RRPP (excl PU y conv/colec) Mensual</t>
  </si>
  <si>
    <t>SM-O-GEN-Agente-NumeroPolizasCorregidas-906-TotalMes</t>
  </si>
  <si>
    <t>SM - Nº Pólizas Corregidas Agente Prod. Prioritarios Mensual</t>
  </si>
  <si>
    <t>SM-O-GEN-Agente-NumeroPolizasCorregidas-997-TotalMes</t>
  </si>
  <si>
    <t>SM - Primas Agente RRTT Mensual</t>
  </si>
  <si>
    <t>SM-O-GEN-Agente-Prima-001-TotalMes</t>
  </si>
  <si>
    <t>SM - Primas Agente Hogar Mensual</t>
  </si>
  <si>
    <t>SM-O-GEN-Agente-Prima-002-TotalMes</t>
  </si>
  <si>
    <t>SM - Primas Agente Vida Riesgo Mensual</t>
  </si>
  <si>
    <t>SM-O-GEN-Agente-Prima-003-TotalMes</t>
  </si>
  <si>
    <t>SM - Primas Agente Vida Ahorro Mensual</t>
  </si>
  <si>
    <t>SM-O-GEN-Agente-Prima-004-TotalMes</t>
  </si>
  <si>
    <t>SM - Primas Agente Accidentes Mensual</t>
  </si>
  <si>
    <t>SM-O-GEN-Agente-Prima-005-TotalMes</t>
  </si>
  <si>
    <t>SM - Primas Agente RRPP (excl PU y conv/colec) Mensual</t>
  </si>
  <si>
    <t>SM-O-GEN-Agente-Prima-906-TotalMes</t>
  </si>
  <si>
    <t>SM - Primas Agente Prod. Prioritarios Mensual</t>
  </si>
  <si>
    <t>SM-O-GEN-Agente-Prima-997-TotalMes</t>
  </si>
  <si>
    <t>Version 20180116</t>
  </si>
  <si>
    <t>SM - Nº Pólizas Agente Vida Riesgo Anual</t>
  </si>
  <si>
    <t>SM-O-GEN-Agente-NumeroPolizas-003-TotalAnual</t>
  </si>
  <si>
    <t>SM-O-GEN-Agente-NumeroPolizas-004-TotalAnual</t>
  </si>
  <si>
    <t>SM - Nº Pólizas Agente Accidentes Anual</t>
  </si>
  <si>
    <t>SM-O-GEN-Agente-NumeroPolizas-005-TotalAnual</t>
  </si>
  <si>
    <t>SM - Nº Pólizas Agente RRPP (excl PU y conv/colec) Anual</t>
  </si>
  <si>
    <t>SM - Nº Pólizas Agente Prod. Prioritarios Anual</t>
  </si>
  <si>
    <t>SM-O-GEN-Agente-NumeroPolizas-997-TotalAnual</t>
  </si>
  <si>
    <t>SM - Nº Pólizas Agente Total Productos Anual</t>
  </si>
  <si>
    <t>SM-O-GEN-Agente-NumeroPolizas-998-TotalAnual</t>
  </si>
  <si>
    <t>SM - Nº Pólizas Corregidas Agente RRTT Anual</t>
  </si>
  <si>
    <t>SM-O-GEN-Agente-NumeroPolizasCorregidas-001-TotalAnual</t>
  </si>
  <si>
    <t>SM - Nº Pólizas Corregidas Agente Hogar Anual</t>
  </si>
  <si>
    <t>SM-O-GEN-Agente-NumeroPolizasCorregidas-002-TotalAnual</t>
  </si>
  <si>
    <t>SM - Nº Pólizas Corregidas Agente Vida Riesgo Anual</t>
  </si>
  <si>
    <t>SM-O-GEN-Agente-NumeroPolizasCorregidas-003-TotalAnual</t>
  </si>
  <si>
    <t>SM - Nº Pólizas Corregidas Agente Vida Ahorro Anual</t>
  </si>
  <si>
    <t>SM-O-GEN-Agente-NumeroPolizasCorregidas-004-TotalAnual</t>
  </si>
  <si>
    <t>SM - Nº Pólizas Corregidas Agente Accidentes Anual</t>
  </si>
  <si>
    <t>SM-O-GEN-Agente-NumeroPolizasCorregidas-005-TotalAnual</t>
  </si>
  <si>
    <t>SM - Nº Pólizas Corregidas Agente RRPP (excl PU y conv/colec) Anual</t>
  </si>
  <si>
    <t>SM-O-GEN-Agente-NumeroPolizasCorregidas-906-TotalAnual</t>
  </si>
  <si>
    <t>SM - Nº Pólizas Corregidas Agente Prod. Prioritarios Anual</t>
  </si>
  <si>
    <t>SM-O-GEN-Agente-NumeroPolizasCorregidas-997-TotalAnual</t>
  </si>
  <si>
    <t>SM - Nº Pólizas Corregidas Agente Total Productos Anual</t>
  </si>
  <si>
    <t>SM-O-GEN-Agente-NumeroPolizasCorregidas-998-TotalAnual</t>
  </si>
  <si>
    <t>SM - Primas Agente RRTT Anual</t>
  </si>
  <si>
    <t>SM-O-GEN-Agente-Prima-001-TotalAnual</t>
  </si>
  <si>
    <t>SM - Primas Agente Hogar Anual</t>
  </si>
  <si>
    <t>SM-O-GEN-Agente-Prima-002-TotalAnual</t>
  </si>
  <si>
    <t>SM - Primas Agente Vida Riesgo Anual</t>
  </si>
  <si>
    <t>SM-O-GEN-Agente-Prima-003-TotalAnual</t>
  </si>
  <si>
    <t>SM - Primas Agente Vida Ahorro Anual</t>
  </si>
  <si>
    <t>SM-O-GEN-Agente-Prima-004-TotalAnual</t>
  </si>
  <si>
    <t>SM - Primas Agente Accidentes Anual</t>
  </si>
  <si>
    <t>SM-O-GEN-Agente-Prima-005-TotalAnual</t>
  </si>
  <si>
    <t>SM - Primas Agente RRPP (excl PU y conv/colec) Anual</t>
  </si>
  <si>
    <t>SM-O-GEN-Agente-Prima-906-TotalAnual</t>
  </si>
  <si>
    <t>SM - Primas Agente Prod. Prioritarios Anual</t>
  </si>
  <si>
    <t>SM-O-GEN-Agente-Prima-997-TotalAnual</t>
  </si>
  <si>
    <t>Polizas</t>
  </si>
  <si>
    <t>Renovaciones</t>
  </si>
  <si>
    <t>Recuperaciones</t>
  </si>
  <si>
    <t>Primas</t>
  </si>
  <si>
    <t>Polizas Propias Agentes con Grupo</t>
  </si>
  <si>
    <t>Primas Corregidas Propias Agentes con Grupo</t>
  </si>
  <si>
    <t>SM - Nº Pólizas Inspector Vida Riesgo Mensual</t>
  </si>
  <si>
    <t>SM-O-GEN-Inspector-NumeroPolizas-003-TotalMes</t>
  </si>
  <si>
    <t>SM - Nº Pólizas Inspector Vida Ahorro Mensual</t>
  </si>
  <si>
    <t>SM-O-GEN-Inspector-NumeroPolizas-004-TotalMes</t>
  </si>
  <si>
    <t>SM - Nº Pólizas Inspector Accidentes Mensual</t>
  </si>
  <si>
    <t>SM-O-GEN-Inspector-NumeroPolizas-005-TotalMes</t>
  </si>
  <si>
    <t>SM - Nº Pólizas Inspector Resto Productos Mensual</t>
  </si>
  <si>
    <t>SM-O-GEN-Inspector-NumeroPolizas-006-TotalMes</t>
  </si>
  <si>
    <t>SM - Nº Pólizas Inspector Ocaso Oro Mensual</t>
  </si>
  <si>
    <t>SM-O-GEN-Inspector-NumeroPolizas-007-TotalMes</t>
  </si>
  <si>
    <t>SM - Nº Pólizas Inspector Comunidades Mensual</t>
  </si>
  <si>
    <t>SM-O-GEN-Inspector-NumeroPolizas-008-TotalMes</t>
  </si>
  <si>
    <t>SM - Nº Pólizas Inspector Pyme Express Mensual</t>
  </si>
  <si>
    <t>SM-O-GEN-Inspector-NumeroPolizas-009-TotalMes</t>
  </si>
  <si>
    <t>SM - Nº Pólizas Inspector Prod. Prioritarios Mensual</t>
  </si>
  <si>
    <t>SM-O-GEN-Inspector-NumeroPolizas-997-TotalMes</t>
  </si>
  <si>
    <t>SM-O-GEN-Inspector-NumeroPolizas-998-TotalMes</t>
  </si>
  <si>
    <t>SM - Nº Pólizas Corregidas Inspector Vida Riesgo Mensual</t>
  </si>
  <si>
    <t>SM-O-GEN-Inspector-NumeroPolizasCorregidas-003-TotalMes</t>
  </si>
  <si>
    <t>SM - Nº Pólizas Corregidas Inspector Vida Ahorro Mensual</t>
  </si>
  <si>
    <t>SM-O-GEN-Inspector-NumeroPolizasCorregidas-004-TotalMes</t>
  </si>
  <si>
    <t>SM - Nº Pólizas Corregidas Inspector Accidentes Mensual</t>
  </si>
  <si>
    <t>SM-O-GEN-Inspector-NumeroPolizasCorregidas-005-TotalMes</t>
  </si>
  <si>
    <t>SM - Nº Pólizas Corregidas Inspector Resto Productos Mensual</t>
  </si>
  <si>
    <t>SM-O-GEN-Inspector-NumeroPolizasCorregidas-006-TotalMes</t>
  </si>
  <si>
    <t>SM - Nº Pólizas Corregidas Inspector Ocaso Oro Mensual</t>
  </si>
  <si>
    <t>SM-O-GEN-Inspector-NumeroPolizasCorregidas-007-TotalMes</t>
  </si>
  <si>
    <t>SM - Nº Pólizas Corregidas Inspector Comunidades Mensual</t>
  </si>
  <si>
    <t>SM-O-GEN-Inspector-NumeroPolizasCorregidas-008-TotalMes</t>
  </si>
  <si>
    <t>SM - Nº Pólizas Corregidas Inspector Pyme Express Mensual</t>
  </si>
  <si>
    <t>SM-O-GEN-Inspector-NumeroPolizasCorregidas-009-TotalMes</t>
  </si>
  <si>
    <t>SM-O-GEN-Inspector-NumeroPolizasCorregidas-997-TotalMes</t>
  </si>
  <si>
    <t>SM - Prima Inspector RRTT Mensual</t>
  </si>
  <si>
    <t>SM-O-GEN-Inspector-Prima-001-TotalMes</t>
  </si>
  <si>
    <t>SM - Prima Inspector Hogar Mensual</t>
  </si>
  <si>
    <t>SM-O-GEN-Inspector-Prima-002-TotalMes</t>
  </si>
  <si>
    <t>SM - Prima Inspector Vida Riesgo Mensual</t>
  </si>
  <si>
    <t>SM-O-GEN-Inspector-Prima-003-TotalMes</t>
  </si>
  <si>
    <t>SM - Prima Inspector Vida Ahorro Mensual</t>
  </si>
  <si>
    <t>SM-O-GEN-Inspector-Prima-004-TotalMes</t>
  </si>
  <si>
    <t>SM - Prima Inspector Accidentes Mensual</t>
  </si>
  <si>
    <t>SM-O-GEN-Inspector-Prima-005-TotalMes</t>
  </si>
  <si>
    <t>SM - Prima Inspector Resto Productos Mensual</t>
  </si>
  <si>
    <t>SM-O-GEN-Inspector-Prima-006-TotalMes</t>
  </si>
  <si>
    <t>SM - Prima Inspector OCASO Oro Mensual</t>
  </si>
  <si>
    <t>SM-O-GEN-Inspector-Prima-007-TotalMes</t>
  </si>
  <si>
    <t>SM - Prima Inspector Comunidades Mensual</t>
  </si>
  <si>
    <t>SM-O-GEN-Inspector-Prima-008-TotalMes</t>
  </si>
  <si>
    <t>SM - Prima Inspector Pyme Express Mensual</t>
  </si>
  <si>
    <t>SM-O-GEN-Inspector-Prima-009-TotalMes</t>
  </si>
  <si>
    <t>SM - Prima Inspector RRPP (excl PU y conv/colec) Mensual</t>
  </si>
  <si>
    <t>SM-O-GEN-Inspector-Prima-906-TotalMes</t>
  </si>
  <si>
    <t>SM - Prima Inspector Prod. Prioritarios Mensual</t>
  </si>
  <si>
    <t>SM-O-GEN-Inspector-Prima-997-TotalMes</t>
  </si>
  <si>
    <t>SM - Prima Inspector Total Productos Mensual</t>
  </si>
  <si>
    <t>SM-O-GEN-Inspector-Prima-998-TotalMes</t>
  </si>
  <si>
    <t>SM-O-GEN-Inspector-PrimaCorregida-001-TotalMes</t>
  </si>
  <si>
    <t>SM - Prima Corregida Inspector Hogar Mensual</t>
  </si>
  <si>
    <t>SM-O-GEN-Inspector-PrimaCorregida-002-TotalMes</t>
  </si>
  <si>
    <t>SM - Prima Corregida Inspector Vida Riesgo Mensual</t>
  </si>
  <si>
    <t>SM-O-GEN-Inspector-PrimaCorregida-003-TotalMes</t>
  </si>
  <si>
    <t>SM - Prima Corregida Inspector Vida Ahorro Mensual</t>
  </si>
  <si>
    <t>SM-O-GEN-Inspector-PrimaCorregida-004-TotalMes</t>
  </si>
  <si>
    <t>SM - Prima Corregida Inspector Accidentes Mensual</t>
  </si>
  <si>
    <t>SM-O-GEN-Inspector-PrimaCorregida-005-TotalMes</t>
  </si>
  <si>
    <t>SM - Prima Corregida Inspector Resto Productos Mensual</t>
  </si>
  <si>
    <t>SM-O-GEN-Inspector-PrimaCorregida-006-TotalMes</t>
  </si>
  <si>
    <t>SM - Prima Corregida Inspector OCASO Oro Mensual</t>
  </si>
  <si>
    <t>SM-O-GEN-Inspector-PrimaCorregida-007-TotalMes</t>
  </si>
  <si>
    <t>SM - Prima Corregida Inspector Comunidades Mensual</t>
  </si>
  <si>
    <t>SM-O-GEN-Inspector-PrimaCorregida-008-TotalMes</t>
  </si>
  <si>
    <t>SM - Prima Corregida Inspector Pyme Express Mensual</t>
  </si>
  <si>
    <t>SM-O-GEN-Inspector-PrimaCorregida-009-TotalMes</t>
  </si>
  <si>
    <t>SM - Prima Corregida Inspector RRPP (excl PU y conv/colec) Mensual</t>
  </si>
  <si>
    <t>SM-O-GEN-Inspector-PrimaCorregida-906-TotalMes</t>
  </si>
  <si>
    <t>SM-O-GEN-Inspector-PrimaCorregida-997-TotalMes</t>
  </si>
  <si>
    <t>SM-O-GEN-Inspector-NumeroPolizas-007-TotalAnual</t>
  </si>
  <si>
    <t>SM - Nº Pólizas Inspector Pyme Express Anual</t>
  </si>
  <si>
    <t>SM - Nº Pólizas Corregidas Inspector Vida Riesgo Anual</t>
  </si>
  <si>
    <t>SM-O-GEN-Inspector-NumeroPolizasCorregidas-003-TotalAnual</t>
  </si>
  <si>
    <t>SM - Nº Pólizas Corregidas Inspector Vida Ahorro Anual</t>
  </si>
  <si>
    <t>SM-O-GEN-Inspector-NumeroPolizasCorregidas-004-TotalAnual</t>
  </si>
  <si>
    <t>SM - Nº Pólizas Corregidas Inspector Accidentes Anual</t>
  </si>
  <si>
    <t>SM-O-GEN-Inspector-NumeroPolizasCorregidas-005-TotalAnual</t>
  </si>
  <si>
    <t>SM - Nº Pólizas Corregidas Inspector Resto Productos Anual</t>
  </si>
  <si>
    <t>SM-O-GEN-Inspector-NumeroPolizasCorregidas-006-TotalAnual</t>
  </si>
  <si>
    <t>SM - Nº Pólizas Corregidas Inspector Ocaso Oro Anual</t>
  </si>
  <si>
    <t>SM-O-GEN-Inspector-NumeroPolizasCorregidas-007-TotalAnual</t>
  </si>
  <si>
    <t>SM - Nº Pólizas Corregidas Inspector Comunidades Anual</t>
  </si>
  <si>
    <t>SM-O-GEN-Inspector-NumeroPolizasCorregidas-008-TotalAnual</t>
  </si>
  <si>
    <t>SM - Nº Pólizas Corregidas Inspector Pyme Express Anual</t>
  </si>
  <si>
    <t>SM-O-GEN-Inspector-NumeroPolizasCorregidas-009-TotalAnual</t>
  </si>
  <si>
    <t>SM - Nº Pólizas Corregidas Inspector Prod. Prioritarios Anual</t>
  </si>
  <si>
    <t>SM - Prima Inspector RRTT Anual</t>
  </si>
  <si>
    <t>SM-O-GEN-Inspector-Prima-001-TotalAnual</t>
  </si>
  <si>
    <t>SM - Prima Inspector Hogar Anual</t>
  </si>
  <si>
    <t>SM - Prima Inspector Vida Riesgo Anual</t>
  </si>
  <si>
    <t>SM-O-GEN-Inspector-Prima-003-TotalAnual</t>
  </si>
  <si>
    <t>SM - Prima Inspector Vida Ahorro Anual</t>
  </si>
  <si>
    <t>SM-O-GEN-Inspector-Prima-004-TotalAnual</t>
  </si>
  <si>
    <t>SM - Prima Inspector Accidentes Anual</t>
  </si>
  <si>
    <t>SM-O-GEN-Inspector-Prima-005-TotalAnual</t>
  </si>
  <si>
    <t>SM - Prima Inspector Resto Productos Anual</t>
  </si>
  <si>
    <t>SM-O-GEN-Inspector-Prima-006-TotalAnual</t>
  </si>
  <si>
    <t>SM - Prima Inspector OCASO Oro Anual</t>
  </si>
  <si>
    <t>SM-O-GEN-Inspector-Prima-007-TotalAnual</t>
  </si>
  <si>
    <t>SM - Prima Inspector Comunidades Anual</t>
  </si>
  <si>
    <t>SM-O-GEN-Inspector-Prima-008-TotalAnual</t>
  </si>
  <si>
    <t>SM - Prima Inspector Pyme Express Anual</t>
  </si>
  <si>
    <t>SM-O-GEN-Inspector-Prima-009-TotalAnual</t>
  </si>
  <si>
    <t>SM - Prima Inspector RRPP (excl PU y conv/colec) Anual</t>
  </si>
  <si>
    <t>SM - Prima Inspector Prod. Prioritarios Anual</t>
  </si>
  <si>
    <t>SM-O-GEN-Inspector-Prima-997-TotalAnual</t>
  </si>
  <si>
    <t>SM - Prima Inspector Total Productos Anual</t>
  </si>
  <si>
    <t>SM-O-GEN-Inspector-Prima-998-TotalAnual</t>
  </si>
  <si>
    <t>SM - Prima Corregida Inspector Pyme Express Anual</t>
  </si>
  <si>
    <t>Primas Corregidas</t>
  </si>
  <si>
    <t>SM - Pólizas Físicas RRTT</t>
  </si>
  <si>
    <t>SM-E-GEN-Agente-NumeroPolizas-001-TotalMes</t>
  </si>
  <si>
    <t>SM - Pólizas Físicas Productos Prioritarios</t>
  </si>
  <si>
    <t>SM-E-GEN-Agente-NumeroPolizas-004-TotalMes</t>
  </si>
  <si>
    <t>SM - Pólizas Físicas RRGG</t>
  </si>
  <si>
    <t>SM-E-GEN-Agente-NumeroPolizas-006-TotalMes</t>
  </si>
  <si>
    <t>SM - Pólizas Físicas Total Productos</t>
  </si>
  <si>
    <t>SM-E-GEN-Agente-NumeroPolizas-998</t>
  </si>
  <si>
    <t>SM - Pólizas Corregidas RRTT</t>
  </si>
  <si>
    <t>SM-E-GEN-Agente-NumeroPolizasCorregidas-001-TotalMes</t>
  </si>
  <si>
    <t>SM - Pólizas Corregidas Productos Prioritarios</t>
  </si>
  <si>
    <t>SM-E-GEN-Agente-NumeroPolizasCorregidas-004-TotalMes</t>
  </si>
  <si>
    <t>SM - Pólizas Corregidas RRGG</t>
  </si>
  <si>
    <t>SM-E-GEN-Agente-NumeroPolizasCorregidas-006-TotalMes</t>
  </si>
  <si>
    <t>SM - Pólizas Corregidas Total Productos</t>
  </si>
  <si>
    <t>SM-E-GEN-Agente-NumeroPolizasCorregidas-998-TotalMes</t>
  </si>
  <si>
    <t>SM - Primas Corregidas RRTT</t>
  </si>
  <si>
    <t>SM-E-GEN-Agente-PrimaCorregida-001-TotalMes</t>
  </si>
  <si>
    <t>SM - Primas Corregidas Productos Prioritarios</t>
  </si>
  <si>
    <t>SM-E-GEN-Agente-PrimaCorregida-004-TotalMes</t>
  </si>
  <si>
    <t>SM - Primas Corregidas RRGG</t>
  </si>
  <si>
    <t>SM-E-GEN-Agente-PrimaCorregida-006-TotalMes</t>
  </si>
  <si>
    <t>SM - Primas Corregidas Total Productos</t>
  </si>
  <si>
    <t>SM-E-GEN-Agente-PrimaCorregida-998-TotalMes</t>
  </si>
  <si>
    <t>SM - Pólizas Físicas RRTT Anual</t>
  </si>
  <si>
    <t>SM-E-GEN-Agente-NumeroPolizas-001-TotalAnual</t>
  </si>
  <si>
    <t>SM - Pólizas Físicas Productos Prioritarios Anual</t>
  </si>
  <si>
    <t>SM-E-GEN-Agente-NumeroPolizas-004-TotalAnual</t>
  </si>
  <si>
    <t>SM - Pólizas Físicas RRGG Anual</t>
  </si>
  <si>
    <t>SM-E-GEN-Agente-NumeroPolizas-006-TotalAnual</t>
  </si>
  <si>
    <t>SM - Pólizas Físicas Total Productos Anual</t>
  </si>
  <si>
    <t>SM-E-GEN-Agente-NumeroPolizas-998-TotalAnual</t>
  </si>
  <si>
    <t>SM - Pólizas Corregidas RRTT Anual</t>
  </si>
  <si>
    <t>SM-E-GEN-Agente-NumeroPolizasCorregidas-001-TotalAnual</t>
  </si>
  <si>
    <t>SM - Pólizas Corregidas Productos Prioritarios Anual</t>
  </si>
  <si>
    <t>SM-E-GEN-Agente-NumeroPolizasCorregidas-004-TotalAnual</t>
  </si>
  <si>
    <t>SM - Pólizas Corregidas RRGG Anual</t>
  </si>
  <si>
    <t>SM-E-GEN-Agente-NumeroPolizasCorregidas-006-TotalAnual</t>
  </si>
  <si>
    <t>SM - Pólizas Corregidas Total Productos Anual</t>
  </si>
  <si>
    <t>SM-E-GEN-Agente-NumeroPolizasCorregidas-998-TotalAnual</t>
  </si>
  <si>
    <t>SM - Primas Corregidas RRTT Anual</t>
  </si>
  <si>
    <t>SM-E-GEN-Agente-PrimaCorregida-001-TotalAnual</t>
  </si>
  <si>
    <t>SM - Primas Corregidas Productos Prioritarios Anual</t>
  </si>
  <si>
    <t>SM-E-GEN-Agente-PrimaCorregida-004-TotalAnual</t>
  </si>
  <si>
    <t>SM - Primas Corregidas RRGG Anual</t>
  </si>
  <si>
    <t>SM-E-GEN-Agente-PrimaCorregida-006-TotalAnual</t>
  </si>
  <si>
    <t>SM - Primas Corregidas Total Productos Anual</t>
  </si>
  <si>
    <t>SM-E-GEN-Agente-PrimaCorregida-998-TotalAnual</t>
  </si>
  <si>
    <t>SM - Nº Pólizas Agente RRGG Mensual</t>
  </si>
  <si>
    <t>SM-E-GEN-Agente-NumeroPolizas-RRGG-TotalMes</t>
  </si>
  <si>
    <t>SM - Nº Pólizas Agente Otros Decesos Mensual</t>
  </si>
  <si>
    <t>SM-E-GEN-Agente-NumeroPolizas-OtrosDecesos-TotalMes</t>
  </si>
  <si>
    <t>SM-E-GEN-Agente-NumeroPolizas-TotalProduccion-TotalMes</t>
  </si>
  <si>
    <t>SM-E-GEN-Agente-NumeroPolizasCorregidas-Accidente-TotalMes</t>
  </si>
  <si>
    <t>SM-E-GEN-Agente-NumeroPolizasCorregidas-Hogar-TotalMes</t>
  </si>
  <si>
    <t>SM - Nº Pólizas Corregidas Agente Comunidades Mensual</t>
  </si>
  <si>
    <t>SM-E-GEN-Agente-NumeroPolizasCorregidas-Comunidades-TotalMes</t>
  </si>
  <si>
    <t>SM - Nº Pólizas Corregidas Agente RRGG Mensual</t>
  </si>
  <si>
    <t>SM-E-GEN-Agente-NumeroPolizasCorregidas-RRGG-TotalMes</t>
  </si>
  <si>
    <t>SM-E-GEN-Agente-NumeroPolizasCorregidas-Decesos-TotalMes</t>
  </si>
  <si>
    <t>SM-E-GEN-Agente-NumeroPolizasCorregidas-ProdPrioritarios-TotalMes</t>
  </si>
  <si>
    <t>SM - Nº Pólizas Corregidas Agente Otros Decesos Mensual</t>
  </si>
  <si>
    <t>SM-E-GEN-Agente-NumeroPolizasCorregidas-OtrosDecesos-TotalMes</t>
  </si>
  <si>
    <t>SM-E-GEN-Agente-NumeroPolizasCorregidas-TotalProduccion-TotalMes</t>
  </si>
  <si>
    <t>SM - Prima Corregida Agente Accidentes Mensual</t>
  </si>
  <si>
    <t>SM-E-GEN-Agente-PrimaCorregida-Accidente-TotalMes</t>
  </si>
  <si>
    <t>SM - Prima Corregida Agente Hogar Mensual</t>
  </si>
  <si>
    <t>SM-E-GEN-Agente-PrimaCorregida-Hogar-TotalMes</t>
  </si>
  <si>
    <t>SM - Prima Corregida Agente Comunidades Mensual</t>
  </si>
  <si>
    <t>SM-E-GEN-Agente-PrimaCorregida-Comunidades-TotalMes</t>
  </si>
  <si>
    <t>SM - Prima Corregida Agente RRGG Mensual</t>
  </si>
  <si>
    <t>SM-E-GEN-Agente-PrimaCorregida-RRGG-TotalMes</t>
  </si>
  <si>
    <t>SM - Prima Corregida Agente RRTT Mensual</t>
  </si>
  <si>
    <t>SM-E-GEN-Agente-PrimaCorregida-Decesos-TotalMes</t>
  </si>
  <si>
    <t>SM - Prima Corregida Agente Prod. Prioritarios Mensual</t>
  </si>
  <si>
    <t>SM-E-GEN-Agente-PrimaCorregida-ProdPrioritarios-TotalMes</t>
  </si>
  <si>
    <t>SM - Prima Corregida Agente Otros Decesos Mensual</t>
  </si>
  <si>
    <t>SM-E-GEN-Agente-PrimaCorregida-OtrosDecesos-TotalMes</t>
  </si>
  <si>
    <t>SM - Prima Corregida Agente Total Productos Mensual</t>
  </si>
  <si>
    <t>SM-E-GEN-Agente-PrimaCorregida-TotalProduccion-TotalMes</t>
  </si>
  <si>
    <t>SM-E-GEN-Agente-NumAsegurados-TotalAnual</t>
  </si>
  <si>
    <t>SM-E-GEN-Agente-NumeroPolizas-Accidente-TotalAnual</t>
  </si>
  <si>
    <t>SM-E-GEN-Agente-NumeroPolizas-Hogar-TotalAnual</t>
  </si>
  <si>
    <t>SM - Nº Pólizas Agente Comunidades Anual</t>
  </si>
  <si>
    <t>SM-E-GEN-Agente-NumeroPolizas-Comunidades-TotalAnual</t>
  </si>
  <si>
    <t>SM - Nº Pólizas Agente RRGG Anual</t>
  </si>
  <si>
    <t>SM-E-GEN-Agente-NumeroPolizas-RRGG-TotalAnual</t>
  </si>
  <si>
    <t>SM-E-GEN-Agente-NumeroPolizas-Decesos-TotalAnual</t>
  </si>
  <si>
    <t>SM-E-GEN-Agente-NumeroPolizas-ProdPrioritarios-TotalAnual</t>
  </si>
  <si>
    <t>SM - Nº Pólizas Agente Otros Decesos Anual</t>
  </si>
  <si>
    <t>SM-E-GEN-Agente-NumeroPolizas-OtrosDecesos-TotalAnual</t>
  </si>
  <si>
    <t>SM-E-GEN-Agente-NumeroPolizas-TotalProduccion-TotalAnual</t>
  </si>
  <si>
    <t>SM-E-GEN-Agente-NumeroPolizasCorregidas-Accidente-TotalAnual</t>
  </si>
  <si>
    <t>SM-E-GEN-Agente-NumeroPolizasCorregidas-Hogar-TotalAnual</t>
  </si>
  <si>
    <t>SM - Nº Pólizas Corregidas Agente Comunidades Anual</t>
  </si>
  <si>
    <t>SM-E-GEN-Agente-NumeroPolizasCorregidas-Comunidades-TotalAnual</t>
  </si>
  <si>
    <t>SM - Nº Pólizas Corregidas Agente RRGG Anual</t>
  </si>
  <si>
    <t>SM-E-GEN-Agente-NumeroPolizasCorregidas-RRGG-TotalAnual</t>
  </si>
  <si>
    <t>SM-E-GEN-Agente-NumeroPolizasCorregidas-Decesos-TotalAnual</t>
  </si>
  <si>
    <t>SM-E-GEN-Agente-NumeroPolizasCorregidas-ProdPrioritarios-TotalAnual</t>
  </si>
  <si>
    <t>SM - Nº Pólizas Corregidas Agente Otros Decesos Anual</t>
  </si>
  <si>
    <t>SM-E-GEN-Agente-NumeroPolizasCorregidas-OtrosDecesos-TotalAnual</t>
  </si>
  <si>
    <t>SM-E-GEN-Agente-NumeroPolizasCorregidas-TotalProduccion-TotalAnual</t>
  </si>
  <si>
    <t>SM - Prima Corregida Agente Accidentes Anual</t>
  </si>
  <si>
    <t>SM-E-GEN-Agente-PrimaCorregida-Accidente-TotalAnual</t>
  </si>
  <si>
    <t>SM - Prima Corregida Agente Hogar Anual</t>
  </si>
  <si>
    <t>SM-E-GEN-Agente-PrimaCorregida-Hogar-TotalAnual</t>
  </si>
  <si>
    <t>SM - Prima Corregida Agente Comunidades Anual</t>
  </si>
  <si>
    <t>SM-E-GEN-Agente-PrimaCorregida-Comunidades-TotalAnual</t>
  </si>
  <si>
    <t>SM - Prima Corregida Agente RRGG Anual</t>
  </si>
  <si>
    <t>SM-E-GEN-Agente-PrimaCorregida-RRGG-TotalAnual</t>
  </si>
  <si>
    <t>SM - Prima Corregida Agente RRTT Anual</t>
  </si>
  <si>
    <t>SM-E-GEN-Agente-PrimaCorregida-Decesos-TotalAnual</t>
  </si>
  <si>
    <t>SM - Prima Corregida Agente Prod. Prioritarios Anual</t>
  </si>
  <si>
    <t>SM-E-GEN-Agente-PrimaCorregida-ProdPrioritarios-TotalAnual</t>
  </si>
  <si>
    <t>SM - Prima Corregida Agente Otros Decesos Anual</t>
  </si>
  <si>
    <t>SM-E-GEN-Agente-PrimaCorregida-OtrosDecesos-TotalAnual</t>
  </si>
  <si>
    <t>SM - Prima Corregida Agente Total Productos Anual</t>
  </si>
  <si>
    <t>SM-E-GEN-Agente-PrimaCorregida-TotalProduccion-TotalAnual</t>
  </si>
  <si>
    <t>DC-E-GEN-Agente-PrimaCorregida-998</t>
  </si>
  <si>
    <t>SM-E-GEN-Inspector-NumeroPolizas-001-TotalMes</t>
  </si>
  <si>
    <t>SM-E-GEN-Inspector-NumeroPolizas-003-TotalMes</t>
  </si>
  <si>
    <t>SM-E-GEN-Inspector-NumeroPolizas-998-TotalMes</t>
  </si>
  <si>
    <t>SM-E-GEN-Inspector-Prima-001-TotalMes</t>
  </si>
  <si>
    <t>SM-E-GEN-Inspector-Prima-003-TotalMes</t>
  </si>
  <si>
    <t>SM-E-GEN-Inspector-Prima-998-TotalMes</t>
  </si>
  <si>
    <t>SM-E-GEN-Inspector-PrimaCorregida-001-TotalMes</t>
  </si>
  <si>
    <t>SM-E-GEN-Inspector-PrimaCorregida-003-TotalMes</t>
  </si>
  <si>
    <t>SM-E-GEN-Inspector-PrimaCorregida-998-TotalMes</t>
  </si>
  <si>
    <t>Acumulado Polizas</t>
  </si>
  <si>
    <t>SM-E-GEN-Inspector-NumeroPolizas-001-TotalAnual</t>
  </si>
  <si>
    <t>SM-E-GEN-Inspector-NumeroPolizas-003-TotalAnual</t>
  </si>
  <si>
    <t>SM-E-GEN-Inspector-NumeroPolizas-998-TotalAnual</t>
  </si>
  <si>
    <t>Acumulado Primas</t>
  </si>
  <si>
    <t>SM-E-GEN-Inspector-Prima-001-TotalAnual</t>
  </si>
  <si>
    <t>SM-E-GEN-Inspector-Prima-003-TotalAnual</t>
  </si>
  <si>
    <t>SM-E-GEN-Inspector-Prima-998-TotalAnual</t>
  </si>
  <si>
    <t>Acumulado Primas Corregidas</t>
  </si>
  <si>
    <t>SM-E-GEN-Inspector-PrimaCorregida-001-TotalAnual</t>
  </si>
  <si>
    <t>SM-E-GEN-Inspector-PrimaCorregida-003-TotalAnual</t>
  </si>
  <si>
    <t>SM-E-GEN-Inspector-PrimaCorregida-998-TotalAnual</t>
  </si>
  <si>
    <t>SM-E-GEN-Inspector-NumeroPolizas-Accidente-TotalMes</t>
  </si>
  <si>
    <t>SM-E-GEN-Inspector-NumeroPolizas-Hogar-TotalMes</t>
  </si>
  <si>
    <t>SM-E-GEN-Inspector-NumeroPolizas-Comunidades-TotalMes</t>
  </si>
  <si>
    <t>SM - Nº Pólizas Inspector RRGG Mensual</t>
  </si>
  <si>
    <t>SM-E-GEN-Inspector-NumeroPolizas-RRGG-TotalMes</t>
  </si>
  <si>
    <t>SM-E-GEN-Inspector-NumeroPolizas-Decesos-TotalMes</t>
  </si>
  <si>
    <t>SM-E-GEN-Inspector-NumeroPolizas-ProdPrioritarios-TotalMes</t>
  </si>
  <si>
    <t>SM - Nº Pólizas Inspector Otros Decesos Mensual</t>
  </si>
  <si>
    <t>SM-E-GEN-Inspector-NumeroPolizas-OtrosDecesos-TotalMes</t>
  </si>
  <si>
    <t>SM-E-GEN-Inspector-NumeroPolizas-TotalProduccion-TotalMes</t>
  </si>
  <si>
    <t>SM-E-GEN-Inspector-NumeroPolizasCorregidas-Accidente-TotalMes</t>
  </si>
  <si>
    <t>SM-E-GEN-Inspector-NumeroPolizasCorregidas-Hogar-TotalMes</t>
  </si>
  <si>
    <t>SM-E-GEN-Inspector-NumeroPolizasCorregidas-Comunidades-TotalMes</t>
  </si>
  <si>
    <t>SM - Nº Pólizas Corregidas Inspector RRGG Mensual</t>
  </si>
  <si>
    <t>SM-E-GEN-Inspector-NumeroPolizasCorregidas-RRGG-TotalMes</t>
  </si>
  <si>
    <t>SM-E-GEN-Inspector-NumeroPolizasCorregidas-Decesos-TotalMes</t>
  </si>
  <si>
    <t>SM - Nº Pólizas Corregidas Inspector Otros Decesos Mensual</t>
  </si>
  <si>
    <t>SM-E-GEN-Inspector-NumeroPolizasCorregidas-OtrosDecesos-TotalMes</t>
  </si>
  <si>
    <t>SM-E-GEN-Inspector-NumeroPolizasCorregidas-TotalProduccion-TotalMes</t>
  </si>
  <si>
    <t>SM-E-GEN-Inspector-Prima-Accidente-TotalMes</t>
  </si>
  <si>
    <t>SM-E-GEN-Inspector-Prima-Hogar-TotalMes</t>
  </si>
  <si>
    <t>SM-E-GEN-Inspector-Prima-Comunidades-TotalMes</t>
  </si>
  <si>
    <t>SM - Prima Inspector RRGG Mensual</t>
  </si>
  <si>
    <t>SM-E-GEN-Inspector-Prima-RRGG-TotalMes</t>
  </si>
  <si>
    <t>SM-E-GEN-Inspector-Prima-Decesos-TotalMes</t>
  </si>
  <si>
    <t>SM-E-GEN-Inspector-Prima-ProdPrioritarios-TotalMes</t>
  </si>
  <si>
    <t>SM - Prima Inspector Otros Decesos Mensual</t>
  </si>
  <si>
    <t>SM-E-GEN-Inspector-Prima-OtrosDecesos-TotalMes</t>
  </si>
  <si>
    <t>SM-E-GEN-Inspector-Prima-TotalProduccion-TotalMes</t>
  </si>
  <si>
    <t>SM-E-GEN-Inspector-PrimaCorregida-Accidente-TotalMes</t>
  </si>
  <si>
    <t>SM-E-GEN-Inspector-PrimaCorregida-Hogar-TotalMes</t>
  </si>
  <si>
    <t>SM-E-GEN-Inspector-PrimaCorregida-Comunidades-TotalMes</t>
  </si>
  <si>
    <t>SM - Prima Corregida Inspector RRGG Mensual</t>
  </si>
  <si>
    <t>SM-E-GEN-Inspector-PrimaCorregida-RRGG-TotalMes</t>
  </si>
  <si>
    <t>SM - Prima Corregida Inspector RRTT Mensual</t>
  </si>
  <si>
    <t>SM-E-GEN-Inspector-PrimaCorregida-Decesos-TotalMes</t>
  </si>
  <si>
    <t>SM - Prima Corregida Inspector Otros Decesos Mensual</t>
  </si>
  <si>
    <t>SM-E-GEN-Inspector-PrimaCorregida-OtrosDecesos-TotalMes</t>
  </si>
  <si>
    <t>SM-E-GEN-Inspector-PrimaCorregida-TotalProduccion-TotalMes</t>
  </si>
  <si>
    <t>SM-E-GEN-Inspector-NumAsegurados-TotalMes</t>
  </si>
  <si>
    <t>SM-E-GEN-Inspector-NumAsegurados-TotalAnual</t>
  </si>
  <si>
    <t>SM-E-GEN-Inspector-NumeroPolizas-Accidente-TotalAnual</t>
  </si>
  <si>
    <t>SM-E-GEN-Inspector-NumeroPolizas-Hogar-TotalAnual</t>
  </si>
  <si>
    <t>SM-E-GEN-Inspector-NumeroPolizas-Comunidades-TotalAnual</t>
  </si>
  <si>
    <t>SM - Nº Pólizas Inspector RRGG Anual</t>
  </si>
  <si>
    <t>SM-E-GEN-Inspector-NumeroPolizas-RRGG-TotalAnual</t>
  </si>
  <si>
    <t>SM-E-GEN-Inspector-NumeroPolizas-Decesos-TotalAnual</t>
  </si>
  <si>
    <t>SM-E-GEN-Inspector-NumeroPolizas-ProdPrioritarios-TotalAnual</t>
  </si>
  <si>
    <t>SM - Nº Pólizas Inspector Otros Decesos Anual</t>
  </si>
  <si>
    <t>SM-E-GEN-Inspector-NumeroPolizas-OtrosDecesos-TotalAnual</t>
  </si>
  <si>
    <t>SM-E-GEN-Inspector-NumeroPolizas-TotalProduccion-TotalAnual</t>
  </si>
  <si>
    <t>SM - Nº Pólizas Corregidas Inspector RRGG Anual</t>
  </si>
  <si>
    <t>SM-E-GEN-Inspector-NumeroPolizasCorregidas-RRGG-TotalAnual</t>
  </si>
  <si>
    <t>SM - Nº Pólizas Corregidas Inspector Otros Decesos Anual</t>
  </si>
  <si>
    <t>SM-E-GEN-Inspector-NumeroPolizasCorregidas-OtrosDecesos-TotalAnual</t>
  </si>
  <si>
    <t>SM-E-GEN-Inspector-Prima-Accidente-TotalAnual</t>
  </si>
  <si>
    <t>SM-E-GEN-Inspector-Prima-Hogar-TotalAnual</t>
  </si>
  <si>
    <t>SM-E-GEN-Inspector-Prima-Comunidades-TotalAnual</t>
  </si>
  <si>
    <t>SM - Prima Inspector RRGG Anual</t>
  </si>
  <si>
    <t>SM-E-GEN-Inspector-Prima-RRGG-TotalAnual</t>
  </si>
  <si>
    <t>SM-E-GEN-Inspector-Prima-Decesos-TotalAnual</t>
  </si>
  <si>
    <t>SM-E-GEN-Inspector-Prima-ProdPrioritarios-TotalAnual</t>
  </si>
  <si>
    <t>SM - Prima Inspector Otros Decesos Anual</t>
  </si>
  <si>
    <t>SM-E-GEN-Inspector-Prima-OtrosDecesos-TotalAnual</t>
  </si>
  <si>
    <t>SM-E-GEN-Inspector-Prima-TotalProduccion-TotalAnual</t>
  </si>
  <si>
    <t>SM-E-GEN-Inspector-PrimaCorregida-Accidente-TotalAnual</t>
  </si>
  <si>
    <t>SM-E-GEN-Inspector-PrimaCorregida-Hogar-TotalAnual</t>
  </si>
  <si>
    <t>SM-E-GEN-Inspector-PrimaCorregida-Comunidades-TotalAnual</t>
  </si>
  <si>
    <t>SM - Prima Corregida Inspector RRGG Anual</t>
  </si>
  <si>
    <t>SM-E-GEN-Inspector-PrimaCorregida-RRGG-TotalAnual</t>
  </si>
  <si>
    <t>SM-E-GEN-Inspector-PrimaCorregida-Decesos-TotalAnual</t>
  </si>
  <si>
    <t>SM - Prima Corregida Inspector Otros Decesos Anual</t>
  </si>
  <si>
    <t>SM-E-GEN-Inspector-PrimaCorregida-OtrosDecesos-TotalAnual</t>
  </si>
  <si>
    <t>DC - Nº Pólizas Agente Nueva Producción</t>
  </si>
  <si>
    <t>DC - Nº Pólizas Agente Renovaciones</t>
  </si>
  <si>
    <t>DC - Nº Pólizas Agente Recuperaciones</t>
  </si>
  <si>
    <t>DC - Primas Agente Total Productos</t>
  </si>
  <si>
    <t>DC - Nº Pólizas Agente con Grupo Nueva Producción</t>
  </si>
  <si>
    <t>DC - Nº Pólizas Agente con Grupo Renovación</t>
  </si>
  <si>
    <t>DC - Primas Corregidas Agente con Grupo Total Productos</t>
  </si>
  <si>
    <t>DC - Nº Pólizas Inspector Propias Nueva Producción</t>
  </si>
  <si>
    <t>IC - Nº Pólizas Inspector Agentes Nueva Producción</t>
  </si>
  <si>
    <t>DC - Nº Pólizas Inspector Propias Renovación</t>
  </si>
  <si>
    <t>IC - Nº Pólizas Inspector Agentes Renovación</t>
  </si>
  <si>
    <t>DC - Primas Corregidas Inspector Propias Total Productos</t>
  </si>
  <si>
    <t>DC - Primas Corregidas Inspector Agentes Total Productos</t>
  </si>
  <si>
    <t>Version 20180130</t>
  </si>
  <si>
    <t>SM - Primas Inspector Total Productos Mensual</t>
  </si>
  <si>
    <t>Objetivo Polizas Anual</t>
  </si>
  <si>
    <t>Objetivo Primas Anual</t>
  </si>
  <si>
    <t>PM-E-GEN-Agente-NumAsegurados</t>
  </si>
  <si>
    <t>Version 20180229</t>
  </si>
  <si>
    <t>PM - Nº Pólizas Inspector Accidentes Propia</t>
  </si>
  <si>
    <t>PM-E-GEN-Inspector-NumeroPolizas-Accidente-Propia</t>
  </si>
  <si>
    <t>PM - Nº Pólizas Inspector Hogar Propia</t>
  </si>
  <si>
    <t>PM-E-GEN-Inspector-NumeroPolizas-Hogar-Propia</t>
  </si>
  <si>
    <t>PM - Nº Pólizas Inspector Comunidades Propia</t>
  </si>
  <si>
    <t>PM-E-GEN-Inspector-NumeroPolizas-Comunidades-Propia</t>
  </si>
  <si>
    <t>PM - Nº Pólizas Inspector RRGG Propia</t>
  </si>
  <si>
    <t>PM-E-GEN-Inspector-NumeroPolizas-RRGG-Propia</t>
  </si>
  <si>
    <t>PM - Nº Pólizas Inspector RRTT Propia</t>
  </si>
  <si>
    <t>PM-E-GEN-Inspector-NumeroPolizas-Decesos-Propia</t>
  </si>
  <si>
    <t>PM - Nº Pólizas Inspector Prod. Prioritarios Propia</t>
  </si>
  <si>
    <t>PM-E-GEN-Inspector-NumeroPolizas-ProdPrioritarios-Propia</t>
  </si>
  <si>
    <t>PM - Nº Pólizas Inspector Otros Decesos Propia</t>
  </si>
  <si>
    <t>PM-E-GEN-Inspector-NumeroPolizas-OtrosDecesos-Propia</t>
  </si>
  <si>
    <t>PM - Nº Pólizas Inspector Total Productos Propia</t>
  </si>
  <si>
    <t>PM-E-GEN-Inspector-NumeroPolizas-TotalProduccion-Propia</t>
  </si>
  <si>
    <t>PM - Nº Pólizas Corregidas Inspector Accidentes Propia</t>
  </si>
  <si>
    <t>PM-E-GEN-Inspector-NumeroPolizasCorregidas-Accidente-Propia</t>
  </si>
  <si>
    <t>PM - Nº Pólizas Corregidas Inspector Hogar Propia</t>
  </si>
  <si>
    <t>PM-E-GEN-Inspector-NumeroPolizasCorregidas-Hogar-Propia</t>
  </si>
  <si>
    <t>PM - Nº Pólizas Corregidas Inspector Comunidades Propia</t>
  </si>
  <si>
    <t>PM-E-GEN-Inspector-NumeroPolizasCorregidas-Comunidades-Propia</t>
  </si>
  <si>
    <t>PM - Nº Pólizas Corregidas Inspector RRGG Propia</t>
  </si>
  <si>
    <t>PM-E-GEN-Inspector-NumeroPolizasCorregidas-RRGG-Propia</t>
  </si>
  <si>
    <t>PM - Nº Pólizas Corregidas Inspector Otros Decesos Propia</t>
  </si>
  <si>
    <t>PM-E-GEN-Inspector-NumeroPolizasCorregidas-OtrosDecesos-Propia</t>
  </si>
  <si>
    <t>PM - Nº Pólizas Corregidas Inspector Total Productos Propia</t>
  </si>
  <si>
    <t>PM-E-GEN-Inspector-NumeroPolizasCorregidas-TotalProduccion-Propia</t>
  </si>
  <si>
    <t>PM - Prima Inspector Accidentes Propia</t>
  </si>
  <si>
    <t>PM-E-GEN-Inspector-Prima-Accidente-Propia</t>
  </si>
  <si>
    <t>PM - Prima Inspector Hogar Propia</t>
  </si>
  <si>
    <t xml:space="preserve">PM-E-GEN-Inspector-Prima-Hogar-Propia </t>
  </si>
  <si>
    <t>Version 20180517</t>
  </si>
  <si>
    <t>PM-E-GEN-Inspector-Prima-Hogar-Propia</t>
  </si>
  <si>
    <t>PM - Prima Inspector Comunidades Propia</t>
  </si>
  <si>
    <t>PM-E-GEN-Inspector-Prima-Comunidades-Propia</t>
  </si>
  <si>
    <t>PM - Prima Inspector RRGG Propia</t>
  </si>
  <si>
    <t>PM-E-GEN-Inspector-Prima-RRGG-Propia</t>
  </si>
  <si>
    <t>PM - Prima Inspector RRTT Propia</t>
  </si>
  <si>
    <t>PM-E-GEN-Inspector-Prima-Decesos-Propia</t>
  </si>
  <si>
    <t>PM - Prima Inspector Prod. Prioritarios Propia</t>
  </si>
  <si>
    <t>PM-E-GEN-Inspector-Prima-ProdPrioritarios-Propia</t>
  </si>
  <si>
    <t>PM - Prima Inspector Otros Decesos Propia</t>
  </si>
  <si>
    <t>PM-E-GEN-Inspector-Prima-OtrosDecesos-Propia</t>
  </si>
  <si>
    <t>PM - Prima Inspector Total Productos Propia</t>
  </si>
  <si>
    <t>PM-E-GEN-Inspector-Prima-TotalProduccion-Propia</t>
  </si>
  <si>
    <t>SM - Primas Total Mensual</t>
  </si>
  <si>
    <t>SM-O-CSA-Agente-Prima-TotalMes</t>
  </si>
  <si>
    <t>Versión 20211006</t>
  </si>
  <si>
    <t>SM - Primas Total Acumulado</t>
  </si>
  <si>
    <t>SM-O-CSA-Agente-Prima-Acum</t>
  </si>
  <si>
    <t>PM - Detalle Primas</t>
  </si>
  <si>
    <t>PM-O-CSA-Agente-Prima</t>
  </si>
  <si>
    <t>IC-E-GEN-Inspector-NumeroPolizas-998-Renov</t>
  </si>
  <si>
    <t>Version 20220101</t>
  </si>
  <si>
    <t>Gestiones referencias explotación</t>
  </si>
  <si>
    <t>DC-O-COM-GestionExplotacion</t>
  </si>
  <si>
    <t>Versión 20220121</t>
  </si>
  <si>
    <t>D-O-GestionExplotacion-PagoInicial</t>
  </si>
  <si>
    <t>SM - Porcentaje Consecucion</t>
  </si>
  <si>
    <t>SM-O-COM-GestionExplotacion-PorcentajeConsecucion</t>
  </si>
  <si>
    <t>Versión 20220523</t>
  </si>
  <si>
    <t>SM - Gestiones</t>
  </si>
  <si>
    <t>SM-O-COM-GestionExplotacion</t>
  </si>
  <si>
    <t>SM - Porcentaje Pago</t>
  </si>
  <si>
    <t>SM-O-COM-GestionExplotacion-PorcentajePagoFinal</t>
  </si>
  <si>
    <t>SM-O-COM-GestionExplotacion-ImportePago</t>
  </si>
  <si>
    <t>DC - Detalle Gestiones</t>
  </si>
  <si>
    <t>SM-E-GEN-Agente-NumPolCorregidas-ProdPrioritarios-TotalSemestre</t>
  </si>
  <si>
    <t>Version 20230101</t>
  </si>
  <si>
    <t>SM-E-RSemestral-Agente-Pago</t>
  </si>
  <si>
    <t>SM-O-RPP-Agente-Rappel-Pago-MensualXXL</t>
  </si>
  <si>
    <t>Version 20220801</t>
  </si>
  <si>
    <t>SM-O-RPP-Agente-Rappel-Pago-MensualXL</t>
  </si>
  <si>
    <t>IC-O-GEN-Inspector-PrimaCorregida-998-Captacion</t>
  </si>
  <si>
    <t>IC-O-GEN-Inspector-NumeroPolizas-998-Captacion</t>
  </si>
  <si>
    <t>SM-E-GEN-Inspector-NumPolCorregidas-ProdPrioritarios-TotalSemestre</t>
  </si>
  <si>
    <t>SM-E-ImportePago-Semestral</t>
  </si>
  <si>
    <t>SM-E-RSEM-AG-ImportePago</t>
  </si>
  <si>
    <t>Versión 20230525</t>
  </si>
  <si>
    <t>PrimaCorregida-ProdPrioritarios Trimestre</t>
  </si>
  <si>
    <t>SM-E-GEN-Agente-PrimaCorregida-ProdPrioritarios-TotalTrimestre</t>
  </si>
  <si>
    <t>Version 20240101</t>
  </si>
  <si>
    <t>Rappel Trimestral por Primas Corregidas de nueva producción.</t>
  </si>
  <si>
    <t>SM-E-R-Agente-Pago-Primas-Trimestre</t>
  </si>
  <si>
    <t>SM-Polizas fisicas Vida/Accidente</t>
  </si>
  <si>
    <t>SM-O-REP-Inspector-NumeroPolizas-VidaAccidentes-TotalMes</t>
  </si>
  <si>
    <t>SM-Polizas Corregidas Vida/Accidente</t>
  </si>
  <si>
    <t>SM-O-REP-Inspector-NumeroPolizasCorregidas-VidaAccidentes-TotalMes</t>
  </si>
  <si>
    <t>PM- PolizasCorregidas Vida/Accidente Propia</t>
  </si>
  <si>
    <t>PM-O-REP-Inspector-NumeroPolizasCorregidas-VidaAccidentes</t>
  </si>
  <si>
    <t>PM- PolizasCorregidas Vida/Accidente Agentes</t>
  </si>
  <si>
    <t>PM-O-REP-Inspector-NumeroPolizasCorregidas-VidaAccidentes-Agentes</t>
  </si>
  <si>
    <t>SM-Primas Anual Vida/Accidente</t>
  </si>
  <si>
    <t>SM-O-REP-Inspector-PrimaAnual-VidaAccidentes</t>
  </si>
  <si>
    <t xml:space="preserve">PM-Primas Anual Vida/Accidente </t>
  </si>
  <si>
    <t>PM-O-REP-Inspector-PrimaAnual-VidaAccidentes</t>
  </si>
  <si>
    <t>SM-Primas Anual Vida/Accidente trimestral</t>
  </si>
  <si>
    <t>SM-O-REP-Inspector-PrimaAnual-VidaAccidentes-Trim</t>
  </si>
  <si>
    <t>SM - Pago Trimestral Asegurados</t>
  </si>
  <si>
    <t>SM-O-REAS-Inspector-Pago</t>
  </si>
  <si>
    <t>SM - Asegurados Trimestrales</t>
  </si>
  <si>
    <t>SM-O-REAS-Inspector-NumAsegurados-Trim</t>
  </si>
  <si>
    <t>SM-E-R1-Agente-PagoMensual</t>
  </si>
  <si>
    <t>SM-O-Inspector-Incentivo-Pago</t>
  </si>
  <si>
    <t>SM-O-Inspector-Incentivo-PremEspe</t>
  </si>
  <si>
    <t>SM-O-Inspector-Incentivo-RegAnual</t>
  </si>
  <si>
    <t>SM-O-Inspector-Incentivo-RRGG-Mes</t>
  </si>
  <si>
    <t>SM-O-Inspector-Incentivo-RRGG-Pago</t>
  </si>
  <si>
    <t>SM-O-Inspector-Incentivo-RRPP-Mes</t>
  </si>
  <si>
    <t>SM-O-Inspector-Incentivo-RRPP-Pago</t>
  </si>
  <si>
    <t>SM-O-Inspector-Incentivo-Asegurados-Pago</t>
  </si>
  <si>
    <t>SM-O-Inspector-Incentivo-Asegurados-RegAnual</t>
  </si>
  <si>
    <t>Comision Cartera Agentes de Zona</t>
  </si>
  <si>
    <t>DC-O-COM-AgenteZona-Porcentaje</t>
  </si>
  <si>
    <t>SM-O-COM-AgenteZona</t>
  </si>
  <si>
    <t>Version 20240102</t>
  </si>
  <si>
    <t>DC-O-COM-Conservacion-ComisionCalculada-N</t>
  </si>
  <si>
    <t>Version 20250101</t>
  </si>
  <si>
    <t>DC-O-COM-Conservacion-PorcentajeFijo-N</t>
  </si>
  <si>
    <t>DC-O-COM-Conservacion-RecalcularPorcentaje-N</t>
  </si>
  <si>
    <t>DC-O-COM-NuevaProduccion-ComisionCalculada-N</t>
  </si>
  <si>
    <t>DC-O-COM-NuevaProduccion-Emision-N</t>
  </si>
  <si>
    <t>DC-O-COM-NuevaProduccion-PorcentajeFijo-N</t>
  </si>
  <si>
    <t>id</t>
  </si>
  <si>
    <t>LINEA</t>
  </si>
  <si>
    <t>TIPO</t>
  </si>
  <si>
    <t>REGLA VIEJA</t>
  </si>
  <si>
    <t>NOMBRE SALIDA REGLA VIEJA</t>
  </si>
  <si>
    <t>REGLA NUEVA</t>
  </si>
  <si>
    <t>NOMBRE SALIDA REGLA NUEVA</t>
  </si>
  <si>
    <t>ACCION</t>
  </si>
  <si>
    <t>Inspector</t>
  </si>
  <si>
    <t>DC</t>
  </si>
  <si>
    <t>DC-GEN-NumeroPolizas-001</t>
  </si>
  <si>
    <t>DC-O-GEN-Inspector-NumeroPolizas-001</t>
  </si>
  <si>
    <t>CAMBIO NOMBRE</t>
  </si>
  <si>
    <t>DC-O-GEN-Inspector-NumeroPolizas-002</t>
  </si>
  <si>
    <t>IC</t>
  </si>
  <si>
    <t>IC-GEN-NumeroPolizas-001</t>
  </si>
  <si>
    <t>IC-O-GEN-Inspector-NumeroPolizas-001</t>
  </si>
  <si>
    <t>IC-O-GEN-Inspector-NumeroPolizas-002</t>
  </si>
  <si>
    <t>DC-O-GEN-Inspector-NumeroPolizas-003</t>
  </si>
  <si>
    <t>NUEVA</t>
  </si>
  <si>
    <t>DC-O-GEN-Inspector-NumeroPolizas-004</t>
  </si>
  <si>
    <t>DC-O-GEN-Inspector-NumeroPolizas-005</t>
  </si>
  <si>
    <t>DC-O-GEN-Inspector-NumeroPolizas-006</t>
  </si>
  <si>
    <t>DC-O-GEN-Inspector-NumeroPolizas-007</t>
  </si>
  <si>
    <t>IC-O-GEN-Inspector-NumeroPolizas-003</t>
  </si>
  <si>
    <t>IC-O-GEN-Inspector-NumeroPolizas-004</t>
  </si>
  <si>
    <t>IC-O-GEN-Inspector-NumeroPolizas-005</t>
  </si>
  <si>
    <t>IC-O-GEN-Inspector-NumeroPolizas-006</t>
  </si>
  <si>
    <t>IC-O-GEN-Inspector-NumeroPolizas-007</t>
  </si>
  <si>
    <t>DC-O-GEN-Inspector-NumeroPolizas-009</t>
  </si>
  <si>
    <t>IC-O-GEN-Inspector-NumeroPolizas-009</t>
  </si>
  <si>
    <t>DC-O-GEN-Inspector-NumeroPolizas-997</t>
  </si>
  <si>
    <t>DC-O-GEN-Inspector-NumeroPolizas-998 y GB1</t>
  </si>
  <si>
    <t>ELIMINAR</t>
  </si>
  <si>
    <t>IC-O-GEN-Inspector-NumeroPolizas-997</t>
  </si>
  <si>
    <t>IC-O-GEN-Inspector-NumeroPolizas-998 y GB1</t>
  </si>
  <si>
    <t>PM</t>
  </si>
  <si>
    <t>PM-O-GEN-Inspector-NumeroPolizas-003-Agentes</t>
  </si>
  <si>
    <t>PM-O-GEN-Inspector-NumeroPolizas-003</t>
  </si>
  <si>
    <t>PM-O-GEN-Inspector-NumeroPolizas-004-Agentes</t>
  </si>
  <si>
    <t>PM-O-GEN-Inspector-NumeroPolizas-004</t>
  </si>
  <si>
    <t>PM-O-GEN-Inspector-NumeroPolizas-006-Agentes</t>
  </si>
  <si>
    <t>PM-O-GEN-Inspector-NumeroPolizas-005</t>
  </si>
  <si>
    <t>PM-O-GEN-Inspector-NumeroPolizas-006</t>
  </si>
  <si>
    <t>PM-O-GEN-Inspector-NumeroPolizas-007-Agentes</t>
  </si>
  <si>
    <t>PM-O-GEN-Inspector-NumeroPolizas-007</t>
  </si>
  <si>
    <t>PM-O-GEN-Inspector-NumeroPolizas-009-Agentes</t>
  </si>
  <si>
    <t>PM-O-GEN-Inspector-NumeroPolizas-009</t>
  </si>
  <si>
    <t>SM</t>
  </si>
  <si>
    <t>SM-RPP-Inspector-NumeroPolizas-001-Propia</t>
  </si>
  <si>
    <t>SM-O-GEN-Inspector-NumeroPolizas-001-Propia</t>
  </si>
  <si>
    <t>SM-RPP-Inspector-NumeroPolizas-001-Agentes</t>
  </si>
  <si>
    <t>SM-O-GEN-Inspector-NumeroPolizas-001-Agentes</t>
  </si>
  <si>
    <t>SM-RPP-Inspector-NumeroPolizas-002-Propia</t>
  </si>
  <si>
    <t>SM-O-GEN-Inspector-NumeroPolizas-002-Propia</t>
  </si>
  <si>
    <t>SM-RPP-Inspector-NumeroPolizas-002-Agentes</t>
  </si>
  <si>
    <t>SM-O-GEN-Inspector-NumeroPolizas-002-Agentes</t>
  </si>
  <si>
    <t>SM-RPP-Inspector-NumeroPolizas-998-Propia</t>
  </si>
  <si>
    <t>SM-O-GEN-Inspector-NumeroPolizas-998-Propia</t>
  </si>
  <si>
    <t>SM-RPP-Inspector-NumeroPolizas-998-Agentes</t>
  </si>
  <si>
    <t>SM-O-GEN-Inspector-NumeroPolizas-998-Agentes</t>
  </si>
  <si>
    <t>PM-O-GEN-Inspector-Prima-998-Agentes</t>
  </si>
  <si>
    <t>PM-O-GEN-Inspector-Prima-998</t>
  </si>
  <si>
    <t>IGUAL</t>
  </si>
  <si>
    <t>PM-O-GEN-Inspector-Prima-001-Agentes</t>
  </si>
  <si>
    <t>PM-O-GEN-Inspector-Prima-001</t>
  </si>
  <si>
    <t>PM-O-GEN-Inspector-Prima-002-Agentes</t>
  </si>
  <si>
    <t>PM-O-GEN-Inspector-Prima-002</t>
  </si>
  <si>
    <t>PM-O-GEN-Inspector-Prima-003-Agentes</t>
  </si>
  <si>
    <t>PM-O-GEN-Inspector-Prima-003</t>
  </si>
  <si>
    <t>PM-O-GEN-Inspector-Prima-004-Agentes</t>
  </si>
  <si>
    <t>PM-O-GEN-Inspector-Prima-004</t>
  </si>
  <si>
    <t>PM-O-GEN-Inspector-Prima-005-Agentes</t>
  </si>
  <si>
    <t>PM-O-GEN-Inspector-Prima-005</t>
  </si>
  <si>
    <t>PM-O-GEN-Inspector-Prima-006-Agentes</t>
  </si>
  <si>
    <t>PM-O-GEN-Inspector-Prima-006</t>
  </si>
  <si>
    <t>PM-O-GEN-Inspector-Prima-007-Agentes</t>
  </si>
  <si>
    <t>PM-O-GEN-Inspector-Prima-007</t>
  </si>
  <si>
    <t>PM-O-GEN-Inspector-Prima-008-Agentes</t>
  </si>
  <si>
    <t>PM-O-GEN-Inspector-Prima-008</t>
  </si>
  <si>
    <t>PM-O-GEN-Inspector-Prima-009-Agentes</t>
  </si>
  <si>
    <t>PM-O-GEN-Inspector-Prima-009</t>
  </si>
  <si>
    <t>PM-O-GEN-Inspector-Prima-997-Agentes</t>
  </si>
  <si>
    <t>PM-O-GEN-Inspector-Prima-997</t>
  </si>
  <si>
    <t>Agente</t>
  </si>
  <si>
    <t>DC-O-GEN-Agente-NumeroPolizas-005</t>
  </si>
  <si>
    <t>PM-O-GEN-Agente-NumeroPolizas-005</t>
  </si>
  <si>
    <t>PM-O-GEN-Agente-NumeroPolizas-005-SINCC</t>
  </si>
  <si>
    <t>PM-O-GEN-Agente-NumeroPolizas-001</t>
  </si>
  <si>
    <t>PM-O-GEN-Agente-NumeroPolizasCorregidas-001</t>
  </si>
  <si>
    <t>PM-O-GEN-Agente-NumeroPolizas-002</t>
  </si>
  <si>
    <t>PM-O-GEN-Agente-NumeroPolizasCorregidas-002</t>
  </si>
  <si>
    <t>PM-O-GEN-Agente-NumeroPolizas-003</t>
  </si>
  <si>
    <t>PM-O-GEN-Agente-NumeroPolizasCorregidas-003</t>
  </si>
  <si>
    <t>PM-O-GEN-Agente-NumeroPolizas-004</t>
  </si>
  <si>
    <t>PM-O-GEN-Agente-NumeroPolizasCorregidas-004</t>
  </si>
  <si>
    <t>PM-O-GEN-Agente-NumeroPolizas-998</t>
  </si>
  <si>
    <t>PM-O-GEN-Agente-NumeroPolizasCorregidas-998</t>
  </si>
  <si>
    <t>PM-O-GEN-Agente-NumeroPolizas-997</t>
  </si>
  <si>
    <t>PM-O-GEN-Agente-NumeroPolizasCorregidas-997</t>
  </si>
  <si>
    <t>DC-O-GEN-Agente-Prima-001</t>
  </si>
  <si>
    <t>DC-O-GEN-Agente-Prima-002</t>
  </si>
  <si>
    <t>DC-O-GEN-Agente-Prima-003</t>
  </si>
  <si>
    <t>DC-O-GEN-Agente-Prima-004</t>
  </si>
  <si>
    <t>DC-O-GEN-Agente-Prima-005</t>
  </si>
  <si>
    <t>PM-O-GEN-Agente-Prima-001</t>
  </si>
  <si>
    <t>PM-O-GEN-Agente-Prima-002</t>
  </si>
  <si>
    <t>PM-O-GEN-Agente-Prima-003</t>
  </si>
  <si>
    <t>PM-O-GEN-Agente-Prima-004</t>
  </si>
  <si>
    <t>PM-O-GEN-Agente-Prima-005</t>
  </si>
  <si>
    <t>PM-O-GEN-Agente-Prima-997</t>
  </si>
  <si>
    <t>PM-O-GEN-Agente-Prima-998</t>
  </si>
  <si>
    <t>SM-RPP-Inspector-PrimaCorregida-Propia</t>
  </si>
  <si>
    <t>SM-O-GEN-Inspector-PrimaCorregida-998-Propia</t>
  </si>
  <si>
    <t>SM-RPP-Inspector-PrimaCorregida-Agentes</t>
  </si>
  <si>
    <t>SM-O-GEN-Inspector-PrimaCorregida-998-Agentes</t>
  </si>
  <si>
    <t>DC-O-GEN-Inspector-NumeroPolizas-906</t>
  </si>
  <si>
    <t>IC-O-GEN-Inspector-NumeroPolizas-906</t>
  </si>
  <si>
    <t>SM-O-GEN-Agente-NumeroPolizas-005-SINCC-TotalMes</t>
  </si>
  <si>
    <t>SM-O-GEN-Inspector-PrimaCorregida-998-PropiaAnual</t>
  </si>
  <si>
    <t>SM-O-GEN-Inspector-PrimaCorregida-998-AgentesAnual</t>
  </si>
  <si>
    <t>SM-O-GEN-Inspector-Meses</t>
  </si>
  <si>
    <t>DC-O-GEN-Agente-NumeroPolizas-001</t>
  </si>
  <si>
    <t>DC-O-GEN-Agente-NumeroPolizas-002</t>
  </si>
  <si>
    <t>DC-O-GEN-Agente-NumeroPolizas-003</t>
  </si>
  <si>
    <t>DC-O-GEN-Agente-NumeroPolizas-004</t>
  </si>
  <si>
    <t>DC-O-GEN-Agente-NumeroPolizas-998-81</t>
  </si>
  <si>
    <t>DC-O-GEN-Inspector-PrimaCorregida-997</t>
  </si>
  <si>
    <t>DC-O-GEN-Inspector-PrimaCorregida-No-Prioritarios-997</t>
  </si>
  <si>
    <t>DC-O-GEN-Inspector-PrimaCorregida-Prioritarios-Sin-VidaAhorro</t>
  </si>
  <si>
    <t>IC-O-GEN-Inspector-PrimaCorregida-997</t>
  </si>
  <si>
    <t>IC-O-GEN-Inspector-PrimaCorregida-No-Prioritarios-997</t>
  </si>
  <si>
    <t>IC-O-GEN-Inspector-PrimaCorregida-Prioritarios-Sin-VidaAhorro</t>
  </si>
  <si>
    <t>PM-O-GEN-Inspector-PrimaCorregida-004-Prioritarios</t>
  </si>
  <si>
    <t>PM-O-GEN-Inspector-Prima-004-Prioritarios</t>
  </si>
  <si>
    <t>PM-O-GEN-Inspector-PrimaCorregida-004-Prioritarios-Agentes</t>
  </si>
  <si>
    <t>PM-O-GEN-Inspector-Prima-004-Prioritarios-Agentes</t>
  </si>
  <si>
    <t>PM-O-GEN-Inspector-PrimaCorregida-No-Prioritarios-997</t>
  </si>
  <si>
    <t>PM-O-GEN-Inspector-Prima-No-Prioritarios-997</t>
  </si>
  <si>
    <t>PM-O-GEN-Inspector-PrimaCorregida-No-Prioritarios-997-Agentes</t>
  </si>
  <si>
    <t>PM-O-GEN-Inspector-Prima-No-Prioritarios-997-Agentes</t>
  </si>
  <si>
    <t>PM-O-GEN-Inspector-PrimaCorregida-Prioritarios-Sin-VidaAhorro</t>
  </si>
  <si>
    <t>PM-O-GEN-Inspector-Prima-Prioritarios-Sin-VidaAhorro</t>
  </si>
  <si>
    <t>PM-O-GEN-Inspector-PrimaCorregida-Prioritarios-Sin-VidaAhorro-Agentes</t>
  </si>
  <si>
    <t>PM-O-GEN-Inspector-Prima-Prioritarios-Sin-VidaAhorro-Agentes</t>
  </si>
  <si>
    <t>SEPARACION</t>
  </si>
  <si>
    <t>PM-O-GEN-Inspector-PrimaCorregida-No-Prioritarios-997-RRTT</t>
  </si>
  <si>
    <t>PM-O-GEN-Inspector-PrimaCorregida-No-Prioritarios-997-RRGG</t>
  </si>
  <si>
    <t>PM-O-GEN-Inspector-PrimaCorregida-Prioritarios-Sin-VidaAhorro-RRTT</t>
  </si>
  <si>
    <t>PM-O-GEN-Inspector-PrimaCorregida-Prioritarios-Sin-VidaAhorro-RRGG</t>
  </si>
  <si>
    <t>PM-O-GEN-Inspector-PrimaCorregida-No-Prioritarios-997-Agentes-RRTT</t>
  </si>
  <si>
    <t>PM-O-GEN-Inspector-PrimaCorregida-No-Prioritarios-997-Agentes-RRGG</t>
  </si>
  <si>
    <t>PM-O-GEN-Inspector-PrimaCorregida-Prioritarios-Sin-VidaAhorro-Agentes-RRTT</t>
  </si>
  <si>
    <t>PM-O-GEN-Inspector-PrimaCorregida-Prioritarios-Sin-VidaAhorro-Agentes-RRGG</t>
  </si>
  <si>
    <t>SM-O-DIF-Inspector-PrimaCorregida-004-y-NoPrioritarios-RRTT-TotalMes</t>
  </si>
  <si>
    <t>SM-O-DIF-Inspector-PrimaCorregida-004-y-NoPrioritarios-RRGG-TotalMes</t>
  </si>
  <si>
    <t>SM-O-DIF-Inspector-PrimaCorregida-Prioritarios-Sin-VidaAhorro-RRTT-TotalMes</t>
  </si>
  <si>
    <t>SM-O-DIF-Inspector-PrimaCorregida-Prioritarios-Sin-VidaAhorro-RRGG-TotalMes</t>
  </si>
  <si>
    <t>SM-O-DIF-Inspector-PagoMensual</t>
  </si>
  <si>
    <t>SM-O-DIF-Inspector-Porcentaje-004-y-NoPrioritarios</t>
  </si>
  <si>
    <t>SM-O-DIF-Inspector-PorcentajePagoMensual</t>
  </si>
  <si>
    <t>SM-O-DIF-Inspector-Porcentaje-Prioritarios-Sin-VidaAhorro</t>
  </si>
  <si>
    <t>SM-O-DIF-Inspector-PagoMensual-004-y-NoPrioritarios</t>
  </si>
  <si>
    <t>SM-O-DIF-Inspector-PagoMensual-Prioritarios-Sin-VidaAhorro</t>
  </si>
  <si>
    <t>SM-O-DIF-Inspector-PagoMensual-004-y-NoPrioritarios-RRTT</t>
  </si>
  <si>
    <t>SM-O-DIF-Inspector-PagoMensual-Prioritarios-Sin-VidaAhorro-RRTT</t>
  </si>
  <si>
    <t>SM-O-DIF-Inspector-PagoMensual-004-y-NoPrioritarios-RRGG</t>
  </si>
  <si>
    <t>SM-O-DIF-Inspector-PagoMensual-Prioritarios-Sin-VidaAhorro-RRGG</t>
  </si>
  <si>
    <t>SM-O-DIF-Inspector-Prima-TotalAnual</t>
  </si>
  <si>
    <t>SM-O-DIF-Inspector-Prima-998-TotalAnual</t>
  </si>
  <si>
    <t>SM-O-DIF-Inspector-Prima-004-y-NoPrioritarios-TotalAnual</t>
  </si>
  <si>
    <t>SM-O-DIF-Inspector-Prima-004-Prioritarios-Sin-VidaAhorro-TotalAnual</t>
  </si>
  <si>
    <t>SM-O-DIF-Inspector-Prima-004-y-NoPrioritarios-RRTT-TotalAnual</t>
  </si>
  <si>
    <t>SM-O-DIF-Inspector-Prima-004-Prioritarios-Sin-VidaAhorro-RRTT-TotalAnual</t>
  </si>
  <si>
    <t>SM-O-DIF-Inspector-Prima-004-y-NoPrioritarios-RRGG-TotalAnual</t>
  </si>
  <si>
    <t>SM-O-DIF-Inspector-Prima-004-Prioritarios-Sin-VidaAhorro-RRGG-TotalAnual</t>
  </si>
  <si>
    <t>SM-O-DIF-Inspector-Pago-TotalAnual</t>
  </si>
  <si>
    <t>SM-O-DIF-Inspector-Pago-004-y-NoPrioritarios-TotalAnual</t>
  </si>
  <si>
    <t>SM-O-DIF-Inspector-Pago-Prioritarios-Sin-VidaAhorro-TotalAnual</t>
  </si>
  <si>
    <t>SM-O-DIF-Inspector-Pago-004-y-NoPrioritarios-RRTT-TotalAnual</t>
  </si>
  <si>
    <t>SM-O-DIF-Inspector-Pago-Prioritarios-Sin-VidaAhorro-RRTT-TotalAnual</t>
  </si>
  <si>
    <t>SM-O-DIF-Inspector-Pago-004-y-NoPrioritarios-RRGG-TotalAnual</t>
  </si>
  <si>
    <t>SM-O-DIF-Inspector-Pago-Prioritarios-Sin-VidaAhorro-RRGG-TotalAnual</t>
  </si>
  <si>
    <t>SM-O-DIF-Inspector-Secundario</t>
  </si>
  <si>
    <t>SM-O-DIF-Inspector-PorcentajeRegularizacion</t>
  </si>
  <si>
    <t>SM-O-DIF-Inspector-PorcentajeReg-004-y-NoPrioritarios</t>
  </si>
  <si>
    <t>SM-O-DIF-Inspector-PorcentajeReg-Prioritarios-Sin-VidaAhorro</t>
  </si>
  <si>
    <t>SM-O-DIF-Inspector-Regularizacion</t>
  </si>
  <si>
    <t>SM-O-DIF-Inspector-Regularizacion-004-y-NoPrioritarios</t>
  </si>
  <si>
    <t>SM-O-DIF-Inspector-Regularizacion-Prioritarois-Sin-VidaAhorro</t>
  </si>
  <si>
    <t>SM-O-DIF-Inspector-Regularizacion-004-y-NoPrioritarios-RRTT</t>
  </si>
  <si>
    <t>SM-O-DIF-Inspector-Regularizacion-004-y-NoPrioritarios-RRGG</t>
  </si>
  <si>
    <t>SM-O-DIF-Inspector-Regularizacion-Prioritarois-Sin-VidaAhorro-RRTT</t>
  </si>
  <si>
    <t>SM-O-DIF-Inspector-Regularizacion-Prioritarois-Sin-VidaAhorro-RRGG</t>
  </si>
  <si>
    <t>SM-O-DIF-Inspector-PagoRegularizacion-004-y-NoPrioritarios</t>
  </si>
  <si>
    <t>SM-O-DIF-Inspector-PagoRegularizacion-004-y-NoPrioritarios-RRTT</t>
  </si>
  <si>
    <t>SM-O-DIF-Inspector-PagoRegularizacion-004-y-NoPrioritarios-RRGG</t>
  </si>
  <si>
    <t>SM-O-DIF-Inspector-PagoRegularizacion-Prioritarois-Sin-VidaAhorro</t>
  </si>
  <si>
    <t>SM-O-DIF-Inspector-PagoRegularizacion-Prioritarois-Sin-VidaAhorro-RRTT</t>
  </si>
  <si>
    <t>SM-O-DIF-Inspector-PagoRegularizacion-Prioritarois-Sin-VidaAhorro-RRGG</t>
  </si>
  <si>
    <t>I</t>
  </si>
  <si>
    <t>I-O-DIF-Inspector-ImporteMensual-VidaAhorro-y-NoPrioritarios</t>
  </si>
  <si>
    <r>
      <t>I-O-DIF-Inspector-ImporteMensual-VidaAhorro-y-NoPrioritarios</t>
    </r>
    <r>
      <rPr>
        <sz val="11"/>
        <rFont val="Calibri"/>
        <family val="2"/>
        <scheme val="minor"/>
      </rPr>
      <t>-RRTT</t>
    </r>
  </si>
  <si>
    <t>I-O-DIF-Inspector-ImporteMensual-VidaAhorro-y-NoPrioritarios-RRGG</t>
  </si>
  <si>
    <t>I-O-DIF-Inspector-ImporteMensual-Prioritarios-Sin-VidaAhorro</t>
  </si>
  <si>
    <r>
      <t>I-O-DIF-Inspector-ImporteMensual-Prioritarios-Sin-VidaAhorro</t>
    </r>
    <r>
      <rPr>
        <sz val="11"/>
        <rFont val="Calibri"/>
        <family val="2"/>
        <scheme val="minor"/>
      </rPr>
      <t>-RRTT</t>
    </r>
  </si>
  <si>
    <t>I-O-DIF-Inspector-ImporteRegularizacion-VidaAhorro-y-NoPrioritarios</t>
  </si>
  <si>
    <r>
      <t>I-O-DIF-Inspector-ImporteRegularizacion-VidaAhorro-y-NoPrioritarios</t>
    </r>
    <r>
      <rPr>
        <sz val="11"/>
        <rFont val="Calibri"/>
        <family val="2"/>
        <scheme val="minor"/>
      </rPr>
      <t>-RRTT</t>
    </r>
  </si>
  <si>
    <t>I-O-DIF-Inspector-ImporteRegularizacion-VidaAhorro-y-NoPrioritarios-RRGG</t>
  </si>
  <si>
    <t>I-O-DIF-Inspector-ImporteRegularizacion-Prioritarios-Sin-VidaAhorro</t>
  </si>
  <si>
    <r>
      <t>I-O-DIF-Inspector-ImporteRegularizacion-Prioritarios-Sin-VidaAhorro</t>
    </r>
    <r>
      <rPr>
        <sz val="11"/>
        <rFont val="Calibri"/>
        <family val="2"/>
        <scheme val="minor"/>
      </rPr>
      <t>-RRTT</t>
    </r>
  </si>
  <si>
    <t>I-O-DIF-Inspector-ImporteRegularizacion-Prioritarios-Sin-VidaAhorro-RRGG</t>
  </si>
  <si>
    <t>D</t>
  </si>
  <si>
    <t>D-O-DIF-Inspector-Pago</t>
  </si>
  <si>
    <r>
      <t>D-O-DIF-Inspector-Pago</t>
    </r>
    <r>
      <rPr>
        <sz val="11"/>
        <rFont val="Calibri"/>
        <family val="2"/>
        <scheme val="minor"/>
      </rPr>
      <t>-RRTT</t>
    </r>
  </si>
  <si>
    <t>D-O-DIF-Inspector-Pago-RRGG</t>
  </si>
  <si>
    <t>D-O-DIF-Inspector-Pago-Reg</t>
  </si>
  <si>
    <t>D-O-DIF-Inspector-Pago-Reg-RRTT</t>
  </si>
  <si>
    <t>D-O-DIF-Inspector-Pago-Reg-RRGG</t>
  </si>
  <si>
    <t>DC-E-DIF-Inspector-Importe</t>
  </si>
  <si>
    <t>DC-E-DIF-Inspector-Importe-Agentes</t>
  </si>
  <si>
    <t>IC-E-DIF-Inspector-Importe</t>
  </si>
  <si>
    <t>PM-E-DIF-Inspector-Importe</t>
  </si>
  <si>
    <t>PM-E-DIF-Inspector-Importe-Agentes</t>
  </si>
  <si>
    <t>SM-E-DIF-PagoMensual</t>
  </si>
  <si>
    <t>SM-E-DIF-Inspector-PagoMensual-RRTT</t>
  </si>
  <si>
    <t>SM-E-DIF-Inspector-PagoMensual-RRGG</t>
  </si>
  <si>
    <t>I-E-DIF-PagoMensual</t>
  </si>
  <si>
    <t>I-E-DIF-Inspector-PagoMensual</t>
  </si>
  <si>
    <t>D-E-DIF-PagoMensual</t>
  </si>
  <si>
    <t>D-E-DIF-Inspector-PagoMensual</t>
  </si>
  <si>
    <t>D-E-DIF-Inspector-PagoMensual-RRTT</t>
  </si>
  <si>
    <t>D-E-DIF-Inspector-PagoMensual-RRGG</t>
  </si>
  <si>
    <t>Nueva</t>
  </si>
  <si>
    <t>PM-O-GEN-Inspector-NumeroPolizas-005-Agentes</t>
  </si>
  <si>
    <t>Nuevo</t>
  </si>
  <si>
    <t>Modificada</t>
  </si>
  <si>
    <t>SM-O-COMU-Inspector-Secundario</t>
  </si>
  <si>
    <t>SM-O-GEN-Inspector-Secundario</t>
  </si>
  <si>
    <t>SM-O-REA-Inspector-Secundario</t>
  </si>
  <si>
    <t>SM-O-COLC-Inspector-Secundario</t>
  </si>
  <si>
    <t>SM-O-GEN-Inspector-NumeroPolizas-998-Propia-TotalAnual</t>
  </si>
  <si>
    <t>DC-O-RDC-Agente-Polizas</t>
  </si>
  <si>
    <t>DC-O-RDC-Agente-PrimaCorregida</t>
  </si>
  <si>
    <t>DC-O-RDC-Agente-PolizasCorregidas</t>
  </si>
  <si>
    <t>PM-O-RDC-Agente-PrimaCorregida</t>
  </si>
  <si>
    <t>PM-O-RDC-Agente-Polizas</t>
  </si>
  <si>
    <t>PM-O-RDC-Agente-PolizasCorregidas</t>
  </si>
  <si>
    <t>SM-O-RDC-Agente-PrimaCorregida</t>
  </si>
  <si>
    <t>SM-O-RDC-Agente-Polizas</t>
  </si>
  <si>
    <t>SM-O-RDC-Agente-PolizasCorregidas</t>
  </si>
  <si>
    <t>BO_GROUP</t>
  </si>
  <si>
    <t>COMPANIA</t>
  </si>
  <si>
    <t>ID_TIPO_AGENTE</t>
  </si>
  <si>
    <t>INYC Compensation Reports User Group - RPI</t>
  </si>
  <si>
    <t>01</t>
  </si>
  <si>
    <t>INYC_RPI_RESUMEN,INYC_RPI_DETALLE</t>
  </si>
  <si>
    <t>Version 20200526</t>
  </si>
  <si>
    <t>INYC Compensation Reports User Group - RAG</t>
  </si>
  <si>
    <t>03</t>
  </si>
  <si>
    <t>INYC_RAG_RESUMEN,INYC_RAG_DETALLE</t>
  </si>
  <si>
    <t>INYC Compensation Reports User Group - RA</t>
  </si>
  <si>
    <t>INYC_RA_RESUMEN,INYC_RA_DETALLE</t>
  </si>
  <si>
    <t>Version 20170602</t>
  </si>
  <si>
    <t>Version 20190116</t>
  </si>
  <si>
    <t>Version 20200506</t>
  </si>
  <si>
    <t>INYC Compensation Reports User Group - Concurso</t>
  </si>
  <si>
    <t>Version 20171106</t>
  </si>
  <si>
    <t>INYC Compensation Reports User Group - Incentivo</t>
  </si>
  <si>
    <t>INYC Compensation Reports User Group - RPA</t>
  </si>
  <si>
    <t>INYC_RPA_RESUMEN,INYC_RPA_DETALLE</t>
  </si>
  <si>
    <t>Version 20170810</t>
  </si>
  <si>
    <t>Version 20180926</t>
  </si>
  <si>
    <t>INYC Compensation Reports User Group - DIF</t>
  </si>
  <si>
    <t>INYC_DIF_RESUMEN,INYC_DIF_DETALLE</t>
  </si>
  <si>
    <t>INYC Compensation Reports User Group - COLC</t>
  </si>
  <si>
    <t>INYC Compensation Reports CT User Group</t>
  </si>
  <si>
    <t>INYC_CT_RESUMEN,INYC_CT_DETALLE</t>
  </si>
  <si>
    <t>INYC Compensation Reports User Group - RDC</t>
  </si>
  <si>
    <t>INYC_RDC_RESUMEN,INYC_RDC_DETALLE</t>
  </si>
  <si>
    <t>Version 20170118</t>
  </si>
  <si>
    <t>INYC Compensation Reports User Group - IPP</t>
  </si>
  <si>
    <t>INYC Compensation Reports User Group - AN</t>
  </si>
  <si>
    <t>INYC_AN_RESUMEN,INYC_AN_DETALLE</t>
  </si>
  <si>
    <t>INYC Compensation Reports User Group - DIF_E</t>
  </si>
  <si>
    <t>INYC_DIF_E_RESUMEN,INYC_DIF_E_DETALLE</t>
  </si>
  <si>
    <t>INYC Compensation Reports User Group - PP</t>
  </si>
  <si>
    <t>INYC Compensation Reports User Group - RIN</t>
  </si>
  <si>
    <t>INYC Compensation Reports User Group - FIN</t>
  </si>
  <si>
    <t>INYC Compensation Reports User Group - RE</t>
  </si>
  <si>
    <t>INYC_RE_RESUMEN,INYC_RE_DETALLE</t>
  </si>
  <si>
    <t>INYC Compensation Reports User Group - COMU</t>
  </si>
  <si>
    <t>INYC Compensation Reports User Group - ASI</t>
  </si>
  <si>
    <t>INYC_ASI_RESUMEN,INYC_ASI_DETALLE</t>
  </si>
  <si>
    <t>INYC Compensation Reports User Group - ASI_E</t>
  </si>
  <si>
    <t>INYC_ASI_E_RESUMEN,INYC_ASI_E_DETALLE</t>
  </si>
  <si>
    <t>INYC Compensation Reports User Group - RACH</t>
  </si>
  <si>
    <t>INYC Compensation Reports User Group - MIN</t>
  </si>
  <si>
    <t>INYC Compensation Reports User Group - REA</t>
  </si>
  <si>
    <t>INYC Compensation Reports User Group - RIP</t>
  </si>
  <si>
    <t>INYC Compensation Reports User Group - PMK</t>
  </si>
  <si>
    <t>INYC Compensation Reports User Group - RECOA</t>
  </si>
  <si>
    <t>INYC Compensation Reports User Group - CAP</t>
  </si>
  <si>
    <t>Version 20180223</t>
  </si>
  <si>
    <t>Version 20180224</t>
  </si>
  <si>
    <t>Version 20180225</t>
  </si>
  <si>
    <t>Version 20180226</t>
  </si>
  <si>
    <t>Version 20180227</t>
  </si>
  <si>
    <t>Version 20180228</t>
  </si>
  <si>
    <t>Version 20180230</t>
  </si>
  <si>
    <t>Version 20180231</t>
  </si>
  <si>
    <t>Version 20180232</t>
  </si>
  <si>
    <t>Version 20180233</t>
  </si>
  <si>
    <t>Version 20180234</t>
  </si>
  <si>
    <t>INYC Compensation Reports User Group - CC_E</t>
  </si>
  <si>
    <t>Version 20181113</t>
  </si>
  <si>
    <t>Version 20190214</t>
  </si>
  <si>
    <t>Version 20190122</t>
  </si>
  <si>
    <t>Version 20181107</t>
  </si>
  <si>
    <t>INYC Compensation Reports User Group - CPP</t>
  </si>
  <si>
    <t>INYC_CPP_RESUMEN,INYC_CPP_DETALLE</t>
  </si>
  <si>
    <t>Version 20181205</t>
  </si>
  <si>
    <t>INYC Compensation Reports User Group - CAP_E</t>
  </si>
  <si>
    <t>INYC Compensation Reports User Group - OBJ_E</t>
  </si>
  <si>
    <t>INYC_RPP_RESUMEN,INYC_RPP_DETALLE</t>
  </si>
  <si>
    <t>Version 20200629</t>
  </si>
  <si>
    <t>INYC Compensation Reports User Group - S5</t>
  </si>
  <si>
    <t>INYC_S5_FACTURA,INYC_S5_POLIZAS</t>
  </si>
  <si>
    <t>Version 20170228</t>
  </si>
  <si>
    <t>INYC Compensation Reports User Group - S5_E</t>
  </si>
  <si>
    <t>INYC_S5_E_FACTURA,INYC_S5_E_POLIZAS</t>
  </si>
  <si>
    <t>INYC Compensation Reports User Group - PEPA</t>
  </si>
  <si>
    <t>INYC_PEPA_RESUMEN,INYC_PEPA_DETALLE</t>
  </si>
  <si>
    <t>INYC_PEPI_RESUMEN,INYC_PEPI_DETALLE</t>
  </si>
  <si>
    <t>INYC Compensation Reports User Group - PEPI</t>
  </si>
  <si>
    <t>INYC Compensation Reports User Group - PEPA_E</t>
  </si>
  <si>
    <t>INYC_PEPA_E_RESUMEN,INYC_PEPA_E_DETALLE</t>
  </si>
  <si>
    <t>INYC_PEPI_E_RESUMEN,INYC_PEPI_E_DETALLE</t>
  </si>
  <si>
    <t>Version 20170721</t>
  </si>
  <si>
    <t>INYC Compensation Reports User Group - PEPI_E</t>
  </si>
  <si>
    <t>INYC Compensation Reports User Group - PRAG</t>
  </si>
  <si>
    <t>INYC_PERC_AGENTES,INYC_PROD_AGENTES,INYC_CARTERA_AGENTES</t>
  </si>
  <si>
    <t>Version 20210330</t>
  </si>
  <si>
    <t>INYC Compensation Reports User Group - PRIN</t>
  </si>
  <si>
    <t>INYC_PERC_INSPECTORES,INYC_PROD_INSPECTORES</t>
  </si>
  <si>
    <t>INYC Compensation Reports User Group - INSP_ACTIVOS</t>
  </si>
  <si>
    <t>Version 20170316</t>
  </si>
  <si>
    <t>INYC Compensation Reports User Group - PRAG_E</t>
  </si>
  <si>
    <t>INYC Compensation Reports User Group - SAC</t>
  </si>
  <si>
    <t>INYC_SAC_RESUMEN,INYC_SAC_DETALLE</t>
  </si>
  <si>
    <t>Version 202101006</t>
  </si>
  <si>
    <t>Version 20220128</t>
  </si>
  <si>
    <t>Version 20220404</t>
  </si>
  <si>
    <t>INYC Compensation Reports User Group - GES</t>
  </si>
  <si>
    <t>INYC_GES_RESUMEN,INYC_GES_DETALLE</t>
  </si>
  <si>
    <t>Version 20220523</t>
  </si>
  <si>
    <t>INYC Compensation Reports User Group - PEAG_E</t>
  </si>
  <si>
    <t>INYC Compensation Reports User Group - PEIN_E</t>
  </si>
  <si>
    <t>INYC Compensation Reports User Group - PRIN_E</t>
  </si>
  <si>
    <t>INSERT INTO INYCEXT.INYC_CONF_INF_AGENTES (COD_INFORME,BO_GROUP,COMPANIA,ID_TIPO_AGENTE,TABLA,F_INICIO,F_FIN,DESCRIPCION) VALUES (3,4,'INYC Compensation Reports User Group - PEIN_E','03','52','INYC_PERC_E_INSPECTORES',TO_DATE('20220101','yyyymmdd'),TO_DATE('22000101','yyyymmdd'),'');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</si>
  <si>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PEIN_E','03','54','INYC_PERC_E_INSPECTORES',TO_DATE('20220101','yyyymmdd'),TO_DATE('22000101','yyyymmdd'),'');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</si>
  <si>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PEIN_E','03','56','INYC_PERC_E_INSPECTORES',TO_DATE('20220101','yyyymmdd'),TO_DATE('22000101','yyyymmdd'),'');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</si>
  <si>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PEIN_E','03','57','INYC_PERC_E_INSPECTORES',TO_DATE('20220101','yyyymmdd'),TO_DATE('22000101','yyyymmdd'),'');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</si>
  <si>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PEIN_E','03','58','INYC_PERC_E_INSPECTORES',TO_DATE('20220101','yyyymmdd'),TO_DATE('22000101','yyyymmdd'),'');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</si>
  <si>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PEIN_E','03','59','INYC_PERC_E_INSPECTORES',TO_DATE('20220101','yyyymmdd'),TO_DATE('22000101','yyyymmdd'),'');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</si>
  <si>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PEIN_E','03','60','INYC_PERC_E_INSPECTORES',TO_DATE('20220101','yyyymmdd'),TO_DATE('22000101','yyyymmdd'),'');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</si>
  <si>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PEIN_E','03','61','INYC_PERC_E_INSPECTORES',TO_DATE('20220101','yyyymmdd'),TO_DATE('22000101','yyyymmdd'),'');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</si>
  <si>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PEIN_E','03','62','INYC_PERC_E_INSPECTORES',TO_DATE('20220101','yyyymmdd'),TO_DATE('22000101','yyyymmdd'),'');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</si>
  <si>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PEIN_E','03','65','INYC_PERC_E_INSPECTORES',TO_DATE('20220101','yyyymmdd'),TO_DATE('22000101','yyyymmdd'),'');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</si>
  <si>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PEIN_E','03','70','INYC_PERC_E_INSPECTORES',TO_DATE('20220101','yyyymmdd'),TO_DATE('22000101','yyyymmdd'),'');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</si>
  <si>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PEIN_E','03','71','INYC_PERC_E_INSPECTORES',TO_DATE('20220101','yyyymmdd'),TO_DATE('22000101','yyyymmdd'),'');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</si>
  <si>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PEIN_E','03','72','INYC_PERC_E_INSPECTORES',TO_DATE('20220101','yyyymmdd'),TO_DATE('22000101','yyyymmdd'),'');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</si>
  <si>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PEIN_E','03','74','INYC_PERC_E_INSPECTORES',TO_DATE('20220101','yyyymmdd'),TO_DATE('22000101','yyyymmdd'),'');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</si>
  <si>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PEIN_E','03','82','INYC_PERC_E_INSPECTORES',TO_DATE('20220101','yyyymmdd'),TO_DATE('22000101','yyyymmdd'),'');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</si>
  <si>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PEIN_E','03','350','INYC_PERC_E_INSPECTORES',TO_DATE('20220101','yyyymmdd'),TO_DATE('22000101','yyyymmdd'),'');</t>
  </si>
  <si>
    <t>INSERT INTO INYCEXT.INYC_CONF_INF_AGENTES (COD_INFORME,BO_GROUP,COMPANIA,ID_TIPO_AGENTE,TABLA,F_INICIO,F_FIN,DESCRIPCION) VALUES (3,4,'INYC Compensation Reports User Group - PEIN_E','03','79','INYC_PERC_E_INSPECTORES',TO_DATE('20220101','yyyymmdd'),TO_DATE('22000101','yyyymmdd'),'');</t>
  </si>
  <si>
    <t>INSERT INTO INYCEXT.INYC_CONF_INF_AGENTES (COD_INFORME,BO_GROUP,COMPANIA,ID_TIPO_AGENTE,TABLA,F_INICIO,F_FIN,DESCRIPCION) VALUES (117,'INYC Compensation Reports User Group - PRIN_E','03','350','INYC_PROD_E_INSPECTORES',TO_DATE('20220101','yyyymmdd'),TO_DATE('22000101','yyyymmdd'),'');</t>
  </si>
  <si>
    <t>INSERT INTO INYCEXT.INYC_CONF_INF_AGENTES (COD_INFORME,BO_GROUP,COMPANIA,ID_TIPO_AGENTE,TABLA,F_INICIO,F_FIN,DESCRIPCION) VALUES (117,'INYC Compensation Reports User Group - PRIN_E','03','79','INYC_PROD_E_INSPECTORES',TO_DATE('20220101','yyyymmdd'),TO_DATE('22000101','yyyymmdd'),'');</t>
  </si>
  <si>
    <t>INSERT INTO INYCEXT.INYC_CONF_INF_AGENTES (COD_INFORME,BO_GROUP,COMPANIA,ID_TIPO_AGENTE,TABLA,F_INICIO,F_FIN,DESCRIPCION) VALUES (3,3,'INYC Compensation Reports User Group - PEAG_E','03','79','INYC_PERC_E_AGENTES',TO_DATE('20220101','yyyymmdd'),TO_DATE('22000101','yyyymmdd'),'');</t>
  </si>
  <si>
    <t>INSERT INTO INYCEXT.INYC_CONF_INF_REGLAS@tc_link (COD_INFORME,TABLA,NOMBRE,REGLA,F_INICIO,F_FIN,DESCRIPCION) VALUES (3.1,'INYC_RA_RESUMEN','PrimaCorregida-ProdPrioritarios Trimestre', 'SM-E-GEN-Agente-PrimaCorregida-ProdPrioritarios-TotalTrimestre','01/01/2024','01/01/2200','Version 20240101')</t>
  </si>
  <si>
    <t>INSERT INTO INYCEXT.INYC_CONF_INF_REGLAS (COD_INFORME,TABLA,NOMBRE,REGLA,F_INICIO,F_FIN,DESCRIPCION) VALUES (6.1,'INYC_RPA_RESUMEN','SM - Importe Pago','SM-O-COM-GestionExplotacion-ImportePago',TO_DATE('20230101','yyyymmdd'),TO_DATE('22000101','yyyymmdd'),'Versión 20230525');</t>
  </si>
  <si>
    <t>INSERT INTO INYCEXT.INYC_CONF_INFORMES (COD_INFORME,DESC_INFORME,TABLA,F_INICIO,F_FIN,CARGA_TABLAS,PUBLICACION,FORMATO,DESCRIPCION) VALUES (25.1,'W-O - Incentivos Inspectores Comerciales','INYC_PEPI_RESUMEN',TO_DATE('20140101','yyyymmdd'),TO_DATE('22000101','yyyymmdd'),'DIARIO','DIARIO','pdf','PEPI');</t>
  </si>
  <si>
    <t>INSERT INTO INYCEXT.INYC_CONF_INF_REGLAS (COD_INFORME,TABLA,NOMBRE,REGLA,F_INICIO,F_FIN,DESCRIPCION) VALUES (25.1,'INYC_PEPI_RESUMEN','SM-O-Inspector-Incentivo-Pago','SM-O-Inspector-Incentivo-Pago',TO_DATE('20240101','yyyymmdd'),TO_DATE('22000101','yyyymmdd'),'Version 20240101');</t>
  </si>
  <si>
    <t>INSERT INTO INYCEXT.INYC_CONF_INF_REGLAS (COD_INFORME,TABLA,NOMBRE,REGLA,F_INICIO,F_FIN,DESCRIPCION) VALUES (25.1,'INYC_PEPI_RESUMEN','SM-O-Inspector-Incentivo-PremEspe','SM-O-Inspector-Incentivo-PremEspe',TO_DATE('20240101','yyyymmdd'),TO_DATE('22000101','yyyymmdd'),'Version 20240101');</t>
  </si>
  <si>
    <t>INSERT INTO INYCEXT.INYC_CONF_INF_REGLAS (COD_INFORME,TABLA,NOMBRE,REGLA,F_INICIO,F_FIN,DESCRIPCION) VALUES (25.1,'INYC_PEPI_RESUMEN','SM-O-Inspector-Incentivo-RegAnual','SM-O-Inspector-Incentivo-RegAnual',TO_DATE('20240101','yyyymmdd'),TO_DATE('22000101','yyyymmdd'),'Version 20240101');</t>
  </si>
  <si>
    <t>INSERT INTO INYCEXT.INYC_CONF_INF_REGLAS (COD_INFORME,TABLA,NOMBRE,REGLA,F_INICIO,F_FIN,DESCRIPCION) VALUES (25.1,'INYC_PEPI_RESUMEN','SM-O-Inspector-Incentivo-RRGG-Mes','SM-O-Inspector-Incentivo-RRGG-Mes',TO_DATE('20240101','yyyymmdd'),TO_DATE('22000101','yyyymmdd'),'Version 20240101');</t>
  </si>
  <si>
    <t>INSERT INTO INYCEXT.INYC_CONF_INF_REGLAS (COD_INFORME,TABLA,NOMBRE,REGLA,F_INICIO,F_FIN,DESCRIPCION) VALUES (25.1,'INYC_PEPI_RESUMEN','SM-O-Inspector-Incentivo-RRGG-Pago','SM-O-Inspector-Incentivo-RRGG-Pago',TO_DATE('20240101','yyyymmdd'),TO_DATE('22000101','yyyymmdd'),'Version 20240101');</t>
  </si>
  <si>
    <t>INSERT INTO INYCEXT.INYC_CONF_INF_REGLAS (COD_INFORME,TABLA,NOMBRE,REGLA,F_INICIO,F_FIN,DESCRIPCION) VALUES (25.1,'INYC_PEPI_RESUMEN','SM-O-Inspector-Incentivo-RRPP-Mes','SM-O-Inspector-Incentivo-RRPP-Mes',TO_DATE('20240101','yyyymmdd'),TO_DATE('22000101','yyyymmdd'),'Version 20240101');</t>
  </si>
  <si>
    <t>INSERT INTO INYCEXT.INYC_CONF_INF_REGLAS (COD_INFORME,TABLA,NOMBRE,REGLA,F_INICIO,F_FIN,DESCRIPCION) VALUES (25.1,'INYC_PEPI_RESUMEN','SM-O-Inspector-Incentivo-RRPP-Pago','SM-O-Inspector-Incentivo-RRPP-Pago',TO_DATE('20240101','yyyymmdd'),TO_DATE('22000101','yyyymmdd'),'Version 20240101');</t>
  </si>
  <si>
    <t>INSERT INTO INYCEXT.INYC_CONF_INF_AGENTES (COD_INFORME,BO_GROUP,COMPANIA,ID_TIPO_AGENTE,TABLA,F_INICIO,F_FIN,DESCRIPCION) VALUES (25.1,'INYC Compensation Reports User Group - RPI','01','73','INYC_RPI_RESUMEN,INYC_RPI_DETALLE',TO_DATE('20240101','yyyymmdd'),TO_DATE('22000101','yyyymmdd'),'');</t>
  </si>
  <si>
    <t>INSERT INTO INYCEXT.INYC_CONF_INF_REGLAS (COD_INFORME,TABLA,NOMBRE,REGLA,F_INICIO,F_FIN,DESCRIPCION) VALUES (25.1,'INYC_RPI_RESUMEN','SM-O-Inspector-Incentivo-Asegurados-Pago','SM-O-Inspector-Incentivo-Asegurados-Pago',TO_DATE('20240101','yyyymmdd'),TO_DATE('22000101','yyyymmdd'),'Version 20240101');</t>
  </si>
  <si>
    <t>INSERT INTO INYCEXT.INYC_CONF_INF_REGLAS (COD_INFORME,TABLA,NOMBRE,REGLA,F_INICIO,F_FIN,DESCRIPCION) VALUES (25.1,'INYC_RPI_RESUMEN','SM-O-Inspector-Incentivo-Asegurados-RegAnual','SM-O-Inspector-Incentivo-Asegurados-RegAnual',TO_DATE('20240101','yyyymmdd'),TO_DATE('22000101','yyyymmdd'),'Version 20240101');</t>
  </si>
  <si>
    <t>INSERT INTO INYCEXT.INYC_CONF_INF_REGLAS (COD_INFORME,TABLA,NOMBRE,REGLA,F_INICIO,F_FIN,DESCRIPCION) VALUES (100.2,'INYC_S4_POLIZAS','Comision Cartera Agentes de Zona','DC-O-COM-AgenteZona-Porcentaje',TO_DATE('20240101','yyyymmdd'),TO_DATE('22000101','yyyymmdd'),'Version 20240101');</t>
  </si>
  <si>
    <t>INSERT INTO INYCEXT.INYC_CONF_INF_REGLAS (COD_INFORME,TABLA,NOMBRE,REGLA,F_INICIO,F_FIN,DESCRIPCION) VALUES (104.1,'INYC_PEPA_RESUMEN','SM-O-COM-AgenteZona','SM-O-COM-AgenteZona',TO_DATE('20240101','yyyymmdd'),TO_DATE('22000101','yyyymmdd'),'Version 20240102');</t>
  </si>
  <si>
    <t>INSERT INTO INYCEXT.INYC_CONF_INF_REGLAS (COD_INFORME,TABLA,NOMBRE,REGLA,F_INICIO,F_FIN,DESCRIPCION) VALUES (100.2,'INYC_S4_POLIZAS','Comision Nueva Produccion','DC-O-COM-Conservacion-ComisionCalculada-N',TO_DATE('20140101','yyyymmdd'),TO_DATE('22000101','yyyymmdd'),'Version 20250101');</t>
  </si>
  <si>
    <t>INSERT INTO INYCEXT.INYC_CONF_INF_REGLAS (COD_INFORME,TABLA,NOMBRE,REGLA,F_INICIO,F_FIN,DESCRIPCION) VALUES (100.2,'INYC_S4_POLIZAS','Comision Nueva Produccion','DC-O-COM-Conservacion-PorcentajeFijo-N',TO_DATE('20140101','yyyymmdd'),TO_DATE('22000101','yyyymmdd'),'Version 20250101');</t>
  </si>
  <si>
    <t>INSERT INTO INYCEXT.INYC_CONF_INF_REGLAS (COD_INFORME,TABLA,NOMBRE,REGLA,F_INICIO,F_FIN,DESCRIPCION) VALUES (100.2,'INYC_S4_POLIZAS','Comision Nueva Produccion','DC-O-COM-Conservacion-RecalcularPorcentaje-N',TO_DATE('20140101','yyyymmdd'),TO_DATE('22000101','yyyymmdd'),'Version 20250101');</t>
  </si>
  <si>
    <t>INSERT INTO INYCEXT.INYC_CONF_INF_REGLAS (COD_INFORME,TABLA,NOMBRE,REGLA,F_INICIO,F_FIN,DESCRIPCION) VALUES (100.2,'INYC_S4_POLIZAS','Comision Nueva Produccion','DC-O-COM-NuevaProduccion-ComisionCalculada-N',TO_DATE('20140101','yyyymmdd'),TO_DATE('22000101','yyyymmdd'),'Version 20250101');</t>
  </si>
  <si>
    <t>INSERT INTO INYCEXT.INYC_CONF_INF_REGLAS (COD_INFORME,TABLA,NOMBRE,REGLA,F_INICIO,F_FIN,DESCRIPCION) VALUES (100.2,'INYC_S4_POLIZAS','Comision Nueva Produccion','DC-O-COM-NuevaProduccion-Emision-N',TO_DATE('20140101','yyyymmdd'),TO_DATE('22000101','yyyymmdd'),'Version 20250101');</t>
  </si>
  <si>
    <t>INSERT INTO INYCEXT.INYC_CONF_INF_REGLAS (COD_INFORME,TABLA,NOMBRE,REGLA,F_INICIO,F_FIN,DESCRIPCION) VALUES (100.2,'INYC_S4_POLIZAS','Comision Nueva Produccion','DC-O-COM-NuevaProduccion-PorcentajeFijo-N',TO_DATE('20140101','yyyymmdd'),TO_DATE('22000101','yyyymmdd'),'Version 20250101');</t>
  </si>
  <si>
    <t>INSERT INTO INYCEXT.INYC_CONF_INF_AGENTES (COD_INFORME,BO_GROUP,COMPANIA,ID_TIPO_AGENTE,TABLA,F_INICIO,F_FIN,DESCRIPCION) VALUES (6,'INYC Compensation Reports User Group - RPA','01','28','INYC_RPA_RESUMEN,INYC_RPA_DETALLE',TO_DATE('20250401','yyyymmdd'),TO_DATE('22000101','yyyymmdd'),'');</t>
  </si>
  <si>
    <t>INSERT INTO INYCEXT.INYC_CONF_INF_AGENTES (COD_INFORME,BO_GROUP,COMPANIA,ID_TIPO_AGENTE,TABLA,F_INICIO,F_FIN,DESCRIPCION) VALUES (21,'INYC Compensation Reports User Group - RACH','01','28','INYC_RACH_RESUMEN',TO_DATE('20250401','yyyymmdd'),TO_DATE('22000101','yyyymmdd'),'');</t>
  </si>
  <si>
    <t>INSERT INTO INYCEXT.INYC_CONF_INF_AGENTES (COD_INFORME,BO_GROUP,COMPANIA,ID_TIPO_AGENTE,TABLA,F_INICIO,F_FIN,DESCRIPCION) VALUES (24,'INYC Compensation Reports User Group - RIP','01','28','INYC_RIP_RESUMEN',TO_DATE('20250401','yyyymmdd'),TO_DATE('22000101','yyyymmdd'),'');</t>
  </si>
  <si>
    <t>INSERT INTO INYCEXT.INYC_CONF_INF_AGENTES (COD_INFORME,BO_GROUP,COMPANIA,ID_TIPO_AGENTE,TABLA,F_INICIO,F_FIN,DESCRIPCION) VALUES (29,'INYC Compensation Reports User Group - CPP','01','28','INYC_CPP_RESUMEN,INYC_CPP_DETALLE',TO_DATE('20250401','yyyymmdd'),TO_DATE('22000101','yyyymmdd'),'');</t>
  </si>
  <si>
    <t>INSERT INTO INYCEXT.INYC_CONF_INF_AGENTES (COD_INFORME,BO_GROUP,COMPANIA,ID_TIPO_AGENTE,TABLA,F_INICIO,F_FIN,DESCRIPCION) VALUES (104,'INYC Compensation Reports User Group - PEPA','01','28','INYC_PEPA_RESUMEN,INYC_PEPA_DETALLE',TO_DATE('20250401','yyyymmdd'),TO_DATE('22000101','yyyymmdd'),'');</t>
  </si>
  <si>
    <t>INSERT INTO INYCEXT.INYC_CONF_INF_AGENTES (COD_INFORME,BO_GROUP,COMPANIA,ID_TIPO_AGENTE,TABLA,F_INICIO,F_FIN,DESCRIPCION) VALUES (106,'INYC Compensation Reports User Group - PEPA_E','03','28','INYC_PEPA_E_RESUMEN,INYC_PEPA_E_DETALLE',TO_DATE('20250401','yyyymmdd'),TO_DATE('22000101','yyyymmdd'),'');</t>
  </si>
  <si>
    <t>INSERT INTO INYCEXT.INYC_CONF_INF_AGENTES (COD_INFORME,BO_GROUP,COMPANIA,ID_TIPO_AGENTE,TABLA,F_INICIO,F_FIN,DESCRIPCION) VALUES (112,'INYC Compensation Reports User Group - PRAG','01','28','INYC_PERC_AGENTES,INYC_PROD_AGENTES,INYC_CARTERA_AGENTES',TO_DATE('20250401','yyyymmdd'),TO_DATE('22000101','yyyymmdd'),'');</t>
  </si>
  <si>
    <t>INSERT INTO INYCEXT.INYC_CONF_INF_AGENTES (COD_INFORME,BO_GROUP,COMPANIA,ID_TIPO_AGENTE,TABLA,F_INICIO,F_FIN,DESCRIPCION) VALUES (33,'INYC Compensation Reports User Group - GES','01','28','INYC_GES_RESUMEN,INYC_GES_DETALLE',TO_DATE('20250401','yyyymmdd'),TO_DATE('22000101','yyyymmdd'),'');</t>
  </si>
  <si>
    <t>INSERT INTO INYCEXT.INYC_CONF_INF_AGENTES (COD_INFORME,BO_GROUP,COMPANIA,ID_TIPO_AGENTE,TABLA,F_INICIO,F_FIN,DESCRIPCION) VALUES (3,'INYC Compensation Reports User Group - RA','03','342','INYC_RA_RESUMEN,INYC_RA_DETALLE',TO_DATE('20250401','yyyymmdd'),TO_DATE('22000101','yyyymmdd'),'');</t>
  </si>
  <si>
    <t>INSERT INTO INYCEXT.INYC_CONF_INF_AGENTES (COD_INFORME,BO_GROUP,COMPANIA,ID_TIPO_AGENTE,TABLA,F_INICIO,F_FIN,DESCRIPCION) VALUES (28,'INYC Compensation Reports User Group - CC_E','03','342','INYC_CC_E_RESUMEN',TO_DATE('20250401','yyyymmdd'),TO_DATE('22000101','yyyymmdd'),'');</t>
  </si>
  <si>
    <t>INSERT INTO INYCEXT.INYC_CONF_INF_AGENTES (COD_INFORME,BO_GROUP,COMPANIA,ID_TIPO_AGENTE,TABLA,F_INICIO,F_FIN,DESCRIPCION) VALUES (106,'INYC Compensation Reports User Group - PEPA_E','03','342','INYC_PEPA_E_RESUMEN,INYC_PEPA_E_DETALLE',TO_DATE('20250401','yyyymmdd'),TO_DATE('22000101','yyyymmdd'),'');</t>
  </si>
  <si>
    <t>INSERT INTO INYCEXT.INYC_CONF_INF_AGENTES (COD_INFORME,BO_GROUP,COMPANIA,ID_TIPO_AGENTE,TABLA,F_INICIO,F_FIN,DESCRIPCION) VALUES (302,'INYC Compensation Reports User Group - PRAG_E','03','342','INYC_PROD_E_AGENTES',TO_DATE('20250401','yyyymmdd'),TO_DATE('22000101','yyyymmdd'),'');</t>
  </si>
  <si>
    <t>INSERT INTO INYCEXT.INYC_CONF_INF_AGENTES (COD_INFORME,BO_GROUP,COMPANIA,ID_TIPO_AGENTE,TABLA,F_INICIO,F_FIN,DESCRIPCION) VALUES (112,'INYC Compensation Reports User Group - PRAG','03','342','INYC_PERC_AGENTES,INYC_PROD_AGENTES,INYC_CARTERA_AGENTES',TO_DATE('20250401','yyyymmdd'),TO_DATE('22000101','yyyymmdd'),'');</t>
  </si>
  <si>
    <t>INSERT INTO INYCEXT.INYC_CONF_INF_AGENTES (COD_INFORME,BO_GROUP,COMPANIA,ID_TIPO_AGENTE,TABLA,F_INICIO,F_FIN,DESCRIPCION) VALUES (3,3,'INYC Compensation Reports User Group - PEAG_E','03','342','INYC_PERC_E_AGENTES',TO_DATE('20250401','yyyymmdd'),TO_DATE('22000101','yyyymmdd'),'');</t>
  </si>
  <si>
    <t>20180101</t>
  </si>
  <si>
    <t>20181001</t>
  </si>
  <si>
    <t>20190201</t>
  </si>
  <si>
    <t>20190101</t>
  </si>
  <si>
    <t>20140101</t>
  </si>
  <si>
    <t>20170101</t>
  </si>
  <si>
    <t>20200101</t>
  </si>
  <si>
    <t>22000101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</si>
</sst>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9"/>
      <color theme="1"/>
      <name val="Century Gothic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quotePrefix="1"/>
    <xf numFmtId="0" fontId="3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5" fillId="7" borderId="0" xfId="0" applyFont="1" applyFill="1" applyAlignment="1">
      <alignment vertical="center" wrapText="1"/>
    </xf>
    <xf numFmtId="0" fontId="5" fillId="7" borderId="0" xfId="0" applyFont="1" applyFill="1"/>
    <xf numFmtId="0" fontId="10" fillId="7" borderId="0" xfId="0" applyFont="1" applyFill="1"/>
    <xf numFmtId="0" fontId="10" fillId="0" borderId="0" xfId="0" applyFont="1"/>
    <xf numFmtId="0" fontId="5" fillId="0" borderId="0" xfId="0" applyFont="1" applyAlignment="1">
      <alignment vertical="center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1" fillId="3" borderId="0" xfId="0" applyFont="1" applyFill="1"/>
    <xf numFmtId="0" fontId="0" fillId="9" borderId="0" xfId="0" applyFill="1" applyAlignment="1">
      <alignment horizontal="right"/>
    </xf>
    <xf numFmtId="0" fontId="0" fillId="8" borderId="0" xfId="0" applyFill="1"/>
    <xf numFmtId="0" fontId="9" fillId="9" borderId="0" xfId="0" applyFont="1" applyFill="1"/>
    <xf numFmtId="0" fontId="0" fillId="0" borderId="0" xfId="0" applyAlignment="1">
      <alignment horizontal="left"/>
    </xf>
    <xf numFmtId="49" fontId="0" fillId="2" borderId="0" xfId="0" applyNumberFormat="1" applyFill="1"/>
    <xf numFmtId="49" fontId="0" fillId="0" borderId="0" xfId="0" quotePrefix="1" applyNumberFormat="1"/>
    <xf numFmtId="49" fontId="0" fillId="9" borderId="0" xfId="0" quotePrefix="1" applyNumberFormat="1" applyFill="1"/>
    <xf numFmtId="49" fontId="0" fillId="3" borderId="0" xfId="0" quotePrefix="1" applyNumberFormat="1" applyFill="1"/>
    <xf numFmtId="49" fontId="0" fillId="8" borderId="0" xfId="0" quotePrefix="1" applyNumberFormat="1" applyFill="1"/>
    <xf numFmtId="49" fontId="0" fillId="0" borderId="0" xfId="0" applyNumberFormat="1"/>
    <xf numFmtId="49" fontId="0" fillId="9" borderId="0" xfId="0" applyNumberFormat="1" applyFill="1"/>
    <xf numFmtId="0" fontId="9" fillId="0" borderId="0" xfId="0" applyFont="1"/>
    <xf numFmtId="14" fontId="0" fillId="0" borderId="0" xfId="0" applyNumberFormat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sites/UO_W_Comissions/Documentos%20compartidos/General/ADS20150101PD-SAPCommissionsOCASO/07.%20Proyecto%20(carpeta%2004%20Proyecto%20scfic01)/0402%20Dise&#241;o/Informes/OLD/ListadoReglasInformes_20190205.xlsx?E576C77C" TargetMode="External"/><Relationship Id="rId1" Type="http://schemas.openxmlformats.org/officeDocument/2006/relationships/externalLinkPath" Target="file:///\\E576C77C\ListadoReglasInformes_20190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UO_W_Comissions/Documentos%20compartidos/General/ADS20150101PD-SAPCommissionsOCASO/07.%20Proyecto%20(carpeta%2004%20Proyecto%20scfic01)/0402%20Dise&#241;o/Informes/OLD/ListadoReglasInformes%20v6.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978\OneDrive%20-%20INSTRUMENTACION%20Y%20COMPONENTES%20SA\Escritorio\ListadoReglasInformes.xlsx" TargetMode="External"/><Relationship Id="rId1" Type="http://schemas.openxmlformats.org/officeDocument/2006/relationships/externalLinkPath" Target="/Users/a978/OneDrive%20-%20INSTRUMENTACION%20Y%20COMPONENTES%20SA/Escritorio/ListadoReglasInfor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S"/>
      <sheetName val="INSERT INFORMES"/>
      <sheetName val="REGLAS"/>
      <sheetName val="MODIFICACIONES_REALIZADAS"/>
      <sheetName val="INSERT REGLAS"/>
      <sheetName val="AGENTES"/>
      <sheetName val="INSERT AGENTES"/>
    </sheetNames>
    <sheetDataSet>
      <sheetData sheetId="0"/>
      <sheetData sheetId="1"/>
      <sheetData sheetId="2"/>
      <sheetData sheetId="3">
        <row r="1">
          <cell r="F1" t="str">
            <v>NOMBRE SALIDA REGLA VIEJA</v>
          </cell>
          <cell r="G1" t="str">
            <v>REGLA NUEVA</v>
          </cell>
          <cell r="H1" t="str">
            <v>NOMBRE SALIDA REGLA NUEVA</v>
          </cell>
        </row>
        <row r="2">
          <cell r="F2" t="str">
            <v>DC-GEN-NumeroPolizas-001</v>
          </cell>
          <cell r="G2" t="str">
            <v>DC-O-GEN-Inspector-NumeroPolizas-001</v>
          </cell>
          <cell r="H2" t="str">
            <v>DC-O-GEN-Inspector-NumeroPolizas-001</v>
          </cell>
        </row>
        <row r="3">
          <cell r="F3" t="str">
            <v>DC-GEN-NumeroPolizas-002</v>
          </cell>
          <cell r="G3" t="str">
            <v>DC-O-GEN-Inspector-NumeroPolizas-002</v>
          </cell>
          <cell r="H3" t="str">
            <v>DC-O-GEN-Inspector-NumeroPolizas-002</v>
          </cell>
        </row>
        <row r="4">
          <cell r="F4" t="str">
            <v>IC-GEN-NumeroPolizas-001</v>
          </cell>
          <cell r="G4" t="str">
            <v>IC-O-GEN-Inspector-NumeroPolizas-001</v>
          </cell>
          <cell r="H4" t="str">
            <v>IC-O-GEN-Inspector-NumeroPolizas-001</v>
          </cell>
        </row>
        <row r="5">
          <cell r="F5" t="str">
            <v>IC-GEN-NumeroPolizas-002</v>
          </cell>
          <cell r="G5" t="str">
            <v>IC-O-GEN-Inspector-NumeroPolizas-002</v>
          </cell>
          <cell r="H5" t="str">
            <v>IC-O-GEN-Inspector-NumeroPolizas-002</v>
          </cell>
        </row>
        <row r="6">
          <cell r="F6"/>
          <cell r="G6" t="str">
            <v>DC-O-GEN-Inspector-NumeroPolizas-003</v>
          </cell>
          <cell r="H6" t="str">
            <v>DC-O-GEN-Inspector-NumeroPolizas-003</v>
          </cell>
        </row>
        <row r="7">
          <cell r="F7"/>
          <cell r="G7" t="str">
            <v>DC-O-GEN-Inspector-NumeroPolizas-004</v>
          </cell>
          <cell r="H7" t="str">
            <v>DC-O-GEN-Inspector-NumeroPolizas-004</v>
          </cell>
        </row>
        <row r="8">
          <cell r="F8"/>
          <cell r="G8" t="str">
            <v>DC-O-GEN-Inspector-NumeroPolizas-005</v>
          </cell>
          <cell r="H8" t="str">
            <v>DC-O-GEN-Inspector-NumeroPolizas-005</v>
          </cell>
        </row>
        <row r="9">
          <cell r="F9"/>
          <cell r="G9" t="str">
            <v>DC-O-GEN-Inspector-NumeroPolizas-006</v>
          </cell>
          <cell r="H9" t="str">
            <v>DC-O-GEN-Inspector-NumeroPolizas-006</v>
          </cell>
        </row>
        <row r="10">
          <cell r="F10"/>
          <cell r="G10" t="str">
            <v>DC-O-GEN-Inspector-NumeroPolizas-007</v>
          </cell>
          <cell r="H10" t="str">
            <v>DC-O-GEN-Inspector-NumeroPolizas-007</v>
          </cell>
        </row>
        <row r="11">
          <cell r="F11"/>
          <cell r="G11" t="str">
            <v>IC-O-GEN-Inspector-NumeroPolizas-003</v>
          </cell>
          <cell r="H11" t="str">
            <v>IC-O-GEN-Inspector-NumeroPolizas-003</v>
          </cell>
        </row>
        <row r="12">
          <cell r="F12"/>
          <cell r="G12" t="str">
            <v>IC-O-GEN-Inspector-NumeroPolizas-004</v>
          </cell>
          <cell r="H12" t="str">
            <v>IC-O-GEN-Inspector-NumeroPolizas-004</v>
          </cell>
        </row>
        <row r="13">
          <cell r="F13"/>
          <cell r="G13" t="str">
            <v>IC-O-GEN-Inspector-NumeroPolizas-005</v>
          </cell>
          <cell r="H13" t="str">
            <v>IC-O-GEN-Inspector-NumeroPolizas-005</v>
          </cell>
        </row>
        <row r="14">
          <cell r="F14"/>
          <cell r="G14" t="str">
            <v>IC-O-GEN-Inspector-NumeroPolizas-006</v>
          </cell>
          <cell r="H14" t="str">
            <v>IC-O-GEN-Inspector-NumeroPolizas-006</v>
          </cell>
        </row>
        <row r="15">
          <cell r="F15"/>
          <cell r="G15" t="str">
            <v>IC-O-GEN-Inspector-NumeroPolizas-007</v>
          </cell>
          <cell r="H15" t="str">
            <v>IC-O-GEN-Inspector-NumeroPolizas-007</v>
          </cell>
        </row>
        <row r="16">
          <cell r="F16"/>
          <cell r="G16" t="str">
            <v>DC-O-GEN-Inspector-NumeroPolizas-009</v>
          </cell>
          <cell r="H16" t="str">
            <v>DC-O-GEN-Inspector-NumeroPolizas-009</v>
          </cell>
        </row>
        <row r="17">
          <cell r="F17"/>
          <cell r="G17" t="str">
            <v>IC-O-GEN-Inspector-NumeroPolizas-009</v>
          </cell>
          <cell r="H17" t="str">
            <v>IC-O-GEN-Inspector-NumeroPolizas-009</v>
          </cell>
        </row>
        <row r="18">
          <cell r="F18" t="str">
            <v>DC-O-GEN-Inspector-NumeroPolizas-997</v>
          </cell>
          <cell r="G18" t="str">
            <v>DC-O-GEN-Inspector-NumeroPolizas-998 y GB1</v>
          </cell>
          <cell r="H18" t="str">
            <v>DC-O-GEN-Inspector-NumeroPolizas-998</v>
          </cell>
        </row>
        <row r="19">
          <cell r="F19" t="str">
            <v>IC-O-GEN-Inspector-NumeroPolizas-997</v>
          </cell>
          <cell r="G19" t="str">
            <v>IC-O-GEN-Inspector-NumeroPolizas-998 y GB1</v>
          </cell>
          <cell r="H19" t="str">
            <v>IC-O-GEN-Inspector-NumeroPolizas-998</v>
          </cell>
        </row>
        <row r="20">
          <cell r="F20" t="str">
            <v>DC-GEN-NumeroPolizas-998</v>
          </cell>
          <cell r="G20" t="str">
            <v>DC-O-GEN-Inspector-NumeroPolizas-998</v>
          </cell>
          <cell r="H20" t="str">
            <v>DC-O-GEN-Inspector-NumeroPolizas-998</v>
          </cell>
        </row>
        <row r="21">
          <cell r="F21" t="str">
            <v>IC-GEN-NumeroPolizas-998</v>
          </cell>
          <cell r="G21" t="str">
            <v>IC-O-GEN-Inspector-NumeroPolizas-998</v>
          </cell>
          <cell r="H21" t="str">
            <v>IC-O-GEN-Inspector-NumeroPolizas-998</v>
          </cell>
        </row>
        <row r="22">
          <cell r="F22" t="str">
            <v>PM-GEN-NumeroPolizas-001-Agentes</v>
          </cell>
          <cell r="G22" t="str">
            <v>PM-O-GEN-Inspector-NumeroPolizas-001-Agentes</v>
          </cell>
          <cell r="H22" t="str">
            <v>PM-O-GEN-Inspector-NumeroPolizas-001-Agentes</v>
          </cell>
        </row>
        <row r="23">
          <cell r="F23" t="str">
            <v>PM-GEN-NumeroPolizas-001</v>
          </cell>
          <cell r="G23" t="str">
            <v>PM-O-GEN-Inspector-NumeroPolizas-001</v>
          </cell>
          <cell r="H23" t="str">
            <v>PM-O-GEN-Inspector-NumeroPolizas-001</v>
          </cell>
        </row>
        <row r="24">
          <cell r="F24" t="str">
            <v>PM-GEN-NumeroPolizas-002-Agentes</v>
          </cell>
          <cell r="G24" t="str">
            <v>PM-O-GEN-Inspector-NumeroPolizas-002-Agentes</v>
          </cell>
          <cell r="H24" t="str">
            <v>PM-O-GEN-Inspector-NumeroPolizas-002-Agentes</v>
          </cell>
        </row>
        <row r="25">
          <cell r="F25" t="str">
            <v>PM-GEN-NumeroPolizas-002</v>
          </cell>
          <cell r="G25" t="str">
            <v>PM-O-GEN-Inspector-NumeroPolizas-002</v>
          </cell>
          <cell r="H25" t="str">
            <v>PM-O-GEN-Inspector-NumeroPolizas-002</v>
          </cell>
        </row>
        <row r="26">
          <cell r="F26"/>
          <cell r="G26" t="str">
            <v>PM-O-GEN-Inspector-NumeroPolizas-003-Agentes</v>
          </cell>
          <cell r="H26" t="str">
            <v>PM-O-GEN-Inspector-NumeroPolizas-003-Agentes</v>
          </cell>
        </row>
        <row r="27">
          <cell r="F27"/>
          <cell r="G27" t="str">
            <v>PM-O-GEN-Inspector-NumeroPolizas-003</v>
          </cell>
          <cell r="H27" t="str">
            <v>PM-O-GEN-Inspector-NumeroPolizas-003</v>
          </cell>
        </row>
        <row r="28">
          <cell r="F28"/>
          <cell r="G28" t="str">
            <v>PM-O-GEN-Inspector-NumeroPolizas-004-Agentes</v>
          </cell>
          <cell r="H28" t="str">
            <v>PM-O-GEN-Inspector-NumeroPolizas-004-Agentes</v>
          </cell>
        </row>
        <row r="29">
          <cell r="F29"/>
          <cell r="G29" t="str">
            <v>PM-O-GEN-Inspector-NumeroPolizas-004</v>
          </cell>
          <cell r="H29" t="str">
            <v>PM-O-GEN-Inspector-NumeroPolizas-004</v>
          </cell>
        </row>
        <row r="30">
          <cell r="F30"/>
          <cell r="G30" t="str">
            <v>PM-O-GEN-Inspector-NumeroPolizas-006-Agentes</v>
          </cell>
          <cell r="H30" t="str">
            <v>PM-O-GEN-Inspector-NumeroPolizas-006-Agentes</v>
          </cell>
        </row>
        <row r="31">
          <cell r="F31"/>
          <cell r="G31" t="str">
            <v>PM-O-GEN-Inspector-NumeroPolizas-005</v>
          </cell>
          <cell r="H31" t="str">
            <v>PM-O-GEN-Inspector-NumeroPolizas-005</v>
          </cell>
        </row>
        <row r="32">
          <cell r="F32"/>
          <cell r="G32" t="str">
            <v>PM-O-GEN-Inspector-NumeroPolizas-006-Agentes</v>
          </cell>
          <cell r="H32" t="str">
            <v>PM-O-GEN-Inspector-NumeroPolizas-006-Agentes</v>
          </cell>
        </row>
        <row r="33">
          <cell r="F33"/>
          <cell r="G33" t="str">
            <v>PM-O-GEN-Inspector-NumeroPolizas-006</v>
          </cell>
          <cell r="H33" t="str">
            <v>PM-O-GEN-Inspector-NumeroPolizas-006</v>
          </cell>
        </row>
        <row r="34">
          <cell r="F34"/>
          <cell r="G34" t="str">
            <v>PM-O-GEN-Inspector-NumeroPolizas-007-Agentes</v>
          </cell>
          <cell r="H34" t="str">
            <v>PM-O-GEN-Inspector-NumeroPolizas-007-Agentes</v>
          </cell>
        </row>
        <row r="35">
          <cell r="F35"/>
          <cell r="G35" t="str">
            <v>PM-O-GEN-Inspector-NumeroPolizas-007</v>
          </cell>
          <cell r="H35" t="str">
            <v>PM-O-GEN-Inspector-NumeroPolizas-007</v>
          </cell>
        </row>
        <row r="36">
          <cell r="F36"/>
          <cell r="G36" t="str">
            <v>PM-O-GEN-Inspector-NumeroPolizas-009-Agentes</v>
          </cell>
          <cell r="H36" t="str">
            <v>PM-O-GEN-Inspector-NumeroPolizas-009-Agentes</v>
          </cell>
        </row>
        <row r="37">
          <cell r="F37"/>
          <cell r="G37" t="str">
            <v>PM-O-GEN-Inspector-NumeroPolizas-009</v>
          </cell>
          <cell r="H37" t="str">
            <v>PM-O-GEN-Inspector-NumeroPolizas-009</v>
          </cell>
        </row>
        <row r="38">
          <cell r="F38" t="str">
            <v>PM-GEN-NumeroPolizas-998-Agentes</v>
          </cell>
          <cell r="G38" t="str">
            <v>PM-O-GEN-Inspector-NumeroPolizas-998-Agentes</v>
          </cell>
          <cell r="H38" t="str">
            <v>PM-O-GEN-Inspector-NumeroPolizas-998-Agentes</v>
          </cell>
        </row>
        <row r="39">
          <cell r="F39" t="str">
            <v>PM-GEN-NumeroPolizas-998</v>
          </cell>
          <cell r="G39" t="str">
            <v>PM-O-GEN-Inspector-NumeroPolizas-998</v>
          </cell>
          <cell r="H39" t="str">
            <v>PM-O-GEN-Inspector-NumeroPolizas-998</v>
          </cell>
        </row>
        <row r="40">
          <cell r="F40" t="str">
            <v>SM-RPP-Inspector-NumeroPolizas-001-Propia</v>
          </cell>
          <cell r="G40" t="str">
            <v>SM-O-GEN-Inspector-NumeroPolizas-001-TotalMes</v>
          </cell>
          <cell r="H40" t="str">
            <v>SM-O-GEN-Inspector-NumeroPolizas-001-Propia</v>
          </cell>
        </row>
        <row r="41">
          <cell r="F41" t="str">
            <v>SM-RPP-Inspector-NumeroPolizas-001-Agentes</v>
          </cell>
          <cell r="G41" t="str">
            <v>SM-O-GEN-Inspector-NumeroPolizas-001-TotalMes</v>
          </cell>
          <cell r="H41" t="str">
            <v>SM-O-GEN-Inspector-NumeroPolizas-001-Agentes</v>
          </cell>
        </row>
        <row r="42">
          <cell r="F42" t="str">
            <v>SM-RPP-Inspector-NumeroPolizas-001-TotalMes</v>
          </cell>
          <cell r="G42" t="str">
            <v>SM-O-GEN-Inspector-NumeroPolizas-001-TotalMes</v>
          </cell>
          <cell r="H42" t="str">
            <v>SM-O-GEN-Inspector-NumeroPolizas-001-TotalMes</v>
          </cell>
        </row>
        <row r="43">
          <cell r="F43" t="str">
            <v>SM-RPP-Inspector-NumeroPolizas-002-Propia</v>
          </cell>
          <cell r="G43" t="str">
            <v>SM-O-GEN-Inspector-NumeroPolizas-002-TotalMes</v>
          </cell>
          <cell r="H43" t="str">
            <v>SM-O-GEN-Inspector-NumeroPolizas-002-Propia</v>
          </cell>
        </row>
        <row r="44">
          <cell r="F44" t="str">
            <v>SM-RPP-Inspector-NumeroPolizas-002-Agentes</v>
          </cell>
          <cell r="G44" t="str">
            <v>SM-O-GEN-Inspector-NumeroPolizas-002-TotalMes</v>
          </cell>
          <cell r="H44" t="str">
            <v>SM-O-GEN-Inspector-NumeroPolizas-002-Agentes</v>
          </cell>
        </row>
        <row r="45">
          <cell r="F45" t="str">
            <v>SM-RPP-Inspector-NumeroPolizas-002-TotalMes</v>
          </cell>
          <cell r="G45" t="str">
            <v>SM-O-GEN-Inspector-NumeroPolizas-002-TotalMes</v>
          </cell>
          <cell r="H45" t="str">
            <v>SM-O-GEN-Inspector-NumeroPolizas-002-TotalMes</v>
          </cell>
        </row>
        <row r="46">
          <cell r="F46"/>
          <cell r="G46" t="str">
            <v>SM-O-GEN-Inspector-NumeroPolizas-003-TotalMes</v>
          </cell>
          <cell r="H46" t="str">
            <v>SM-O-GEN-Inspector-NumeroPolizas-003-TotalMes</v>
          </cell>
        </row>
        <row r="47">
          <cell r="F47"/>
          <cell r="G47" t="str">
            <v>SM-O-GEN-Inspector-NumeroPolizas-004-TotalMes</v>
          </cell>
          <cell r="H47" t="str">
            <v>SM-O-GEN-Inspector-NumeroPolizas-004-TotalMes</v>
          </cell>
        </row>
        <row r="48">
          <cell r="F48"/>
          <cell r="G48" t="str">
            <v>SM-O-GEN-Inspector-NumeroPolizas-005-TotalMes</v>
          </cell>
          <cell r="H48" t="str">
            <v>SM-O-GEN-Inspector-NumeroPolizas-005-TotalMes</v>
          </cell>
        </row>
        <row r="49">
          <cell r="G49" t="str">
            <v>SM-O-GEN-Inspector-NumeroPolizas-006-TotalMes</v>
          </cell>
          <cell r="H49" t="str">
            <v>SM-O-GEN-Inspector-NumeroPolizas-006-TotalMes</v>
          </cell>
        </row>
        <row r="50">
          <cell r="G50" t="str">
            <v>SM-O-GEN-Inspector-NumeroPolizas-007-TotalMes</v>
          </cell>
          <cell r="H50" t="str">
            <v>SM-O-GEN-Inspector-NumeroPolizas-007-TotalMes</v>
          </cell>
        </row>
        <row r="51">
          <cell r="G51" t="str">
            <v>SM-O-GEN-Inspector-NumeroPolizas-009-TotalMes</v>
          </cell>
          <cell r="H51" t="str">
            <v>SM-O-GEN-Inspector-NumeroPolizas-009-TotalMes</v>
          </cell>
        </row>
        <row r="52">
          <cell r="F52" t="str">
            <v>SM-RPP-Inspector-NumeroPolizas-998-Propia</v>
          </cell>
          <cell r="G52" t="str">
            <v>SM-O-GEN-Inspector-NumeroPolizas-998-TotalMes</v>
          </cell>
          <cell r="H52" t="str">
            <v>SM-O-GEN-Inspector-NumeroPolizas-998-Propia</v>
          </cell>
        </row>
        <row r="53">
          <cell r="F53" t="str">
            <v>SM-RPP-Inspector-NumeroPolizas-998-Agentes</v>
          </cell>
          <cell r="G53" t="str">
            <v>SM-O-GEN-Inspector-NumeroPolizas-998-TotalMes</v>
          </cell>
          <cell r="H53" t="str">
            <v>SM-O-GEN-Inspector-NumeroPolizas-998-Agentes</v>
          </cell>
        </row>
        <row r="54">
          <cell r="F54" t="str">
            <v>SM-RPP-Inspector-NumeroPolizas-998-TotalMes</v>
          </cell>
          <cell r="G54" t="str">
            <v>SM-O-GEN-Inspector-NumeroPolizas-998-TotalMes</v>
          </cell>
          <cell r="H54" t="str">
            <v>SM-O-GEN-Inspector-NumeroPolizas-998-TotalMes</v>
          </cell>
        </row>
        <row r="55">
          <cell r="F55" t="str">
            <v>DC-RPP-Inspector-PrimaCorregida</v>
          </cell>
          <cell r="G55" t="str">
            <v>DC-O-GEN-Inspector-PrimaCorregida-998</v>
          </cell>
          <cell r="H55" t="str">
            <v>DC-O-GEN-Inspector-PrimaCorregida-998</v>
          </cell>
        </row>
        <row r="56">
          <cell r="F56" t="str">
            <v>IC-RPP-Inspector-PrimaCorregida</v>
          </cell>
          <cell r="G56" t="str">
            <v>IC-O-GEN-Inspector-PrimaCorregida-998</v>
          </cell>
          <cell r="H56" t="str">
            <v>IC-O-GEN-Inspector-PrimaCorregida-998</v>
          </cell>
        </row>
        <row r="57">
          <cell r="F57" t="str">
            <v>PM-RPP-Inspector-PrimaCorregida-Agentes</v>
          </cell>
          <cell r="G57" t="str">
            <v>PM-O-GEN-Inspector-PrimaCorregida-998-Agentes</v>
          </cell>
          <cell r="H57" t="str">
            <v>PM-O-GEN-Inspector-PrimaCorregida-998-Agentes</v>
          </cell>
        </row>
        <row r="58">
          <cell r="G58" t="str">
            <v>PM-O-GEN-Inspector-PrimaCorregida-998-Agentes</v>
          </cell>
          <cell r="H58" t="str">
            <v>PM-O-GEN-Inspector-Prima-998-Agentes</v>
          </cell>
        </row>
        <row r="59">
          <cell r="F59" t="str">
            <v>PM-RPP-Inspector-PrimaCorregida</v>
          </cell>
          <cell r="G59" t="str">
            <v>PM-O-GEN-Inspector-PrimaCorregida-998</v>
          </cell>
          <cell r="H59" t="str">
            <v>PM-O-GEN-Inspector-PrimaCorregida-998</v>
          </cell>
        </row>
        <row r="60">
          <cell r="F60"/>
          <cell r="G60" t="str">
            <v>PM-O-GEN-Inspector-PrimaCorregida-998</v>
          </cell>
          <cell r="H60" t="str">
            <v>PM-O-GEN-Inspector-Prima-998</v>
          </cell>
        </row>
        <row r="61">
          <cell r="F61" t="str">
            <v>PM-O-GEN-Inspector-PrimaCorregida-001-Agentes</v>
          </cell>
          <cell r="G61" t="str">
            <v>PM-O-GEN-Inspector-PrimaCorregida-001-Agentes</v>
          </cell>
          <cell r="H61" t="str">
            <v>PM-O-GEN-Inspector-PrimaCorregida-001-Agentes</v>
          </cell>
        </row>
        <row r="62">
          <cell r="F62"/>
          <cell r="G62" t="str">
            <v>PM-O-GEN-Inspector-PrimaCorregida-001-Agentes</v>
          </cell>
          <cell r="H62" t="str">
            <v>PM-O-GEN-Inspector-Prima-001-Agentes</v>
          </cell>
        </row>
        <row r="63">
          <cell r="F63" t="str">
            <v>PM-O-GEN-Inspector-PrimaCorregida-001</v>
          </cell>
          <cell r="G63" t="str">
            <v>PM-O-GEN-Inspector-PrimaCorregida-001</v>
          </cell>
          <cell r="H63" t="str">
            <v>PM-O-GEN-Inspector-PrimaCorregida-001</v>
          </cell>
        </row>
        <row r="64">
          <cell r="F64"/>
          <cell r="G64" t="str">
            <v>PM-O-GEN-Inspector-PrimaCorregida-001</v>
          </cell>
          <cell r="H64" t="str">
            <v>PM-O-GEN-Inspector-Prima-001</v>
          </cell>
        </row>
        <row r="65">
          <cell r="F65" t="str">
            <v>PM-O-GEN-Inspector-PrimaCorregida-002-Agentes</v>
          </cell>
          <cell r="G65" t="str">
            <v>PM-O-GEN-Inspector-PrimaCorregida-002-Agentes</v>
          </cell>
          <cell r="H65" t="str">
            <v>PM-O-GEN-Inspector-PrimaCorregida-002-Agentes</v>
          </cell>
        </row>
        <row r="66">
          <cell r="F66"/>
          <cell r="G66" t="str">
            <v>PM-O-GEN-Inspector-PrimaCorregida-002-Agentes</v>
          </cell>
          <cell r="H66" t="str">
            <v>PM-O-GEN-Inspector-Prima-002-Agentes</v>
          </cell>
        </row>
        <row r="67">
          <cell r="F67" t="str">
            <v>PM-O-GEN-Inspector-PrimaCorregida-002</v>
          </cell>
          <cell r="G67" t="str">
            <v>PM-O-GEN-Inspector-PrimaCorregida-002</v>
          </cell>
          <cell r="H67" t="str">
            <v>PM-O-GEN-Inspector-PrimaCorregida-002</v>
          </cell>
        </row>
        <row r="68">
          <cell r="F68"/>
          <cell r="G68" t="str">
            <v>PM-O-GEN-Inspector-PrimaCorregida-002</v>
          </cell>
          <cell r="H68" t="str">
            <v>PM-O-GEN-Inspector-Prima-002</v>
          </cell>
        </row>
        <row r="69">
          <cell r="F69" t="str">
            <v>PM-O-GEN-Inspector-PrimaCorregida-003-Agentes</v>
          </cell>
          <cell r="G69" t="str">
            <v>PM-O-GEN-Inspector-PrimaCorregida-003-Agentes</v>
          </cell>
          <cell r="H69" t="str">
            <v>PM-O-GEN-Inspector-PrimaCorregida-003-Agentes</v>
          </cell>
        </row>
        <row r="70">
          <cell r="F70"/>
          <cell r="G70" t="str">
            <v>PM-O-GEN-Inspector-PrimaCorregida-003-Agentes</v>
          </cell>
          <cell r="H70" t="str">
            <v>PM-O-GEN-Inspector-Prima-003-Agentes</v>
          </cell>
        </row>
        <row r="71">
          <cell r="F71" t="str">
            <v>PM-O-GEN-Inspector-PrimaCorregida-003</v>
          </cell>
          <cell r="G71" t="str">
            <v>PM-O-GEN-Inspector-PrimaCorregida-003</v>
          </cell>
          <cell r="H71" t="str">
            <v>PM-O-GEN-Inspector-PrimaCorregida-003</v>
          </cell>
        </row>
        <row r="72">
          <cell r="F72"/>
          <cell r="G72" t="str">
            <v>PM-O-GEN-Inspector-PrimaCorregida-003</v>
          </cell>
          <cell r="H72" t="str">
            <v>PM-O-GEN-Inspector-Prima-003</v>
          </cell>
        </row>
        <row r="73">
          <cell r="F73" t="str">
            <v>PM-O-GEN-Inspector-PrimaCorregida-004-Agentes</v>
          </cell>
          <cell r="G73" t="str">
            <v>PM-O-GEN-Inspector-PrimaCorregida-004-Agentes</v>
          </cell>
          <cell r="H73" t="str">
            <v>PM-O-GEN-Inspector-PrimaCorregida-004-Agentes</v>
          </cell>
        </row>
        <row r="74">
          <cell r="F74"/>
          <cell r="G74" t="str">
            <v>PM-O-GEN-Inspector-PrimaCorregida-004-Agentes</v>
          </cell>
          <cell r="H74" t="str">
            <v>PM-O-GEN-Inspector-Prima-004-Agentes</v>
          </cell>
        </row>
        <row r="75">
          <cell r="F75" t="str">
            <v>PM-O-GEN-Inspector-PrimaCorregida-004</v>
          </cell>
          <cell r="G75" t="str">
            <v>PM-O-GEN-Inspector-PrimaCorregida-004</v>
          </cell>
          <cell r="H75" t="str">
            <v>PM-O-GEN-Inspector-PrimaCorregida-004</v>
          </cell>
        </row>
        <row r="76">
          <cell r="F76"/>
          <cell r="G76" t="str">
            <v>PM-O-GEN-Inspector-PrimaCorregida-004</v>
          </cell>
          <cell r="H76" t="str">
            <v>PM-O-GEN-Inspector-Prima-004</v>
          </cell>
        </row>
        <row r="77">
          <cell r="F77" t="str">
            <v>PM-O-GEN-Inspector-PrimaCorregida-005-Agentes</v>
          </cell>
          <cell r="G77" t="str">
            <v>PM-O-GEN-Inspector-PrimaCorregida-005-Agentes</v>
          </cell>
          <cell r="H77" t="str">
            <v>PM-O-GEN-Inspector-PrimaCorregida-005-Agentes</v>
          </cell>
        </row>
        <row r="78">
          <cell r="F78"/>
          <cell r="G78" t="str">
            <v>PM-O-GEN-Inspector-PrimaCorregida-005-Agentes</v>
          </cell>
          <cell r="H78" t="str">
            <v>PM-O-GEN-Inspector-Prima-005-Agentes</v>
          </cell>
        </row>
        <row r="79">
          <cell r="F79" t="str">
            <v>PM-O-GEN-Inspector-PrimaCorregida-005</v>
          </cell>
          <cell r="G79" t="str">
            <v>PM-O-GEN-Inspector-PrimaCorregida-005</v>
          </cell>
          <cell r="H79" t="str">
            <v>PM-O-GEN-Inspector-PrimaCorregida-005</v>
          </cell>
        </row>
        <row r="80">
          <cell r="F80"/>
          <cell r="G80" t="str">
            <v>PM-O-GEN-Inspector-PrimaCorregida-005</v>
          </cell>
          <cell r="H80" t="str">
            <v>PM-O-GEN-Inspector-Prima-005</v>
          </cell>
        </row>
        <row r="81">
          <cell r="F81" t="str">
            <v>PM-O-GEN-Inspector-PrimaCorregida-006-Agentes</v>
          </cell>
          <cell r="G81" t="str">
            <v>PM-O-GEN-Inspector-PrimaCorregida-006-Agentes</v>
          </cell>
          <cell r="H81" t="str">
            <v>PM-O-GEN-Inspector-PrimaCorregida-006-Agentes</v>
          </cell>
        </row>
        <row r="82">
          <cell r="F82"/>
          <cell r="G82" t="str">
            <v>PM-O-GEN-Inspector-PrimaCorregida-006-Agentes</v>
          </cell>
          <cell r="H82" t="str">
            <v>PM-O-GEN-Inspector-Prima-006-Agentes</v>
          </cell>
        </row>
        <row r="83">
          <cell r="F83" t="str">
            <v>PM-O-GEN-Inspector-PrimaCorregida-006</v>
          </cell>
          <cell r="G83" t="str">
            <v>PM-O-GEN-Inspector-PrimaCorregida-006</v>
          </cell>
          <cell r="H83" t="str">
            <v>PM-O-GEN-Inspector-PrimaCorregida-006</v>
          </cell>
        </row>
        <row r="84">
          <cell r="F84"/>
          <cell r="G84" t="str">
            <v>PM-O-GEN-Inspector-PrimaCorregida-006</v>
          </cell>
          <cell r="H84" t="str">
            <v>PM-O-GEN-Inspector-Prima-006</v>
          </cell>
        </row>
        <row r="85">
          <cell r="F85" t="str">
            <v>PM-O-GEN-Inspector-PrimaCorregida-007-Agentes</v>
          </cell>
          <cell r="G85" t="str">
            <v>PM-O-GEN-Inspector-PrimaCorregida-007-Agentes</v>
          </cell>
          <cell r="H85" t="str">
            <v>PM-O-GEN-Inspector-PrimaCorregida-007-Agentes</v>
          </cell>
        </row>
        <row r="86">
          <cell r="F86"/>
          <cell r="G86" t="str">
            <v>PM-O-GEN-Inspector-PrimaCorregida-007-Agentes</v>
          </cell>
          <cell r="H86" t="str">
            <v>PM-O-GEN-Inspector-Prima-007-Agentes</v>
          </cell>
        </row>
        <row r="87">
          <cell r="F87" t="str">
            <v>PM-O-GEN-Inspector-PrimaCorregida-007</v>
          </cell>
          <cell r="G87" t="str">
            <v>PM-O-GEN-Inspector-PrimaCorregida-007</v>
          </cell>
          <cell r="H87" t="str">
            <v>PM-O-GEN-Inspector-PrimaCorregida-007</v>
          </cell>
        </row>
        <row r="88">
          <cell r="F88"/>
          <cell r="G88" t="str">
            <v>PM-O-GEN-Inspector-PrimaCorregida-007</v>
          </cell>
          <cell r="H88" t="str">
            <v>PM-O-GEN-Inspector-Prima-007</v>
          </cell>
        </row>
        <row r="89">
          <cell r="F89" t="str">
            <v>PM-O-GEN-Inspector-PrimaCorregida-008-Agentes</v>
          </cell>
          <cell r="G89" t="str">
            <v>PM-O-GEN-Inspector-PrimaCorregida-008-Agentes</v>
          </cell>
          <cell r="H89" t="str">
            <v>PM-O-GEN-Inspector-PrimaCorregida-008-Agentes</v>
          </cell>
        </row>
        <row r="90">
          <cell r="F90"/>
          <cell r="G90" t="str">
            <v>PM-O-GEN-Inspector-PrimaCorregida-008-Agentes</v>
          </cell>
          <cell r="H90" t="str">
            <v>PM-O-GEN-Inspector-Prima-008-Agentes</v>
          </cell>
        </row>
        <row r="91">
          <cell r="F91" t="str">
            <v>PM-O-GEN-Inspector-PrimaCorregida-008</v>
          </cell>
          <cell r="G91" t="str">
            <v>PM-O-GEN-Inspector-PrimaCorregida-008</v>
          </cell>
          <cell r="H91" t="str">
            <v>PM-O-GEN-Inspector-PrimaCorregida-008</v>
          </cell>
        </row>
        <row r="92">
          <cell r="F92"/>
          <cell r="G92" t="str">
            <v>PM-O-GEN-Inspector-PrimaCorregida-008</v>
          </cell>
          <cell r="H92" t="str">
            <v>PM-O-GEN-Inspector-Prima-008</v>
          </cell>
        </row>
        <row r="93">
          <cell r="F93" t="str">
            <v>PM-O-GEN-Inspector-PrimaCorregida-009-Agentes</v>
          </cell>
          <cell r="G93" t="str">
            <v>PM-O-GEN-Inspector-PrimaCorregida-009-Agentes</v>
          </cell>
          <cell r="H93" t="str">
            <v>PM-O-GEN-Inspector-PrimaCorregida-009-Agentes</v>
          </cell>
        </row>
        <row r="94">
          <cell r="F94"/>
          <cell r="G94" t="str">
            <v>PM-O-GEN-Inspector-PrimaCorregida-009-Agentes</v>
          </cell>
          <cell r="H94" t="str">
            <v>PM-O-GEN-Inspector-Prima-009-Agentes</v>
          </cell>
        </row>
        <row r="95">
          <cell r="F95" t="str">
            <v>PM-O-GEN-Inspector-PrimaCorregida-009</v>
          </cell>
          <cell r="G95" t="str">
            <v>PM-O-GEN-Inspector-PrimaCorregida-009</v>
          </cell>
          <cell r="H95" t="str">
            <v>PM-O-GEN-Inspector-PrimaCorregida-009</v>
          </cell>
        </row>
        <row r="96">
          <cell r="F96"/>
          <cell r="G96" t="str">
            <v>PM-O-GEN-Inspector-PrimaCorregida-009</v>
          </cell>
          <cell r="H96" t="str">
            <v>PM-O-GEN-Inspector-Prima-009</v>
          </cell>
        </row>
        <row r="97">
          <cell r="F97" t="str">
            <v>PM-O-GEN-Inspector-PrimaCorregida-997-Agentes</v>
          </cell>
          <cell r="G97" t="str">
            <v>PM-O-GEN-Inspector-PrimaCorregida-997-Agentes</v>
          </cell>
          <cell r="H97" t="str">
            <v>PM-O-GEN-Inspector-PrimaCorregida-997-Agentes</v>
          </cell>
        </row>
        <row r="98">
          <cell r="F98"/>
          <cell r="G98" t="str">
            <v>PM-O-GEN-Inspector-PrimaCorregida-997-Agentes</v>
          </cell>
          <cell r="H98" t="str">
            <v>PM-O-GEN-Inspector-Prima-997-Agentes</v>
          </cell>
        </row>
        <row r="99">
          <cell r="F99" t="str">
            <v>PM-O-GEN-Inspector-PrimaCorregida-997</v>
          </cell>
          <cell r="G99" t="str">
            <v>PM-O-GEN-Inspector-PrimaCorregida-997</v>
          </cell>
          <cell r="H99" t="str">
            <v>PM-O-GEN-Inspector-PrimaCorregida-997</v>
          </cell>
        </row>
        <row r="100">
          <cell r="F100"/>
          <cell r="G100" t="str">
            <v>PM-O-GEN-Inspector-PrimaCorregida-997</v>
          </cell>
          <cell r="H100" t="str">
            <v>PM-O-GEN-Inspector-Prima-997</v>
          </cell>
        </row>
        <row r="101">
          <cell r="F101" t="str">
            <v>SM-O-GEN-Inspector-PrimaCorregida-001-TotalMes</v>
          </cell>
          <cell r="G101" t="str">
            <v>SM-O-GEN-Inspector-PrimaCorregida-001-TotalMes</v>
          </cell>
          <cell r="H101" t="str">
            <v>SM-O-GEN-Inspector-PrimaCorregida-001-TotalMes</v>
          </cell>
        </row>
        <row r="102">
          <cell r="F102"/>
          <cell r="G102" t="str">
            <v>SM-O-GEN-Inspector-PrimaCorregida-001-TotalMes</v>
          </cell>
          <cell r="H102" t="str">
            <v>SM-O-GEN-Inspector-Prima-001-TotalMes</v>
          </cell>
        </row>
        <row r="103">
          <cell r="F103" t="str">
            <v>SM-O-GEN-Inspector-PrimaCorregida-002-TotalMes</v>
          </cell>
          <cell r="G103" t="str">
            <v>SM-O-GEN-Inspector-PrimaCorregida-002-TotalMes</v>
          </cell>
          <cell r="H103" t="str">
            <v>SM-O-GEN-Inspector-PrimaCorregida-002-TotalMes</v>
          </cell>
        </row>
        <row r="104">
          <cell r="F104"/>
          <cell r="G104" t="str">
            <v>SM-O-GEN-Inspector-PrimaCorregida-002-TotalMes</v>
          </cell>
          <cell r="H104" t="str">
            <v>SM-O-GEN-Inspector-Prima-002-TotalMes</v>
          </cell>
        </row>
        <row r="105">
          <cell r="F105" t="str">
            <v>SM-O-GEN-Inspector-PrimaCorregida-003-TotalMes</v>
          </cell>
          <cell r="G105" t="str">
            <v>SM-O-GEN-Inspector-PrimaCorregida-003-TotalMes</v>
          </cell>
          <cell r="H105" t="str">
            <v>SM-O-GEN-Inspector-PrimaCorregida-003-TotalMes</v>
          </cell>
        </row>
        <row r="106">
          <cell r="F106"/>
          <cell r="G106" t="str">
            <v>SM-O-GEN-Inspector-PrimaCorregida-003-TotalMes</v>
          </cell>
          <cell r="H106" t="str">
            <v>SM-O-GEN-Inspector-Prima-003-TotalMes</v>
          </cell>
        </row>
        <row r="107">
          <cell r="F107" t="str">
            <v>SM-O-GEN-Inspector-PrimaCorregida-004-TotalMes</v>
          </cell>
          <cell r="G107" t="str">
            <v>SM-O-GEN-Inspector-PrimaCorregida-004-TotalMes</v>
          </cell>
          <cell r="H107" t="str">
            <v>SM-O-GEN-Inspector-PrimaCorregida-004-TotalMes</v>
          </cell>
        </row>
        <row r="108">
          <cell r="F108"/>
          <cell r="G108" t="str">
            <v>SM-O-GEN-Inspector-PrimaCorregida-004-TotalMes</v>
          </cell>
          <cell r="H108" t="str">
            <v>SM-O-GEN-Inspector-Prima-004-TotalMes</v>
          </cell>
        </row>
        <row r="109">
          <cell r="F109" t="str">
            <v>SM-O-GEN-Inspector-PrimaCorregida-005-TotalMes</v>
          </cell>
          <cell r="G109" t="str">
            <v>SM-O-GEN-Inspector-PrimaCorregida-005-TotalMes</v>
          </cell>
          <cell r="H109" t="str">
            <v>SM-O-GEN-Inspector-PrimaCorregida-005-TotalMes</v>
          </cell>
        </row>
        <row r="110">
          <cell r="F110"/>
          <cell r="G110" t="str">
            <v>SM-O-GEN-Inspector-PrimaCorregida-005-TotalMes</v>
          </cell>
          <cell r="H110" t="str">
            <v>SM-O-GEN-Inspector-Prima-005-TotalMes</v>
          </cell>
        </row>
        <row r="111">
          <cell r="F111" t="str">
            <v>SM-O-GEN-Inspector-PrimaCorregida-006-TotalMes</v>
          </cell>
          <cell r="G111" t="str">
            <v>SM-O-GEN-Inspector-PrimaCorregida-006-TotalMes</v>
          </cell>
          <cell r="H111" t="str">
            <v>SM-O-GEN-Inspector-PrimaCorregida-006-TotalMes</v>
          </cell>
        </row>
        <row r="112">
          <cell r="F112"/>
          <cell r="G112" t="str">
            <v>SM-O-GEN-Inspector-PrimaCorregida-006-TotalMes</v>
          </cell>
          <cell r="H112" t="str">
            <v>SM-O-GEN-Inspector-Prima-006-TotalMes</v>
          </cell>
        </row>
        <row r="113">
          <cell r="F113" t="str">
            <v>SM-O-GEN-Inspector-PrimaCorregida-007-TotalMes</v>
          </cell>
          <cell r="G113" t="str">
            <v>SM-O-GEN-Inspector-PrimaCorregida-007-TotalMes</v>
          </cell>
          <cell r="H113" t="str">
            <v>SM-O-GEN-Inspector-PrimaCorregida-007-TotalMes</v>
          </cell>
        </row>
        <row r="114">
          <cell r="F114"/>
          <cell r="G114" t="str">
            <v>SM-O-GEN-Inspector-PrimaCorregida-007-TotalMes</v>
          </cell>
          <cell r="H114" t="str">
            <v>SM-O-GEN-Inspector-Prima-007-TotalMes</v>
          </cell>
        </row>
        <row r="115">
          <cell r="F115" t="str">
            <v>SM-O-GEN-Inspector-PrimaCorregida-008-TotalMes</v>
          </cell>
          <cell r="G115" t="str">
            <v>SM-O-GEN-Inspector-PrimaCorregida-008-TotalMes</v>
          </cell>
          <cell r="H115" t="str">
            <v>SM-O-GEN-Inspector-PrimaCorregida-008-TotalMes</v>
          </cell>
        </row>
        <row r="116">
          <cell r="F116"/>
          <cell r="G116" t="str">
            <v>SM-O-GEN-Inspector-PrimaCorregida-008-TotalMes</v>
          </cell>
          <cell r="H116" t="str">
            <v>SM-O-GEN-Inspector-Prima-008-TotalMes</v>
          </cell>
        </row>
        <row r="117">
          <cell r="F117" t="str">
            <v>SM-O-GEN-Inspector-PrimaCorregida-009-TotalMes</v>
          </cell>
          <cell r="G117" t="str">
            <v>SM-O-GEN-Inspector-PrimaCorregida-009-TotalMes</v>
          </cell>
          <cell r="H117" t="str">
            <v>SM-O-GEN-Inspector-PrimaCorregida-009-TotalMes</v>
          </cell>
        </row>
        <row r="118">
          <cell r="F118"/>
          <cell r="G118" t="str">
            <v>SM-O-GEN-Inspector-PrimaCorregida-009-TotalMes</v>
          </cell>
          <cell r="H118" t="str">
            <v>SM-O-GEN-Inspector-Prima-009-TotalMes</v>
          </cell>
        </row>
        <row r="119">
          <cell r="F119" t="str">
            <v>SM-O-GEN-Inspector-PrimaCorregida-997-TotalMes</v>
          </cell>
          <cell r="G119" t="str">
            <v>SM-O-GEN-Inspector-PrimaCorregida-997-TotalMes</v>
          </cell>
          <cell r="H119" t="str">
            <v>SM-O-GEN-Inspector-PrimaCorregida-997-TotalMes</v>
          </cell>
        </row>
        <row r="120">
          <cell r="F120"/>
          <cell r="G120" t="str">
            <v>SM-O-GEN-Inspector-PrimaCorregida-997-TotalMes</v>
          </cell>
          <cell r="H120" t="str">
            <v>SM-O-GEN-Inspector-Prima-997-TotalMes</v>
          </cell>
        </row>
        <row r="121">
          <cell r="F121" t="str">
            <v>SM-O-GEN-Inspector-PrimaCorregida-998-TotalMes</v>
          </cell>
          <cell r="G121" t="str">
            <v>SM-O-GEN-Inspector-PrimaCorregida-998-TotalMes</v>
          </cell>
          <cell r="H121" t="str">
            <v>SM-O-GEN-Inspector-PrimaCorregida-998-TotalMes</v>
          </cell>
        </row>
        <row r="122">
          <cell r="F122"/>
          <cell r="G122" t="str">
            <v>SM-O-GEN-Inspector-PrimaCorregida-998-TotalMes</v>
          </cell>
          <cell r="H122" t="str">
            <v>SM-O-GEN-Inspector-Prima-998-TotalMes</v>
          </cell>
        </row>
        <row r="123">
          <cell r="F123"/>
          <cell r="G123" t="str">
            <v>DC-O-GEN-Agente-NumeroPolizas-005</v>
          </cell>
          <cell r="H123" t="str">
            <v>DC-O-GEN-Agente-NumeroPolizas-005</v>
          </cell>
        </row>
        <row r="124">
          <cell r="F124"/>
          <cell r="G124" t="str">
            <v>PM-O-GEN-Agente-NumeroPolizas-005</v>
          </cell>
          <cell r="H124" t="str">
            <v>PM-O-GEN-Agente-NumeroPolizas-005</v>
          </cell>
        </row>
        <row r="125">
          <cell r="F125" t="str">
            <v>PM-O-RPP-Agente-NumeroPolizas-005-SINCC</v>
          </cell>
          <cell r="G125" t="str">
            <v>PM-O-GEN-Agente-NumeroPolizas-005-SINCC</v>
          </cell>
          <cell r="H125" t="str">
            <v>PM-O-GEN-Agente-NumeroPolizas-005-SINCC</v>
          </cell>
        </row>
        <row r="126">
          <cell r="F126" t="str">
            <v>PM-O-RPP-Agente-NumeroPolizas-001</v>
          </cell>
          <cell r="G126" t="str">
            <v>PM-O-GEN-Agente-NumeroPolizas-001</v>
          </cell>
          <cell r="H126" t="str">
            <v>PM-O-GEN-Agente-NumeroPolizas-001</v>
          </cell>
        </row>
        <row r="127">
          <cell r="F127"/>
          <cell r="G127" t="str">
            <v>PM-O-GEN-Agente-NumeroPolizas-001</v>
          </cell>
          <cell r="H127" t="str">
            <v>PM-O-GEN-Agente-NumeroPolizasCorregidas-001</v>
          </cell>
        </row>
        <row r="128">
          <cell r="F128" t="str">
            <v>PM-O-RPP-Agente-NumeroPolizas-002</v>
          </cell>
          <cell r="G128" t="str">
            <v>PM-O-GEN-Agente-NumeroPolizas-002</v>
          </cell>
          <cell r="H128" t="str">
            <v>PM-O-GEN-Agente-NumeroPolizas-002</v>
          </cell>
        </row>
        <row r="129">
          <cell r="F129"/>
          <cell r="G129" t="str">
            <v>PM-O-GEN-Agente-NumeroPolizas-002</v>
          </cell>
          <cell r="H129" t="str">
            <v>PM-O-GEN-Agente-NumeroPolizasCorregidas-002</v>
          </cell>
        </row>
        <row r="130">
          <cell r="F130" t="str">
            <v>PM-O-RPP-Agente-NumeroPolizas-003</v>
          </cell>
          <cell r="G130" t="str">
            <v>PM-O-GEN-Agente-NumeroPolizas-003</v>
          </cell>
          <cell r="H130" t="str">
            <v>PM-O-GEN-Agente-NumeroPolizas-003</v>
          </cell>
        </row>
        <row r="131">
          <cell r="F131"/>
          <cell r="G131" t="str">
            <v>PM-O-GEN-Agente-NumeroPolizas-003</v>
          </cell>
          <cell r="H131" t="str">
            <v>PM-O-GEN-Agente-NumeroPolizasCorregidas-003</v>
          </cell>
        </row>
        <row r="132">
          <cell r="F132" t="str">
            <v>PM-O-RPP-Agente-NumeroPolizas-004</v>
          </cell>
          <cell r="G132" t="str">
            <v>PM-O-GEN-Agente-NumeroPolizas-004</v>
          </cell>
          <cell r="H132" t="str">
            <v>PM-O-GEN-Agente-NumeroPolizas-004</v>
          </cell>
        </row>
        <row r="133">
          <cell r="F133"/>
          <cell r="G133" t="str">
            <v>PM-O-GEN-Agente-NumeroPolizas-004</v>
          </cell>
          <cell r="H133" t="str">
            <v>PM-O-GEN-Agente-NumeroPolizasCorregidas-004</v>
          </cell>
        </row>
        <row r="134">
          <cell r="F134" t="str">
            <v>PM-O-RPP-Agente-NumeroPolizas-998-Total-Productos</v>
          </cell>
          <cell r="G134" t="str">
            <v>PM-O-GEN-Agente-NumeroPolizas-998</v>
          </cell>
          <cell r="H134" t="str">
            <v>PM-O-GEN-Agente-NumeroPolizas-998</v>
          </cell>
        </row>
        <row r="135">
          <cell r="F135"/>
          <cell r="G135" t="str">
            <v>PM-O-GEN-Agente-NumeroPolizas-998</v>
          </cell>
          <cell r="H135" t="str">
            <v>PM-O-GEN-Agente-NumeroPolizasCorregidas-998</v>
          </cell>
        </row>
        <row r="136">
          <cell r="F136" t="str">
            <v>PM-O-RPP-Agente-NumeroPolizas-997</v>
          </cell>
          <cell r="G136" t="str">
            <v>PM-O-GEN-Agente-NumeroPolizas-997</v>
          </cell>
          <cell r="H136" t="str">
            <v>PM-O-GEN-Agente-NumeroPolizas-997</v>
          </cell>
        </row>
        <row r="137">
          <cell r="F137"/>
          <cell r="G137" t="str">
            <v>PM-O-GEN-Agente-NumeroPolizas-997</v>
          </cell>
          <cell r="H137" t="str">
            <v>PM-O-GEN-Agente-NumeroPolizasCorregidas-997</v>
          </cell>
        </row>
        <row r="138">
          <cell r="F138"/>
          <cell r="G138" t="str">
            <v>DC-O-GEN-Agente-Prima-001</v>
          </cell>
          <cell r="H138" t="str">
            <v>DC-O-GEN-Agente-Prima-001</v>
          </cell>
        </row>
        <row r="139">
          <cell r="F139"/>
          <cell r="G139" t="str">
            <v>DC-O-GEN-Agente-Prima-002</v>
          </cell>
          <cell r="H139" t="str">
            <v>DC-O-GEN-Agente-Prima-002</v>
          </cell>
        </row>
        <row r="140">
          <cell r="F140"/>
          <cell r="G140" t="str">
            <v>DC-O-GEN-Agente-Prima-003</v>
          </cell>
          <cell r="H140" t="str">
            <v>DC-O-GEN-Agente-Prima-003</v>
          </cell>
        </row>
        <row r="141">
          <cell r="F141"/>
          <cell r="G141" t="str">
            <v>DC-O-GEN-Agente-Prima-004</v>
          </cell>
          <cell r="H141" t="str">
            <v>DC-O-GEN-Agente-Prima-004</v>
          </cell>
        </row>
        <row r="142">
          <cell r="F142"/>
          <cell r="G142" t="str">
            <v>DC-O-GEN-Agente-Prima-005</v>
          </cell>
          <cell r="H142" t="str">
            <v>DC-O-GEN-Agente-Prima-005</v>
          </cell>
        </row>
        <row r="143">
          <cell r="F143"/>
          <cell r="G143" t="str">
            <v>PM-O-GEN-Agente-Prima-001</v>
          </cell>
          <cell r="H143" t="str">
            <v>PM-O-GEN-Agente-Prima-001</v>
          </cell>
        </row>
        <row r="144">
          <cell r="F144"/>
          <cell r="G144" t="str">
            <v>PM-O-GEN-Agente-Prima-002</v>
          </cell>
          <cell r="H144" t="str">
            <v>PM-O-GEN-Agente-Prima-002</v>
          </cell>
        </row>
        <row r="145">
          <cell r="F145"/>
          <cell r="G145" t="str">
            <v>PM-O-GEN-Agente-Prima-003</v>
          </cell>
          <cell r="H145" t="str">
            <v>PM-O-GEN-Agente-Prima-003</v>
          </cell>
        </row>
        <row r="146">
          <cell r="F146"/>
          <cell r="G146" t="str">
            <v>PM-O-GEN-Agente-Prima-004</v>
          </cell>
          <cell r="H146" t="str">
            <v>PM-O-GEN-Agente-Prima-004</v>
          </cell>
        </row>
        <row r="147">
          <cell r="F147"/>
          <cell r="G147" t="str">
            <v>PM-O-GEN-Agente-Prima-005</v>
          </cell>
          <cell r="H147" t="str">
            <v>PM-O-GEN-Agente-Prima-005</v>
          </cell>
        </row>
        <row r="148">
          <cell r="F148"/>
          <cell r="G148" t="str">
            <v>PM-O-GEN-Agente-Prima-997</v>
          </cell>
          <cell r="H148" t="str">
            <v>PM-O-GEN-Agente-Prima-997</v>
          </cell>
        </row>
        <row r="149">
          <cell r="F149" t="str">
            <v>PM-O-RPP-Agente-Prima-998</v>
          </cell>
          <cell r="G149" t="str">
            <v>PM-O-GEN-Agente-Prima-998</v>
          </cell>
          <cell r="H149" t="str">
            <v>PM-O-GEN-Agente-Prima-998</v>
          </cell>
        </row>
        <row r="150">
          <cell r="F150" t="str">
            <v>SM-RPP-Inspector-PrimaCorregida-Propia</v>
          </cell>
          <cell r="G150" t="str">
            <v>SM-O-GEN-Inspector-PrimaCorregida-998-TotalMes</v>
          </cell>
          <cell r="H150" t="str">
            <v>SM-O-GEN-Inspector-PrimaCorregida-998-Propia</v>
          </cell>
        </row>
        <row r="151">
          <cell r="F151" t="str">
            <v>SM-RPP-Inspector-PrimaCorregida-Agentes</v>
          </cell>
          <cell r="G151" t="str">
            <v>SM-O-GEN-Inspector-PrimaCorregida-998-TotalMes</v>
          </cell>
          <cell r="H151" t="str">
            <v>SM-O-GEN-Inspector-PrimaCorregida-998-Agentes</v>
          </cell>
        </row>
        <row r="152">
          <cell r="F152" t="str">
            <v>SM-RPP-Inspector-PrimaCorregida-TotalMes</v>
          </cell>
          <cell r="G152" t="str">
            <v>SM-O-GEN-Inspector-PrimaCorregida-998-TotalMes</v>
          </cell>
          <cell r="H152" t="str">
            <v>SM-O-GEN-Inspector-PrimaCorregida-998-TotalMes</v>
          </cell>
        </row>
        <row r="153">
          <cell r="F153"/>
          <cell r="G153" t="str">
            <v>SM-O-GEN-Inspector-PrimaCorregida-998-TotalMes</v>
          </cell>
          <cell r="H153" t="str">
            <v>SM-O-GEN-Inspector-Prima-998-TotalMes</v>
          </cell>
        </row>
        <row r="154">
          <cell r="F154" t="str">
            <v>DC-GEN-NumeroPolizas-906</v>
          </cell>
          <cell r="G154" t="str">
            <v>DC-O-GEN-Inspector-NumeroPolizas-906</v>
          </cell>
          <cell r="H154" t="str">
            <v>DC-O-GEN-Inspector-NumeroPolizas-906</v>
          </cell>
        </row>
        <row r="155">
          <cell r="F155" t="str">
            <v>IC-GEN-NumeroPolizas-906</v>
          </cell>
          <cell r="G155" t="str">
            <v>IC-O-GEN-Inspector-NumeroPolizas-906</v>
          </cell>
          <cell r="H155" t="str">
            <v>IC-O-GEN-Inspector-NumeroPolizas-906</v>
          </cell>
        </row>
        <row r="156">
          <cell r="F156" t="str">
            <v>PM-GEN-NumeroPolizas-906</v>
          </cell>
          <cell r="G156" t="str">
            <v>PM-O-GEN-Inspector-NumeroPolizas-906</v>
          </cell>
          <cell r="H156" t="str">
            <v>PM-O-GEN-Inspector-NumeroPolizas-906</v>
          </cell>
        </row>
        <row r="157">
          <cell r="F157" t="str">
            <v>PM-GEN-NumeroPolizas-906-Agentes</v>
          </cell>
          <cell r="G157" t="str">
            <v>PM-O-GEN-Inspector-NumeroPolizas-906-Agentes</v>
          </cell>
          <cell r="H157" t="str">
            <v>PM-O-GEN-Inspector-NumeroPolizas-906-Agentes</v>
          </cell>
        </row>
        <row r="158">
          <cell r="F158" t="str">
            <v>SM-O-RPP-Agente-NumeroPolizas-001-Total-Mes</v>
          </cell>
          <cell r="G158" t="str">
            <v>SM-O-GEN-Agente-NumeroPolizas-001-TotalMes</v>
          </cell>
          <cell r="H158" t="str">
            <v>SM-O-GEN-Agente-NumeroPolizas-001-TotalMes</v>
          </cell>
        </row>
        <row r="159">
          <cell r="G159" t="str">
            <v>SM-O-GEN-Agente-NumeroPolizas-001-TotalMes</v>
          </cell>
          <cell r="H159" t="str">
            <v>SM-O-GEN-Agente-NumeroPolizasCorregidas-001-TotalMes</v>
          </cell>
        </row>
        <row r="160">
          <cell r="F160" t="str">
            <v>SM-O-RPP-Agente-NumeroPolizas-002-Total-Mes</v>
          </cell>
          <cell r="G160" t="str">
            <v>SM-O-GEN-Agente-NumeroPolizas-002-TotalMes</v>
          </cell>
          <cell r="H160" t="str">
            <v>SM-O-GEN-Agente-NumeroPolizas-002-TotalMes</v>
          </cell>
        </row>
        <row r="161">
          <cell r="F161"/>
          <cell r="G161" t="str">
            <v>SM-O-GEN-Agente-NumeroPolizas-002-TotalMes</v>
          </cell>
          <cell r="H161" t="str">
            <v>SM-O-GEN-Agente-NumeroPolizasCorregidas-002-TotalMes</v>
          </cell>
        </row>
        <row r="162">
          <cell r="F162" t="str">
            <v>SM-O-RPP-Agente-NumeroPolizas-003-Total-Mes</v>
          </cell>
          <cell r="G162" t="str">
            <v>SM-O-GEN-Agente-NumeroPolizas-003-TotalMes</v>
          </cell>
          <cell r="H162" t="str">
            <v>SM-O-GEN-Agente-NumeroPolizas-003-TotalMes</v>
          </cell>
        </row>
        <row r="163">
          <cell r="F163"/>
          <cell r="G163" t="str">
            <v>SM-O-GEN-Agente-NumeroPolizas-003-TotalMes</v>
          </cell>
          <cell r="H163" t="str">
            <v>SM-O-GEN-Agente-NumeroPolizasCorregidas-003-TotalMes</v>
          </cell>
        </row>
        <row r="164">
          <cell r="F164" t="str">
            <v>SM-O-RPP-Agente-NumeroPolizas-004-Total-Mes</v>
          </cell>
          <cell r="G164" t="str">
            <v>SM-O-GEN-Agente-NumeroPolizas-004-TotalMes</v>
          </cell>
          <cell r="H164" t="str">
            <v>SM-O-GEN-Agente-NumeroPolizas-004-TotalMes</v>
          </cell>
        </row>
        <row r="165">
          <cell r="G165" t="str">
            <v>SM-O-GEN-Agente-NumeroPolizas-004-TotalMes</v>
          </cell>
          <cell r="H165" t="str">
            <v>SM-O-GEN-Agente-NumeroPolizasCorregidas-004-TotalMes</v>
          </cell>
        </row>
        <row r="166">
          <cell r="G166" t="str">
            <v>SM-O-GEN-Agente-NumeroPolizas-005-TotalMes</v>
          </cell>
          <cell r="H166" t="str">
            <v>SM-O-GEN-Agente-NumeroPolizas-005-TotalMes</v>
          </cell>
        </row>
        <row r="167">
          <cell r="G167" t="str">
            <v>SM-O-GEN-Agente-NumeroPolizas-005-TotalMes</v>
          </cell>
          <cell r="H167" t="str">
            <v>SM-O-GEN-Agente-NumeroPolizasCorregidas-005-TotalMes</v>
          </cell>
        </row>
        <row r="168">
          <cell r="F168" t="str">
            <v>SM-O-RPP-Agente-NumeroPolizas-005-SINCC-Total-Mes</v>
          </cell>
          <cell r="G168" t="str">
            <v>SM-O-GEN-Agente-NumeroPolizas-005-SINCC-TotalMes</v>
          </cell>
          <cell r="H168" t="str">
            <v>SM-O-GEN-Agente-NumeroPolizas-005-SINCC-TotalMes</v>
          </cell>
        </row>
        <row r="169">
          <cell r="F169" t="str">
            <v>SM-O-RPP-Agente-NumeroPolizas-997-Total-Mes</v>
          </cell>
          <cell r="G169" t="str">
            <v>SM-O-GEN-Agente-NumeroPolizas-997-TotalMes</v>
          </cell>
          <cell r="H169" t="str">
            <v>SM-O-GEN-Agente-NumeroPolizas-997-TotalMes</v>
          </cell>
        </row>
        <row r="170">
          <cell r="F170"/>
          <cell r="G170" t="str">
            <v>SM-O-GEN-Agente-NumeroPolizas-997-TotalMes</v>
          </cell>
          <cell r="H170" t="str">
            <v>SM-O-GEN-Agente-NumeroPolizasCorregidas-997-TotalMes</v>
          </cell>
        </row>
        <row r="171">
          <cell r="F171" t="str">
            <v>SM-O-RPP-Agente-Prima-998-Total-Mes</v>
          </cell>
          <cell r="G171" t="str">
            <v>SM-O-GEN-Agente-Prima-998-TotalMes</v>
          </cell>
          <cell r="H171" t="str">
            <v>SM-O-GEN-Agente-Prima-998-TotalMes</v>
          </cell>
        </row>
        <row r="172">
          <cell r="F172" t="str">
            <v>SM-RPP-Inspector-PrimaCorregida-TotalAnual</v>
          </cell>
          <cell r="G172" t="str">
            <v>SM-O-GEN-Inspector-PrimaCorregida-998-TotalAnual</v>
          </cell>
          <cell r="H172" t="str">
            <v>SM-O-GEN-Inspector-PrimaCorregida-998-TotalAnual</v>
          </cell>
        </row>
        <row r="173">
          <cell r="F173" t="str">
            <v>SM-RPP-Inspector-PrimaCorregida-PropiaAnual</v>
          </cell>
          <cell r="G173" t="str">
            <v>SM-O-GEN-Inspector-PrimaCorregida-998-TotalAnual</v>
          </cell>
          <cell r="H173" t="str">
            <v>SM-O-GEN-Inspector-PrimaCorregida-998-PropiaAnual</v>
          </cell>
        </row>
        <row r="174">
          <cell r="F174" t="str">
            <v>SM-RPP-Inspector-PrimaCorregida-AgentesAnual</v>
          </cell>
          <cell r="G174" t="str">
            <v>SM-O-GEN-Inspector-PrimaCorregida-998-TotalAnual</v>
          </cell>
          <cell r="H174" t="str">
            <v>SM-O-GEN-Inspector-PrimaCorregida-998-AgentesAnual</v>
          </cell>
        </row>
        <row r="175">
          <cell r="F175" t="str">
            <v>SM-O-PP-Inspector-Meses</v>
          </cell>
          <cell r="G175" t="str">
            <v>SM-O-GEN-Inspector-Meses</v>
          </cell>
          <cell r="H175" t="str">
            <v>SM-O-GEN-Inspector-Meses</v>
          </cell>
        </row>
        <row r="176">
          <cell r="G176" t="str">
            <v>SM-O-GEN-Agente-NumeroPolizas-998-TotalMes</v>
          </cell>
          <cell r="H176" t="str">
            <v>SM-O-GEN-Agente-NumeroPolizas-998-TotalMes</v>
          </cell>
        </row>
        <row r="177">
          <cell r="G177" t="str">
            <v>SM-O-GEN-Agente-NumeroPolizas-998-TotalMes</v>
          </cell>
          <cell r="H177" t="str">
            <v>SM-O-GEN-Agente-NumeroPolizasCorregidas-998-TotalMes</v>
          </cell>
        </row>
        <row r="178">
          <cell r="G178" t="str">
            <v>SM-O-GEN-Agente-Prima-001-TotalMes</v>
          </cell>
          <cell r="H178" t="str">
            <v>SM-O-GEN-Agente-Prima-001-TotalMes</v>
          </cell>
        </row>
        <row r="179">
          <cell r="G179" t="str">
            <v>SM-O-GEN-Agente-Prima-002-TotalMes</v>
          </cell>
          <cell r="H179" t="str">
            <v>SM-O-GEN-Agente-Prima-002-TotalMes</v>
          </cell>
        </row>
        <row r="180">
          <cell r="G180" t="str">
            <v>SM-O-GEN-Agente-Prima-003-TotalMes</v>
          </cell>
          <cell r="H180" t="str">
            <v>SM-O-GEN-Agente-Prima-003-TotalMes</v>
          </cell>
        </row>
        <row r="181">
          <cell r="G181" t="str">
            <v>SM-O-GEN-Agente-Prima-004-TotalMes</v>
          </cell>
          <cell r="H181" t="str">
            <v>SM-O-GEN-Agente-Prima-004-TotalMes</v>
          </cell>
        </row>
        <row r="182">
          <cell r="G182" t="str">
            <v>SM-O-GEN-Agente-Prima-005-TotalMes</v>
          </cell>
          <cell r="H182" t="str">
            <v>SM-O-GEN-Agente-Prima-005-TotalMes</v>
          </cell>
        </row>
        <row r="183">
          <cell r="G183" t="str">
            <v>SM-O-GEN-Agente-Prima-997-TotalMes</v>
          </cell>
          <cell r="H183" t="str">
            <v>SM-O-GEN-Agente-Prima-997-TotalMes</v>
          </cell>
        </row>
        <row r="184">
          <cell r="F184" t="str">
            <v>DC-O-GEN-Agente-NumeroPolizas-001</v>
          </cell>
          <cell r="G184" t="str">
            <v>DC-O-GEN-Agente-NumeroPolizas-001</v>
          </cell>
          <cell r="H184" t="str">
            <v>DC-O-GEN-Agente-NumeroPolizas-001</v>
          </cell>
        </row>
        <row r="185">
          <cell r="F185" t="str">
            <v>DC-O-GEN-Agente-NumeroPolizas-002</v>
          </cell>
          <cell r="G185" t="str">
            <v>DC-O-GEN-Agente-NumeroPolizas-002</v>
          </cell>
          <cell r="H185" t="str">
            <v>DC-O-GEN-Agente-NumeroPolizas-002</v>
          </cell>
        </row>
        <row r="186">
          <cell r="F186" t="str">
            <v>DC-O-GEN-Agente-NumeroPolizas-003</v>
          </cell>
          <cell r="G186" t="str">
            <v>DC-O-GEN-Agente-NumeroPolizas-003</v>
          </cell>
          <cell r="H186" t="str">
            <v>DC-O-GEN-Agente-NumeroPolizas-003</v>
          </cell>
        </row>
        <row r="187">
          <cell r="F187" t="str">
            <v>DC-O-GEN-Agente-NumeroPolizas-004</v>
          </cell>
          <cell r="G187" t="str">
            <v>DC-O-GEN-Agente-NumeroPolizas-004</v>
          </cell>
          <cell r="H187" t="str">
            <v>DC-O-GEN-Agente-NumeroPolizas-004</v>
          </cell>
        </row>
        <row r="188">
          <cell r="F188" t="str">
            <v>DC-O-GEN-Agente-NumeroPolizas-998</v>
          </cell>
          <cell r="G188" t="str">
            <v>DC-O-GEN-Agente-NumeroPolizas-998</v>
          </cell>
          <cell r="H188" t="str">
            <v>DC-O-GEN-Agente-NumeroPolizas-998</v>
          </cell>
        </row>
        <row r="189">
          <cell r="F189" t="str">
            <v>DC-O-GEN-Agente-NumeroPolizas-998-81</v>
          </cell>
          <cell r="G189" t="str">
            <v>DC-O-GEN-Agente-NumeroPolizas-998-81</v>
          </cell>
          <cell r="H189" t="str">
            <v>DC-O-GEN-Agente-NumeroPolizas-998-81</v>
          </cell>
        </row>
        <row r="190">
          <cell r="F190" t="str">
            <v>DC-O-GEN-Agente-Prima-998</v>
          </cell>
          <cell r="G190" t="str">
            <v>DC-O-GEN-Agente-Prima-998</v>
          </cell>
          <cell r="H190" t="str">
            <v>DC-O-GEN-Agente-Prima-998</v>
          </cell>
        </row>
        <row r="191">
          <cell r="F191" t="str">
            <v>DC-O-GEN-Inspector-NumeroPolizas-997</v>
          </cell>
          <cell r="G191" t="str">
            <v>DC-O-GEN-Inspector-NumeroPolizas-998 y GB1</v>
          </cell>
          <cell r="H191" t="str">
            <v>DC-O-GEN-Inspector-NumeroPolizas-998</v>
          </cell>
        </row>
        <row r="192">
          <cell r="F192" t="str">
            <v>DC-O-GEN-Inspector-PrimaCorregida-001</v>
          </cell>
          <cell r="G192" t="str">
            <v>DC-O-GEN-Inspector-PrimaCorregida-001</v>
          </cell>
          <cell r="H192" t="str">
            <v>DC-O-GEN-Inspector-PrimaCorregida-001</v>
          </cell>
        </row>
        <row r="193">
          <cell r="F193" t="str">
            <v>DC-O-GEN-Inspector-PrimaCorregida-002</v>
          </cell>
          <cell r="G193" t="str">
            <v>DC-O-GEN-Inspector-PrimaCorregida-002</v>
          </cell>
          <cell r="H193" t="str">
            <v>DC-O-GEN-Inspector-PrimaCorregida-002</v>
          </cell>
        </row>
        <row r="194">
          <cell r="F194" t="str">
            <v>DC-O-GEN-Inspector-PrimaCorregida-003</v>
          </cell>
          <cell r="G194" t="str">
            <v>DC-O-GEN-Inspector-PrimaCorregida-003</v>
          </cell>
          <cell r="H194" t="str">
            <v>DC-O-GEN-Inspector-PrimaCorregida-003</v>
          </cell>
        </row>
        <row r="195">
          <cell r="F195" t="str">
            <v>DC-O-GEN-Inspector-PrimaCorregida-004</v>
          </cell>
          <cell r="G195" t="str">
            <v>DC-O-GEN-Inspector-PrimaCorregida-004</v>
          </cell>
          <cell r="H195" t="str">
            <v>DC-O-GEN-Inspector-PrimaCorregida-004</v>
          </cell>
        </row>
        <row r="196">
          <cell r="F196" t="str">
            <v>DC-O-GEN-Inspector-PrimaCorregida-005</v>
          </cell>
          <cell r="G196" t="str">
            <v>DC-O-GEN-Inspector-PrimaCorregida-005</v>
          </cell>
          <cell r="H196" t="str">
            <v>DC-O-GEN-Inspector-PrimaCorregida-005</v>
          </cell>
        </row>
        <row r="197">
          <cell r="F197" t="str">
            <v>DC-O-GEN-Inspector-PrimaCorregida-006</v>
          </cell>
          <cell r="G197" t="str">
            <v>DC-O-GEN-Inspector-PrimaCorregida-006</v>
          </cell>
          <cell r="H197" t="str">
            <v>DC-O-GEN-Inspector-PrimaCorregida-006</v>
          </cell>
        </row>
        <row r="198">
          <cell r="F198" t="str">
            <v>DC-O-GEN-Inspector-PrimaCorregida-007</v>
          </cell>
          <cell r="G198" t="str">
            <v>DC-O-GEN-Inspector-PrimaCorregida-007</v>
          </cell>
          <cell r="H198" t="str">
            <v>DC-O-GEN-Inspector-PrimaCorregida-007</v>
          </cell>
        </row>
        <row r="199">
          <cell r="F199" t="str">
            <v>DC-O-GEN-Inspector-PrimaCorregida-008</v>
          </cell>
          <cell r="G199" t="str">
            <v>DC-O-GEN-Inspector-PrimaCorregida-008</v>
          </cell>
          <cell r="H199" t="str">
            <v>DC-O-GEN-Inspector-PrimaCorregida-008</v>
          </cell>
        </row>
        <row r="200">
          <cell r="F200" t="str">
            <v>DC-O-GEN-Inspector-PrimaCorregida-009</v>
          </cell>
          <cell r="G200" t="str">
            <v>DC-O-GEN-Inspector-PrimaCorregida-009</v>
          </cell>
          <cell r="H200" t="str">
            <v>DC-O-GEN-Inspector-PrimaCorregida-009</v>
          </cell>
        </row>
        <row r="201">
          <cell r="F201" t="str">
            <v>DC-O-GEN-Inspector-PrimaCorregida-997</v>
          </cell>
          <cell r="G201" t="str">
            <v>DC-O-GEN-Inspector-NumeroPolizas-998 y GB1</v>
          </cell>
          <cell r="H201" t="str">
            <v>DC-O-GEN-Inspector-PrimaCorregida-998</v>
          </cell>
        </row>
        <row r="202">
          <cell r="F202" t="str">
            <v>DC-RPP-Inspector-PrimaCorregida</v>
          </cell>
          <cell r="G202" t="str">
            <v>DC-RPP-Inspector-PrimaCorregida</v>
          </cell>
          <cell r="H202" t="str">
            <v>DC-RPP-Inspector-PrimaCorregida</v>
          </cell>
        </row>
        <row r="203">
          <cell r="F203" t="str">
            <v>DC-O-GEN-Inspector-PrimaCorregida-No-Prioritarios-997</v>
          </cell>
          <cell r="G203" t="str">
            <v>DC-O-GEN-Inspector-PrimaCorregida-No-Prioritarios-997</v>
          </cell>
          <cell r="H203" t="str">
            <v>DC-O-GEN-Inspector-PrimaCorregida-No-Prioritarios-997</v>
          </cell>
        </row>
        <row r="204">
          <cell r="F204" t="str">
            <v>DC-O-GEN-Inspector-PrimaCorregida-Prioritarios-Sin-VidaAhorro</v>
          </cell>
          <cell r="G204" t="str">
            <v>DC-O-GEN-Inspector-PrimaCorregida-Prioritarios-Sin-VidaAhorro</v>
          </cell>
          <cell r="H204" t="str">
            <v>DC-O-GEN-Inspector-PrimaCorregida-Prioritarios-Sin-VidaAhorro</v>
          </cell>
        </row>
        <row r="205">
          <cell r="F205" t="str">
            <v>IC-O-GEN-Inspector-PrimaCorregida-001</v>
          </cell>
          <cell r="G205" t="str">
            <v>IC-O-GEN-Inspector-PrimaCorregida-001</v>
          </cell>
          <cell r="H205" t="str">
            <v>IC-O-GEN-Inspector-PrimaCorregida-001</v>
          </cell>
        </row>
        <row r="206">
          <cell r="F206" t="str">
            <v>IC-O-GEN-Inspector-PrimaCorregida-002</v>
          </cell>
          <cell r="G206" t="str">
            <v>IC-O-GEN-Inspector-PrimaCorregida-002</v>
          </cell>
          <cell r="H206" t="str">
            <v>IC-O-GEN-Inspector-PrimaCorregida-002</v>
          </cell>
        </row>
        <row r="207">
          <cell r="F207" t="str">
            <v>IC-O-GEN-Inspector-PrimaCorregida-003</v>
          </cell>
          <cell r="G207" t="str">
            <v>IC-O-GEN-Inspector-PrimaCorregida-003</v>
          </cell>
          <cell r="H207" t="str">
            <v>IC-O-GEN-Inspector-PrimaCorregida-003</v>
          </cell>
        </row>
        <row r="208">
          <cell r="F208" t="str">
            <v>IC-O-GEN-Inspector-PrimaCorregida-004</v>
          </cell>
          <cell r="G208" t="str">
            <v>IC-O-GEN-Inspector-PrimaCorregida-004</v>
          </cell>
          <cell r="H208" t="str">
            <v>IC-O-GEN-Inspector-PrimaCorregida-004</v>
          </cell>
        </row>
        <row r="209">
          <cell r="F209" t="str">
            <v>IC-O-GEN-Inspector-PrimaCorregida-005</v>
          </cell>
          <cell r="G209" t="str">
            <v>IC-O-GEN-Inspector-PrimaCorregida-005</v>
          </cell>
          <cell r="H209" t="str">
            <v>IC-O-GEN-Inspector-PrimaCorregida-005</v>
          </cell>
        </row>
        <row r="210">
          <cell r="F210" t="str">
            <v>IC-O-GEN-Inspector-PrimaCorregida-006</v>
          </cell>
          <cell r="G210" t="str">
            <v>IC-O-GEN-Inspector-PrimaCorregida-006</v>
          </cell>
          <cell r="H210" t="str">
            <v>IC-O-GEN-Inspector-PrimaCorregida-006</v>
          </cell>
        </row>
        <row r="211">
          <cell r="F211" t="str">
            <v>IC-O-GEN-Inspector-PrimaCorregida-007</v>
          </cell>
          <cell r="G211" t="str">
            <v>IC-O-GEN-Inspector-PrimaCorregida-007</v>
          </cell>
          <cell r="H211" t="str">
            <v>IC-O-GEN-Inspector-PrimaCorregida-007</v>
          </cell>
        </row>
        <row r="212">
          <cell r="F212" t="str">
            <v>IC-O-GEN-Inspector-PrimaCorregida-008</v>
          </cell>
          <cell r="G212" t="str">
            <v>IC-O-GEN-Inspector-PrimaCorregida-008</v>
          </cell>
          <cell r="H212" t="str">
            <v>IC-O-GEN-Inspector-PrimaCorregida-008</v>
          </cell>
        </row>
        <row r="213">
          <cell r="F213" t="str">
            <v>IC-O-GEN-Inspector-PrimaCorregida-009</v>
          </cell>
          <cell r="G213" t="str">
            <v>IC-O-GEN-Inspector-PrimaCorregida-009</v>
          </cell>
          <cell r="H213" t="str">
            <v>IC-O-GEN-Inspector-PrimaCorregida-009</v>
          </cell>
        </row>
        <row r="214">
          <cell r="F214" t="str">
            <v>IC-O-GEN-Inspector-PrimaCorregida-997</v>
          </cell>
          <cell r="G214" t="str">
            <v>IC-O-GEN-Inspector-NumeroPolizas-998 y GB1</v>
          </cell>
          <cell r="H214" t="str">
            <v>IC-O-GEN-Inspector-PrimaCorregida-998</v>
          </cell>
        </row>
        <row r="215">
          <cell r="F215" t="str">
            <v>IC-O-GEN-Inspector-PrimaCorregida-No-Prioritarios-997</v>
          </cell>
          <cell r="G215" t="str">
            <v>IC-O-GEN-Inspector-PrimaCorregida-No-Prioritarios-997</v>
          </cell>
          <cell r="H215" t="str">
            <v>IC-O-GEN-Inspector-PrimaCorregida-No-Prioritarios-997</v>
          </cell>
        </row>
        <row r="216">
          <cell r="F216" t="str">
            <v>IC-O-GEN-Inspector-PrimaCorregida-Prioritarios-Sin-VidaAhorro</v>
          </cell>
          <cell r="G216" t="str">
            <v>IC-O-GEN-Inspector-PrimaCorregida-Prioritarios-Sin-VidaAhorro</v>
          </cell>
          <cell r="H216" t="str">
            <v>IC-O-GEN-Inspector-PrimaCorregida-Prioritarios-Sin-VidaAhorro</v>
          </cell>
        </row>
        <row r="217">
          <cell r="F217" t="str">
            <v>PM-O-GEN-Inspector-PrimaCorregida-004-Prioritarios</v>
          </cell>
          <cell r="G217" t="str">
            <v>PM-O-GEN-Inspector-PrimaCorregida-004-Prioritarios</v>
          </cell>
          <cell r="H217" t="str">
            <v>PM-O-GEN-Inspector-PrimaCorregida-004-Prioritarios</v>
          </cell>
        </row>
        <row r="218">
          <cell r="F218"/>
          <cell r="G218" t="str">
            <v>PM-O-GEN-Inspector-PrimaCorregida-004-Prioritarios</v>
          </cell>
          <cell r="H218" t="str">
            <v>PM-O-GEN-Inspector-Prima-004-Prioritarios</v>
          </cell>
        </row>
        <row r="219">
          <cell r="F219" t="str">
            <v>PM-O-GEN-Inspector-PrimaCorregida-004-Prioritarios-Agentes</v>
          </cell>
          <cell r="G219" t="str">
            <v>PM-O-GEN-Inspector-PrimaCorregida-004-Prioritarios-Agentes</v>
          </cell>
          <cell r="H219" t="str">
            <v>PM-O-GEN-Inspector-PrimaCorregida-004-Prioritarios-Agentes</v>
          </cell>
        </row>
        <row r="220">
          <cell r="F220"/>
          <cell r="G220" t="str">
            <v>PM-O-GEN-Inspector-PrimaCorregida-004-Prioritarios-Agentes</v>
          </cell>
          <cell r="H220" t="str">
            <v>PM-O-GEN-Inspector-Prima-004-Prioritarios-Agentes</v>
          </cell>
        </row>
        <row r="221">
          <cell r="F221" t="str">
            <v>PM-O-GEN-Inspector-PrimaCorregida-No-Prioritarios-997</v>
          </cell>
          <cell r="G221" t="str">
            <v>PM-O-GEN-Inspector-PrimaCorregida-No-Prioritarios-997</v>
          </cell>
          <cell r="H221" t="str">
            <v>PM-O-GEN-Inspector-PrimaCorregida-No-Prioritarios-997</v>
          </cell>
        </row>
        <row r="222">
          <cell r="F222"/>
          <cell r="G222" t="str">
            <v>PM-O-GEN-Inspector-PrimaCorregida-No-Prioritarios-997</v>
          </cell>
          <cell r="H222" t="str">
            <v>PM-O-GEN-Inspector-Prima-No-Prioritarios-997</v>
          </cell>
        </row>
        <row r="223">
          <cell r="F223" t="str">
            <v>PM-O-GEN-Inspector-PrimaCorregida-No-Prioritarios-997-Agentes</v>
          </cell>
          <cell r="G223" t="str">
            <v>PM-O-GEN-Inspector-PrimaCorregida-No-Prioritarios-997-Agentes</v>
          </cell>
          <cell r="H223" t="str">
            <v>PM-O-GEN-Inspector-PrimaCorregida-No-Prioritarios-997-Agentes</v>
          </cell>
        </row>
        <row r="224">
          <cell r="F224"/>
          <cell r="G224" t="str">
            <v>PM-O-GEN-Inspector-PrimaCorregida-No-Prioritarios-997-Agentes</v>
          </cell>
          <cell r="H224" t="str">
            <v>PM-O-GEN-Inspector-Prima-No-Prioritarios-997-Agentes</v>
          </cell>
        </row>
        <row r="225">
          <cell r="F225" t="str">
            <v>PM-O-GEN-Inspector-PrimaCorregida-Prioritarios-Sin-VidaAhorro</v>
          </cell>
          <cell r="G225" t="str">
            <v>PM-O-GEN-Inspector-PrimaCorregida-Prioritarios-Sin-VidaAhorro</v>
          </cell>
          <cell r="H225" t="str">
            <v>PM-O-GEN-Inspector-PrimaCorregida-Prioritarios-Sin-VidaAhorro</v>
          </cell>
        </row>
        <row r="226">
          <cell r="F226"/>
          <cell r="G226" t="str">
            <v>PM-O-GEN-Inspector-PrimaCorregida-Prioritarios-Sin-VidaAhorro</v>
          </cell>
          <cell r="H226" t="str">
            <v>PM-O-GEN-Inspector-Prima-Prioritarios-Sin-VidaAhorro</v>
          </cell>
        </row>
        <row r="227">
          <cell r="F227" t="str">
            <v>PM-O-GEN-Inspector-PrimaCorregida-Prioritarios-Sin-VidaAhorro-Agentes</v>
          </cell>
          <cell r="G227" t="str">
            <v>PM-O-GEN-Inspector-PrimaCorregida-Prioritarios-Sin-VidaAhorro-Agentes</v>
          </cell>
          <cell r="H227" t="str">
            <v>PM-O-GEN-Inspector-PrimaCorregida-Prioritarios-Sin-VidaAhorro-Agentes</v>
          </cell>
        </row>
        <row r="228">
          <cell r="F228"/>
          <cell r="G228" t="str">
            <v>PM-O-GEN-Inspector-PrimaCorregida-Prioritarios-Sin-VidaAhorro-Agentes</v>
          </cell>
          <cell r="H228" t="str">
            <v>PM-O-GEN-Inspector-Prima-Prioritarios-Sin-VidaAhorro-Agentes</v>
          </cell>
        </row>
        <row r="229">
          <cell r="F229" t="str">
            <v>SM-O-GEN-Inspector-NumeroPolizas-998-TotalMes</v>
          </cell>
          <cell r="G229" t="str">
            <v>SM-O-GEN-Inspector-NumeroPolizas-998-TotalMes</v>
          </cell>
          <cell r="H229" t="str">
            <v>SM-O-GEN-Inspector-NumeroPolizas-998-TotalMes</v>
          </cell>
        </row>
        <row r="230">
          <cell r="F230" t="str">
            <v>SM-O-GEN-Inspector-NumeroPolizas-998-Propia</v>
          </cell>
          <cell r="G230" t="str">
            <v>SM-O-GEN-Inspector-NumeroPolizas-998-TotalMes</v>
          </cell>
          <cell r="H230" t="str">
            <v>SM-O-GEN-Inspector-NumeroPolizas-998-Propia</v>
          </cell>
        </row>
        <row r="231">
          <cell r="F231" t="str">
            <v>SM-O-GEN-Inspector-NumeroPolizas-998-Agentes</v>
          </cell>
          <cell r="G231" t="str">
            <v>SM-O-GEN-Inspector-NumeroPolizas-998-TotalMes</v>
          </cell>
          <cell r="H231" t="str">
            <v>SM-O-GEN-Inspector-NumeroPolizas-998-Agentes</v>
          </cell>
        </row>
        <row r="232">
          <cell r="F232" t="str">
            <v>PM-O-GEN-Inspector-PrimaCorregida-No-Prioritarios-997</v>
          </cell>
          <cell r="G232" t="str">
            <v>PM-O-GEN-Inspector-PrimaCorregida-No-Prioritarios-997</v>
          </cell>
          <cell r="H232" t="str">
            <v>PM-O-GEN-Inspector-PrimaCorregida-No-Prioritarios-997</v>
          </cell>
        </row>
        <row r="233">
          <cell r="F233" t="str">
            <v>PM-O-GEN-Inspector-PrimaCorregida-No-Prioritarios-997</v>
          </cell>
          <cell r="G233" t="str">
            <v>PM-O-GEN-Inspector-PrimaCorregida-No-Prioritarios-997-RRTT</v>
          </cell>
          <cell r="H233" t="str">
            <v>PM-O-GEN-Inspector-PrimaCorregida-No-Prioritarios-997-RRTT</v>
          </cell>
        </row>
        <row r="234">
          <cell r="F234" t="str">
            <v>PM-O-GEN-Inspector-PrimaCorregida-No-Prioritarios-997</v>
          </cell>
          <cell r="G234" t="str">
            <v>PM-O-GEN-Inspector-PrimaCorregida-No-Prioritarios-997-RRGG</v>
          </cell>
          <cell r="H234" t="str">
            <v>PM-O-GEN-Inspector-PrimaCorregida-No-Prioritarios-997-RRGG</v>
          </cell>
        </row>
        <row r="235">
          <cell r="F235" t="str">
            <v>PM-O-GEN-Inspector-PrimaCorregida-Prioritarios-Sin-VidaAhorro</v>
          </cell>
          <cell r="G235" t="str">
            <v>PM-O-GEN-Inspector-PrimaCorregida-Prioritarios-Sin-VidaAhorro</v>
          </cell>
          <cell r="H235" t="str">
            <v>PM-O-GEN-Inspector-PrimaCorregida-Prioritarios-Sin-VidaAhorro</v>
          </cell>
        </row>
        <row r="236">
          <cell r="F236" t="str">
            <v>PM-O-GEN-Inspector-PrimaCorregida-Prioritarios-Sin-VidaAhorro</v>
          </cell>
          <cell r="G236" t="str">
            <v>PM-O-GEN-Inspector-PrimaCorregida-Prioritarios-Sin-VidaAhorro-RRTT</v>
          </cell>
          <cell r="H236" t="str">
            <v>PM-O-GEN-Inspector-PrimaCorregida-Prioritarios-Sin-VidaAhorro-RRTT</v>
          </cell>
        </row>
        <row r="237">
          <cell r="F237" t="str">
            <v>PM-O-GEN-Inspector-PrimaCorregida-Prioritarios-Sin-VidaAhorro</v>
          </cell>
          <cell r="G237" t="str">
            <v>PM-O-GEN-Inspector-PrimaCorregida-Prioritarios-Sin-VidaAhorro-RRGG</v>
          </cell>
          <cell r="H237" t="str">
            <v>PM-O-GEN-Inspector-PrimaCorregida-Prioritarios-Sin-VidaAhorro-RRGG</v>
          </cell>
        </row>
        <row r="238">
          <cell r="F238" t="str">
            <v>PM-O-GEN-Inspector-PrimaCorregida-No-Prioritarios-997-Agentes</v>
          </cell>
          <cell r="G238" t="str">
            <v>PM-O-GEN-Inspector-PrimaCorregida-No-Prioritarios-997-Agentes</v>
          </cell>
          <cell r="H238" t="str">
            <v>PM-O-GEN-Inspector-PrimaCorregida-No-Prioritarios-997-Agentes</v>
          </cell>
        </row>
        <row r="239">
          <cell r="F239" t="str">
            <v>PM-O-GEN-Inspector-PrimaCorregida-No-Prioritarios-997-Agentes</v>
          </cell>
          <cell r="G239" t="str">
            <v>PM-O-GEN-Inspector-PrimaCorregida-No-Prioritarios-997-Agentes-RRTT</v>
          </cell>
          <cell r="H239" t="str">
            <v>PM-O-GEN-Inspector-PrimaCorregida-No-Prioritarios-997-Agentes-RRTT</v>
          </cell>
        </row>
        <row r="240">
          <cell r="F240" t="str">
            <v>PM-O-GEN-Inspector-PrimaCorregida-No-Prioritarios-997-Agentes</v>
          </cell>
          <cell r="G240" t="str">
            <v>PM-O-GEN-Inspector-PrimaCorregida-No-Prioritarios-997-Agentes-RRGG</v>
          </cell>
          <cell r="H240" t="str">
            <v>PM-O-GEN-Inspector-PrimaCorregida-No-Prioritarios-997-Agentes-RRGG</v>
          </cell>
        </row>
        <row r="241">
          <cell r="F241" t="str">
            <v>PM-O-GEN-Inspector-PrimaCorregida-Prioritarios-Sin-VidaAhorro-Agentes</v>
          </cell>
          <cell r="G241" t="str">
            <v>PM-O-GEN-Inspector-PrimaCorregida-Prioritarios-Sin-VidaAhorro-Agentes</v>
          </cell>
          <cell r="H241" t="str">
            <v>PM-O-GEN-Inspector-PrimaCorregida-Prioritarios-Sin-VidaAhorro-Agentes</v>
          </cell>
        </row>
        <row r="242">
          <cell r="F242" t="str">
            <v>PM-O-GEN-Inspector-PrimaCorregida-Prioritarios-Sin-VidaAhorro-Agentes</v>
          </cell>
          <cell r="G242" t="str">
            <v>PM-O-GEN-Inspector-PrimaCorregida-Prioritarios-Sin-VidaAhorro-Agentes-RRTT</v>
          </cell>
          <cell r="H242" t="str">
            <v>PM-O-GEN-Inspector-PrimaCorregida-Prioritarios-Sin-VidaAhorro-Agentes-RRTT</v>
          </cell>
        </row>
        <row r="243">
          <cell r="F243" t="str">
            <v>PM-O-GEN-Inspector-PrimaCorregida-Prioritarios-Sin-VidaAhorro-Agentes</v>
          </cell>
          <cell r="G243" t="str">
            <v>PM-O-GEN-Inspector-PrimaCorregida-Prioritarios-Sin-VidaAhorro-Agentes-RRGG</v>
          </cell>
          <cell r="H243" t="str">
            <v>PM-O-GEN-Inspector-PrimaCorregida-Prioritarios-Sin-VidaAhorro-Agentes-RRGG</v>
          </cell>
        </row>
        <row r="244">
          <cell r="F244" t="str">
            <v>SM-O-DIF-Inspector-PrimaCorregida-004-y-NoPrioritarios-TotalMes</v>
          </cell>
          <cell r="G244" t="str">
            <v>SM-O-DIF-Inspector-PrimaCorregida-004-y-NoPrioritarios-TotalMes</v>
          </cell>
          <cell r="H244" t="str">
            <v>SM-O-DIF-Inspector-PrimaCorregida-004-y-NoPrioritarios-TotalMes</v>
          </cell>
        </row>
        <row r="245">
          <cell r="F245"/>
          <cell r="G245" t="str">
            <v>SM-O-DIF-Inspector-PrimaCorregida-004-y-NoPrioritarios-TotalMes</v>
          </cell>
          <cell r="H245" t="str">
            <v>SM-O-DIF-Inspector-PrimaCorregida-004-y-NoPrioritarios-RRTT-TotalMes</v>
          </cell>
        </row>
        <row r="246">
          <cell r="F246"/>
          <cell r="G246" t="str">
            <v>SM-O-DIF-Inspector-PrimaCorregida-004-y-NoPrioritarios-TotalMes</v>
          </cell>
          <cell r="H246" t="str">
            <v>SM-O-DIF-Inspector-PrimaCorregida-004-y-NoPrioritarios-RRGG-TotalMes</v>
          </cell>
        </row>
        <row r="247">
          <cell r="F247" t="str">
            <v>SM-O-DIF-Inspector-PrimaCorregida-Prioritarios-Sin-VidaAhorro-TotalMes</v>
          </cell>
          <cell r="G247" t="str">
            <v>SM-O-DIF-Inspector-PrimaCorregida-Prioritarios-Sin-VidaAhorro-TotalMes</v>
          </cell>
          <cell r="H247" t="str">
            <v>SM-O-DIF-Inspector-PrimaCorregida-Prioritarios-Sin-VidaAhorro-TotalMes</v>
          </cell>
        </row>
        <row r="248">
          <cell r="F248"/>
          <cell r="G248" t="str">
            <v>SM-O-DIF-Inspector-PrimaCorregida-Prioritarios-Sin-VidaAhorro-TotalMes</v>
          </cell>
          <cell r="H248" t="str">
            <v>SM-O-DIF-Inspector-PrimaCorregida-Prioritarios-Sin-VidaAhorro-RRTT-TotalMes</v>
          </cell>
        </row>
        <row r="249">
          <cell r="F249"/>
          <cell r="G249" t="str">
            <v>SM-O-DIF-Inspector-PrimaCorregida-Prioritarios-Sin-VidaAhorro-TotalMes</v>
          </cell>
          <cell r="H249" t="str">
            <v>SM-O-DIF-Inspector-PrimaCorregida-Prioritarios-Sin-VidaAhorro-RRGG-TotalMes</v>
          </cell>
        </row>
        <row r="250">
          <cell r="F250" t="str">
            <v>SM-O-DIF-Inspector-Porcentaje-004-y-NoPrioritarios</v>
          </cell>
          <cell r="G250" t="str">
            <v>SM-O-DIF-Inspector-PorcentajePagoMensual</v>
          </cell>
          <cell r="H250" t="str">
            <v>SM-O-DIF-Inspector-Porcentaje-004-y-NoPrioritarios</v>
          </cell>
        </row>
        <row r="251">
          <cell r="F251" t="str">
            <v>SM-O-DIF-Inspector-Porcentaje-Prioritarios-Sin-VidaAhorro</v>
          </cell>
          <cell r="G251" t="str">
            <v>SM-O-DIF-Inspector-PorcentajePagoMensual</v>
          </cell>
          <cell r="H251" t="str">
            <v>SM-O-DIF-Inspector-Porcentaje-Prioritarios-Sin-VidaAhorro</v>
          </cell>
        </row>
        <row r="252">
          <cell r="F252" t="str">
            <v>SM-O-DIF-Inspector-PagoMensual-004-y-NoPrioritarios</v>
          </cell>
          <cell r="G252" t="str">
            <v>SM-O-DIF-Inspector-PagoMensual</v>
          </cell>
          <cell r="H252" t="str">
            <v>SM-O-DIF-Inspector-PagoMensual-004-y-NoPrioritarios</v>
          </cell>
        </row>
        <row r="253">
          <cell r="F253" t="str">
            <v>SM-O-DIF-Inspector-PagoMensual-Prioritarios-Sin-VidaAhorro</v>
          </cell>
          <cell r="G253" t="str">
            <v>SM-O-DIF-Inspector-PagoMensual</v>
          </cell>
          <cell r="H253" t="str">
            <v>SM-O-DIF-Inspector-PagoMensual-Prioritarios-Sin-VidaAhorro</v>
          </cell>
        </row>
        <row r="254">
          <cell r="F254"/>
          <cell r="G254" t="str">
            <v>SM-O-DIF-Inspector-PagoMensual</v>
          </cell>
          <cell r="H254" t="str">
            <v>SM-O-DIF-Inspector-PagoMensual-004-y-NoPrioritarios-RRTT</v>
          </cell>
        </row>
        <row r="255">
          <cell r="F255"/>
          <cell r="G255" t="str">
            <v>SM-O-DIF-Inspector-PagoMensual</v>
          </cell>
          <cell r="H255" t="str">
            <v>SM-O-DIF-Inspector-PagoMensual-Prioritarios-Sin-VidaAhorro-RRTT</v>
          </cell>
        </row>
        <row r="256">
          <cell r="F256"/>
          <cell r="G256" t="str">
            <v>SM-O-DIF-Inspector-PagoMensual</v>
          </cell>
          <cell r="H256" t="str">
            <v>SM-O-DIF-Inspector-PagoMensual-004-y-NoPrioritarios-RRGG</v>
          </cell>
        </row>
        <row r="257">
          <cell r="F257"/>
          <cell r="G257" t="str">
            <v>SM-O-DIF-Inspector-PagoMensual</v>
          </cell>
          <cell r="H257" t="str">
            <v>SM-O-DIF-Inspector-PagoMensual-Prioritarios-Sin-VidaAhorro-RRGG</v>
          </cell>
        </row>
        <row r="258">
          <cell r="F258" t="str">
            <v>SM-O-DIF-Inspector-Prima-998-TotalAnual</v>
          </cell>
          <cell r="G258" t="str">
            <v>SM-O-DIF-Inspector-Prima-TotalAnual</v>
          </cell>
          <cell r="H258" t="str">
            <v>SM-O-DIF-Inspector-Prima-998-TotalAnual</v>
          </cell>
        </row>
        <row r="259">
          <cell r="F259" t="str">
            <v>SM-O-DIF-Inspector-Prima-004-y-NoPrioritarios-TotalAnual</v>
          </cell>
          <cell r="G259" t="str">
            <v>SM-O-DIF-Inspector-Prima-TotalAnual</v>
          </cell>
          <cell r="H259" t="str">
            <v>SM-O-DIF-Inspector-Prima-004-y-NoPrioritarios-TotalAnual</v>
          </cell>
        </row>
        <row r="260">
          <cell r="F260" t="str">
            <v>SM-O-DIF-Inspector-Prima-004-Prioritarios-Sin-VidaAhorro-TotalAnual</v>
          </cell>
          <cell r="G260" t="str">
            <v>SM-O-DIF-Inspector-Prima-TotalAnual</v>
          </cell>
          <cell r="H260" t="str">
            <v>SM-O-DIF-Inspector-Prima-004-Prioritarios-Sin-VidaAhorro-TotalAnual</v>
          </cell>
        </row>
        <row r="261">
          <cell r="F261"/>
          <cell r="G261" t="str">
            <v>SM-O-DIF-Inspector-Prima-TotalAnual</v>
          </cell>
          <cell r="H261" t="str">
            <v>SM-O-DIF-Inspector-Prima-004-y-NoPrioritarios-RRTT-TotalAnual</v>
          </cell>
        </row>
        <row r="262">
          <cell r="F262"/>
          <cell r="G262" t="str">
            <v>SM-O-DIF-Inspector-Prima-TotalAnual</v>
          </cell>
          <cell r="H262" t="str">
            <v>SM-O-DIF-Inspector-Prima-004-Prioritarios-Sin-VidaAhorro-RRTT-TotalAnual</v>
          </cell>
        </row>
        <row r="263">
          <cell r="F263"/>
          <cell r="G263" t="str">
            <v>SM-O-DIF-Inspector-Prima-TotalAnual</v>
          </cell>
          <cell r="H263" t="str">
            <v>SM-O-DIF-Inspector-Prima-004-y-NoPrioritarios-RRGG-TotalAnual</v>
          </cell>
        </row>
        <row r="264">
          <cell r="F264"/>
          <cell r="G264" t="str">
            <v>SM-O-DIF-Inspector-Prima-TotalAnual</v>
          </cell>
          <cell r="H264" t="str">
            <v>SM-O-DIF-Inspector-Prima-004-Prioritarios-Sin-VidaAhorro-RRGG-TotalAnual</v>
          </cell>
        </row>
        <row r="265">
          <cell r="F265" t="str">
            <v>SM-O-DIF-Inspector-Pago-004-y-NoPrioritarios-TotalAnual</v>
          </cell>
          <cell r="G265" t="str">
            <v>SM-O-DIF-Inspector-Pago-TotalAnual</v>
          </cell>
          <cell r="H265" t="str">
            <v>SM-O-DIF-Inspector-Pago-004-y-NoPrioritarios-TotalAnual</v>
          </cell>
        </row>
        <row r="266">
          <cell r="F266" t="str">
            <v>SM-O-DIF-Inspector-Pago-Prioritarios-Sin-VidaAhorro-TotalAnual</v>
          </cell>
          <cell r="G266" t="str">
            <v>SM-O-DIF-Inspector-Pago-TotalAnual</v>
          </cell>
          <cell r="H266" t="str">
            <v>SM-O-DIF-Inspector-Pago-Prioritarios-Sin-VidaAhorro-TotalAnual</v>
          </cell>
        </row>
        <row r="267">
          <cell r="F267"/>
          <cell r="G267" t="str">
            <v>SM-O-DIF-Inspector-Pago-TotalAnual</v>
          </cell>
          <cell r="H267" t="str">
            <v>SM-O-DIF-Inspector-Pago-004-y-NoPrioritarios-RRTT-TotalAnual</v>
          </cell>
        </row>
        <row r="268">
          <cell r="F268"/>
          <cell r="G268" t="str">
            <v>SM-O-DIF-Inspector-Pago-TotalAnual</v>
          </cell>
          <cell r="H268" t="str">
            <v>SM-O-DIF-Inspector-Pago-Prioritarios-Sin-VidaAhorro-RRTT-TotalAnual</v>
          </cell>
        </row>
        <row r="269">
          <cell r="F269"/>
          <cell r="G269" t="str">
            <v>SM-O-DIF-Inspector-Pago-TotalAnual</v>
          </cell>
          <cell r="H269" t="str">
            <v>SM-O-DIF-Inspector-Pago-004-y-NoPrioritarios-RRGG-TotalAnual</v>
          </cell>
        </row>
        <row r="270">
          <cell r="F270"/>
          <cell r="G270" t="str">
            <v>SM-O-DIF-Inspector-Pago-TotalAnual</v>
          </cell>
          <cell r="H270" t="str">
            <v>SM-O-DIF-Inspector-Pago-Prioritarios-Sin-VidaAhorro-RRGG-TotalAnual</v>
          </cell>
        </row>
        <row r="271">
          <cell r="F271" t="str">
            <v>SM-O-GEN-Inspector-NumeroPolizas-998-TotalMes</v>
          </cell>
          <cell r="G271" t="str">
            <v>SM-O-DIF-Inspector-Secundario</v>
          </cell>
          <cell r="H271" t="str">
            <v>SM-O-GEN-Inspector-NumeroPolizas-998-TotalMes</v>
          </cell>
        </row>
        <row r="272">
          <cell r="F272" t="str">
            <v>SM-O-GEN-Inspector-PrimaCorregida-998-TotalMes</v>
          </cell>
          <cell r="G272" t="str">
            <v>SM-O-DIF-Inspector-Secundario</v>
          </cell>
          <cell r="H272" t="str">
            <v>SM-O-GEN-Inspector-PrimaCorregida-998-TotalMes</v>
          </cell>
        </row>
        <row r="273">
          <cell r="F273" t="str">
            <v>SM-O-DIF-Inspector-PrimaCorregida-004-y-NoPrioritarios-TotalMes</v>
          </cell>
          <cell r="G273" t="str">
            <v>SM-O-DIF-Inspector-Secundario</v>
          </cell>
          <cell r="H273" t="str">
            <v>SM-O-DIF-Inspector-PrimaCorregida-004-y-NoPrioritarios-TotalMes</v>
          </cell>
        </row>
        <row r="274">
          <cell r="F274" t="str">
            <v>SM-O-DIF-Inspector-PrimaCorregida-Prioritarios-Sin-VidaAhorro-TotalMes</v>
          </cell>
          <cell r="G274" t="str">
            <v>SM-O-DIF-Inspector-Secundario</v>
          </cell>
          <cell r="H274" t="str">
            <v>SM-O-DIF-Inspector-PrimaCorregida-Prioritarios-Sin-VidaAhorro-TotalMes</v>
          </cell>
        </row>
        <row r="275">
          <cell r="F275" t="str">
            <v>SM-O-DIF-Inspector-PagoMensual-004-y-NoPrioritarios</v>
          </cell>
          <cell r="G275" t="str">
            <v>SM-O-DIF-Inspector-Secundario</v>
          </cell>
          <cell r="H275" t="str">
            <v>SM-O-DIF-Inspector-PagoMensual-004-y-NoPrioritarios</v>
          </cell>
        </row>
        <row r="276">
          <cell r="F276" t="str">
            <v>SM-O-DIF-Inspector-PagoMensual-Prioritarios-Sin-VidaAhorro</v>
          </cell>
          <cell r="G276" t="str">
            <v>SM-O-DIF-Inspector-Secundario</v>
          </cell>
          <cell r="H276" t="str">
            <v>SM-O-DIF-Inspector-PagoMensual-Prioritarios-Sin-VidaAhorro</v>
          </cell>
        </row>
        <row r="277">
          <cell r="F277"/>
          <cell r="G277" t="str">
            <v>SM-O-DIF-Inspector-Secundario</v>
          </cell>
          <cell r="H277" t="str">
            <v>SM-O-DIF-Inspector-PrimaCorregida-004-y-NoPrioritarios-RRTT-TotalMes</v>
          </cell>
        </row>
        <row r="278">
          <cell r="F278"/>
          <cell r="G278" t="str">
            <v>SM-O-DIF-Inspector-Secundario</v>
          </cell>
          <cell r="H278" t="str">
            <v>SM-O-DIF-Inspector-PrimaCorregida-004-y-NoPrioritarios-RRGG-TotalMes</v>
          </cell>
        </row>
        <row r="279">
          <cell r="F279"/>
          <cell r="G279" t="str">
            <v>SM-O-DIF-Inspector-Secundario</v>
          </cell>
          <cell r="H279" t="str">
            <v>SM-O-DIF-Inspector-PrimaCorregida-Prioritarios-Sin-VidaAhorro-RRTT-TotalMes</v>
          </cell>
        </row>
        <row r="280">
          <cell r="F280"/>
          <cell r="G280" t="str">
            <v>SM-O-DIF-Inspector-Secundario</v>
          </cell>
          <cell r="H280" t="str">
            <v>SM-O-DIF-Inspector-PrimaCorregida-Prioritarios-Sin-VidaAhorro-RRGG-TotalMes</v>
          </cell>
        </row>
        <row r="281">
          <cell r="F281"/>
          <cell r="G281" t="str">
            <v>SM-O-DIF-Inspector-Secundario</v>
          </cell>
          <cell r="H281" t="str">
            <v>SM-O-DIF-Inspector-PagoMensual-004-y-NoPrioritarios-RRTT</v>
          </cell>
        </row>
        <row r="282">
          <cell r="F282"/>
          <cell r="G282" t="str">
            <v>SM-O-DIF-Inspector-Secundario</v>
          </cell>
          <cell r="H282" t="str">
            <v>SM-O-DIF-Inspector-PagoMensual-Prioritarios-Sin-VidaAhorro-RRTT</v>
          </cell>
        </row>
        <row r="283">
          <cell r="F283"/>
          <cell r="G283" t="str">
            <v>SM-O-DIF-Inspector-Secundario</v>
          </cell>
          <cell r="H283" t="str">
            <v>SM-O-DIF-Inspector-PagoMensual-004-y-NoPrioritarios-RRGG</v>
          </cell>
        </row>
        <row r="284">
          <cell r="F284"/>
          <cell r="G284" t="str">
            <v>SM-O-DIF-Inspector-Secundario</v>
          </cell>
          <cell r="H284" t="str">
            <v>SM-O-DIF-Inspector-PagoMensual-Prioritarios-Sin-VidaAhorro-RRGG</v>
          </cell>
        </row>
        <row r="285">
          <cell r="F285"/>
          <cell r="G285" t="str">
            <v>SM-O-DIF-Inspector-PorcentajeRegularizacion</v>
          </cell>
          <cell r="H285" t="str">
            <v>SM-O-DIF-Inspector-PorcentajeReg-004-y-NoPrioritarios</v>
          </cell>
        </row>
        <row r="286">
          <cell r="F286"/>
          <cell r="G286" t="str">
            <v>SM-O-DIF-Inspector-PorcentajeRegularizacion</v>
          </cell>
          <cell r="H286" t="str">
            <v>SM-O-DIF-Inspector-PorcentajeReg-Prioritarios-Sin-VidaAhorro</v>
          </cell>
        </row>
        <row r="287">
          <cell r="F287" t="str">
            <v>SM-O-DIF-Inspector-Regularizacion-004-y-NoPrioritarios</v>
          </cell>
          <cell r="G287" t="str">
            <v>SM-O-DIF-Inspector-Regularizacion</v>
          </cell>
          <cell r="H287" t="str">
            <v>SM-O-DIF-Inspector-Regularizacion-004-y-NoPrioritarios</v>
          </cell>
        </row>
        <row r="288">
          <cell r="F288" t="str">
            <v>SM-O-DIF-Inspector-Regularizacion-Prioritarois-Sin-VidaAhorro</v>
          </cell>
          <cell r="G288" t="str">
            <v>SM-O-DIF-Inspector-Regularizacion</v>
          </cell>
          <cell r="H288" t="str">
            <v>SM-O-DIF-Inspector-Regularizacion-Prioritarois-Sin-VidaAhorro</v>
          </cell>
        </row>
        <row r="289">
          <cell r="F289"/>
          <cell r="G289" t="str">
            <v>SM-O-DIF-Inspector-Regularizacion</v>
          </cell>
          <cell r="H289" t="str">
            <v>SM-O-DIF-Inspector-Regularizacion-004-y-NoPrioritarios-RRTT</v>
          </cell>
        </row>
        <row r="290">
          <cell r="F290"/>
          <cell r="G290" t="str">
            <v>SM-O-DIF-Inspector-Regularizacion</v>
          </cell>
          <cell r="H290" t="str">
            <v>SM-O-DIF-Inspector-Regularizacion-004-y-NoPrioritarios-RRGG</v>
          </cell>
        </row>
        <row r="291">
          <cell r="F291"/>
          <cell r="G291" t="str">
            <v>SM-O-DIF-Inspector-Regularizacion</v>
          </cell>
          <cell r="H291" t="str">
            <v>SM-O-DIF-Inspector-Regularizacion-Prioritarois-Sin-VidaAhorro-RRTT</v>
          </cell>
        </row>
        <row r="292">
          <cell r="F292"/>
          <cell r="G292" t="str">
            <v>SM-O-DIF-Inspector-Regularizacion</v>
          </cell>
          <cell r="H292" t="str">
            <v>SM-O-DIF-Inspector-Regularizacion-Prioritarois-Sin-VidaAhorro-RRGG</v>
          </cell>
        </row>
        <row r="293">
          <cell r="F293" t="str">
            <v>SM-O-DIF-Inspector-PagoRegularizacion-004-y-NoPrioritarios</v>
          </cell>
          <cell r="G293" t="str">
            <v>SM-O-DIF-Inspector-PagoRegularizacion-004-y-NoPrioritarios</v>
          </cell>
          <cell r="H293" t="str">
            <v>SM-O-DIF-Inspector-PagoRegularizacion-004-y-NoPrioritarios</v>
          </cell>
        </row>
        <row r="294">
          <cell r="F294"/>
          <cell r="G294" t="str">
            <v>SM-O-DIF-Inspector-PagoRegularizacion-004-y-NoPrioritarios</v>
          </cell>
          <cell r="H294" t="str">
            <v>SM-O-DIF-Inspector-PagoRegularizacion-004-y-NoPrioritarios-RRTT</v>
          </cell>
        </row>
        <row r="295">
          <cell r="F295"/>
          <cell r="G295" t="str">
            <v>SM-O-DIF-Inspector-PagoRegularizacion-004-y-NoPrioritarios</v>
          </cell>
          <cell r="H295" t="str">
            <v>SM-O-DIF-Inspector-PagoRegularizacion-004-y-NoPrioritarios-RRGG</v>
          </cell>
        </row>
        <row r="296">
          <cell r="F296" t="str">
            <v>SM-O-DIF-Inspector-PagoRegularizacion-Prioritarois-Sin-VidaAhorro</v>
          </cell>
          <cell r="G296" t="str">
            <v>SM-O-DIF-Inspector-PagoRegularizacion-Prioritarois-Sin-VidaAhorro</v>
          </cell>
          <cell r="H296" t="str">
            <v>SM-O-DIF-Inspector-PagoRegularizacion-Prioritarois-Sin-VidaAhorro</v>
          </cell>
        </row>
        <row r="297">
          <cell r="F297"/>
          <cell r="G297" t="str">
            <v>SM-O-DIF-Inspector-PagoRegularizacion-Prioritarois-Sin-VidaAhorro</v>
          </cell>
          <cell r="H297" t="str">
            <v>SM-O-DIF-Inspector-PagoRegularizacion-Prioritarois-Sin-VidaAhorro-RRTT</v>
          </cell>
        </row>
        <row r="298">
          <cell r="F298"/>
          <cell r="G298" t="str">
            <v>SM-O-DIF-Inspector-PagoRegularizacion-Prioritarois-Sin-VidaAhorro</v>
          </cell>
          <cell r="H298" t="str">
            <v>SM-O-DIF-Inspector-PagoRegularizacion-Prioritarois-Sin-VidaAhorro-RRGG</v>
          </cell>
        </row>
        <row r="299">
          <cell r="F299" t="str">
            <v>I-O-DIF-Inspector-ImporteMensual-VidaAhorro-y-NoPrioritarios</v>
          </cell>
          <cell r="G299" t="str">
            <v>I-O-DIF-Inspector-ImporteMensual-VidaAhorro-y-NoPrioritarios</v>
          </cell>
          <cell r="H299" t="str">
            <v>I-O-DIF-Inspector-ImporteMensual-VidaAhorro-y-NoPrioritarios-RRTT</v>
          </cell>
        </row>
        <row r="300">
          <cell r="F300"/>
          <cell r="G300" t="str">
            <v>I-O-DIF-Inspector-ImporteMensual-VidaAhorro-y-NoPrioritarios</v>
          </cell>
          <cell r="H300" t="str">
            <v>I-O-DIF-Inspector-ImporteMensual-VidaAhorro-y-NoPrioritarios-RRGG</v>
          </cell>
        </row>
        <row r="301">
          <cell r="F301" t="str">
            <v>I-O-DIF-Inspector-ImporteMensual-Prioritarios-Sin-VidaAhorro</v>
          </cell>
          <cell r="G301" t="str">
            <v>I-O-DIF-Inspector-ImporteMensual-Prioritarios-Sin-VidaAhorro</v>
          </cell>
          <cell r="H301" t="str">
            <v>I-O-DIF-Inspector-ImporteMensual-Prioritarios-Sin-VidaAhorro-RRTT</v>
          </cell>
        </row>
        <row r="302">
          <cell r="F302"/>
          <cell r="G302" t="str">
            <v>I-O-DIF-Inspector-ImporteMensual-Prioritarios-Sin-VidaAhorro</v>
          </cell>
          <cell r="H302" t="str">
            <v>I-O-DIF-Inspector-ImporteMensual-Prioritarios-Sin-VidaAhorro-RRGG</v>
          </cell>
        </row>
        <row r="303">
          <cell r="F303" t="str">
            <v>I-O-DIF-Inspector-ImporteRegularizacion-VidaAhorro-y-NoPrioritarios</v>
          </cell>
          <cell r="G303" t="str">
            <v>I-O-DIF-Inspector-ImporteRegularizacion-VidaAhorro-y-NoPrioritarios</v>
          </cell>
          <cell r="H303" t="str">
            <v>I-O-DIF-Inspector-ImporteRegularizacion-VidaAhorro-y-NoPrioritarios-RRTT</v>
          </cell>
        </row>
        <row r="304">
          <cell r="F304"/>
          <cell r="G304" t="str">
            <v>I-O-DIF-Inspector-ImporteRegularizacion-VidaAhorro-y-NoPrioritarios</v>
          </cell>
          <cell r="H304" t="str">
            <v>I-O-DIF-Inspector-ImporteRegularizacion-VidaAhorro-y-NoPrioritarios-RRGG</v>
          </cell>
        </row>
        <row r="305">
          <cell r="F305" t="str">
            <v>I-O-DIF-Inspector-ImporteRegularizacion-Prioritarios-Sin-VidaAhorro</v>
          </cell>
          <cell r="G305" t="str">
            <v>I-O-DIF-Inspector-ImporteRegularizacion-Prioritarios-Sin-VidaAhorro</v>
          </cell>
          <cell r="H305" t="str">
            <v>I-O-DIF-Inspector-ImporteRegularizacion-Prioritarios-Sin-VidaAhorro-RRTT</v>
          </cell>
        </row>
        <row r="306">
          <cell r="F306"/>
          <cell r="G306" t="str">
            <v>I-O-DIF-Inspector-ImporteRegularizacion-Prioritarios-Sin-VidaAhorro</v>
          </cell>
          <cell r="H306" t="str">
            <v>I-O-DIF-Inspector-ImporteRegularizacion-Prioritarios-Sin-VidaAhorro-RRGG</v>
          </cell>
        </row>
        <row r="307">
          <cell r="F307" t="str">
            <v>D-O-DIF-Inspector-Pago</v>
          </cell>
          <cell r="G307" t="str">
            <v>D-O-DIF-Inspector-Pago</v>
          </cell>
          <cell r="H307" t="str">
            <v>D-O-DIF-Inspector-Pago-RRTT</v>
          </cell>
        </row>
        <row r="308">
          <cell r="F308"/>
          <cell r="G308" t="str">
            <v>D-O-DIF-Inspector-Pago</v>
          </cell>
          <cell r="H308" t="str">
            <v>D-O-DIF-Inspector-Pago-RRGG</v>
          </cell>
        </row>
        <row r="309">
          <cell r="F309" t="str">
            <v>D-O-DIF-Inspector-Pago-Reg</v>
          </cell>
          <cell r="G309" t="str">
            <v>D-O-DIF-Inspector-Pago-Reg</v>
          </cell>
          <cell r="H309" t="str">
            <v>D-O-DIF-Inspector-Pago-Reg-RRTT</v>
          </cell>
        </row>
        <row r="310">
          <cell r="F310"/>
          <cell r="G310" t="str">
            <v>D-O-DIF-Inspector-Pago-Reg</v>
          </cell>
          <cell r="H310" t="str">
            <v>D-O-DIF-Inspector-Pago-Reg-RRGG</v>
          </cell>
        </row>
        <row r="311">
          <cell r="F311" t="str">
            <v>DC-E-DIF-Inspector-Importe</v>
          </cell>
          <cell r="G311" t="str">
            <v>DC-E-DIF-Inspector-Importe</v>
          </cell>
          <cell r="H311" t="str">
            <v>DC-E-DIF-Inspector-Importe</v>
          </cell>
        </row>
        <row r="312">
          <cell r="F312" t="str">
            <v>DC-E-DIF-Inspector-Importe-Agentes</v>
          </cell>
          <cell r="G312" t="str">
            <v>DC-E-DIF-Inspector-Importe-Agentes</v>
          </cell>
          <cell r="H312" t="str">
            <v>DC-E-DIF-Inspector-Importe-Agentes</v>
          </cell>
        </row>
        <row r="313">
          <cell r="F313" t="str">
            <v>IC-E-DIF-Inspector-Importe</v>
          </cell>
          <cell r="G313" t="str">
            <v>IC-E-DIF-Inspector-Importe</v>
          </cell>
          <cell r="H313" t="str">
            <v>IC-E-DIF-Inspector-Importe</v>
          </cell>
        </row>
        <row r="314">
          <cell r="F314" t="str">
            <v>PM-E-DIF-Inspector-Importe</v>
          </cell>
          <cell r="G314" t="str">
            <v>PM-E-DIF-Inspector-Importe-RRTT</v>
          </cell>
          <cell r="H314" t="str">
            <v>PM-E-DIF-Inspector-Importe-RRTT</v>
          </cell>
        </row>
        <row r="315">
          <cell r="F315"/>
          <cell r="G315" t="str">
            <v>PM-E-DIF-Inspector-Importe-RRGG</v>
          </cell>
          <cell r="H315" t="str">
            <v>PM-E-DIF-Inspector-Importe-RRGG</v>
          </cell>
        </row>
        <row r="316">
          <cell r="F316" t="str">
            <v>PM-E-DIF-Inspector-Importe-Agentes</v>
          </cell>
          <cell r="G316" t="str">
            <v>PM-E-DIF-Inspector-Importe-Agentes-RRTT</v>
          </cell>
          <cell r="H316" t="str">
            <v>PM-E-DIF-Inspector-Importe-Agentes-RRTT</v>
          </cell>
        </row>
        <row r="317">
          <cell r="F317"/>
          <cell r="G317" t="str">
            <v>PM-E-DIF-Inspector-Importe-Agentes-RRGG</v>
          </cell>
          <cell r="H317" t="str">
            <v>PM-E-DIF-Inspector-Importe-Agentes-RRGG</v>
          </cell>
        </row>
        <row r="318">
          <cell r="F318" t="str">
            <v>SM-E-DIF-Inspector-PagoMensual</v>
          </cell>
          <cell r="G318" t="str">
            <v>SM-E-DIF-Inspector-PagoMensual</v>
          </cell>
          <cell r="H318" t="str">
            <v>SM-E-DIF-Inspector-PagoMensual</v>
          </cell>
        </row>
        <row r="319">
          <cell r="G319" t="str">
            <v>SM-E-DIF-Inspector-PagoMensual-RRTT</v>
          </cell>
          <cell r="H319" t="str">
            <v>SM-E-DIF-Inspector-PagoMensual-RRTT</v>
          </cell>
        </row>
        <row r="320">
          <cell r="G320" t="str">
            <v>SM-E-DIF-Inspector-PagoMensual-RRGG</v>
          </cell>
          <cell r="H320" t="str">
            <v>SM-E-DIF-Inspector-PagoMensual-RRGG</v>
          </cell>
        </row>
        <row r="321">
          <cell r="F321" t="str">
            <v>I-E-DIF-Inspector-PagoMensual</v>
          </cell>
          <cell r="G321" t="str">
            <v>I-E-DIF-Inspector-PagoMensual-RRTT</v>
          </cell>
          <cell r="H321" t="str">
            <v>I-E-DIF-Inspector-PagoMensual-RRTT</v>
          </cell>
        </row>
        <row r="322">
          <cell r="G322" t="str">
            <v>I-E-DIF-Inspector-PagoMensual-RRGG</v>
          </cell>
          <cell r="H322" t="str">
            <v>I-E-DIF-Inspector-PagoMensual-RRGG</v>
          </cell>
        </row>
        <row r="323">
          <cell r="F323" t="str">
            <v>D-E-DIF-Inspector-PagoMensual</v>
          </cell>
          <cell r="G323" t="str">
            <v>D-E-DIF-Inspector-PagoMensual-RRTT</v>
          </cell>
          <cell r="H323" t="str">
            <v>D-E-DIF-Inspector-PagoMensual-RRTT</v>
          </cell>
        </row>
        <row r="324">
          <cell r="G324" t="str">
            <v>D-E-DIF-Inspector-PagoMensual-RRGG</v>
          </cell>
          <cell r="H324" t="str">
            <v>D-E-DIF-Inspector-PagoMensual-RRGG</v>
          </cell>
        </row>
        <row r="325">
          <cell r="F325" t="str">
            <v>PM-O-RPP-Agente-NumeroPolizas-997</v>
          </cell>
          <cell r="G325"/>
          <cell r="H325" t="str">
            <v>PM-O-GEN-Agente-NumeroPolizas-997</v>
          </cell>
        </row>
        <row r="326">
          <cell r="F326"/>
          <cell r="G326"/>
          <cell r="H326" t="str">
            <v>PM-O-GEN-Inspector-NumeroPolizas-005-Agentes</v>
          </cell>
        </row>
        <row r="327">
          <cell r="F327"/>
          <cell r="G327"/>
          <cell r="H327" t="str">
            <v>PM-O-GEN-Inspector-NumeroPolizas-997</v>
          </cell>
        </row>
        <row r="328">
          <cell r="F328"/>
          <cell r="G328"/>
          <cell r="H328" t="str">
            <v>PM-O-GEN-Inspector-NumeroPolizas-997-Agentes</v>
          </cell>
        </row>
        <row r="329">
          <cell r="F329" t="str">
            <v>SM-RPP-Inspector-NumeroPolizas-906-TotalMes</v>
          </cell>
          <cell r="G329"/>
          <cell r="H329" t="str">
            <v>SM-O-GEN-Inspector-NumeroPolizas-906-TotalMes</v>
          </cell>
        </row>
        <row r="330">
          <cell r="F330" t="str">
            <v>SM-O-COMU-Inspector-Secundario</v>
          </cell>
          <cell r="G330"/>
          <cell r="H330" t="str">
            <v>SM-O-GEN-Inspector-Secundario</v>
          </cell>
        </row>
        <row r="331">
          <cell r="G331"/>
          <cell r="H331" t="str">
            <v>SM-O-REA-Inspector-Secundario</v>
          </cell>
        </row>
        <row r="332">
          <cell r="G332"/>
          <cell r="H332" t="str">
            <v>SM-O-COLC-Inspector-Secundario</v>
          </cell>
        </row>
        <row r="333">
          <cell r="F333" t="str">
            <v>SM-RPP-Inspector-NumeroPolizas-001-TotalAnual</v>
          </cell>
          <cell r="H333" t="str">
            <v>SM-O-GEN-Inspector-NumeroPolizas-001-TotalAnual</v>
          </cell>
        </row>
        <row r="334">
          <cell r="F334" t="str">
            <v>SM-RPP-Inspector-NumeroPolizas-002-TotalAnual</v>
          </cell>
          <cell r="H334" t="str">
            <v>SM-O-GEN-Inspector-NumeroPolizas-002-TotalAnual</v>
          </cell>
        </row>
        <row r="335">
          <cell r="F335" t="str">
            <v>SM-RPP-Inspector-NumeroPolizas-906-TotalAnual</v>
          </cell>
          <cell r="H335" t="str">
            <v>SM-O-GEN-Inspector-NumeroPolizas-906-TotalAnual</v>
          </cell>
        </row>
        <row r="336">
          <cell r="F336" t="str">
            <v>SM-RPP-Inspector-NumeroPolizas-998-Propia-TotalAnual</v>
          </cell>
          <cell r="H336" t="str">
            <v>SM-O-GEN-Inspector-NumeroPolizas-998-Propia-TotalAnual</v>
          </cell>
        </row>
        <row r="337">
          <cell r="F337" t="str">
            <v>SM-RPP-Inspector-NumeroPolizas-998-TotalAnual</v>
          </cell>
          <cell r="H337" t="str">
            <v>SM-O-GEN-Inspector-NumeroPolizas-998-TotalAnual</v>
          </cell>
        </row>
        <row r="338">
          <cell r="F338" t="str">
            <v>DC-O-RDC-Agente-Polizas-002</v>
          </cell>
          <cell r="H338" t="str">
            <v>DC-O-RDC-Agente-Polizas</v>
          </cell>
        </row>
        <row r="339">
          <cell r="F339" t="str">
            <v>DC-O-RDC-Agente-PrimaCorregida-002</v>
          </cell>
          <cell r="H339" t="str">
            <v>DC-O-RDC-Agente-PrimaCorregida</v>
          </cell>
        </row>
        <row r="340">
          <cell r="F340" t="str">
            <v>DC-O-RDC-Agente-PolizasCorregidas-002</v>
          </cell>
          <cell r="H340" t="str">
            <v>DC-O-RDC-Agente-PolizasCorregidas</v>
          </cell>
        </row>
        <row r="341">
          <cell r="F341" t="str">
            <v>PM-O-RDC-Agente-PrimaCorregida-002</v>
          </cell>
          <cell r="H341" t="str">
            <v>PM-O-RDC-Agente-PrimaCorregida</v>
          </cell>
        </row>
        <row r="342">
          <cell r="F342" t="str">
            <v>PM-O-RDC-Agente-Polizas-002</v>
          </cell>
          <cell r="H342" t="str">
            <v>PM-O-RDC-Agente-Polizas</v>
          </cell>
        </row>
        <row r="343">
          <cell r="F343" t="str">
            <v>PM-O-RDC-Agente-PolizasCorregidas-002</v>
          </cell>
          <cell r="H343" t="str">
            <v>PM-O-RDC-Agente-PolizasCorregidas</v>
          </cell>
        </row>
        <row r="344">
          <cell r="F344" t="str">
            <v>SM-O-RDC-Agente-PrimaCorregida-002</v>
          </cell>
          <cell r="H344" t="str">
            <v>SM-O-RDC-Agente-PrimaCorregida</v>
          </cell>
        </row>
        <row r="345">
          <cell r="F345" t="str">
            <v>SM-O-RDC-Agente-Polizas-002</v>
          </cell>
          <cell r="H345" t="str">
            <v>SM-O-RDC-Agente-Polizas</v>
          </cell>
        </row>
        <row r="346">
          <cell r="F346" t="str">
            <v>SM-O-RDC-Agente-PolizasCorregidas-002</v>
          </cell>
          <cell r="H346" t="str">
            <v>SM-O-RDC-Agente-PolizasCorregidas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S"/>
      <sheetName val="INSERT INFORMES"/>
      <sheetName val="REGLAS"/>
      <sheetName val="MODIFICACIONES_REALIZADAS"/>
      <sheetName val="INSERT REGLAS"/>
      <sheetName val="AGENTES"/>
      <sheetName val="INSERT AGENTES"/>
    </sheetNames>
    <sheetDataSet>
      <sheetData sheetId="0"/>
      <sheetData sheetId="1"/>
      <sheetData sheetId="2"/>
      <sheetData sheetId="3">
        <row r="1">
          <cell r="F1" t="str">
            <v>NOMBRE SALIDA REGLA VIEJA</v>
          </cell>
          <cell r="G1" t="str">
            <v>REGLA NUEVA</v>
          </cell>
          <cell r="H1" t="str">
            <v>NOMBRE SALIDA REGLA NUEVA</v>
          </cell>
        </row>
        <row r="2">
          <cell r="F2" t="str">
            <v>DC-GEN-NumeroPolizas-001</v>
          </cell>
          <cell r="G2" t="str">
            <v>DC-O-GEN-Inspector-NumeroPolizas-001</v>
          </cell>
          <cell r="H2" t="str">
            <v>DC-O-GEN-Inspector-NumeroPolizas-001</v>
          </cell>
        </row>
        <row r="3">
          <cell r="F3" t="str">
            <v>DC-GEN-NumeroPolizas-002</v>
          </cell>
          <cell r="G3" t="str">
            <v>DC-O-GEN-Inspector-NumeroPolizas-002</v>
          </cell>
          <cell r="H3" t="str">
            <v>DC-O-GEN-Inspector-NumeroPolizas-002</v>
          </cell>
        </row>
        <row r="4">
          <cell r="F4" t="str">
            <v>IC-GEN-NumeroPolizas-001</v>
          </cell>
          <cell r="G4" t="str">
            <v>IC-O-GEN-Inspector-NumeroPolizas-001</v>
          </cell>
          <cell r="H4" t="str">
            <v>IC-O-GEN-Inspector-NumeroPolizas-001</v>
          </cell>
        </row>
        <row r="5">
          <cell r="F5" t="str">
            <v>IC-GEN-NumeroPolizas-002</v>
          </cell>
          <cell r="G5" t="str">
            <v>IC-O-GEN-Inspector-NumeroPolizas-002</v>
          </cell>
          <cell r="H5" t="str">
            <v>IC-O-GEN-Inspector-NumeroPolizas-002</v>
          </cell>
        </row>
        <row r="6">
          <cell r="F6"/>
          <cell r="G6" t="str">
            <v>DC-O-GEN-Inspector-NumeroPolizas-003</v>
          </cell>
          <cell r="H6" t="str">
            <v>DC-O-GEN-Inspector-NumeroPolizas-003</v>
          </cell>
        </row>
        <row r="7">
          <cell r="F7"/>
          <cell r="G7" t="str">
            <v>DC-O-GEN-Inspector-NumeroPolizas-004</v>
          </cell>
          <cell r="H7" t="str">
            <v>DC-O-GEN-Inspector-NumeroPolizas-004</v>
          </cell>
        </row>
        <row r="8">
          <cell r="F8"/>
          <cell r="G8" t="str">
            <v>DC-O-GEN-Inspector-NumeroPolizas-005</v>
          </cell>
          <cell r="H8" t="str">
            <v>DC-O-GEN-Inspector-NumeroPolizas-005</v>
          </cell>
        </row>
        <row r="9">
          <cell r="F9"/>
          <cell r="G9" t="str">
            <v>DC-O-GEN-Inspector-NumeroPolizas-006</v>
          </cell>
          <cell r="H9" t="str">
            <v>DC-O-GEN-Inspector-NumeroPolizas-006</v>
          </cell>
        </row>
        <row r="10">
          <cell r="F10"/>
          <cell r="G10" t="str">
            <v>DC-O-GEN-Inspector-NumeroPolizas-007</v>
          </cell>
          <cell r="H10" t="str">
            <v>DC-O-GEN-Inspector-NumeroPolizas-007</v>
          </cell>
        </row>
        <row r="11">
          <cell r="F11"/>
          <cell r="G11" t="str">
            <v>IC-O-GEN-Inspector-NumeroPolizas-003</v>
          </cell>
          <cell r="H11" t="str">
            <v>IC-O-GEN-Inspector-NumeroPolizas-003</v>
          </cell>
        </row>
        <row r="12">
          <cell r="F12"/>
          <cell r="G12" t="str">
            <v>IC-O-GEN-Inspector-NumeroPolizas-004</v>
          </cell>
          <cell r="H12" t="str">
            <v>IC-O-GEN-Inspector-NumeroPolizas-004</v>
          </cell>
        </row>
        <row r="13">
          <cell r="F13"/>
          <cell r="G13" t="str">
            <v>IC-O-GEN-Inspector-NumeroPolizas-005</v>
          </cell>
          <cell r="H13" t="str">
            <v>IC-O-GEN-Inspector-NumeroPolizas-005</v>
          </cell>
        </row>
        <row r="14">
          <cell r="F14"/>
          <cell r="G14" t="str">
            <v>IC-O-GEN-Inspector-NumeroPolizas-006</v>
          </cell>
          <cell r="H14" t="str">
            <v>IC-O-GEN-Inspector-NumeroPolizas-006</v>
          </cell>
        </row>
        <row r="15">
          <cell r="F15"/>
          <cell r="G15" t="str">
            <v>IC-O-GEN-Inspector-NumeroPolizas-007</v>
          </cell>
          <cell r="H15" t="str">
            <v>IC-O-GEN-Inspector-NumeroPolizas-007</v>
          </cell>
        </row>
        <row r="16">
          <cell r="F16"/>
          <cell r="G16" t="str">
            <v>DC-O-GEN-Inspector-NumeroPolizas-009</v>
          </cell>
          <cell r="H16" t="str">
            <v>DC-O-GEN-Inspector-NumeroPolizas-009</v>
          </cell>
        </row>
        <row r="17">
          <cell r="F17"/>
          <cell r="G17" t="str">
            <v>IC-O-GEN-Inspector-NumeroPolizas-009</v>
          </cell>
          <cell r="H17" t="str">
            <v>IC-O-GEN-Inspector-NumeroPolizas-009</v>
          </cell>
        </row>
        <row r="18">
          <cell r="F18" t="str">
            <v>DC-O-GEN-Inspector-NumeroPolizas-997</v>
          </cell>
          <cell r="G18" t="str">
            <v>DC-O-GEN-Inspector-NumeroPolizas-998 y GB1</v>
          </cell>
          <cell r="H18" t="str">
            <v>DC-O-GEN-Inspector-NumeroPolizas-998</v>
          </cell>
        </row>
        <row r="19">
          <cell r="F19" t="str">
            <v>IC-O-GEN-Inspector-NumeroPolizas-997</v>
          </cell>
          <cell r="G19" t="str">
            <v>IC-O-GEN-Inspector-NumeroPolizas-998 y GB1</v>
          </cell>
          <cell r="H19" t="str">
            <v>IC-O-GEN-Inspector-NumeroPolizas-998</v>
          </cell>
        </row>
        <row r="20">
          <cell r="F20" t="str">
            <v>DC-GEN-NumeroPolizas-998</v>
          </cell>
          <cell r="G20" t="str">
            <v>DC-O-GEN-Inspector-NumeroPolizas-998</v>
          </cell>
          <cell r="H20" t="str">
            <v>DC-O-GEN-Inspector-NumeroPolizas-998</v>
          </cell>
        </row>
        <row r="21">
          <cell r="F21" t="str">
            <v>IC-GEN-NumeroPolizas-998</v>
          </cell>
          <cell r="G21" t="str">
            <v>IC-O-GEN-Inspector-NumeroPolizas-998</v>
          </cell>
          <cell r="H21" t="str">
            <v>IC-O-GEN-Inspector-NumeroPolizas-998</v>
          </cell>
        </row>
        <row r="22">
          <cell r="F22" t="str">
            <v>PM-GEN-NumeroPolizas-001-Agentes</v>
          </cell>
          <cell r="G22" t="str">
            <v>PM-O-GEN-Inspector-NumeroPolizas-001-Agentes</v>
          </cell>
          <cell r="H22" t="str">
            <v>PM-O-GEN-Inspector-NumeroPolizas-001-Agentes</v>
          </cell>
        </row>
        <row r="23">
          <cell r="F23" t="str">
            <v>PM-GEN-NumeroPolizas-001</v>
          </cell>
          <cell r="G23" t="str">
            <v>PM-O-GEN-Inspector-NumeroPolizas-001</v>
          </cell>
          <cell r="H23" t="str">
            <v>PM-O-GEN-Inspector-NumeroPolizas-001</v>
          </cell>
        </row>
        <row r="24">
          <cell r="F24" t="str">
            <v>PM-GEN-NumeroPolizas-002-Agentes</v>
          </cell>
          <cell r="G24" t="str">
            <v>PM-O-GEN-Inspector-NumeroPolizas-002-Agentes</v>
          </cell>
          <cell r="H24" t="str">
            <v>PM-O-GEN-Inspector-NumeroPolizas-002-Agentes</v>
          </cell>
        </row>
        <row r="25">
          <cell r="F25" t="str">
            <v>PM-GEN-NumeroPolizas-002</v>
          </cell>
          <cell r="G25" t="str">
            <v>PM-O-GEN-Inspector-NumeroPolizas-002</v>
          </cell>
          <cell r="H25" t="str">
            <v>PM-O-GEN-Inspector-NumeroPolizas-002</v>
          </cell>
        </row>
        <row r="26">
          <cell r="F26"/>
          <cell r="G26" t="str">
            <v>PM-O-GEN-Inspector-NumeroPolizas-003-Agentes</v>
          </cell>
          <cell r="H26" t="str">
            <v>PM-O-GEN-Inspector-NumeroPolizas-003-Agentes</v>
          </cell>
        </row>
        <row r="27">
          <cell r="F27"/>
          <cell r="G27" t="str">
            <v>PM-O-GEN-Inspector-NumeroPolizas-003</v>
          </cell>
          <cell r="H27" t="str">
            <v>PM-O-GEN-Inspector-NumeroPolizas-003</v>
          </cell>
        </row>
        <row r="28">
          <cell r="F28"/>
          <cell r="G28" t="str">
            <v>PM-O-GEN-Inspector-NumeroPolizas-004-Agentes</v>
          </cell>
          <cell r="H28" t="str">
            <v>PM-O-GEN-Inspector-NumeroPolizas-004-Agentes</v>
          </cell>
        </row>
        <row r="29">
          <cell r="F29"/>
          <cell r="G29" t="str">
            <v>PM-O-GEN-Inspector-NumeroPolizas-004</v>
          </cell>
          <cell r="H29" t="str">
            <v>PM-O-GEN-Inspector-NumeroPolizas-004</v>
          </cell>
        </row>
        <row r="30">
          <cell r="F30"/>
          <cell r="G30" t="str">
            <v>PM-O-GEN-Inspector-NumeroPolizas-006-Agentes</v>
          </cell>
          <cell r="H30" t="str">
            <v>PM-O-GEN-Inspector-NumeroPolizas-006-Agentes</v>
          </cell>
        </row>
        <row r="31">
          <cell r="F31"/>
          <cell r="G31" t="str">
            <v>PM-O-GEN-Inspector-NumeroPolizas-005</v>
          </cell>
          <cell r="H31" t="str">
            <v>PM-O-GEN-Inspector-NumeroPolizas-005</v>
          </cell>
        </row>
        <row r="32">
          <cell r="F32"/>
          <cell r="G32" t="str">
            <v>PM-O-GEN-Inspector-NumeroPolizas-006-Agentes</v>
          </cell>
          <cell r="H32" t="str">
            <v>PM-O-GEN-Inspector-NumeroPolizas-006-Agentes</v>
          </cell>
        </row>
        <row r="33">
          <cell r="F33"/>
          <cell r="G33" t="str">
            <v>PM-O-GEN-Inspector-NumeroPolizas-006</v>
          </cell>
          <cell r="H33" t="str">
            <v>PM-O-GEN-Inspector-NumeroPolizas-006</v>
          </cell>
        </row>
        <row r="34">
          <cell r="F34"/>
          <cell r="G34" t="str">
            <v>PM-O-GEN-Inspector-NumeroPolizas-007-Agentes</v>
          </cell>
          <cell r="H34" t="str">
            <v>PM-O-GEN-Inspector-NumeroPolizas-007-Agentes</v>
          </cell>
        </row>
        <row r="35">
          <cell r="F35"/>
          <cell r="G35" t="str">
            <v>PM-O-GEN-Inspector-NumeroPolizas-007</v>
          </cell>
          <cell r="H35" t="str">
            <v>PM-O-GEN-Inspector-NumeroPolizas-007</v>
          </cell>
        </row>
        <row r="36">
          <cell r="F36"/>
          <cell r="G36" t="str">
            <v>PM-O-GEN-Inspector-NumeroPolizas-009-Agentes</v>
          </cell>
          <cell r="H36" t="str">
            <v>PM-O-GEN-Inspector-NumeroPolizas-009-Agentes</v>
          </cell>
        </row>
        <row r="37">
          <cell r="F37"/>
          <cell r="G37" t="str">
            <v>PM-O-GEN-Inspector-NumeroPolizas-009</v>
          </cell>
          <cell r="H37" t="str">
            <v>PM-O-GEN-Inspector-NumeroPolizas-009</v>
          </cell>
        </row>
        <row r="38">
          <cell r="F38" t="str">
            <v>PM-GEN-NumeroPolizas-998-Agentes</v>
          </cell>
          <cell r="G38" t="str">
            <v>PM-O-GEN-Inspector-NumeroPolizas-998-Agentes</v>
          </cell>
          <cell r="H38" t="str">
            <v>PM-O-GEN-Inspector-NumeroPolizas-998-Agentes</v>
          </cell>
        </row>
        <row r="39">
          <cell r="F39" t="str">
            <v>PM-GEN-NumeroPolizas-998</v>
          </cell>
          <cell r="G39" t="str">
            <v>PM-O-GEN-Inspector-NumeroPolizas-998</v>
          </cell>
          <cell r="H39" t="str">
            <v>PM-O-GEN-Inspector-NumeroPolizas-998</v>
          </cell>
        </row>
        <row r="40">
          <cell r="F40" t="str">
            <v>SM-RPP-Inspector-NumeroPolizas-001-Propia</v>
          </cell>
          <cell r="G40" t="str">
            <v>SM-O-GEN-Inspector-NumeroPolizas-001-TotalMes</v>
          </cell>
          <cell r="H40" t="str">
            <v>SM-O-GEN-Inspector-NumeroPolizas-001-Propia</v>
          </cell>
        </row>
        <row r="41">
          <cell r="F41" t="str">
            <v>SM-RPP-Inspector-NumeroPolizas-001-Agentes</v>
          </cell>
          <cell r="G41" t="str">
            <v>SM-O-GEN-Inspector-NumeroPolizas-001-TotalMes</v>
          </cell>
          <cell r="H41" t="str">
            <v>SM-O-GEN-Inspector-NumeroPolizas-001-Agentes</v>
          </cell>
        </row>
        <row r="42">
          <cell r="F42" t="str">
            <v>SM-RPP-Inspector-NumeroPolizas-001-TotalMes</v>
          </cell>
          <cell r="G42" t="str">
            <v>SM-O-GEN-Inspector-NumeroPolizas-001-TotalMes</v>
          </cell>
          <cell r="H42" t="str">
            <v>SM-O-GEN-Inspector-NumeroPolizas-001-TotalMes</v>
          </cell>
        </row>
        <row r="43">
          <cell r="F43" t="str">
            <v>SM-RPP-Inspector-NumeroPolizas-002-Propia</v>
          </cell>
          <cell r="G43" t="str">
            <v>SM-O-GEN-Inspector-NumeroPolizas-002-TotalMes</v>
          </cell>
          <cell r="H43" t="str">
            <v>SM-O-GEN-Inspector-NumeroPolizas-002-Propia</v>
          </cell>
        </row>
        <row r="44">
          <cell r="F44" t="str">
            <v>SM-RPP-Inspector-NumeroPolizas-002-Agentes</v>
          </cell>
          <cell r="G44" t="str">
            <v>SM-O-GEN-Inspector-NumeroPolizas-002-TotalMes</v>
          </cell>
          <cell r="H44" t="str">
            <v>SM-O-GEN-Inspector-NumeroPolizas-002-Agentes</v>
          </cell>
        </row>
        <row r="45">
          <cell r="F45" t="str">
            <v>SM-RPP-Inspector-NumeroPolizas-002-TotalMes</v>
          </cell>
          <cell r="G45" t="str">
            <v>SM-O-GEN-Inspector-NumeroPolizas-002-TotalMes</v>
          </cell>
          <cell r="H45" t="str">
            <v>SM-O-GEN-Inspector-NumeroPolizas-002-TotalMes</v>
          </cell>
        </row>
        <row r="46">
          <cell r="F46"/>
          <cell r="G46" t="str">
            <v>SM-O-GEN-Inspector-NumeroPolizas-003-TotalMes</v>
          </cell>
          <cell r="H46" t="str">
            <v>SM-O-GEN-Inspector-NumeroPolizas-003-TotalMes</v>
          </cell>
        </row>
        <row r="47">
          <cell r="F47"/>
          <cell r="G47" t="str">
            <v>SM-O-GEN-Inspector-NumeroPolizas-004-TotalMes</v>
          </cell>
          <cell r="H47" t="str">
            <v>SM-O-GEN-Inspector-NumeroPolizas-004-TotalMes</v>
          </cell>
        </row>
        <row r="48">
          <cell r="F48"/>
          <cell r="G48" t="str">
            <v>SM-O-GEN-Inspector-NumeroPolizas-005-TotalMes</v>
          </cell>
          <cell r="H48" t="str">
            <v>SM-O-GEN-Inspector-NumeroPolizas-005-TotalMes</v>
          </cell>
        </row>
        <row r="49">
          <cell r="G49" t="str">
            <v>SM-O-GEN-Inspector-NumeroPolizas-006-TotalMes</v>
          </cell>
          <cell r="H49" t="str">
            <v>SM-O-GEN-Inspector-NumeroPolizas-006-TotalMes</v>
          </cell>
        </row>
        <row r="50">
          <cell r="G50" t="str">
            <v>SM-O-GEN-Inspector-NumeroPolizas-007-TotalMes</v>
          </cell>
          <cell r="H50" t="str">
            <v>SM-O-GEN-Inspector-NumeroPolizas-007-TotalMes</v>
          </cell>
        </row>
        <row r="51">
          <cell r="G51" t="str">
            <v>SM-O-GEN-Inspector-NumeroPolizas-009-TotalMes</v>
          </cell>
          <cell r="H51" t="str">
            <v>SM-O-GEN-Inspector-NumeroPolizas-009-TotalMes</v>
          </cell>
        </row>
        <row r="52">
          <cell r="F52" t="str">
            <v>SM-RPP-Inspector-NumeroPolizas-998-Propia</v>
          </cell>
          <cell r="G52" t="str">
            <v>SM-O-GEN-Inspector-NumeroPolizas-998-TotalMes</v>
          </cell>
          <cell r="H52" t="str">
            <v>SM-O-GEN-Inspector-NumeroPolizas-998-Propia</v>
          </cell>
        </row>
        <row r="53">
          <cell r="F53" t="str">
            <v>SM-RPP-Inspector-NumeroPolizas-998-Agentes</v>
          </cell>
          <cell r="G53" t="str">
            <v>SM-O-GEN-Inspector-NumeroPolizas-998-TotalMes</v>
          </cell>
          <cell r="H53" t="str">
            <v>SM-O-GEN-Inspector-NumeroPolizas-998-Agentes</v>
          </cell>
        </row>
        <row r="54">
          <cell r="F54" t="str">
            <v>SM-RPP-Inspector-NumeroPolizas-998-TotalMes</v>
          </cell>
          <cell r="G54" t="str">
            <v>SM-O-GEN-Inspector-NumeroPolizas-998-TotalMes</v>
          </cell>
          <cell r="H54" t="str">
            <v>SM-O-GEN-Inspector-NumeroPolizas-998-TotalMes</v>
          </cell>
        </row>
        <row r="55">
          <cell r="F55" t="str">
            <v>DC-RPP-Inspector-PrimaCorregida</v>
          </cell>
          <cell r="G55" t="str">
            <v>DC-O-GEN-Inspector-PrimaCorregida-998</v>
          </cell>
          <cell r="H55" t="str">
            <v>DC-O-GEN-Inspector-PrimaCorregida-998</v>
          </cell>
        </row>
        <row r="56">
          <cell r="F56" t="str">
            <v>IC-RPP-Inspector-PrimaCorregida</v>
          </cell>
          <cell r="G56" t="str">
            <v>IC-O-GEN-Inspector-PrimaCorregida-998</v>
          </cell>
          <cell r="H56" t="str">
            <v>IC-O-GEN-Inspector-PrimaCorregida-998</v>
          </cell>
        </row>
        <row r="57">
          <cell r="F57" t="str">
            <v>PM-RPP-Inspector-PrimaCorregida-Agentes</v>
          </cell>
          <cell r="G57" t="str">
            <v>PM-O-GEN-Inspector-PrimaCorregida-998-Agentes</v>
          </cell>
          <cell r="H57" t="str">
            <v>PM-O-GEN-Inspector-PrimaCorregida-998-Agentes</v>
          </cell>
        </row>
        <row r="58">
          <cell r="G58" t="str">
            <v>PM-O-GEN-Inspector-PrimaCorregida-998-Agentes</v>
          </cell>
          <cell r="H58" t="str">
            <v>PM-O-GEN-Inspector-Prima-998-Agentes</v>
          </cell>
        </row>
        <row r="59">
          <cell r="F59" t="str">
            <v>PM-RPP-Inspector-PrimaCorregida</v>
          </cell>
          <cell r="G59" t="str">
            <v>PM-O-GEN-Inspector-PrimaCorregida-998</v>
          </cell>
          <cell r="H59" t="str">
            <v>PM-O-GEN-Inspector-PrimaCorregida-998</v>
          </cell>
        </row>
        <row r="60">
          <cell r="F60"/>
          <cell r="G60" t="str">
            <v>PM-O-GEN-Inspector-PrimaCorregida-998</v>
          </cell>
          <cell r="H60" t="str">
            <v>PM-O-GEN-Inspector-Prima-998</v>
          </cell>
        </row>
        <row r="61">
          <cell r="F61" t="str">
            <v>PM-O-GEN-Inspector-PrimaCorregida-001-Agentes</v>
          </cell>
          <cell r="G61" t="str">
            <v>PM-O-GEN-Inspector-PrimaCorregida-001-Agentes</v>
          </cell>
          <cell r="H61" t="str">
            <v>PM-O-GEN-Inspector-PrimaCorregida-001-Agentes</v>
          </cell>
        </row>
        <row r="62">
          <cell r="F62"/>
          <cell r="G62" t="str">
            <v>PM-O-GEN-Inspector-PrimaCorregida-001-Agentes</v>
          </cell>
          <cell r="H62" t="str">
            <v>PM-O-GEN-Inspector-Prima-001-Agentes</v>
          </cell>
        </row>
        <row r="63">
          <cell r="F63" t="str">
            <v>PM-O-GEN-Inspector-PrimaCorregida-001</v>
          </cell>
          <cell r="G63" t="str">
            <v>PM-O-GEN-Inspector-PrimaCorregida-001</v>
          </cell>
          <cell r="H63" t="str">
            <v>PM-O-GEN-Inspector-PrimaCorregida-001</v>
          </cell>
        </row>
        <row r="64">
          <cell r="F64"/>
          <cell r="G64" t="str">
            <v>PM-O-GEN-Inspector-PrimaCorregida-001</v>
          </cell>
          <cell r="H64" t="str">
            <v>PM-O-GEN-Inspector-Prima-001</v>
          </cell>
        </row>
        <row r="65">
          <cell r="F65" t="str">
            <v>PM-O-GEN-Inspector-PrimaCorregida-002-Agentes</v>
          </cell>
          <cell r="G65" t="str">
            <v>PM-O-GEN-Inspector-PrimaCorregida-002-Agentes</v>
          </cell>
          <cell r="H65" t="str">
            <v>PM-O-GEN-Inspector-PrimaCorregida-002-Agentes</v>
          </cell>
        </row>
        <row r="66">
          <cell r="F66"/>
          <cell r="G66" t="str">
            <v>PM-O-GEN-Inspector-PrimaCorregida-002-Agentes</v>
          </cell>
          <cell r="H66" t="str">
            <v>PM-O-GEN-Inspector-Prima-002-Agentes</v>
          </cell>
        </row>
        <row r="67">
          <cell r="F67" t="str">
            <v>PM-O-GEN-Inspector-PrimaCorregida-002</v>
          </cell>
          <cell r="G67" t="str">
            <v>PM-O-GEN-Inspector-PrimaCorregida-002</v>
          </cell>
          <cell r="H67" t="str">
            <v>PM-O-GEN-Inspector-PrimaCorregida-002</v>
          </cell>
        </row>
        <row r="68">
          <cell r="F68"/>
          <cell r="G68" t="str">
            <v>PM-O-GEN-Inspector-PrimaCorregida-002</v>
          </cell>
          <cell r="H68" t="str">
            <v>PM-O-GEN-Inspector-Prima-002</v>
          </cell>
        </row>
        <row r="69">
          <cell r="F69" t="str">
            <v>PM-O-GEN-Inspector-PrimaCorregida-003-Agentes</v>
          </cell>
          <cell r="G69" t="str">
            <v>PM-O-GEN-Inspector-PrimaCorregida-003-Agentes</v>
          </cell>
          <cell r="H69" t="str">
            <v>PM-O-GEN-Inspector-PrimaCorregida-003-Agentes</v>
          </cell>
        </row>
        <row r="70">
          <cell r="F70"/>
          <cell r="G70" t="str">
            <v>PM-O-GEN-Inspector-PrimaCorregida-003-Agentes</v>
          </cell>
          <cell r="H70" t="str">
            <v>PM-O-GEN-Inspector-Prima-003-Agentes</v>
          </cell>
        </row>
        <row r="71">
          <cell r="F71" t="str">
            <v>PM-O-GEN-Inspector-PrimaCorregida-003</v>
          </cell>
          <cell r="G71" t="str">
            <v>PM-O-GEN-Inspector-PrimaCorregida-003</v>
          </cell>
          <cell r="H71" t="str">
            <v>PM-O-GEN-Inspector-PrimaCorregida-003</v>
          </cell>
        </row>
        <row r="72">
          <cell r="F72"/>
          <cell r="G72" t="str">
            <v>PM-O-GEN-Inspector-PrimaCorregida-003</v>
          </cell>
          <cell r="H72" t="str">
            <v>PM-O-GEN-Inspector-Prima-003</v>
          </cell>
        </row>
        <row r="73">
          <cell r="F73" t="str">
            <v>PM-O-GEN-Inspector-PrimaCorregida-004-Agentes</v>
          </cell>
          <cell r="G73" t="str">
            <v>PM-O-GEN-Inspector-PrimaCorregida-004-Agentes</v>
          </cell>
          <cell r="H73" t="str">
            <v>PM-O-GEN-Inspector-PrimaCorregida-004-Agentes</v>
          </cell>
        </row>
        <row r="74">
          <cell r="F74"/>
          <cell r="G74" t="str">
            <v>PM-O-GEN-Inspector-PrimaCorregida-004-Agentes</v>
          </cell>
          <cell r="H74" t="str">
            <v>PM-O-GEN-Inspector-Prima-004-Agentes</v>
          </cell>
        </row>
        <row r="75">
          <cell r="F75" t="str">
            <v>PM-O-GEN-Inspector-PrimaCorregida-004</v>
          </cell>
          <cell r="G75" t="str">
            <v>PM-O-GEN-Inspector-PrimaCorregida-004</v>
          </cell>
          <cell r="H75" t="str">
            <v>PM-O-GEN-Inspector-PrimaCorregida-004</v>
          </cell>
        </row>
        <row r="76">
          <cell r="F76"/>
          <cell r="G76" t="str">
            <v>PM-O-GEN-Inspector-PrimaCorregida-004</v>
          </cell>
          <cell r="H76" t="str">
            <v>PM-O-GEN-Inspector-Prima-004</v>
          </cell>
        </row>
        <row r="77">
          <cell r="F77" t="str">
            <v>PM-O-GEN-Inspector-PrimaCorregida-005-Agentes</v>
          </cell>
          <cell r="G77" t="str">
            <v>PM-O-GEN-Inspector-PrimaCorregida-005-Agentes</v>
          </cell>
          <cell r="H77" t="str">
            <v>PM-O-GEN-Inspector-PrimaCorregida-005-Agentes</v>
          </cell>
        </row>
        <row r="78">
          <cell r="F78"/>
          <cell r="G78" t="str">
            <v>PM-O-GEN-Inspector-PrimaCorregida-005-Agentes</v>
          </cell>
          <cell r="H78" t="str">
            <v>PM-O-GEN-Inspector-Prima-005-Agentes</v>
          </cell>
        </row>
        <row r="79">
          <cell r="F79" t="str">
            <v>PM-O-GEN-Inspector-PrimaCorregida-005</v>
          </cell>
          <cell r="G79" t="str">
            <v>PM-O-GEN-Inspector-PrimaCorregida-005</v>
          </cell>
          <cell r="H79" t="str">
            <v>PM-O-GEN-Inspector-PrimaCorregida-005</v>
          </cell>
        </row>
        <row r="80">
          <cell r="F80"/>
          <cell r="G80" t="str">
            <v>PM-O-GEN-Inspector-PrimaCorregida-005</v>
          </cell>
          <cell r="H80" t="str">
            <v>PM-O-GEN-Inspector-Prima-005</v>
          </cell>
        </row>
        <row r="81">
          <cell r="F81" t="str">
            <v>PM-O-GEN-Inspector-PrimaCorregida-006-Agentes</v>
          </cell>
          <cell r="G81" t="str">
            <v>PM-O-GEN-Inspector-PrimaCorregida-006-Agentes</v>
          </cell>
          <cell r="H81" t="str">
            <v>PM-O-GEN-Inspector-PrimaCorregida-006-Agentes</v>
          </cell>
        </row>
        <row r="82">
          <cell r="F82"/>
          <cell r="G82" t="str">
            <v>PM-O-GEN-Inspector-PrimaCorregida-006-Agentes</v>
          </cell>
          <cell r="H82" t="str">
            <v>PM-O-GEN-Inspector-Prima-006-Agentes</v>
          </cell>
        </row>
        <row r="83">
          <cell r="F83" t="str">
            <v>PM-O-GEN-Inspector-PrimaCorregida-006</v>
          </cell>
          <cell r="G83" t="str">
            <v>PM-O-GEN-Inspector-PrimaCorregida-006</v>
          </cell>
          <cell r="H83" t="str">
            <v>PM-O-GEN-Inspector-PrimaCorregida-006</v>
          </cell>
        </row>
        <row r="84">
          <cell r="F84"/>
          <cell r="G84" t="str">
            <v>PM-O-GEN-Inspector-PrimaCorregida-006</v>
          </cell>
          <cell r="H84" t="str">
            <v>PM-O-GEN-Inspector-Prima-006</v>
          </cell>
        </row>
        <row r="85">
          <cell r="F85" t="str">
            <v>PM-O-GEN-Inspector-PrimaCorregida-007-Agentes</v>
          </cell>
          <cell r="G85" t="str">
            <v>PM-O-GEN-Inspector-PrimaCorregida-007-Agentes</v>
          </cell>
          <cell r="H85" t="str">
            <v>PM-O-GEN-Inspector-PrimaCorregida-007-Agentes</v>
          </cell>
        </row>
        <row r="86">
          <cell r="F86"/>
          <cell r="G86" t="str">
            <v>PM-O-GEN-Inspector-PrimaCorregida-007-Agentes</v>
          </cell>
          <cell r="H86" t="str">
            <v>PM-O-GEN-Inspector-Prima-007-Agentes</v>
          </cell>
        </row>
        <row r="87">
          <cell r="F87" t="str">
            <v>PM-O-GEN-Inspector-PrimaCorregida-007</v>
          </cell>
          <cell r="G87" t="str">
            <v>PM-O-GEN-Inspector-PrimaCorregida-007</v>
          </cell>
          <cell r="H87" t="str">
            <v>PM-O-GEN-Inspector-PrimaCorregida-007</v>
          </cell>
        </row>
        <row r="88">
          <cell r="F88"/>
          <cell r="G88" t="str">
            <v>PM-O-GEN-Inspector-PrimaCorregida-007</v>
          </cell>
          <cell r="H88" t="str">
            <v>PM-O-GEN-Inspector-Prima-007</v>
          </cell>
        </row>
        <row r="89">
          <cell r="F89" t="str">
            <v>PM-O-GEN-Inspector-PrimaCorregida-008-Agentes</v>
          </cell>
          <cell r="G89" t="str">
            <v>PM-O-GEN-Inspector-PrimaCorregida-008-Agentes</v>
          </cell>
          <cell r="H89" t="str">
            <v>PM-O-GEN-Inspector-PrimaCorregida-008-Agentes</v>
          </cell>
        </row>
        <row r="90">
          <cell r="F90"/>
          <cell r="G90" t="str">
            <v>PM-O-GEN-Inspector-PrimaCorregida-008-Agentes</v>
          </cell>
          <cell r="H90" t="str">
            <v>PM-O-GEN-Inspector-Prima-008-Agentes</v>
          </cell>
        </row>
        <row r="91">
          <cell r="F91" t="str">
            <v>PM-O-GEN-Inspector-PrimaCorregida-008</v>
          </cell>
          <cell r="G91" t="str">
            <v>PM-O-GEN-Inspector-PrimaCorregida-008</v>
          </cell>
          <cell r="H91" t="str">
            <v>PM-O-GEN-Inspector-PrimaCorregida-008</v>
          </cell>
        </row>
        <row r="92">
          <cell r="F92"/>
          <cell r="G92" t="str">
            <v>PM-O-GEN-Inspector-PrimaCorregida-008</v>
          </cell>
          <cell r="H92" t="str">
            <v>PM-O-GEN-Inspector-Prima-008</v>
          </cell>
        </row>
        <row r="93">
          <cell r="F93" t="str">
            <v>PM-O-GEN-Inspector-PrimaCorregida-009-Agentes</v>
          </cell>
          <cell r="G93" t="str">
            <v>PM-O-GEN-Inspector-PrimaCorregida-009-Agentes</v>
          </cell>
          <cell r="H93" t="str">
            <v>PM-O-GEN-Inspector-PrimaCorregida-009-Agentes</v>
          </cell>
        </row>
        <row r="94">
          <cell r="F94"/>
          <cell r="G94" t="str">
            <v>PM-O-GEN-Inspector-PrimaCorregida-009-Agentes</v>
          </cell>
          <cell r="H94" t="str">
            <v>PM-O-GEN-Inspector-Prima-009-Agentes</v>
          </cell>
        </row>
        <row r="95">
          <cell r="F95" t="str">
            <v>PM-O-GEN-Inspector-PrimaCorregida-009</v>
          </cell>
          <cell r="G95" t="str">
            <v>PM-O-GEN-Inspector-PrimaCorregida-009</v>
          </cell>
          <cell r="H95" t="str">
            <v>PM-O-GEN-Inspector-PrimaCorregida-009</v>
          </cell>
        </row>
        <row r="96">
          <cell r="F96"/>
          <cell r="G96" t="str">
            <v>PM-O-GEN-Inspector-PrimaCorregida-009</v>
          </cell>
          <cell r="H96" t="str">
            <v>PM-O-GEN-Inspector-Prima-009</v>
          </cell>
        </row>
        <row r="97">
          <cell r="F97" t="str">
            <v>PM-O-GEN-Inspector-PrimaCorregida-997-Agentes</v>
          </cell>
          <cell r="G97" t="str">
            <v>PM-O-GEN-Inspector-PrimaCorregida-997-Agentes</v>
          </cell>
          <cell r="H97" t="str">
            <v>PM-O-GEN-Inspector-PrimaCorregida-997-Agentes</v>
          </cell>
        </row>
        <row r="98">
          <cell r="F98"/>
          <cell r="G98" t="str">
            <v>PM-O-GEN-Inspector-PrimaCorregida-997-Agentes</v>
          </cell>
          <cell r="H98" t="str">
            <v>PM-O-GEN-Inspector-Prima-997-Agentes</v>
          </cell>
        </row>
        <row r="99">
          <cell r="F99" t="str">
            <v>PM-O-GEN-Inspector-PrimaCorregida-997</v>
          </cell>
          <cell r="G99" t="str">
            <v>PM-O-GEN-Inspector-PrimaCorregida-997</v>
          </cell>
          <cell r="H99" t="str">
            <v>PM-O-GEN-Inspector-PrimaCorregida-997</v>
          </cell>
        </row>
        <row r="100">
          <cell r="F100"/>
          <cell r="G100" t="str">
            <v>PM-O-GEN-Inspector-PrimaCorregida-997</v>
          </cell>
          <cell r="H100" t="str">
            <v>PM-O-GEN-Inspector-Prima-997</v>
          </cell>
        </row>
        <row r="101">
          <cell r="F101" t="str">
            <v>SM-O-GEN-Inspector-PrimaCorregida-001-TotalMes</v>
          </cell>
          <cell r="G101" t="str">
            <v>SM-O-GEN-Inspector-PrimaCorregida-001-TotalMes</v>
          </cell>
          <cell r="H101" t="str">
            <v>SM-O-GEN-Inspector-PrimaCorregida-001-TotalMes</v>
          </cell>
        </row>
        <row r="102">
          <cell r="F102"/>
          <cell r="G102" t="str">
            <v>SM-O-GEN-Inspector-PrimaCorregida-001-TotalMes</v>
          </cell>
          <cell r="H102" t="str">
            <v>SM-O-GEN-Inspector-Prima-001-TotalMes</v>
          </cell>
        </row>
        <row r="103">
          <cell r="F103" t="str">
            <v>SM-O-GEN-Inspector-PrimaCorregida-002-TotalMes</v>
          </cell>
          <cell r="G103" t="str">
            <v>SM-O-GEN-Inspector-PrimaCorregida-002-TotalMes</v>
          </cell>
          <cell r="H103" t="str">
            <v>SM-O-GEN-Inspector-PrimaCorregida-002-TotalMes</v>
          </cell>
        </row>
        <row r="104">
          <cell r="F104"/>
          <cell r="G104" t="str">
            <v>SM-O-GEN-Inspector-PrimaCorregida-002-TotalMes</v>
          </cell>
          <cell r="H104" t="str">
            <v>SM-O-GEN-Inspector-Prima-002-TotalMes</v>
          </cell>
        </row>
        <row r="105">
          <cell r="F105" t="str">
            <v>SM-O-GEN-Inspector-PrimaCorregida-003-TotalMes</v>
          </cell>
          <cell r="G105" t="str">
            <v>SM-O-GEN-Inspector-PrimaCorregida-003-TotalMes</v>
          </cell>
          <cell r="H105" t="str">
            <v>SM-O-GEN-Inspector-PrimaCorregida-003-TotalMes</v>
          </cell>
        </row>
        <row r="106">
          <cell r="F106"/>
          <cell r="G106" t="str">
            <v>SM-O-GEN-Inspector-PrimaCorregida-003-TotalMes</v>
          </cell>
          <cell r="H106" t="str">
            <v>SM-O-GEN-Inspector-Prima-003-TotalMes</v>
          </cell>
        </row>
        <row r="107">
          <cell r="F107" t="str">
            <v>SM-O-GEN-Inspector-PrimaCorregida-004-TotalMes</v>
          </cell>
          <cell r="G107" t="str">
            <v>SM-O-GEN-Inspector-PrimaCorregida-004-TotalMes</v>
          </cell>
          <cell r="H107" t="str">
            <v>SM-O-GEN-Inspector-PrimaCorregida-004-TotalMes</v>
          </cell>
        </row>
        <row r="108">
          <cell r="F108"/>
          <cell r="G108" t="str">
            <v>SM-O-GEN-Inspector-PrimaCorregida-004-TotalMes</v>
          </cell>
          <cell r="H108" t="str">
            <v>SM-O-GEN-Inspector-Prima-004-TotalMes</v>
          </cell>
        </row>
        <row r="109">
          <cell r="F109" t="str">
            <v>SM-O-GEN-Inspector-PrimaCorregida-005-TotalMes</v>
          </cell>
          <cell r="G109" t="str">
            <v>SM-O-GEN-Inspector-PrimaCorregida-005-TotalMes</v>
          </cell>
          <cell r="H109" t="str">
            <v>SM-O-GEN-Inspector-PrimaCorregida-005-TotalMes</v>
          </cell>
        </row>
        <row r="110">
          <cell r="F110"/>
          <cell r="G110" t="str">
            <v>SM-O-GEN-Inspector-PrimaCorregida-005-TotalMes</v>
          </cell>
          <cell r="H110" t="str">
            <v>SM-O-GEN-Inspector-Prima-005-TotalMes</v>
          </cell>
        </row>
        <row r="111">
          <cell r="F111" t="str">
            <v>SM-O-GEN-Inspector-PrimaCorregida-006-TotalMes</v>
          </cell>
          <cell r="G111" t="str">
            <v>SM-O-GEN-Inspector-PrimaCorregida-006-TotalMes</v>
          </cell>
          <cell r="H111" t="str">
            <v>SM-O-GEN-Inspector-PrimaCorregida-006-TotalMes</v>
          </cell>
        </row>
        <row r="112">
          <cell r="F112"/>
          <cell r="G112" t="str">
            <v>SM-O-GEN-Inspector-PrimaCorregida-006-TotalMes</v>
          </cell>
          <cell r="H112" t="str">
            <v>SM-O-GEN-Inspector-Prima-006-TotalMes</v>
          </cell>
        </row>
        <row r="113">
          <cell r="F113" t="str">
            <v>SM-O-GEN-Inspector-PrimaCorregida-007-TotalMes</v>
          </cell>
          <cell r="G113" t="str">
            <v>SM-O-GEN-Inspector-PrimaCorregida-007-TotalMes</v>
          </cell>
          <cell r="H113" t="str">
            <v>SM-O-GEN-Inspector-PrimaCorregida-007-TotalMes</v>
          </cell>
        </row>
        <row r="114">
          <cell r="F114"/>
          <cell r="G114" t="str">
            <v>SM-O-GEN-Inspector-PrimaCorregida-007-TotalMes</v>
          </cell>
          <cell r="H114" t="str">
            <v>SM-O-GEN-Inspector-Prima-007-TotalMes</v>
          </cell>
        </row>
        <row r="115">
          <cell r="F115" t="str">
            <v>SM-O-GEN-Inspector-PrimaCorregida-008-TotalMes</v>
          </cell>
          <cell r="G115" t="str">
            <v>SM-O-GEN-Inspector-PrimaCorregida-008-TotalMes</v>
          </cell>
          <cell r="H115" t="str">
            <v>SM-O-GEN-Inspector-PrimaCorregida-008-TotalMes</v>
          </cell>
        </row>
        <row r="116">
          <cell r="F116"/>
          <cell r="G116" t="str">
            <v>SM-O-GEN-Inspector-PrimaCorregida-008-TotalMes</v>
          </cell>
          <cell r="H116" t="str">
            <v>SM-O-GEN-Inspector-Prima-008-TotalMes</v>
          </cell>
        </row>
        <row r="117">
          <cell r="F117" t="str">
            <v>SM-O-GEN-Inspector-PrimaCorregida-009-TotalMes</v>
          </cell>
          <cell r="G117" t="str">
            <v>SM-O-GEN-Inspector-PrimaCorregida-009-TotalMes</v>
          </cell>
          <cell r="H117" t="str">
            <v>SM-O-GEN-Inspector-PrimaCorregida-009-TotalMes</v>
          </cell>
        </row>
        <row r="118">
          <cell r="F118"/>
          <cell r="G118" t="str">
            <v>SM-O-GEN-Inspector-PrimaCorregida-009-TotalMes</v>
          </cell>
          <cell r="H118" t="str">
            <v>SM-O-GEN-Inspector-Prima-009-TotalMes</v>
          </cell>
        </row>
        <row r="119">
          <cell r="F119" t="str">
            <v>SM-O-GEN-Inspector-PrimaCorregida-997-TotalMes</v>
          </cell>
          <cell r="G119" t="str">
            <v>SM-O-GEN-Inspector-PrimaCorregida-997-TotalMes</v>
          </cell>
          <cell r="H119" t="str">
            <v>SM-O-GEN-Inspector-PrimaCorregida-997-TotalMes</v>
          </cell>
        </row>
        <row r="120">
          <cell r="F120"/>
          <cell r="G120" t="str">
            <v>SM-O-GEN-Inspector-PrimaCorregida-997-TotalMes</v>
          </cell>
          <cell r="H120" t="str">
            <v>SM-O-GEN-Inspector-Prima-997-TotalMes</v>
          </cell>
        </row>
        <row r="121">
          <cell r="F121" t="str">
            <v>SM-O-GEN-Inspector-PrimaCorregida-998-TotalMes</v>
          </cell>
          <cell r="G121" t="str">
            <v>SM-O-GEN-Inspector-PrimaCorregida-998-TotalMes</v>
          </cell>
          <cell r="H121" t="str">
            <v>SM-O-GEN-Inspector-PrimaCorregida-998-TotalMes</v>
          </cell>
        </row>
        <row r="122">
          <cell r="F122"/>
          <cell r="G122" t="str">
            <v>SM-O-GEN-Inspector-PrimaCorregida-998-TotalMes</v>
          </cell>
          <cell r="H122" t="str">
            <v>SM-O-GEN-Inspector-Prima-998-TotalMes</v>
          </cell>
        </row>
        <row r="123">
          <cell r="F123"/>
          <cell r="G123" t="str">
            <v>DC-O-GEN-Agente-NumeroPolizas-005</v>
          </cell>
          <cell r="H123" t="str">
            <v>DC-O-GEN-Agente-NumeroPolizas-005</v>
          </cell>
        </row>
        <row r="124">
          <cell r="F124"/>
          <cell r="G124" t="str">
            <v>PM-O-GEN-Agente-NumeroPolizas-005</v>
          </cell>
          <cell r="H124" t="str">
            <v>PM-O-GEN-Agente-NumeroPolizas-005</v>
          </cell>
        </row>
        <row r="125">
          <cell r="F125" t="str">
            <v>PM-O-RPP-Agente-NumeroPolizas-005-SINCC</v>
          </cell>
          <cell r="G125" t="str">
            <v>PM-O-GEN-Agente-NumeroPolizas-005-SINCC</v>
          </cell>
          <cell r="H125" t="str">
            <v>PM-O-GEN-Agente-NumeroPolizas-005-SINCC</v>
          </cell>
        </row>
        <row r="126">
          <cell r="F126" t="str">
            <v>PM-O-RPP-Agente-NumeroPolizas-001</v>
          </cell>
          <cell r="G126" t="str">
            <v>PM-O-GEN-Agente-NumeroPolizas-001</v>
          </cell>
          <cell r="H126" t="str">
            <v>PM-O-GEN-Agente-NumeroPolizas-001</v>
          </cell>
        </row>
        <row r="127">
          <cell r="F127"/>
          <cell r="G127" t="str">
            <v>PM-O-GEN-Agente-NumeroPolizas-001</v>
          </cell>
          <cell r="H127" t="str">
            <v>PM-O-GEN-Agente-NumeroPolizasCorregidas-001</v>
          </cell>
        </row>
        <row r="128">
          <cell r="F128" t="str">
            <v>PM-O-RPP-Agente-NumeroPolizas-002</v>
          </cell>
          <cell r="G128" t="str">
            <v>PM-O-GEN-Agente-NumeroPolizas-002</v>
          </cell>
          <cell r="H128" t="str">
            <v>PM-O-GEN-Agente-NumeroPolizas-002</v>
          </cell>
        </row>
        <row r="129">
          <cell r="F129"/>
          <cell r="G129" t="str">
            <v>PM-O-GEN-Agente-NumeroPolizas-002</v>
          </cell>
          <cell r="H129" t="str">
            <v>PM-O-GEN-Agente-NumeroPolizasCorregidas-002</v>
          </cell>
        </row>
        <row r="130">
          <cell r="F130" t="str">
            <v>PM-O-RPP-Agente-NumeroPolizas-003</v>
          </cell>
          <cell r="G130" t="str">
            <v>PM-O-GEN-Agente-NumeroPolizas-003</v>
          </cell>
          <cell r="H130" t="str">
            <v>PM-O-GEN-Agente-NumeroPolizas-003</v>
          </cell>
        </row>
        <row r="131">
          <cell r="F131"/>
          <cell r="G131" t="str">
            <v>PM-O-GEN-Agente-NumeroPolizas-003</v>
          </cell>
          <cell r="H131" t="str">
            <v>PM-O-GEN-Agente-NumeroPolizasCorregidas-003</v>
          </cell>
        </row>
        <row r="132">
          <cell r="F132" t="str">
            <v>PM-O-RPP-Agente-NumeroPolizas-004</v>
          </cell>
          <cell r="G132" t="str">
            <v>PM-O-GEN-Agente-NumeroPolizas-004</v>
          </cell>
          <cell r="H132" t="str">
            <v>PM-O-GEN-Agente-NumeroPolizas-004</v>
          </cell>
        </row>
        <row r="133">
          <cell r="F133"/>
          <cell r="G133" t="str">
            <v>PM-O-GEN-Agente-NumeroPolizas-004</v>
          </cell>
          <cell r="H133" t="str">
            <v>PM-O-GEN-Agente-NumeroPolizasCorregidas-004</v>
          </cell>
        </row>
        <row r="134">
          <cell r="F134" t="str">
            <v>PM-O-RPP-Agente-NumeroPolizas-998-Total-Productos</v>
          </cell>
          <cell r="G134" t="str">
            <v>PM-O-GEN-Agente-NumeroPolizas-998</v>
          </cell>
          <cell r="H134" t="str">
            <v>PM-O-GEN-Agente-NumeroPolizas-998</v>
          </cell>
        </row>
        <row r="135">
          <cell r="F135"/>
          <cell r="G135" t="str">
            <v>PM-O-GEN-Agente-NumeroPolizas-998</v>
          </cell>
          <cell r="H135" t="str">
            <v>PM-O-GEN-Agente-NumeroPolizasCorregidas-998</v>
          </cell>
        </row>
        <row r="136">
          <cell r="F136" t="str">
            <v>PM-O-RPP-Agente-NumeroPolizas-997</v>
          </cell>
          <cell r="G136" t="str">
            <v>PM-O-GEN-Agente-NumeroPolizas-997</v>
          </cell>
          <cell r="H136" t="str">
            <v>PM-O-GEN-Agente-NumeroPolizas-997</v>
          </cell>
        </row>
        <row r="137">
          <cell r="F137"/>
          <cell r="G137" t="str">
            <v>PM-O-GEN-Agente-NumeroPolizas-997</v>
          </cell>
          <cell r="H137" t="str">
            <v>PM-O-GEN-Agente-NumeroPolizasCorregidas-997</v>
          </cell>
        </row>
        <row r="138">
          <cell r="F138"/>
          <cell r="G138" t="str">
            <v>DC-O-GEN-Agente-Prima-001</v>
          </cell>
          <cell r="H138" t="str">
            <v>DC-O-GEN-Agente-Prima-001</v>
          </cell>
        </row>
        <row r="139">
          <cell r="F139"/>
          <cell r="G139" t="str">
            <v>DC-O-GEN-Agente-Prima-002</v>
          </cell>
          <cell r="H139" t="str">
            <v>DC-O-GEN-Agente-Prima-002</v>
          </cell>
        </row>
        <row r="140">
          <cell r="F140"/>
          <cell r="G140" t="str">
            <v>DC-O-GEN-Agente-Prima-003</v>
          </cell>
          <cell r="H140" t="str">
            <v>DC-O-GEN-Agente-Prima-003</v>
          </cell>
        </row>
        <row r="141">
          <cell r="F141"/>
          <cell r="G141" t="str">
            <v>DC-O-GEN-Agente-Prima-004</v>
          </cell>
          <cell r="H141" t="str">
            <v>DC-O-GEN-Agente-Prima-004</v>
          </cell>
        </row>
        <row r="142">
          <cell r="F142"/>
          <cell r="G142" t="str">
            <v>DC-O-GEN-Agente-Prima-005</v>
          </cell>
          <cell r="H142" t="str">
            <v>DC-O-GEN-Agente-Prima-005</v>
          </cell>
        </row>
        <row r="143">
          <cell r="F143"/>
          <cell r="G143" t="str">
            <v>PM-O-GEN-Agente-Prima-001</v>
          </cell>
          <cell r="H143" t="str">
            <v>PM-O-GEN-Agente-Prima-001</v>
          </cell>
        </row>
        <row r="144">
          <cell r="F144"/>
          <cell r="G144" t="str">
            <v>PM-O-GEN-Agente-Prima-002</v>
          </cell>
          <cell r="H144" t="str">
            <v>PM-O-GEN-Agente-Prima-002</v>
          </cell>
        </row>
        <row r="145">
          <cell r="F145"/>
          <cell r="G145" t="str">
            <v>PM-O-GEN-Agente-Prima-003</v>
          </cell>
          <cell r="H145" t="str">
            <v>PM-O-GEN-Agente-Prima-003</v>
          </cell>
        </row>
        <row r="146">
          <cell r="F146"/>
          <cell r="G146" t="str">
            <v>PM-O-GEN-Agente-Prima-004</v>
          </cell>
          <cell r="H146" t="str">
            <v>PM-O-GEN-Agente-Prima-004</v>
          </cell>
        </row>
        <row r="147">
          <cell r="F147"/>
          <cell r="G147" t="str">
            <v>PM-O-GEN-Agente-Prima-005</v>
          </cell>
          <cell r="H147" t="str">
            <v>PM-O-GEN-Agente-Prima-005</v>
          </cell>
        </row>
        <row r="148">
          <cell r="F148"/>
          <cell r="G148" t="str">
            <v>PM-O-GEN-Agente-Prima-997</v>
          </cell>
          <cell r="H148" t="str">
            <v>PM-O-GEN-Agente-Prima-997</v>
          </cell>
        </row>
        <row r="149">
          <cell r="F149" t="str">
            <v>PM-O-RPP-Agente-Prima-998</v>
          </cell>
          <cell r="G149" t="str">
            <v>PM-O-GEN-Agente-Prima-998</v>
          </cell>
          <cell r="H149" t="str">
            <v>PM-O-GEN-Agente-Prima-998</v>
          </cell>
        </row>
        <row r="150">
          <cell r="F150" t="str">
            <v>SM-RPP-Inspector-PrimaCorregida-Propia</v>
          </cell>
          <cell r="G150" t="str">
            <v>SM-O-GEN-Inspector-PrimaCorregida-998-TotalMes</v>
          </cell>
          <cell r="H150" t="str">
            <v>SM-O-GEN-Inspector-PrimaCorregida-998-Propia</v>
          </cell>
        </row>
        <row r="151">
          <cell r="F151" t="str">
            <v>SM-RPP-Inspector-PrimaCorregida-Agentes</v>
          </cell>
          <cell r="G151" t="str">
            <v>SM-O-GEN-Inspector-PrimaCorregida-998-TotalMes</v>
          </cell>
          <cell r="H151" t="str">
            <v>SM-O-GEN-Inspector-PrimaCorregida-998-Agentes</v>
          </cell>
        </row>
        <row r="152">
          <cell r="F152" t="str">
            <v>SM-RPP-Inspector-PrimaCorregida-TotalMes</v>
          </cell>
          <cell r="G152" t="str">
            <v>SM-O-GEN-Inspector-PrimaCorregida-998-TotalMes</v>
          </cell>
          <cell r="H152" t="str">
            <v>SM-O-GEN-Inspector-PrimaCorregida-998-TotalMes</v>
          </cell>
        </row>
        <row r="153">
          <cell r="F153"/>
          <cell r="G153" t="str">
            <v>SM-O-GEN-Inspector-PrimaCorregida-998-TotalMes</v>
          </cell>
          <cell r="H153" t="str">
            <v>SM-O-GEN-Inspector-Prima-998-TotalMes</v>
          </cell>
        </row>
        <row r="154">
          <cell r="F154" t="str">
            <v>DC-GEN-NumeroPolizas-906</v>
          </cell>
          <cell r="G154" t="str">
            <v>DC-O-GEN-Inspector-NumeroPolizas-906</v>
          </cell>
          <cell r="H154" t="str">
            <v>DC-O-GEN-Inspector-NumeroPolizas-906</v>
          </cell>
        </row>
        <row r="155">
          <cell r="F155" t="str">
            <v>IC-GEN-NumeroPolizas-906</v>
          </cell>
          <cell r="G155" t="str">
            <v>IC-O-GEN-Inspector-NumeroPolizas-906</v>
          </cell>
          <cell r="H155" t="str">
            <v>IC-O-GEN-Inspector-NumeroPolizas-906</v>
          </cell>
        </row>
        <row r="156">
          <cell r="F156" t="str">
            <v>PM-GEN-NumeroPolizas-906</v>
          </cell>
          <cell r="G156" t="str">
            <v>PM-O-GEN-Inspector-NumeroPolizas-906</v>
          </cell>
          <cell r="H156" t="str">
            <v>PM-O-GEN-Inspector-NumeroPolizas-906</v>
          </cell>
        </row>
        <row r="157">
          <cell r="F157" t="str">
            <v>PM-GEN-NumeroPolizas-906-Agentes</v>
          </cell>
          <cell r="G157" t="str">
            <v>PM-O-GEN-Inspector-NumeroPolizas-906-Agentes</v>
          </cell>
          <cell r="H157" t="str">
            <v>PM-O-GEN-Inspector-NumeroPolizas-906-Agentes</v>
          </cell>
        </row>
        <row r="158">
          <cell r="F158" t="str">
            <v>SM-O-RPP-Agente-NumeroPolizas-001-Total-Mes</v>
          </cell>
          <cell r="G158" t="str">
            <v>SM-O-GEN-Agente-NumeroPolizas-001-TotalMes</v>
          </cell>
          <cell r="H158" t="str">
            <v>SM-O-GEN-Agente-NumeroPolizas-001-TotalMes</v>
          </cell>
        </row>
        <row r="159">
          <cell r="G159" t="str">
            <v>SM-O-GEN-Agente-NumeroPolizas-001-TotalMes</v>
          </cell>
          <cell r="H159" t="str">
            <v>SM-O-GEN-Agente-NumeroPolizasCorregidas-001-TotalMes</v>
          </cell>
        </row>
        <row r="160">
          <cell r="F160" t="str">
            <v>SM-O-RPP-Agente-NumeroPolizas-002-Total-Mes</v>
          </cell>
          <cell r="G160" t="str">
            <v>SM-O-GEN-Agente-NumeroPolizas-002-TotalMes</v>
          </cell>
          <cell r="H160" t="str">
            <v>SM-O-GEN-Agente-NumeroPolizas-002-TotalMes</v>
          </cell>
        </row>
        <row r="161">
          <cell r="F161"/>
          <cell r="G161" t="str">
            <v>SM-O-GEN-Agente-NumeroPolizas-002-TotalMes</v>
          </cell>
          <cell r="H161" t="str">
            <v>SM-O-GEN-Agente-NumeroPolizasCorregidas-002-TotalMes</v>
          </cell>
        </row>
        <row r="162">
          <cell r="F162" t="str">
            <v>SM-O-RPP-Agente-NumeroPolizas-003-Total-Mes</v>
          </cell>
          <cell r="G162" t="str">
            <v>SM-O-GEN-Agente-NumeroPolizas-003-TotalMes</v>
          </cell>
          <cell r="H162" t="str">
            <v>SM-O-GEN-Agente-NumeroPolizas-003-TotalMes</v>
          </cell>
        </row>
        <row r="163">
          <cell r="F163"/>
          <cell r="G163" t="str">
            <v>SM-O-GEN-Agente-NumeroPolizas-003-TotalMes</v>
          </cell>
          <cell r="H163" t="str">
            <v>SM-O-GEN-Agente-NumeroPolizasCorregidas-003-TotalMes</v>
          </cell>
        </row>
        <row r="164">
          <cell r="F164" t="str">
            <v>SM-O-RPP-Agente-NumeroPolizas-004-Total-Mes</v>
          </cell>
          <cell r="G164" t="str">
            <v>SM-O-GEN-Agente-NumeroPolizas-004-TotalMes</v>
          </cell>
          <cell r="H164" t="str">
            <v>SM-O-GEN-Agente-NumeroPolizas-004-TotalMes</v>
          </cell>
        </row>
        <row r="165">
          <cell r="G165" t="str">
            <v>SM-O-GEN-Agente-NumeroPolizas-004-TotalMes</v>
          </cell>
          <cell r="H165" t="str">
            <v>SM-O-GEN-Agente-NumeroPolizasCorregidas-004-TotalMes</v>
          </cell>
        </row>
        <row r="166">
          <cell r="G166" t="str">
            <v>SM-O-GEN-Agente-NumeroPolizas-005-TotalMes</v>
          </cell>
          <cell r="H166" t="str">
            <v>SM-O-GEN-Agente-NumeroPolizas-005-TotalMes</v>
          </cell>
        </row>
        <row r="167">
          <cell r="G167" t="str">
            <v>SM-O-GEN-Agente-NumeroPolizas-005-TotalMes</v>
          </cell>
          <cell r="H167" t="str">
            <v>SM-O-GEN-Agente-NumeroPolizasCorregidas-005-TotalMes</v>
          </cell>
        </row>
        <row r="168">
          <cell r="F168" t="str">
            <v>SM-O-RPP-Agente-NumeroPolizas-005-SINCC-Total-Mes</v>
          </cell>
          <cell r="G168" t="str">
            <v>SM-O-GEN-Agente-NumeroPolizas-005-SINCC-TotalMes</v>
          </cell>
          <cell r="H168" t="str">
            <v>SM-O-GEN-Agente-NumeroPolizas-005-SINCC-TotalMes</v>
          </cell>
        </row>
        <row r="169">
          <cell r="F169" t="str">
            <v>SM-O-RPP-Agente-NumeroPolizas-997-Total-Mes</v>
          </cell>
          <cell r="G169" t="str">
            <v>SM-O-GEN-Agente-NumeroPolizas-997-TotalMes</v>
          </cell>
          <cell r="H169" t="str">
            <v>SM-O-GEN-Agente-NumeroPolizas-997-TotalMes</v>
          </cell>
        </row>
        <row r="170">
          <cell r="F170"/>
          <cell r="G170" t="str">
            <v>SM-O-GEN-Agente-NumeroPolizas-997-TotalMes</v>
          </cell>
          <cell r="H170" t="str">
            <v>SM-O-GEN-Agente-NumeroPolizasCorregidas-997-TotalMes</v>
          </cell>
        </row>
        <row r="171">
          <cell r="F171" t="str">
            <v>SM-O-RPP-Agente-Prima-998-Total-Mes</v>
          </cell>
          <cell r="G171" t="str">
            <v>SM-O-GEN-Agente-Prima-998-TotalMes</v>
          </cell>
          <cell r="H171" t="str">
            <v>SM-O-GEN-Agente-Prima-998-TotalMes</v>
          </cell>
        </row>
        <row r="172">
          <cell r="F172" t="str">
            <v>SM-RPP-Inspector-PrimaCorregida-TotalAnual</v>
          </cell>
          <cell r="G172" t="str">
            <v>SM-O-GEN-Inspector-PrimaCorregida-998-TotalAnual</v>
          </cell>
          <cell r="H172" t="str">
            <v>SM-O-GEN-Inspector-PrimaCorregida-998-TotalAnual</v>
          </cell>
        </row>
        <row r="173">
          <cell r="F173" t="str">
            <v>SM-RPP-Inspector-PrimaCorregida-PropiaAnual</v>
          </cell>
          <cell r="G173" t="str">
            <v>SM-O-GEN-Inspector-PrimaCorregida-998-TotalAnual</v>
          </cell>
          <cell r="H173" t="str">
            <v>SM-O-GEN-Inspector-PrimaCorregida-998-PropiaAnual</v>
          </cell>
        </row>
        <row r="174">
          <cell r="F174" t="str">
            <v>SM-RPP-Inspector-PrimaCorregida-AgentesAnual</v>
          </cell>
          <cell r="G174" t="str">
            <v>SM-O-GEN-Inspector-PrimaCorregida-998-TotalAnual</v>
          </cell>
          <cell r="H174" t="str">
            <v>SM-O-GEN-Inspector-PrimaCorregida-998-AgentesAnual</v>
          </cell>
        </row>
        <row r="175">
          <cell r="F175" t="str">
            <v>SM-O-PP-Inspector-Meses</v>
          </cell>
          <cell r="G175" t="str">
            <v>SM-O-GEN-Inspector-Meses</v>
          </cell>
          <cell r="H175" t="str">
            <v>SM-O-GEN-Inspector-Meses</v>
          </cell>
        </row>
        <row r="176">
          <cell r="G176" t="str">
            <v>SM-O-GEN-Agente-NumeroPolizas-998-TotalMes</v>
          </cell>
          <cell r="H176" t="str">
            <v>SM-O-GEN-Agente-NumeroPolizas-998-TotalMes</v>
          </cell>
        </row>
        <row r="177">
          <cell r="G177" t="str">
            <v>SM-O-GEN-Agente-NumeroPolizas-998-TotalMes</v>
          </cell>
          <cell r="H177" t="str">
            <v>SM-O-GEN-Agente-NumeroPolizasCorregidas-998-TotalMes</v>
          </cell>
        </row>
        <row r="178">
          <cell r="G178" t="str">
            <v>SM-O-GEN-Agente-Prima-001-TotalMes</v>
          </cell>
          <cell r="H178" t="str">
            <v>SM-O-GEN-Agente-Prima-001-TotalMes</v>
          </cell>
        </row>
        <row r="179">
          <cell r="G179" t="str">
            <v>SM-O-GEN-Agente-Prima-002-TotalMes</v>
          </cell>
          <cell r="H179" t="str">
            <v>SM-O-GEN-Agente-Prima-002-TotalMes</v>
          </cell>
        </row>
        <row r="180">
          <cell r="G180" t="str">
            <v>SM-O-GEN-Agente-Prima-003-TotalMes</v>
          </cell>
          <cell r="H180" t="str">
            <v>SM-O-GEN-Agente-Prima-003-TotalMes</v>
          </cell>
        </row>
        <row r="181">
          <cell r="G181" t="str">
            <v>SM-O-GEN-Agente-Prima-004-TotalMes</v>
          </cell>
          <cell r="H181" t="str">
            <v>SM-O-GEN-Agente-Prima-004-TotalMes</v>
          </cell>
        </row>
        <row r="182">
          <cell r="G182" t="str">
            <v>SM-O-GEN-Agente-Prima-005-TotalMes</v>
          </cell>
          <cell r="H182" t="str">
            <v>SM-O-GEN-Agente-Prima-005-TotalMes</v>
          </cell>
        </row>
        <row r="183">
          <cell r="G183" t="str">
            <v>SM-O-GEN-Agente-Prima-997-TotalMes</v>
          </cell>
          <cell r="H183" t="str">
            <v>SM-O-GEN-Agente-Prima-997-TotalMes</v>
          </cell>
        </row>
        <row r="184">
          <cell r="F184" t="str">
            <v>DC-O-GEN-Agente-NumeroPolizas-001</v>
          </cell>
          <cell r="G184" t="str">
            <v>DC-O-GEN-Agente-NumeroPolizas-001</v>
          </cell>
          <cell r="H184" t="str">
            <v>DC-O-GEN-Agente-NumeroPolizas-001</v>
          </cell>
        </row>
        <row r="185">
          <cell r="F185" t="str">
            <v>DC-O-GEN-Agente-NumeroPolizas-002</v>
          </cell>
          <cell r="G185" t="str">
            <v>DC-O-GEN-Agente-NumeroPolizas-002</v>
          </cell>
          <cell r="H185" t="str">
            <v>DC-O-GEN-Agente-NumeroPolizas-002</v>
          </cell>
        </row>
        <row r="186">
          <cell r="F186" t="str">
            <v>DC-O-GEN-Agente-NumeroPolizas-003</v>
          </cell>
          <cell r="G186" t="str">
            <v>DC-O-GEN-Agente-NumeroPolizas-003</v>
          </cell>
          <cell r="H186" t="str">
            <v>DC-O-GEN-Agente-NumeroPolizas-003</v>
          </cell>
        </row>
        <row r="187">
          <cell r="F187" t="str">
            <v>DC-O-GEN-Agente-NumeroPolizas-004</v>
          </cell>
          <cell r="G187" t="str">
            <v>DC-O-GEN-Agente-NumeroPolizas-004</v>
          </cell>
          <cell r="H187" t="str">
            <v>DC-O-GEN-Agente-NumeroPolizas-004</v>
          </cell>
        </row>
        <row r="188">
          <cell r="F188" t="str">
            <v>DC-O-GEN-Agente-NumeroPolizas-998</v>
          </cell>
          <cell r="G188" t="str">
            <v>DC-O-GEN-Agente-NumeroPolizas-998</v>
          </cell>
          <cell r="H188" t="str">
            <v>DC-O-GEN-Agente-NumeroPolizas-998</v>
          </cell>
        </row>
        <row r="189">
          <cell r="F189" t="str">
            <v>DC-O-GEN-Agente-NumeroPolizas-998-81</v>
          </cell>
          <cell r="G189" t="str">
            <v>DC-O-GEN-Agente-NumeroPolizas-998-81</v>
          </cell>
          <cell r="H189" t="str">
            <v>DC-O-GEN-Agente-NumeroPolizas-998-81</v>
          </cell>
        </row>
        <row r="190">
          <cell r="F190" t="str">
            <v>DC-O-GEN-Agente-Prima-998</v>
          </cell>
          <cell r="G190" t="str">
            <v>DC-O-GEN-Agente-Prima-998</v>
          </cell>
          <cell r="H190" t="str">
            <v>DC-O-GEN-Agente-Prima-998</v>
          </cell>
        </row>
        <row r="191">
          <cell r="F191" t="str">
            <v>DC-O-GEN-Inspector-NumeroPolizas-997</v>
          </cell>
          <cell r="G191" t="str">
            <v>DC-O-GEN-Inspector-NumeroPolizas-998 y GB1</v>
          </cell>
          <cell r="H191" t="str">
            <v>DC-O-GEN-Inspector-NumeroPolizas-998</v>
          </cell>
        </row>
        <row r="192">
          <cell r="F192" t="str">
            <v>DC-O-GEN-Inspector-PrimaCorregida-001</v>
          </cell>
          <cell r="G192" t="str">
            <v>DC-O-GEN-Inspector-PrimaCorregida-001</v>
          </cell>
          <cell r="H192" t="str">
            <v>DC-O-GEN-Inspector-PrimaCorregida-001</v>
          </cell>
        </row>
        <row r="193">
          <cell r="F193" t="str">
            <v>DC-O-GEN-Inspector-PrimaCorregida-002</v>
          </cell>
          <cell r="G193" t="str">
            <v>DC-O-GEN-Inspector-PrimaCorregida-002</v>
          </cell>
          <cell r="H193" t="str">
            <v>DC-O-GEN-Inspector-PrimaCorregida-002</v>
          </cell>
        </row>
        <row r="194">
          <cell r="F194" t="str">
            <v>DC-O-GEN-Inspector-PrimaCorregida-003</v>
          </cell>
          <cell r="G194" t="str">
            <v>DC-O-GEN-Inspector-PrimaCorregida-003</v>
          </cell>
          <cell r="H194" t="str">
            <v>DC-O-GEN-Inspector-PrimaCorregida-003</v>
          </cell>
        </row>
        <row r="195">
          <cell r="F195" t="str">
            <v>DC-O-GEN-Inspector-PrimaCorregida-004</v>
          </cell>
          <cell r="G195" t="str">
            <v>DC-O-GEN-Inspector-PrimaCorregida-004</v>
          </cell>
          <cell r="H195" t="str">
            <v>DC-O-GEN-Inspector-PrimaCorregida-004</v>
          </cell>
        </row>
        <row r="196">
          <cell r="F196" t="str">
            <v>DC-O-GEN-Inspector-PrimaCorregida-005</v>
          </cell>
          <cell r="G196" t="str">
            <v>DC-O-GEN-Inspector-PrimaCorregida-005</v>
          </cell>
          <cell r="H196" t="str">
            <v>DC-O-GEN-Inspector-PrimaCorregida-005</v>
          </cell>
        </row>
        <row r="197">
          <cell r="F197" t="str">
            <v>DC-O-GEN-Inspector-PrimaCorregida-006</v>
          </cell>
          <cell r="G197" t="str">
            <v>DC-O-GEN-Inspector-PrimaCorregida-006</v>
          </cell>
          <cell r="H197" t="str">
            <v>DC-O-GEN-Inspector-PrimaCorregida-006</v>
          </cell>
        </row>
        <row r="198">
          <cell r="F198" t="str">
            <v>DC-O-GEN-Inspector-PrimaCorregida-007</v>
          </cell>
          <cell r="G198" t="str">
            <v>DC-O-GEN-Inspector-PrimaCorregida-007</v>
          </cell>
          <cell r="H198" t="str">
            <v>DC-O-GEN-Inspector-PrimaCorregida-007</v>
          </cell>
        </row>
        <row r="199">
          <cell r="F199" t="str">
            <v>DC-O-GEN-Inspector-PrimaCorregida-008</v>
          </cell>
          <cell r="G199" t="str">
            <v>DC-O-GEN-Inspector-PrimaCorregida-008</v>
          </cell>
          <cell r="H199" t="str">
            <v>DC-O-GEN-Inspector-PrimaCorregida-008</v>
          </cell>
        </row>
        <row r="200">
          <cell r="F200" t="str">
            <v>DC-O-GEN-Inspector-PrimaCorregida-009</v>
          </cell>
          <cell r="G200" t="str">
            <v>DC-O-GEN-Inspector-PrimaCorregida-009</v>
          </cell>
          <cell r="H200" t="str">
            <v>DC-O-GEN-Inspector-PrimaCorregida-009</v>
          </cell>
        </row>
        <row r="201">
          <cell r="F201" t="str">
            <v>DC-O-GEN-Inspector-PrimaCorregida-997</v>
          </cell>
          <cell r="G201" t="str">
            <v>DC-O-GEN-Inspector-NumeroPolizas-998 y GB1</v>
          </cell>
          <cell r="H201" t="str">
            <v>DC-O-GEN-Inspector-PrimaCorregida-998</v>
          </cell>
        </row>
        <row r="202">
          <cell r="F202" t="str">
            <v>DC-RPP-Inspector-PrimaCorregida</v>
          </cell>
          <cell r="G202" t="str">
            <v>DC-RPP-Inspector-PrimaCorregida</v>
          </cell>
          <cell r="H202" t="str">
            <v>DC-RPP-Inspector-PrimaCorregida</v>
          </cell>
        </row>
        <row r="203">
          <cell r="F203" t="str">
            <v>DC-O-GEN-Inspector-PrimaCorregida-No-Prioritarios-997</v>
          </cell>
          <cell r="G203" t="str">
            <v>DC-O-GEN-Inspector-PrimaCorregida-No-Prioritarios-997</v>
          </cell>
          <cell r="H203" t="str">
            <v>DC-O-GEN-Inspector-PrimaCorregida-No-Prioritarios-997</v>
          </cell>
        </row>
        <row r="204">
          <cell r="F204" t="str">
            <v>DC-O-GEN-Inspector-PrimaCorregida-Prioritarios-Sin-VidaAhorro</v>
          </cell>
          <cell r="G204" t="str">
            <v>DC-O-GEN-Inspector-PrimaCorregida-Prioritarios-Sin-VidaAhorro</v>
          </cell>
          <cell r="H204" t="str">
            <v>DC-O-GEN-Inspector-PrimaCorregida-Prioritarios-Sin-VidaAhorro</v>
          </cell>
        </row>
        <row r="205">
          <cell r="F205" t="str">
            <v>IC-O-GEN-Inspector-PrimaCorregida-001</v>
          </cell>
          <cell r="G205" t="str">
            <v>IC-O-GEN-Inspector-PrimaCorregida-001</v>
          </cell>
          <cell r="H205" t="str">
            <v>IC-O-GEN-Inspector-PrimaCorregida-001</v>
          </cell>
        </row>
        <row r="206">
          <cell r="F206" t="str">
            <v>IC-O-GEN-Inspector-PrimaCorregida-002</v>
          </cell>
          <cell r="G206" t="str">
            <v>IC-O-GEN-Inspector-PrimaCorregida-002</v>
          </cell>
          <cell r="H206" t="str">
            <v>IC-O-GEN-Inspector-PrimaCorregida-002</v>
          </cell>
        </row>
        <row r="207">
          <cell r="F207" t="str">
            <v>IC-O-GEN-Inspector-PrimaCorregida-003</v>
          </cell>
          <cell r="G207" t="str">
            <v>IC-O-GEN-Inspector-PrimaCorregida-003</v>
          </cell>
          <cell r="H207" t="str">
            <v>IC-O-GEN-Inspector-PrimaCorregida-003</v>
          </cell>
        </row>
        <row r="208">
          <cell r="F208" t="str">
            <v>IC-O-GEN-Inspector-PrimaCorregida-004</v>
          </cell>
          <cell r="G208" t="str">
            <v>IC-O-GEN-Inspector-PrimaCorregida-004</v>
          </cell>
          <cell r="H208" t="str">
            <v>IC-O-GEN-Inspector-PrimaCorregida-004</v>
          </cell>
        </row>
        <row r="209">
          <cell r="F209" t="str">
            <v>IC-O-GEN-Inspector-PrimaCorregida-005</v>
          </cell>
          <cell r="G209" t="str">
            <v>IC-O-GEN-Inspector-PrimaCorregida-005</v>
          </cell>
          <cell r="H209" t="str">
            <v>IC-O-GEN-Inspector-PrimaCorregida-005</v>
          </cell>
        </row>
        <row r="210">
          <cell r="F210" t="str">
            <v>IC-O-GEN-Inspector-PrimaCorregida-006</v>
          </cell>
          <cell r="G210" t="str">
            <v>IC-O-GEN-Inspector-PrimaCorregida-006</v>
          </cell>
          <cell r="H210" t="str">
            <v>IC-O-GEN-Inspector-PrimaCorregida-006</v>
          </cell>
        </row>
        <row r="211">
          <cell r="F211" t="str">
            <v>IC-O-GEN-Inspector-PrimaCorregida-007</v>
          </cell>
          <cell r="G211" t="str">
            <v>IC-O-GEN-Inspector-PrimaCorregida-007</v>
          </cell>
          <cell r="H211" t="str">
            <v>IC-O-GEN-Inspector-PrimaCorregida-007</v>
          </cell>
        </row>
        <row r="212">
          <cell r="F212" t="str">
            <v>IC-O-GEN-Inspector-PrimaCorregida-008</v>
          </cell>
          <cell r="G212" t="str">
            <v>IC-O-GEN-Inspector-PrimaCorregida-008</v>
          </cell>
          <cell r="H212" t="str">
            <v>IC-O-GEN-Inspector-PrimaCorregida-008</v>
          </cell>
        </row>
        <row r="213">
          <cell r="F213" t="str">
            <v>IC-O-GEN-Inspector-PrimaCorregida-009</v>
          </cell>
          <cell r="G213" t="str">
            <v>IC-O-GEN-Inspector-PrimaCorregida-009</v>
          </cell>
          <cell r="H213" t="str">
            <v>IC-O-GEN-Inspector-PrimaCorregida-009</v>
          </cell>
        </row>
        <row r="214">
          <cell r="F214" t="str">
            <v>IC-O-GEN-Inspector-PrimaCorregida-997</v>
          </cell>
          <cell r="G214" t="str">
            <v>IC-O-GEN-Inspector-NumeroPolizas-998 y GB1</v>
          </cell>
          <cell r="H214" t="str">
            <v>IC-O-GEN-Inspector-PrimaCorregida-998</v>
          </cell>
        </row>
        <row r="215">
          <cell r="F215" t="str">
            <v>IC-O-GEN-Inspector-PrimaCorregida-No-Prioritarios-997</v>
          </cell>
          <cell r="G215" t="str">
            <v>IC-O-GEN-Inspector-PrimaCorregida-No-Prioritarios-997</v>
          </cell>
          <cell r="H215" t="str">
            <v>IC-O-GEN-Inspector-PrimaCorregida-No-Prioritarios-997</v>
          </cell>
        </row>
        <row r="216">
          <cell r="F216" t="str">
            <v>IC-O-GEN-Inspector-PrimaCorregida-Prioritarios-Sin-VidaAhorro</v>
          </cell>
          <cell r="G216" t="str">
            <v>IC-O-GEN-Inspector-PrimaCorregida-Prioritarios-Sin-VidaAhorro</v>
          </cell>
          <cell r="H216" t="str">
            <v>IC-O-GEN-Inspector-PrimaCorregida-Prioritarios-Sin-VidaAhorro</v>
          </cell>
        </row>
        <row r="217">
          <cell r="F217" t="str">
            <v>PM-O-GEN-Inspector-PrimaCorregida-004-Prioritarios</v>
          </cell>
          <cell r="G217" t="str">
            <v>PM-O-GEN-Inspector-PrimaCorregida-004-Prioritarios</v>
          </cell>
          <cell r="H217" t="str">
            <v>PM-O-GEN-Inspector-PrimaCorregida-004-Prioritarios</v>
          </cell>
        </row>
        <row r="218">
          <cell r="F218"/>
          <cell r="G218" t="str">
            <v>PM-O-GEN-Inspector-PrimaCorregida-004-Prioritarios</v>
          </cell>
          <cell r="H218" t="str">
            <v>PM-O-GEN-Inspector-Prima-004-Prioritarios</v>
          </cell>
        </row>
        <row r="219">
          <cell r="F219" t="str">
            <v>PM-O-GEN-Inspector-PrimaCorregida-004-Prioritarios-Agentes</v>
          </cell>
          <cell r="G219" t="str">
            <v>PM-O-GEN-Inspector-PrimaCorregida-004-Prioritarios-Agentes</v>
          </cell>
          <cell r="H219" t="str">
            <v>PM-O-GEN-Inspector-PrimaCorregida-004-Prioritarios-Agentes</v>
          </cell>
        </row>
        <row r="220">
          <cell r="F220"/>
          <cell r="G220" t="str">
            <v>PM-O-GEN-Inspector-PrimaCorregida-004-Prioritarios-Agentes</v>
          </cell>
          <cell r="H220" t="str">
            <v>PM-O-GEN-Inspector-Prima-004-Prioritarios-Agentes</v>
          </cell>
        </row>
        <row r="221">
          <cell r="F221" t="str">
            <v>PM-O-GEN-Inspector-PrimaCorregida-No-Prioritarios-997</v>
          </cell>
          <cell r="G221" t="str">
            <v>PM-O-GEN-Inspector-PrimaCorregida-No-Prioritarios-997</v>
          </cell>
          <cell r="H221" t="str">
            <v>PM-O-GEN-Inspector-PrimaCorregida-No-Prioritarios-997</v>
          </cell>
        </row>
        <row r="222">
          <cell r="F222"/>
          <cell r="G222" t="str">
            <v>PM-O-GEN-Inspector-PrimaCorregida-No-Prioritarios-997</v>
          </cell>
          <cell r="H222" t="str">
            <v>PM-O-GEN-Inspector-Prima-No-Prioritarios-997</v>
          </cell>
        </row>
        <row r="223">
          <cell r="F223" t="str">
            <v>PM-O-GEN-Inspector-PrimaCorregida-No-Prioritarios-997-Agentes</v>
          </cell>
          <cell r="G223" t="str">
            <v>PM-O-GEN-Inspector-PrimaCorregida-No-Prioritarios-997-Agentes</v>
          </cell>
          <cell r="H223" t="str">
            <v>PM-O-GEN-Inspector-PrimaCorregida-No-Prioritarios-997-Agentes</v>
          </cell>
        </row>
        <row r="224">
          <cell r="F224"/>
          <cell r="G224" t="str">
            <v>PM-O-GEN-Inspector-PrimaCorregida-No-Prioritarios-997-Agentes</v>
          </cell>
          <cell r="H224" t="str">
            <v>PM-O-GEN-Inspector-Prima-No-Prioritarios-997-Agentes</v>
          </cell>
        </row>
        <row r="225">
          <cell r="F225" t="str">
            <v>PM-O-GEN-Inspector-PrimaCorregida-Prioritarios-Sin-VidaAhorro</v>
          </cell>
          <cell r="G225" t="str">
            <v>PM-O-GEN-Inspector-PrimaCorregida-Prioritarios-Sin-VidaAhorro</v>
          </cell>
          <cell r="H225" t="str">
            <v>PM-O-GEN-Inspector-PrimaCorregida-Prioritarios-Sin-VidaAhorro</v>
          </cell>
        </row>
        <row r="226">
          <cell r="F226"/>
          <cell r="G226" t="str">
            <v>PM-O-GEN-Inspector-PrimaCorregida-Prioritarios-Sin-VidaAhorro</v>
          </cell>
          <cell r="H226" t="str">
            <v>PM-O-GEN-Inspector-Prima-Prioritarios-Sin-VidaAhorro</v>
          </cell>
        </row>
        <row r="227">
          <cell r="F227" t="str">
            <v>PM-O-GEN-Inspector-PrimaCorregida-Prioritarios-Sin-VidaAhorro-Agentes</v>
          </cell>
          <cell r="G227" t="str">
            <v>PM-O-GEN-Inspector-PrimaCorregida-Prioritarios-Sin-VidaAhorro-Agentes</v>
          </cell>
          <cell r="H227" t="str">
            <v>PM-O-GEN-Inspector-PrimaCorregida-Prioritarios-Sin-VidaAhorro-Agentes</v>
          </cell>
        </row>
        <row r="228">
          <cell r="F228"/>
          <cell r="G228" t="str">
            <v>PM-O-GEN-Inspector-PrimaCorregida-Prioritarios-Sin-VidaAhorro-Agentes</v>
          </cell>
          <cell r="H228" t="str">
            <v>PM-O-GEN-Inspector-Prima-Prioritarios-Sin-VidaAhorro-Agentes</v>
          </cell>
        </row>
        <row r="229">
          <cell r="F229" t="str">
            <v>SM-O-GEN-Inspector-NumeroPolizas-998-TotalMes</v>
          </cell>
          <cell r="G229" t="str">
            <v>SM-O-GEN-Inspector-NumeroPolizas-998-TotalMes</v>
          </cell>
          <cell r="H229" t="str">
            <v>SM-O-GEN-Inspector-NumeroPolizas-998-TotalMes</v>
          </cell>
        </row>
        <row r="230">
          <cell r="F230" t="str">
            <v>SM-O-GEN-Inspector-NumeroPolizas-998-Propia</v>
          </cell>
          <cell r="G230" t="str">
            <v>SM-O-GEN-Inspector-NumeroPolizas-998-TotalMes</v>
          </cell>
          <cell r="H230" t="str">
            <v>SM-O-GEN-Inspector-NumeroPolizas-998-Propia</v>
          </cell>
        </row>
        <row r="231">
          <cell r="F231" t="str">
            <v>SM-O-GEN-Inspector-NumeroPolizas-998-Agentes</v>
          </cell>
          <cell r="G231" t="str">
            <v>SM-O-GEN-Inspector-NumeroPolizas-998-TotalMes</v>
          </cell>
          <cell r="H231" t="str">
            <v>SM-O-GEN-Inspector-NumeroPolizas-998-Agentes</v>
          </cell>
        </row>
        <row r="232">
          <cell r="F232" t="str">
            <v>PM-O-GEN-Inspector-PrimaCorregida-No-Prioritarios-997</v>
          </cell>
          <cell r="G232" t="str">
            <v>PM-O-GEN-Inspector-PrimaCorregida-No-Prioritarios-997</v>
          </cell>
          <cell r="H232" t="str">
            <v>PM-O-GEN-Inspector-PrimaCorregida-No-Prioritarios-997</v>
          </cell>
        </row>
        <row r="233">
          <cell r="F233" t="str">
            <v>PM-O-GEN-Inspector-PrimaCorregida-No-Prioritarios-997</v>
          </cell>
          <cell r="G233" t="str">
            <v>PM-O-GEN-Inspector-PrimaCorregida-No-Prioritarios-997-RRTT</v>
          </cell>
          <cell r="H233" t="str">
            <v>PM-O-GEN-Inspector-PrimaCorregida-No-Prioritarios-997-RRTT</v>
          </cell>
        </row>
        <row r="234">
          <cell r="F234" t="str">
            <v>PM-O-GEN-Inspector-PrimaCorregida-No-Prioritarios-997</v>
          </cell>
          <cell r="G234" t="str">
            <v>PM-O-GEN-Inspector-PrimaCorregida-No-Prioritarios-997-RRGG</v>
          </cell>
          <cell r="H234" t="str">
            <v>PM-O-GEN-Inspector-PrimaCorregida-No-Prioritarios-997-RRGG</v>
          </cell>
        </row>
        <row r="235">
          <cell r="F235" t="str">
            <v>PM-O-GEN-Inspector-PrimaCorregida-Prioritarios-Sin-VidaAhorro</v>
          </cell>
          <cell r="G235" t="str">
            <v>PM-O-GEN-Inspector-PrimaCorregida-Prioritarios-Sin-VidaAhorro</v>
          </cell>
          <cell r="H235" t="str">
            <v>PM-O-GEN-Inspector-PrimaCorregida-Prioritarios-Sin-VidaAhorro</v>
          </cell>
        </row>
        <row r="236">
          <cell r="F236" t="str">
            <v>PM-O-GEN-Inspector-PrimaCorregida-Prioritarios-Sin-VidaAhorro</v>
          </cell>
          <cell r="G236" t="str">
            <v>PM-O-GEN-Inspector-PrimaCorregida-Prioritarios-Sin-VidaAhorro-RRTT</v>
          </cell>
          <cell r="H236" t="str">
            <v>PM-O-GEN-Inspector-PrimaCorregida-Prioritarios-Sin-VidaAhorro-RRTT</v>
          </cell>
        </row>
        <row r="237">
          <cell r="F237" t="str">
            <v>PM-O-GEN-Inspector-PrimaCorregida-Prioritarios-Sin-VidaAhorro</v>
          </cell>
          <cell r="G237" t="str">
            <v>PM-O-GEN-Inspector-PrimaCorregida-Prioritarios-Sin-VidaAhorro-RRGG</v>
          </cell>
          <cell r="H237" t="str">
            <v>PM-O-GEN-Inspector-PrimaCorregida-Prioritarios-Sin-VidaAhorro-RRGG</v>
          </cell>
        </row>
        <row r="238">
          <cell r="F238" t="str">
            <v>PM-O-GEN-Inspector-PrimaCorregida-No-Prioritarios-997-Agentes</v>
          </cell>
          <cell r="G238" t="str">
            <v>PM-O-GEN-Inspector-PrimaCorregida-No-Prioritarios-997-Agentes</v>
          </cell>
          <cell r="H238" t="str">
            <v>PM-O-GEN-Inspector-PrimaCorregida-No-Prioritarios-997-Agentes</v>
          </cell>
        </row>
        <row r="239">
          <cell r="F239" t="str">
            <v>PM-O-GEN-Inspector-PrimaCorregida-No-Prioritarios-997-Agentes</v>
          </cell>
          <cell r="G239" t="str">
            <v>PM-O-GEN-Inspector-PrimaCorregida-No-Prioritarios-997-Agentes-RRTT</v>
          </cell>
          <cell r="H239" t="str">
            <v>PM-O-GEN-Inspector-PrimaCorregida-No-Prioritarios-997-Agentes-RRTT</v>
          </cell>
        </row>
        <row r="240">
          <cell r="F240" t="str">
            <v>PM-O-GEN-Inspector-PrimaCorregida-No-Prioritarios-997-Agentes</v>
          </cell>
          <cell r="G240" t="str">
            <v>PM-O-GEN-Inspector-PrimaCorregida-No-Prioritarios-997-Agentes-RRGG</v>
          </cell>
          <cell r="H240" t="str">
            <v>PM-O-GEN-Inspector-PrimaCorregida-No-Prioritarios-997-Agentes-RRGG</v>
          </cell>
        </row>
        <row r="241">
          <cell r="F241" t="str">
            <v>PM-O-GEN-Inspector-PrimaCorregida-Prioritarios-Sin-VidaAhorro-Agentes</v>
          </cell>
          <cell r="G241" t="str">
            <v>PM-O-GEN-Inspector-PrimaCorregida-Prioritarios-Sin-VidaAhorro-Agentes</v>
          </cell>
          <cell r="H241" t="str">
            <v>PM-O-GEN-Inspector-PrimaCorregida-Prioritarios-Sin-VidaAhorro-Agentes</v>
          </cell>
        </row>
        <row r="242">
          <cell r="F242" t="str">
            <v>PM-O-GEN-Inspector-PrimaCorregida-Prioritarios-Sin-VidaAhorro-Agentes</v>
          </cell>
          <cell r="G242" t="str">
            <v>PM-O-GEN-Inspector-PrimaCorregida-Prioritarios-Sin-VidaAhorro-Agentes-RRTT</v>
          </cell>
          <cell r="H242" t="str">
            <v>PM-O-GEN-Inspector-PrimaCorregida-Prioritarios-Sin-VidaAhorro-Agentes-RRTT</v>
          </cell>
        </row>
        <row r="243">
          <cell r="F243" t="str">
            <v>PM-O-GEN-Inspector-PrimaCorregida-Prioritarios-Sin-VidaAhorro-Agentes</v>
          </cell>
          <cell r="G243" t="str">
            <v>PM-O-GEN-Inspector-PrimaCorregida-Prioritarios-Sin-VidaAhorro-Agentes-RRGG</v>
          </cell>
          <cell r="H243" t="str">
            <v>PM-O-GEN-Inspector-PrimaCorregida-Prioritarios-Sin-VidaAhorro-Agentes-RRGG</v>
          </cell>
        </row>
        <row r="244">
          <cell r="F244" t="str">
            <v>SM-O-DIF-Inspector-PrimaCorregida-004-y-NoPrioritarios-TotalMes</v>
          </cell>
          <cell r="G244" t="str">
            <v>SM-O-DIF-Inspector-PrimaCorregida-004-y-NoPrioritarios-TotalMes</v>
          </cell>
          <cell r="H244" t="str">
            <v>SM-O-DIF-Inspector-PrimaCorregida-004-y-NoPrioritarios-TotalMes</v>
          </cell>
        </row>
        <row r="245">
          <cell r="F245"/>
          <cell r="G245" t="str">
            <v>SM-O-DIF-Inspector-PrimaCorregida-004-y-NoPrioritarios-TotalMes</v>
          </cell>
          <cell r="H245" t="str">
            <v>SM-O-DIF-Inspector-PrimaCorregida-004-y-NoPrioritarios-RRTT-TotalMes</v>
          </cell>
        </row>
        <row r="246">
          <cell r="F246"/>
          <cell r="G246" t="str">
            <v>SM-O-DIF-Inspector-PrimaCorregida-004-y-NoPrioritarios-TotalMes</v>
          </cell>
          <cell r="H246" t="str">
            <v>SM-O-DIF-Inspector-PrimaCorregida-004-y-NoPrioritarios-RRGG-TotalMes</v>
          </cell>
        </row>
        <row r="247">
          <cell r="F247" t="str">
            <v>SM-O-DIF-Inspector-PrimaCorregida-Prioritarios-Sin-VidaAhorro-TotalMes</v>
          </cell>
          <cell r="G247" t="str">
            <v>SM-O-DIF-Inspector-PrimaCorregida-Prioritarios-Sin-VidaAhorro-TotalMes</v>
          </cell>
          <cell r="H247" t="str">
            <v>SM-O-DIF-Inspector-PrimaCorregida-Prioritarios-Sin-VidaAhorro-TotalMes</v>
          </cell>
        </row>
        <row r="248">
          <cell r="F248"/>
          <cell r="G248" t="str">
            <v>SM-O-DIF-Inspector-PrimaCorregida-Prioritarios-Sin-VidaAhorro-TotalMes</v>
          </cell>
          <cell r="H248" t="str">
            <v>SM-O-DIF-Inspector-PrimaCorregida-Prioritarios-Sin-VidaAhorro-RRTT-TotalMes</v>
          </cell>
        </row>
        <row r="249">
          <cell r="F249"/>
          <cell r="G249" t="str">
            <v>SM-O-DIF-Inspector-PrimaCorregida-Prioritarios-Sin-VidaAhorro-TotalMes</v>
          </cell>
          <cell r="H249" t="str">
            <v>SM-O-DIF-Inspector-PrimaCorregida-Prioritarios-Sin-VidaAhorro-RRGG-TotalMes</v>
          </cell>
        </row>
        <row r="250">
          <cell r="F250" t="str">
            <v>SM-O-DIF-Inspector-Porcentaje-004-y-NoPrioritarios</v>
          </cell>
          <cell r="G250" t="str">
            <v>SM-O-DIF-Inspector-PorcentajePagoMensual</v>
          </cell>
          <cell r="H250" t="str">
            <v>SM-O-DIF-Inspector-Porcentaje-004-y-NoPrioritarios</v>
          </cell>
        </row>
        <row r="251">
          <cell r="F251" t="str">
            <v>SM-O-DIF-Inspector-Porcentaje-Prioritarios-Sin-VidaAhorro</v>
          </cell>
          <cell r="G251" t="str">
            <v>SM-O-DIF-Inspector-PorcentajePagoMensual</v>
          </cell>
          <cell r="H251" t="str">
            <v>SM-O-DIF-Inspector-Porcentaje-Prioritarios-Sin-VidaAhorro</v>
          </cell>
        </row>
        <row r="252">
          <cell r="F252" t="str">
            <v>SM-O-DIF-Inspector-PagoMensual-004-y-NoPrioritarios</v>
          </cell>
          <cell r="G252" t="str">
            <v>SM-O-DIF-Inspector-PagoMensual</v>
          </cell>
          <cell r="H252" t="str">
            <v>SM-O-DIF-Inspector-PagoMensual-004-y-NoPrioritarios</v>
          </cell>
        </row>
        <row r="253">
          <cell r="F253" t="str">
            <v>SM-O-DIF-Inspector-PagoMensual-Prioritarios-Sin-VidaAhorro</v>
          </cell>
          <cell r="G253" t="str">
            <v>SM-O-DIF-Inspector-PagoMensual</v>
          </cell>
          <cell r="H253" t="str">
            <v>SM-O-DIF-Inspector-PagoMensual-Prioritarios-Sin-VidaAhorro</v>
          </cell>
        </row>
        <row r="254">
          <cell r="F254"/>
          <cell r="G254" t="str">
            <v>SM-O-DIF-Inspector-PagoMensual</v>
          </cell>
          <cell r="H254" t="str">
            <v>SM-O-DIF-Inspector-PagoMensual-004-y-NoPrioritarios-RRTT</v>
          </cell>
        </row>
        <row r="255">
          <cell r="F255"/>
          <cell r="G255" t="str">
            <v>SM-O-DIF-Inspector-PagoMensual</v>
          </cell>
          <cell r="H255" t="str">
            <v>SM-O-DIF-Inspector-PagoMensual-Prioritarios-Sin-VidaAhorro-RRTT</v>
          </cell>
        </row>
        <row r="256">
          <cell r="F256"/>
          <cell r="G256" t="str">
            <v>SM-O-DIF-Inspector-PagoMensual</v>
          </cell>
          <cell r="H256" t="str">
            <v>SM-O-DIF-Inspector-PagoMensual-004-y-NoPrioritarios-RRGG</v>
          </cell>
        </row>
        <row r="257">
          <cell r="F257"/>
          <cell r="G257" t="str">
            <v>SM-O-DIF-Inspector-PagoMensual</v>
          </cell>
          <cell r="H257" t="str">
            <v>SM-O-DIF-Inspector-PagoMensual-Prioritarios-Sin-VidaAhorro-RRGG</v>
          </cell>
        </row>
        <row r="258">
          <cell r="F258" t="str">
            <v>SM-O-DIF-Inspector-Prima-998-TotalAnual</v>
          </cell>
          <cell r="G258" t="str">
            <v>SM-O-DIF-Inspector-Prima-TotalAnual</v>
          </cell>
          <cell r="H258" t="str">
            <v>SM-O-DIF-Inspector-Prima-998-TotalAnual</v>
          </cell>
        </row>
        <row r="259">
          <cell r="F259" t="str">
            <v>SM-O-DIF-Inspector-Prima-004-y-NoPrioritarios-TotalAnual</v>
          </cell>
          <cell r="G259" t="str">
            <v>SM-O-DIF-Inspector-Prima-TotalAnual</v>
          </cell>
          <cell r="H259" t="str">
            <v>SM-O-DIF-Inspector-Prima-004-y-NoPrioritarios-TotalAnual</v>
          </cell>
        </row>
        <row r="260">
          <cell r="F260" t="str">
            <v>SM-O-DIF-Inspector-Prima-004-Prioritarios-Sin-VidaAhorro-TotalAnual</v>
          </cell>
          <cell r="G260" t="str">
            <v>SM-O-DIF-Inspector-Prima-TotalAnual</v>
          </cell>
          <cell r="H260" t="str">
            <v>SM-O-DIF-Inspector-Prima-004-Prioritarios-Sin-VidaAhorro-TotalAnual</v>
          </cell>
        </row>
        <row r="261">
          <cell r="F261"/>
          <cell r="G261" t="str">
            <v>SM-O-DIF-Inspector-Prima-TotalAnual</v>
          </cell>
          <cell r="H261" t="str">
            <v>SM-O-DIF-Inspector-Prima-004-y-NoPrioritarios-RRTT-TotalAnual</v>
          </cell>
        </row>
        <row r="262">
          <cell r="F262"/>
          <cell r="G262" t="str">
            <v>SM-O-DIF-Inspector-Prima-TotalAnual</v>
          </cell>
          <cell r="H262" t="str">
            <v>SM-O-DIF-Inspector-Prima-004-Prioritarios-Sin-VidaAhorro-RRTT-TotalAnual</v>
          </cell>
        </row>
        <row r="263">
          <cell r="F263"/>
          <cell r="G263" t="str">
            <v>SM-O-DIF-Inspector-Prima-TotalAnual</v>
          </cell>
          <cell r="H263" t="str">
            <v>SM-O-DIF-Inspector-Prima-004-y-NoPrioritarios-RRGG-TotalAnual</v>
          </cell>
        </row>
        <row r="264">
          <cell r="F264"/>
          <cell r="G264" t="str">
            <v>SM-O-DIF-Inspector-Prima-TotalAnual</v>
          </cell>
          <cell r="H264" t="str">
            <v>SM-O-DIF-Inspector-Prima-004-Prioritarios-Sin-VidaAhorro-RRGG-TotalAnual</v>
          </cell>
        </row>
        <row r="265">
          <cell r="F265" t="str">
            <v>SM-O-DIF-Inspector-Pago-004-y-NoPrioritarios-TotalAnual</v>
          </cell>
          <cell r="G265" t="str">
            <v>SM-O-DIF-Inspector-Pago-TotalAnual</v>
          </cell>
          <cell r="H265" t="str">
            <v>SM-O-DIF-Inspector-Pago-004-y-NoPrioritarios-TotalAnual</v>
          </cell>
        </row>
        <row r="266">
          <cell r="F266" t="str">
            <v>SM-O-DIF-Inspector-Pago-Prioritarios-Sin-VidaAhorro-TotalAnual</v>
          </cell>
          <cell r="G266" t="str">
            <v>SM-O-DIF-Inspector-Pago-TotalAnual</v>
          </cell>
          <cell r="H266" t="str">
            <v>SM-O-DIF-Inspector-Pago-Prioritarios-Sin-VidaAhorro-TotalAnual</v>
          </cell>
        </row>
        <row r="267">
          <cell r="F267"/>
          <cell r="G267" t="str">
            <v>SM-O-DIF-Inspector-Pago-TotalAnual</v>
          </cell>
          <cell r="H267" t="str">
            <v>SM-O-DIF-Inspector-Pago-004-y-NoPrioritarios-RRTT-TotalAnual</v>
          </cell>
        </row>
        <row r="268">
          <cell r="F268"/>
          <cell r="G268" t="str">
            <v>SM-O-DIF-Inspector-Pago-TotalAnual</v>
          </cell>
          <cell r="H268" t="str">
            <v>SM-O-DIF-Inspector-Pago-Prioritarios-Sin-VidaAhorro-RRTT-TotalAnual</v>
          </cell>
        </row>
        <row r="269">
          <cell r="F269"/>
          <cell r="G269" t="str">
            <v>SM-O-DIF-Inspector-Pago-TotalAnual</v>
          </cell>
          <cell r="H269" t="str">
            <v>SM-O-DIF-Inspector-Pago-004-y-NoPrioritarios-RRGG-TotalAnual</v>
          </cell>
        </row>
        <row r="270">
          <cell r="F270"/>
          <cell r="G270" t="str">
            <v>SM-O-DIF-Inspector-Pago-TotalAnual</v>
          </cell>
          <cell r="H270" t="str">
            <v>SM-O-DIF-Inspector-Pago-Prioritarios-Sin-VidaAhorro-RRGG-TotalAnual</v>
          </cell>
        </row>
        <row r="271">
          <cell r="F271" t="str">
            <v>SM-O-GEN-Inspector-NumeroPolizas-998-TotalMes</v>
          </cell>
          <cell r="G271" t="str">
            <v>SM-O-DIF-Inspector-Secundario</v>
          </cell>
          <cell r="H271" t="str">
            <v>SM-O-GEN-Inspector-NumeroPolizas-998-TotalMes</v>
          </cell>
        </row>
        <row r="272">
          <cell r="F272" t="str">
            <v>SM-O-GEN-Inspector-PrimaCorregida-998-TotalMes</v>
          </cell>
          <cell r="G272" t="str">
            <v>SM-O-DIF-Inspector-Secundario</v>
          </cell>
          <cell r="H272" t="str">
            <v>SM-O-GEN-Inspector-PrimaCorregida-998-TotalMes</v>
          </cell>
        </row>
        <row r="273">
          <cell r="F273" t="str">
            <v>SM-O-DIF-Inspector-PrimaCorregida-004-y-NoPrioritarios-TotalMes</v>
          </cell>
          <cell r="G273" t="str">
            <v>SM-O-DIF-Inspector-Secundario</v>
          </cell>
          <cell r="H273" t="str">
            <v>SM-O-DIF-Inspector-PrimaCorregida-004-y-NoPrioritarios-TotalMes</v>
          </cell>
        </row>
        <row r="274">
          <cell r="F274" t="str">
            <v>SM-O-DIF-Inspector-PrimaCorregida-Prioritarios-Sin-VidaAhorro-TotalMes</v>
          </cell>
          <cell r="G274" t="str">
            <v>SM-O-DIF-Inspector-Secundario</v>
          </cell>
          <cell r="H274" t="str">
            <v>SM-O-DIF-Inspector-PrimaCorregida-Prioritarios-Sin-VidaAhorro-TotalMes</v>
          </cell>
        </row>
        <row r="275">
          <cell r="F275" t="str">
            <v>SM-O-DIF-Inspector-PagoMensual-004-y-NoPrioritarios</v>
          </cell>
          <cell r="G275" t="str">
            <v>SM-O-DIF-Inspector-Secundario</v>
          </cell>
          <cell r="H275" t="str">
            <v>SM-O-DIF-Inspector-PagoMensual-004-y-NoPrioritarios</v>
          </cell>
        </row>
        <row r="276">
          <cell r="F276" t="str">
            <v>SM-O-DIF-Inspector-PagoMensual-Prioritarios-Sin-VidaAhorro</v>
          </cell>
          <cell r="G276" t="str">
            <v>SM-O-DIF-Inspector-Secundario</v>
          </cell>
          <cell r="H276" t="str">
            <v>SM-O-DIF-Inspector-PagoMensual-Prioritarios-Sin-VidaAhorro</v>
          </cell>
        </row>
        <row r="277">
          <cell r="F277"/>
          <cell r="G277" t="str">
            <v>SM-O-DIF-Inspector-Secundario</v>
          </cell>
          <cell r="H277" t="str">
            <v>SM-O-DIF-Inspector-PrimaCorregida-004-y-NoPrioritarios-RRTT-TotalMes</v>
          </cell>
        </row>
        <row r="278">
          <cell r="F278"/>
          <cell r="G278" t="str">
            <v>SM-O-DIF-Inspector-Secundario</v>
          </cell>
          <cell r="H278" t="str">
            <v>SM-O-DIF-Inspector-PrimaCorregida-004-y-NoPrioritarios-RRGG-TotalMes</v>
          </cell>
        </row>
        <row r="279">
          <cell r="F279"/>
          <cell r="G279" t="str">
            <v>SM-O-DIF-Inspector-Secundario</v>
          </cell>
          <cell r="H279" t="str">
            <v>SM-O-DIF-Inspector-PrimaCorregida-Prioritarios-Sin-VidaAhorro-RRTT-TotalMes</v>
          </cell>
        </row>
        <row r="280">
          <cell r="F280"/>
          <cell r="G280" t="str">
            <v>SM-O-DIF-Inspector-Secundario</v>
          </cell>
          <cell r="H280" t="str">
            <v>SM-O-DIF-Inspector-PrimaCorregida-Prioritarios-Sin-VidaAhorro-RRGG-TotalMes</v>
          </cell>
        </row>
        <row r="281">
          <cell r="F281"/>
          <cell r="G281" t="str">
            <v>SM-O-DIF-Inspector-Secundario</v>
          </cell>
          <cell r="H281" t="str">
            <v>SM-O-DIF-Inspector-PagoMensual-004-y-NoPrioritarios-RRTT</v>
          </cell>
        </row>
        <row r="282">
          <cell r="F282"/>
          <cell r="G282" t="str">
            <v>SM-O-DIF-Inspector-Secundario</v>
          </cell>
          <cell r="H282" t="str">
            <v>SM-O-DIF-Inspector-PagoMensual-Prioritarios-Sin-VidaAhorro-RRTT</v>
          </cell>
        </row>
        <row r="283">
          <cell r="F283"/>
          <cell r="G283" t="str">
            <v>SM-O-DIF-Inspector-Secundario</v>
          </cell>
          <cell r="H283" t="str">
            <v>SM-O-DIF-Inspector-PagoMensual-004-y-NoPrioritarios-RRGG</v>
          </cell>
        </row>
        <row r="284">
          <cell r="F284"/>
          <cell r="G284" t="str">
            <v>SM-O-DIF-Inspector-Secundario</v>
          </cell>
          <cell r="H284" t="str">
            <v>SM-O-DIF-Inspector-PagoMensual-Prioritarios-Sin-VidaAhorro-RRGG</v>
          </cell>
        </row>
        <row r="285">
          <cell r="F285"/>
          <cell r="G285" t="str">
            <v>SM-O-DIF-Inspector-PorcentajeRegularizacion</v>
          </cell>
          <cell r="H285" t="str">
            <v>SM-O-DIF-Inspector-PorcentajeReg-004-y-NoPrioritarios</v>
          </cell>
        </row>
        <row r="286">
          <cell r="F286"/>
          <cell r="G286" t="str">
            <v>SM-O-DIF-Inspector-PorcentajeRegularizacion</v>
          </cell>
          <cell r="H286" t="str">
            <v>SM-O-DIF-Inspector-PorcentajeReg-Prioritarios-Sin-VidaAhorro</v>
          </cell>
        </row>
        <row r="287">
          <cell r="F287" t="str">
            <v>SM-O-DIF-Inspector-Regularizacion-004-y-NoPrioritarios</v>
          </cell>
          <cell r="G287" t="str">
            <v>SM-O-DIF-Inspector-Regularizacion</v>
          </cell>
          <cell r="H287" t="str">
            <v>SM-O-DIF-Inspector-Regularizacion-004-y-NoPrioritarios</v>
          </cell>
        </row>
        <row r="288">
          <cell r="F288" t="str">
            <v>SM-O-DIF-Inspector-Regularizacion-Prioritarois-Sin-VidaAhorro</v>
          </cell>
          <cell r="G288" t="str">
            <v>SM-O-DIF-Inspector-Regularizacion</v>
          </cell>
          <cell r="H288" t="str">
            <v>SM-O-DIF-Inspector-Regularizacion-Prioritarois-Sin-VidaAhorro</v>
          </cell>
        </row>
        <row r="289">
          <cell r="F289"/>
          <cell r="G289" t="str">
            <v>SM-O-DIF-Inspector-Regularizacion</v>
          </cell>
          <cell r="H289" t="str">
            <v>SM-O-DIF-Inspector-Regularizacion-004-y-NoPrioritarios-RRTT</v>
          </cell>
        </row>
        <row r="290">
          <cell r="F290"/>
          <cell r="G290" t="str">
            <v>SM-O-DIF-Inspector-Regularizacion</v>
          </cell>
          <cell r="H290" t="str">
            <v>SM-O-DIF-Inspector-Regularizacion-004-y-NoPrioritarios-RRGG</v>
          </cell>
        </row>
        <row r="291">
          <cell r="F291"/>
          <cell r="G291" t="str">
            <v>SM-O-DIF-Inspector-Regularizacion</v>
          </cell>
          <cell r="H291" t="str">
            <v>SM-O-DIF-Inspector-Regularizacion-Prioritarois-Sin-VidaAhorro-RRTT</v>
          </cell>
        </row>
        <row r="292">
          <cell r="F292"/>
          <cell r="G292" t="str">
            <v>SM-O-DIF-Inspector-Regularizacion</v>
          </cell>
          <cell r="H292" t="str">
            <v>SM-O-DIF-Inspector-Regularizacion-Prioritarois-Sin-VidaAhorro-RRGG</v>
          </cell>
        </row>
        <row r="293">
          <cell r="F293" t="str">
            <v>SM-O-DIF-Inspector-PagoRegularizacion-004-y-NoPrioritarios</v>
          </cell>
          <cell r="G293" t="str">
            <v>SM-O-DIF-Inspector-PagoRegularizacion-004-y-NoPrioritarios</v>
          </cell>
          <cell r="H293" t="str">
            <v>SM-O-DIF-Inspector-PagoRegularizacion-004-y-NoPrioritarios</v>
          </cell>
        </row>
        <row r="294">
          <cell r="F294"/>
          <cell r="G294" t="str">
            <v>SM-O-DIF-Inspector-PagoRegularizacion-004-y-NoPrioritarios</v>
          </cell>
          <cell r="H294" t="str">
            <v>SM-O-DIF-Inspector-PagoRegularizacion-004-y-NoPrioritarios-RRTT</v>
          </cell>
        </row>
        <row r="295">
          <cell r="F295"/>
          <cell r="G295" t="str">
            <v>SM-O-DIF-Inspector-PagoRegularizacion-004-y-NoPrioritarios</v>
          </cell>
          <cell r="H295" t="str">
            <v>SM-O-DIF-Inspector-PagoRegularizacion-004-y-NoPrioritarios-RRGG</v>
          </cell>
        </row>
        <row r="296">
          <cell r="F296" t="str">
            <v>SM-O-DIF-Inspector-PagoRegularizacion-Prioritarois-Sin-VidaAhorro</v>
          </cell>
          <cell r="G296" t="str">
            <v>SM-O-DIF-Inspector-PagoRegularizacion-Prioritarois-Sin-VidaAhorro</v>
          </cell>
          <cell r="H296" t="str">
            <v>SM-O-DIF-Inspector-PagoRegularizacion-Prioritarois-Sin-VidaAhorro</v>
          </cell>
        </row>
        <row r="297">
          <cell r="F297"/>
          <cell r="G297" t="str">
            <v>SM-O-DIF-Inspector-PagoRegularizacion-Prioritarois-Sin-VidaAhorro</v>
          </cell>
          <cell r="H297" t="str">
            <v>SM-O-DIF-Inspector-PagoRegularizacion-Prioritarois-Sin-VidaAhorro-RRTT</v>
          </cell>
        </row>
        <row r="298">
          <cell r="F298"/>
          <cell r="G298" t="str">
            <v>SM-O-DIF-Inspector-PagoRegularizacion-Prioritarois-Sin-VidaAhorro</v>
          </cell>
          <cell r="H298" t="str">
            <v>SM-O-DIF-Inspector-PagoRegularizacion-Prioritarois-Sin-VidaAhorro-RRGG</v>
          </cell>
        </row>
        <row r="299">
          <cell r="F299" t="str">
            <v>I-O-DIF-Inspector-ImporteMensual-VidaAhorro-y-NoPrioritarios</v>
          </cell>
          <cell r="G299" t="str">
            <v>I-O-DIF-Inspector-ImporteMensual-VidaAhorro-y-NoPrioritarios</v>
          </cell>
          <cell r="H299" t="str">
            <v>I-O-DIF-Inspector-ImporteMensual-VidaAhorro-y-NoPrioritarios-RRTT</v>
          </cell>
        </row>
        <row r="300">
          <cell r="F300"/>
          <cell r="G300" t="str">
            <v>I-O-DIF-Inspector-ImporteMensual-VidaAhorro-y-NoPrioritarios</v>
          </cell>
          <cell r="H300" t="str">
            <v>I-O-DIF-Inspector-ImporteMensual-VidaAhorro-y-NoPrioritarios-RRGG</v>
          </cell>
        </row>
        <row r="301">
          <cell r="F301" t="str">
            <v>I-O-DIF-Inspector-ImporteMensual-Prioritarios-Sin-VidaAhorro</v>
          </cell>
          <cell r="G301" t="str">
            <v>I-O-DIF-Inspector-ImporteMensual-Prioritarios-Sin-VidaAhorro</v>
          </cell>
          <cell r="H301" t="str">
            <v>I-O-DIF-Inspector-ImporteMensual-Prioritarios-Sin-VidaAhorro-RRTT</v>
          </cell>
        </row>
        <row r="302">
          <cell r="F302"/>
          <cell r="G302" t="str">
            <v>I-O-DIF-Inspector-ImporteMensual-Prioritarios-Sin-VidaAhorro</v>
          </cell>
          <cell r="H302" t="str">
            <v>I-O-DIF-Inspector-ImporteMensual-Prioritarios-Sin-VidaAhorro-RRGG</v>
          </cell>
        </row>
        <row r="303">
          <cell r="F303" t="str">
            <v>I-O-DIF-Inspector-ImporteRegularizacion-VidaAhorro-y-NoPrioritarios</v>
          </cell>
          <cell r="G303" t="str">
            <v>I-O-DIF-Inspector-ImporteRegularizacion-VidaAhorro-y-NoPrioritarios</v>
          </cell>
          <cell r="H303" t="str">
            <v>I-O-DIF-Inspector-ImporteRegularizacion-VidaAhorro-y-NoPrioritarios-RRTT</v>
          </cell>
        </row>
        <row r="304">
          <cell r="F304"/>
          <cell r="G304" t="str">
            <v>I-O-DIF-Inspector-ImporteRegularizacion-VidaAhorro-y-NoPrioritarios</v>
          </cell>
          <cell r="H304" t="str">
            <v>I-O-DIF-Inspector-ImporteRegularizacion-VidaAhorro-y-NoPrioritarios-RRGG</v>
          </cell>
        </row>
        <row r="305">
          <cell r="F305" t="str">
            <v>I-O-DIF-Inspector-ImporteRegularizacion-Prioritarios-Sin-VidaAhorro</v>
          </cell>
          <cell r="G305" t="str">
            <v>I-O-DIF-Inspector-ImporteRegularizacion-Prioritarios-Sin-VidaAhorro</v>
          </cell>
          <cell r="H305" t="str">
            <v>I-O-DIF-Inspector-ImporteRegularizacion-Prioritarios-Sin-VidaAhorro-RRTT</v>
          </cell>
        </row>
        <row r="306">
          <cell r="F306"/>
          <cell r="G306" t="str">
            <v>I-O-DIF-Inspector-ImporteRegularizacion-Prioritarios-Sin-VidaAhorro</v>
          </cell>
          <cell r="H306" t="str">
            <v>I-O-DIF-Inspector-ImporteRegularizacion-Prioritarios-Sin-VidaAhorro-RRGG</v>
          </cell>
        </row>
        <row r="307">
          <cell r="F307" t="str">
            <v>D-O-DIF-Inspector-Pago</v>
          </cell>
          <cell r="G307" t="str">
            <v>D-O-DIF-Inspector-Pago</v>
          </cell>
          <cell r="H307" t="str">
            <v>D-O-DIF-Inspector-Pago-RRTT</v>
          </cell>
        </row>
        <row r="308">
          <cell r="F308"/>
          <cell r="G308" t="str">
            <v>D-O-DIF-Inspector-Pago</v>
          </cell>
          <cell r="H308" t="str">
            <v>D-O-DIF-Inspector-Pago-RRGG</v>
          </cell>
        </row>
        <row r="309">
          <cell r="F309" t="str">
            <v>D-O-DIF-Inspector-Pago-Reg</v>
          </cell>
          <cell r="G309" t="str">
            <v>D-O-DIF-Inspector-Pago-Reg</v>
          </cell>
          <cell r="H309" t="str">
            <v>D-O-DIF-Inspector-Pago-Reg-RRTT</v>
          </cell>
        </row>
        <row r="310">
          <cell r="F310"/>
          <cell r="G310" t="str">
            <v>D-O-DIF-Inspector-Pago-Reg</v>
          </cell>
          <cell r="H310" t="str">
            <v>D-O-DIF-Inspector-Pago-Reg-RRGG</v>
          </cell>
        </row>
        <row r="311">
          <cell r="F311" t="str">
            <v>DC-E-DIF-Inspector-Importe</v>
          </cell>
          <cell r="G311" t="str">
            <v>DC-E-DIF-Inspector-Importe</v>
          </cell>
          <cell r="H311" t="str">
            <v>DC-E-DIF-Inspector-Importe</v>
          </cell>
        </row>
        <row r="312">
          <cell r="F312" t="str">
            <v>DC-E-DIF-Inspector-Importe-Agentes</v>
          </cell>
          <cell r="G312" t="str">
            <v>DC-E-DIF-Inspector-Importe-Agentes</v>
          </cell>
          <cell r="H312" t="str">
            <v>DC-E-DIF-Inspector-Importe-Agentes</v>
          </cell>
        </row>
        <row r="313">
          <cell r="F313" t="str">
            <v>IC-E-DIF-Inspector-Importe</v>
          </cell>
          <cell r="G313" t="str">
            <v>IC-E-DIF-Inspector-Importe</v>
          </cell>
          <cell r="H313" t="str">
            <v>IC-E-DIF-Inspector-Importe</v>
          </cell>
        </row>
        <row r="314">
          <cell r="F314" t="str">
            <v>PM-E-DIF-Inspector-Importe</v>
          </cell>
          <cell r="G314" t="str">
            <v>PM-E-DIF-Inspector-Importe-RRTT</v>
          </cell>
          <cell r="H314" t="str">
            <v>PM-E-DIF-Inspector-Importe-RRTT</v>
          </cell>
        </row>
        <row r="315">
          <cell r="F315"/>
          <cell r="G315" t="str">
            <v>PM-E-DIF-Inspector-Importe-RRGG</v>
          </cell>
          <cell r="H315" t="str">
            <v>PM-E-DIF-Inspector-Importe-RRGG</v>
          </cell>
        </row>
        <row r="316">
          <cell r="F316" t="str">
            <v>PM-E-DIF-Inspector-Importe-Agentes</v>
          </cell>
          <cell r="G316" t="str">
            <v>PM-E-DIF-Inspector-Importe-Agentes-RRTT</v>
          </cell>
          <cell r="H316" t="str">
            <v>PM-E-DIF-Inspector-Importe-Agentes-RRTT</v>
          </cell>
        </row>
        <row r="317">
          <cell r="F317"/>
          <cell r="G317" t="str">
            <v>PM-E-DIF-Inspector-Importe-Agentes-RRGG</v>
          </cell>
          <cell r="H317" t="str">
            <v>PM-E-DIF-Inspector-Importe-Agentes-RRGG</v>
          </cell>
        </row>
        <row r="318">
          <cell r="F318" t="str">
            <v>SM-E-DIF-Inspector-PagoMensual</v>
          </cell>
          <cell r="G318" t="str">
            <v>SM-E-DIF-Inspector-PagoMensual</v>
          </cell>
          <cell r="H318" t="str">
            <v>SM-E-DIF-Inspector-PagoMensual</v>
          </cell>
        </row>
        <row r="319">
          <cell r="G319" t="str">
            <v>SM-E-DIF-Inspector-PagoMensual-RRTT</v>
          </cell>
          <cell r="H319" t="str">
            <v>SM-E-DIF-Inspector-PagoMensual-RRTT</v>
          </cell>
        </row>
        <row r="320">
          <cell r="G320" t="str">
            <v>SM-E-DIF-Inspector-PagoMensual-RRGG</v>
          </cell>
          <cell r="H320" t="str">
            <v>SM-E-DIF-Inspector-PagoMensual-RRGG</v>
          </cell>
        </row>
        <row r="321">
          <cell r="F321" t="str">
            <v>I-E-DIF-Inspector-PagoMensual</v>
          </cell>
          <cell r="G321" t="str">
            <v>I-E-DIF-Inspector-PagoMensual-RRTT</v>
          </cell>
          <cell r="H321" t="str">
            <v>I-E-DIF-Inspector-PagoMensual-RRTT</v>
          </cell>
        </row>
        <row r="322">
          <cell r="G322" t="str">
            <v>I-E-DIF-Inspector-PagoMensual-RRGG</v>
          </cell>
          <cell r="H322" t="str">
            <v>I-E-DIF-Inspector-PagoMensual-RRGG</v>
          </cell>
        </row>
        <row r="323">
          <cell r="F323" t="str">
            <v>D-E-DIF-Inspector-PagoMensual</v>
          </cell>
          <cell r="G323" t="str">
            <v>D-E-DIF-Inspector-PagoMensual-RRTT</v>
          </cell>
          <cell r="H323" t="str">
            <v>D-E-DIF-Inspector-PagoMensual-RRTT</v>
          </cell>
        </row>
        <row r="324">
          <cell r="G324" t="str">
            <v>D-E-DIF-Inspector-PagoMensual-RRGG</v>
          </cell>
          <cell r="H324" t="str">
            <v>D-E-DIF-Inspector-PagoMensual-RRGG</v>
          </cell>
        </row>
        <row r="325">
          <cell r="F325" t="str">
            <v>PM-O-RPP-Agente-NumeroPolizas-997</v>
          </cell>
          <cell r="G325"/>
          <cell r="H325" t="str">
            <v>PM-O-GEN-Agente-NumeroPolizas-997</v>
          </cell>
        </row>
        <row r="326">
          <cell r="F326"/>
          <cell r="G326"/>
          <cell r="H326" t="str">
            <v>PM-O-GEN-Inspector-NumeroPolizas-005-Agentes</v>
          </cell>
        </row>
        <row r="327">
          <cell r="F327"/>
          <cell r="G327"/>
          <cell r="H327" t="str">
            <v>PM-O-GEN-Inspector-NumeroPolizas-997</v>
          </cell>
        </row>
        <row r="328">
          <cell r="F328"/>
          <cell r="G328"/>
          <cell r="H328" t="str">
            <v>PM-O-GEN-Inspector-NumeroPolizas-997-Agentes</v>
          </cell>
        </row>
        <row r="329">
          <cell r="F329" t="str">
            <v>SM-RPP-Inspector-NumeroPolizas-906-TotalMes</v>
          </cell>
          <cell r="G329"/>
          <cell r="H329" t="str">
            <v>SM-O-GEN-Inspector-NumeroPolizas-906-TotalMes</v>
          </cell>
        </row>
        <row r="330">
          <cell r="F330" t="str">
            <v>SM-O-COMU-Inspector-Secundario</v>
          </cell>
          <cell r="G330"/>
          <cell r="H330" t="str">
            <v>SM-O-GEN-Inspector-Secundario</v>
          </cell>
        </row>
        <row r="331">
          <cell r="G331"/>
          <cell r="H331" t="str">
            <v>SM-O-REA-Inspector-Secundario</v>
          </cell>
        </row>
        <row r="332">
          <cell r="G332"/>
          <cell r="H332" t="str">
            <v>SM-O-COLC-Inspector-Secundario</v>
          </cell>
        </row>
        <row r="333">
          <cell r="F333" t="str">
            <v>SM-RPP-Inspector-NumeroPolizas-001-TotalAnual</v>
          </cell>
          <cell r="H333" t="str">
            <v>SM-O-GEN-Inspector-NumeroPolizas-001-TotalAnual</v>
          </cell>
        </row>
        <row r="334">
          <cell r="F334" t="str">
            <v>SM-RPP-Inspector-NumeroPolizas-002-TotalAnual</v>
          </cell>
          <cell r="H334" t="str">
            <v>SM-O-GEN-Inspector-NumeroPolizas-002-TotalAnual</v>
          </cell>
        </row>
        <row r="335">
          <cell r="F335" t="str">
            <v>SM-RPP-Inspector-NumeroPolizas-906-TotalAnual</v>
          </cell>
          <cell r="H335" t="str">
            <v>SM-O-GEN-Inspector-NumeroPolizas-906-TotalAnual</v>
          </cell>
        </row>
        <row r="336">
          <cell r="F336" t="str">
            <v>SM-RPP-Inspector-NumeroPolizas-998-Propia-TotalAnual</v>
          </cell>
          <cell r="H336" t="str">
            <v>SM-O-GEN-Inspector-NumeroPolizas-998-Propia-TotalAnual</v>
          </cell>
        </row>
        <row r="337">
          <cell r="F337" t="str">
            <v>SM-RPP-Inspector-NumeroPolizas-998-TotalAnual</v>
          </cell>
          <cell r="H337" t="str">
            <v>SM-O-GEN-Inspector-NumeroPolizas-998-TotalAnual</v>
          </cell>
        </row>
        <row r="338">
          <cell r="F338" t="str">
            <v>DC-O-RDC-Agente-Polizas-002</v>
          </cell>
          <cell r="H338" t="str">
            <v>DC-O-RDC-Agente-Polizas</v>
          </cell>
        </row>
        <row r="339">
          <cell r="F339" t="str">
            <v>DC-O-RDC-Agente-PrimaCorregida-002</v>
          </cell>
          <cell r="H339" t="str">
            <v>DC-O-RDC-Agente-PrimaCorregida</v>
          </cell>
        </row>
        <row r="340">
          <cell r="F340" t="str">
            <v>DC-O-RDC-Agente-PolizasCorregidas-002</v>
          </cell>
          <cell r="H340" t="str">
            <v>DC-O-RDC-Agente-PolizasCorregidas</v>
          </cell>
        </row>
        <row r="341">
          <cell r="F341" t="str">
            <v>PM-O-RDC-Agente-PrimaCorregida-002</v>
          </cell>
          <cell r="H341" t="str">
            <v>PM-O-RDC-Agente-PrimaCorregida</v>
          </cell>
        </row>
        <row r="342">
          <cell r="F342" t="str">
            <v>PM-O-RDC-Agente-Polizas-002</v>
          </cell>
          <cell r="H342" t="str">
            <v>PM-O-RDC-Agente-Polizas</v>
          </cell>
        </row>
        <row r="343">
          <cell r="F343" t="str">
            <v>PM-O-RDC-Agente-PolizasCorregidas-002</v>
          </cell>
          <cell r="H343" t="str">
            <v>PM-O-RDC-Agente-PolizasCorregidas</v>
          </cell>
        </row>
        <row r="344">
          <cell r="F344" t="str">
            <v>SM-O-RDC-Agente-PrimaCorregida-002</v>
          </cell>
          <cell r="H344" t="str">
            <v>SM-O-RDC-Agente-PrimaCorregida</v>
          </cell>
        </row>
        <row r="345">
          <cell r="F345" t="str">
            <v>SM-O-RDC-Agente-Polizas-002</v>
          </cell>
          <cell r="H345" t="str">
            <v>SM-O-RDC-Agente-Polizas</v>
          </cell>
        </row>
        <row r="346">
          <cell r="F346" t="str">
            <v>SM-O-RDC-Agente-PolizasCorregidas-002</v>
          </cell>
          <cell r="H346" t="str">
            <v>SM-O-RDC-Agente-PolizasCorregidas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S"/>
      <sheetName val="INSERT INFORMES"/>
      <sheetName val="REGLAS"/>
      <sheetName val="MODIFICACIONES_REALIZADAS"/>
      <sheetName val="INSERT REGLAS"/>
      <sheetName val="AGENTES"/>
      <sheetName val="INSERT AGENTES"/>
      <sheetName val=""/>
    </sheetNames>
    <sheetDataSet>
      <sheetData sheetId="0" refreshError="1"/>
      <sheetData sheetId="1" refreshError="1"/>
      <sheetData sheetId="2" refreshError="1"/>
      <sheetData sheetId="3" refreshError="1">
        <row r="1">
          <cell r="F1" t="str">
            <v>NOMBRE SALIDA REGLA VIEJA</v>
          </cell>
          <cell r="G1" t="str">
            <v>REGLA NUEVA</v>
          </cell>
          <cell r="H1" t="str">
            <v>NOMBRE SALIDA REGLA NUEVA</v>
          </cell>
        </row>
        <row r="2">
          <cell r="F2" t="str">
            <v>DC-GEN-NumeroPolizas-001</v>
          </cell>
          <cell r="G2" t="str">
            <v>DC-O-GEN-Inspector-NumeroPolizas-001</v>
          </cell>
          <cell r="H2" t="str">
            <v>DC-O-GEN-Inspector-NumeroPolizas-001</v>
          </cell>
        </row>
        <row r="3">
          <cell r="F3" t="str">
            <v>DC-GEN-NumeroPolizas-002</v>
          </cell>
          <cell r="G3" t="str">
            <v>DC-O-GEN-Inspector-NumeroPolizas-002</v>
          </cell>
          <cell r="H3" t="str">
            <v>DC-O-GEN-Inspector-NumeroPolizas-002</v>
          </cell>
        </row>
        <row r="4">
          <cell r="F4" t="str">
            <v>IC-GEN-NumeroPolizas-001</v>
          </cell>
          <cell r="G4" t="str">
            <v>IC-O-GEN-Inspector-NumeroPolizas-001</v>
          </cell>
          <cell r="H4" t="str">
            <v>IC-O-GEN-Inspector-NumeroPolizas-001</v>
          </cell>
        </row>
        <row r="5">
          <cell r="F5" t="str">
            <v>IC-GEN-NumeroPolizas-002</v>
          </cell>
          <cell r="G5" t="str">
            <v>IC-O-GEN-Inspector-NumeroPolizas-002</v>
          </cell>
          <cell r="H5" t="str">
            <v>IC-O-GEN-Inspector-NumeroPolizas-002</v>
          </cell>
        </row>
        <row r="6">
          <cell r="G6" t="str">
            <v>DC-O-GEN-Inspector-NumeroPolizas-003</v>
          </cell>
          <cell r="H6" t="str">
            <v>DC-O-GEN-Inspector-NumeroPolizas-003</v>
          </cell>
        </row>
        <row r="7">
          <cell r="G7" t="str">
            <v>DC-O-GEN-Inspector-NumeroPolizas-004</v>
          </cell>
          <cell r="H7" t="str">
            <v>DC-O-GEN-Inspector-NumeroPolizas-004</v>
          </cell>
        </row>
        <row r="8">
          <cell r="G8" t="str">
            <v>DC-O-GEN-Inspector-NumeroPolizas-005</v>
          </cell>
          <cell r="H8" t="str">
            <v>DC-O-GEN-Inspector-NumeroPolizas-005</v>
          </cell>
        </row>
        <row r="9">
          <cell r="G9" t="str">
            <v>DC-O-GEN-Inspector-NumeroPolizas-006</v>
          </cell>
          <cell r="H9" t="str">
            <v>DC-O-GEN-Inspector-NumeroPolizas-006</v>
          </cell>
        </row>
        <row r="10">
          <cell r="G10" t="str">
            <v>DC-O-GEN-Inspector-NumeroPolizas-007</v>
          </cell>
          <cell r="H10" t="str">
            <v>DC-O-GEN-Inspector-NumeroPolizas-007</v>
          </cell>
        </row>
        <row r="11">
          <cell r="G11" t="str">
            <v>IC-O-GEN-Inspector-NumeroPolizas-003</v>
          </cell>
          <cell r="H11" t="str">
            <v>IC-O-GEN-Inspector-NumeroPolizas-003</v>
          </cell>
        </row>
        <row r="12">
          <cell r="G12" t="str">
            <v>IC-O-GEN-Inspector-NumeroPolizas-004</v>
          </cell>
          <cell r="H12" t="str">
            <v>IC-O-GEN-Inspector-NumeroPolizas-004</v>
          </cell>
        </row>
        <row r="13">
          <cell r="G13" t="str">
            <v>IC-O-GEN-Inspector-NumeroPolizas-005</v>
          </cell>
          <cell r="H13" t="str">
            <v>IC-O-GEN-Inspector-NumeroPolizas-005</v>
          </cell>
        </row>
        <row r="14">
          <cell r="G14" t="str">
            <v>IC-O-GEN-Inspector-NumeroPolizas-006</v>
          </cell>
          <cell r="H14" t="str">
            <v>IC-O-GEN-Inspector-NumeroPolizas-006</v>
          </cell>
        </row>
        <row r="15">
          <cell r="G15" t="str">
            <v>IC-O-GEN-Inspector-NumeroPolizas-007</v>
          </cell>
          <cell r="H15" t="str">
            <v>IC-O-GEN-Inspector-NumeroPolizas-007</v>
          </cell>
        </row>
        <row r="16">
          <cell r="G16" t="str">
            <v>DC-O-GEN-Inspector-NumeroPolizas-009</v>
          </cell>
          <cell r="H16" t="str">
            <v>DC-O-GEN-Inspector-NumeroPolizas-009</v>
          </cell>
        </row>
        <row r="17">
          <cell r="G17" t="str">
            <v>IC-O-GEN-Inspector-NumeroPolizas-009</v>
          </cell>
          <cell r="H17" t="str">
            <v>IC-O-GEN-Inspector-NumeroPolizas-009</v>
          </cell>
        </row>
        <row r="18">
          <cell r="F18" t="str">
            <v>DC-O-GEN-Inspector-NumeroPolizas-997</v>
          </cell>
          <cell r="G18" t="str">
            <v>DC-O-GEN-Inspector-NumeroPolizas-998 y GB1</v>
          </cell>
          <cell r="H18" t="str">
            <v>DC-O-GEN-Inspector-NumeroPolizas-998</v>
          </cell>
        </row>
        <row r="19">
          <cell r="F19" t="str">
            <v>IC-O-GEN-Inspector-NumeroPolizas-997</v>
          </cell>
          <cell r="G19" t="str">
            <v>IC-O-GEN-Inspector-NumeroPolizas-998 y GB1</v>
          </cell>
          <cell r="H19" t="str">
            <v>IC-O-GEN-Inspector-NumeroPolizas-998</v>
          </cell>
        </row>
        <row r="20">
          <cell r="F20" t="str">
            <v>DC-GEN-NumeroPolizas-998</v>
          </cell>
          <cell r="G20" t="str">
            <v>DC-O-GEN-Inspector-NumeroPolizas-998</v>
          </cell>
          <cell r="H20" t="str">
            <v>DC-O-GEN-Inspector-NumeroPolizas-998</v>
          </cell>
        </row>
        <row r="21">
          <cell r="F21" t="str">
            <v>IC-GEN-NumeroPolizas-998</v>
          </cell>
          <cell r="G21" t="str">
            <v>IC-O-GEN-Inspector-NumeroPolizas-998</v>
          </cell>
          <cell r="H21" t="str">
            <v>IC-O-GEN-Inspector-NumeroPolizas-998</v>
          </cell>
        </row>
        <row r="22">
          <cell r="F22" t="str">
            <v>PM-GEN-NumeroPolizas-001-Agentes</v>
          </cell>
          <cell r="G22" t="str">
            <v>PM-O-GEN-Inspector-NumeroPolizas-001-Agentes</v>
          </cell>
          <cell r="H22" t="str">
            <v>PM-O-GEN-Inspector-NumeroPolizas-001-Agentes</v>
          </cell>
        </row>
        <row r="23">
          <cell r="F23" t="str">
            <v>PM-GEN-NumeroPolizas-001</v>
          </cell>
          <cell r="G23" t="str">
            <v>PM-O-GEN-Inspector-NumeroPolizas-001</v>
          </cell>
          <cell r="H23" t="str">
            <v>PM-O-GEN-Inspector-NumeroPolizas-001</v>
          </cell>
        </row>
        <row r="24">
          <cell r="F24" t="str">
            <v>PM-GEN-NumeroPolizas-002-Agentes</v>
          </cell>
          <cell r="G24" t="str">
            <v>PM-O-GEN-Inspector-NumeroPolizas-002-Agentes</v>
          </cell>
          <cell r="H24" t="str">
            <v>PM-O-GEN-Inspector-NumeroPolizas-002-Agentes</v>
          </cell>
        </row>
        <row r="25">
          <cell r="F25" t="str">
            <v>PM-GEN-NumeroPolizas-002</v>
          </cell>
          <cell r="G25" t="str">
            <v>PM-O-GEN-Inspector-NumeroPolizas-002</v>
          </cell>
          <cell r="H25" t="str">
            <v>PM-O-GEN-Inspector-NumeroPolizas-002</v>
          </cell>
        </row>
        <row r="26">
          <cell r="G26" t="str">
            <v>PM-O-GEN-Inspector-NumeroPolizas-003-Agentes</v>
          </cell>
          <cell r="H26" t="str">
            <v>PM-O-GEN-Inspector-NumeroPolizas-003-Agentes</v>
          </cell>
        </row>
        <row r="27">
          <cell r="G27" t="str">
            <v>PM-O-GEN-Inspector-NumeroPolizas-003</v>
          </cell>
          <cell r="H27" t="str">
            <v>PM-O-GEN-Inspector-NumeroPolizas-003</v>
          </cell>
        </row>
        <row r="28">
          <cell r="G28" t="str">
            <v>PM-O-GEN-Inspector-NumeroPolizas-004-Agentes</v>
          </cell>
          <cell r="H28" t="str">
            <v>PM-O-GEN-Inspector-NumeroPolizas-004-Agentes</v>
          </cell>
        </row>
        <row r="29">
          <cell r="G29" t="str">
            <v>PM-O-GEN-Inspector-NumeroPolizas-004</v>
          </cell>
          <cell r="H29" t="str">
            <v>PM-O-GEN-Inspector-NumeroPolizas-004</v>
          </cell>
        </row>
        <row r="30">
          <cell r="G30" t="str">
            <v>PM-O-GEN-Inspector-NumeroPolizas-006-Agentes</v>
          </cell>
          <cell r="H30" t="str">
            <v>PM-O-GEN-Inspector-NumeroPolizas-006-Agentes</v>
          </cell>
        </row>
        <row r="31">
          <cell r="G31" t="str">
            <v>PM-O-GEN-Inspector-NumeroPolizas-005</v>
          </cell>
          <cell r="H31" t="str">
            <v>PM-O-GEN-Inspector-NumeroPolizas-005</v>
          </cell>
        </row>
        <row r="32">
          <cell r="G32" t="str">
            <v>PM-O-GEN-Inspector-NumeroPolizas-006-Agentes</v>
          </cell>
          <cell r="H32" t="str">
            <v>PM-O-GEN-Inspector-NumeroPolizas-006-Agentes</v>
          </cell>
        </row>
        <row r="33">
          <cell r="G33" t="str">
            <v>PM-O-GEN-Inspector-NumeroPolizas-006</v>
          </cell>
          <cell r="H33" t="str">
            <v>PM-O-GEN-Inspector-NumeroPolizas-006</v>
          </cell>
        </row>
        <row r="34">
          <cell r="G34" t="str">
            <v>PM-O-GEN-Inspector-NumeroPolizas-007-Agentes</v>
          </cell>
          <cell r="H34" t="str">
            <v>PM-O-GEN-Inspector-NumeroPolizas-007-Agentes</v>
          </cell>
        </row>
        <row r="35">
          <cell r="G35" t="str">
            <v>PM-O-GEN-Inspector-NumeroPolizas-007</v>
          </cell>
          <cell r="H35" t="str">
            <v>PM-O-GEN-Inspector-NumeroPolizas-007</v>
          </cell>
        </row>
        <row r="36">
          <cell r="G36" t="str">
            <v>PM-O-GEN-Inspector-NumeroPolizas-009-Agentes</v>
          </cell>
          <cell r="H36" t="str">
            <v>PM-O-GEN-Inspector-NumeroPolizas-009-Agentes</v>
          </cell>
        </row>
        <row r="37">
          <cell r="G37" t="str">
            <v>PM-O-GEN-Inspector-NumeroPolizas-009</v>
          </cell>
          <cell r="H37" t="str">
            <v>PM-O-GEN-Inspector-NumeroPolizas-009</v>
          </cell>
        </row>
        <row r="38">
          <cell r="F38" t="str">
            <v>PM-GEN-NumeroPolizas-998-Agentes</v>
          </cell>
          <cell r="G38" t="str">
            <v>PM-O-GEN-Inspector-NumeroPolizas-998-Agentes</v>
          </cell>
          <cell r="H38" t="str">
            <v>PM-O-GEN-Inspector-NumeroPolizas-998-Agentes</v>
          </cell>
        </row>
        <row r="39">
          <cell r="F39" t="str">
            <v>PM-GEN-NumeroPolizas-998</v>
          </cell>
          <cell r="G39" t="str">
            <v>PM-O-GEN-Inspector-NumeroPolizas-998</v>
          </cell>
          <cell r="H39" t="str">
            <v>PM-O-GEN-Inspector-NumeroPolizas-998</v>
          </cell>
        </row>
        <row r="40">
          <cell r="F40" t="str">
            <v>SM-RPP-Inspector-NumeroPolizas-001-Propia</v>
          </cell>
          <cell r="G40" t="str">
            <v>SM-O-GEN-Inspector-NumeroPolizas-001-TotalMes</v>
          </cell>
          <cell r="H40" t="str">
            <v>SM-O-GEN-Inspector-NumeroPolizas-001-Propia</v>
          </cell>
        </row>
        <row r="41">
          <cell r="F41" t="str">
            <v>SM-RPP-Inspector-NumeroPolizas-001-Agentes</v>
          </cell>
          <cell r="G41" t="str">
            <v>SM-O-GEN-Inspector-NumeroPolizas-001-TotalMes</v>
          </cell>
          <cell r="H41" t="str">
            <v>SM-O-GEN-Inspector-NumeroPolizas-001-Agentes</v>
          </cell>
        </row>
        <row r="42">
          <cell r="F42" t="str">
            <v>SM-RPP-Inspector-NumeroPolizas-001-TotalMes</v>
          </cell>
          <cell r="G42" t="str">
            <v>SM-O-GEN-Inspector-NumeroPolizas-001-TotalMes</v>
          </cell>
          <cell r="H42" t="str">
            <v>SM-O-GEN-Inspector-NumeroPolizas-001-TotalMes</v>
          </cell>
        </row>
        <row r="43">
          <cell r="F43" t="str">
            <v>SM-RPP-Inspector-NumeroPolizas-002-Propia</v>
          </cell>
          <cell r="G43" t="str">
            <v>SM-O-GEN-Inspector-NumeroPolizas-002-TotalMes</v>
          </cell>
          <cell r="H43" t="str">
            <v>SM-O-GEN-Inspector-NumeroPolizas-002-Propia</v>
          </cell>
        </row>
        <row r="44">
          <cell r="F44" t="str">
            <v>SM-RPP-Inspector-NumeroPolizas-002-Agentes</v>
          </cell>
          <cell r="G44" t="str">
            <v>SM-O-GEN-Inspector-NumeroPolizas-002-TotalMes</v>
          </cell>
          <cell r="H44" t="str">
            <v>SM-O-GEN-Inspector-NumeroPolizas-002-Agentes</v>
          </cell>
        </row>
        <row r="45">
          <cell r="F45" t="str">
            <v>SM-RPP-Inspector-NumeroPolizas-002-TotalMes</v>
          </cell>
          <cell r="G45" t="str">
            <v>SM-O-GEN-Inspector-NumeroPolizas-002-TotalMes</v>
          </cell>
          <cell r="H45" t="str">
            <v>SM-O-GEN-Inspector-NumeroPolizas-002-TotalMes</v>
          </cell>
        </row>
        <row r="46">
          <cell r="G46" t="str">
            <v>SM-O-GEN-Inspector-NumeroPolizas-003-TotalMes</v>
          </cell>
          <cell r="H46" t="str">
            <v>SM-O-GEN-Inspector-NumeroPolizas-003-TotalMes</v>
          </cell>
        </row>
        <row r="47">
          <cell r="G47" t="str">
            <v>SM-O-GEN-Inspector-NumeroPolizas-004-TotalMes</v>
          </cell>
          <cell r="H47" t="str">
            <v>SM-O-GEN-Inspector-NumeroPolizas-004-TotalMes</v>
          </cell>
        </row>
        <row r="48">
          <cell r="G48" t="str">
            <v>SM-O-GEN-Inspector-NumeroPolizas-005-TotalMes</v>
          </cell>
          <cell r="H48" t="str">
            <v>SM-O-GEN-Inspector-NumeroPolizas-005-TotalMes</v>
          </cell>
        </row>
        <row r="49">
          <cell r="G49" t="str">
            <v>SM-O-GEN-Inspector-NumeroPolizas-006-TotalMes</v>
          </cell>
          <cell r="H49" t="str">
            <v>SM-O-GEN-Inspector-NumeroPolizas-006-TotalMes</v>
          </cell>
        </row>
        <row r="50">
          <cell r="G50" t="str">
            <v>SM-O-GEN-Inspector-NumeroPolizas-007-TotalMes</v>
          </cell>
          <cell r="H50" t="str">
            <v>SM-O-GEN-Inspector-NumeroPolizas-007-TotalMes</v>
          </cell>
        </row>
        <row r="51">
          <cell r="G51" t="str">
            <v>SM-O-GEN-Inspector-NumeroPolizas-009-TotalMes</v>
          </cell>
          <cell r="H51" t="str">
            <v>SM-O-GEN-Inspector-NumeroPolizas-009-TotalMes</v>
          </cell>
        </row>
        <row r="52">
          <cell r="F52" t="str">
            <v>SM-RPP-Inspector-NumeroPolizas-998-Propia</v>
          </cell>
          <cell r="G52" t="str">
            <v>SM-O-GEN-Inspector-NumeroPolizas-998-TotalMes</v>
          </cell>
          <cell r="H52" t="str">
            <v>SM-O-GEN-Inspector-NumeroPolizas-998-Propia</v>
          </cell>
        </row>
        <row r="53">
          <cell r="F53" t="str">
            <v>SM-RPP-Inspector-NumeroPolizas-998-Agentes</v>
          </cell>
          <cell r="G53" t="str">
            <v>SM-O-GEN-Inspector-NumeroPolizas-998-TotalMes</v>
          </cell>
          <cell r="H53" t="str">
            <v>SM-O-GEN-Inspector-NumeroPolizas-998-Agentes</v>
          </cell>
        </row>
        <row r="54">
          <cell r="F54" t="str">
            <v>SM-RPP-Inspector-NumeroPolizas-998-TotalMes</v>
          </cell>
          <cell r="G54" t="str">
            <v>SM-O-GEN-Inspector-NumeroPolizas-998-TotalMes</v>
          </cell>
          <cell r="H54" t="str">
            <v>SM-O-GEN-Inspector-NumeroPolizas-998-TotalMes</v>
          </cell>
        </row>
        <row r="55">
          <cell r="F55" t="str">
            <v>DC-RPP-Inspector-PrimaCorregida</v>
          </cell>
          <cell r="G55" t="str">
            <v>DC-O-GEN-Inspector-PrimaCorregida-998</v>
          </cell>
          <cell r="H55" t="str">
            <v>DC-O-GEN-Inspector-PrimaCorregida-998</v>
          </cell>
        </row>
        <row r="56">
          <cell r="F56" t="str">
            <v>IC-RPP-Inspector-PrimaCorregida</v>
          </cell>
          <cell r="G56" t="str">
            <v>IC-O-GEN-Inspector-PrimaCorregida-998</v>
          </cell>
          <cell r="H56" t="str">
            <v>IC-O-GEN-Inspector-PrimaCorregida-998</v>
          </cell>
        </row>
        <row r="57">
          <cell r="F57" t="str">
            <v>PM-RPP-Inspector-PrimaCorregida-Agentes</v>
          </cell>
          <cell r="G57" t="str">
            <v>PM-O-GEN-Inspector-PrimaCorregida-998-Agentes</v>
          </cell>
          <cell r="H57" t="str">
            <v>PM-O-GEN-Inspector-PrimaCorregida-998-Agentes</v>
          </cell>
        </row>
        <row r="58">
          <cell r="G58" t="str">
            <v>PM-O-GEN-Inspector-PrimaCorregida-998-Agentes</v>
          </cell>
          <cell r="H58" t="str">
            <v>PM-O-GEN-Inspector-Prima-998-Agentes</v>
          </cell>
        </row>
        <row r="59">
          <cell r="F59" t="str">
            <v>PM-RPP-Inspector-PrimaCorregida</v>
          </cell>
          <cell r="G59" t="str">
            <v>PM-O-GEN-Inspector-PrimaCorregida-998</v>
          </cell>
          <cell r="H59" t="str">
            <v>PM-O-GEN-Inspector-PrimaCorregida-998</v>
          </cell>
        </row>
        <row r="60">
          <cell r="G60" t="str">
            <v>PM-O-GEN-Inspector-PrimaCorregida-998</v>
          </cell>
          <cell r="H60" t="str">
            <v>PM-O-GEN-Inspector-Prima-998</v>
          </cell>
        </row>
        <row r="61">
          <cell r="F61" t="str">
            <v>PM-O-GEN-Inspector-PrimaCorregida-001-Agentes</v>
          </cell>
          <cell r="G61" t="str">
            <v>PM-O-GEN-Inspector-PrimaCorregida-001-Agentes</v>
          </cell>
          <cell r="H61" t="str">
            <v>PM-O-GEN-Inspector-PrimaCorregida-001-Agentes</v>
          </cell>
        </row>
        <row r="62">
          <cell r="G62" t="str">
            <v>PM-O-GEN-Inspector-PrimaCorregida-001-Agentes</v>
          </cell>
          <cell r="H62" t="str">
            <v>PM-O-GEN-Inspector-Prima-001-Agentes</v>
          </cell>
        </row>
        <row r="63">
          <cell r="F63" t="str">
            <v>PM-O-GEN-Inspector-PrimaCorregida-001</v>
          </cell>
          <cell r="G63" t="str">
            <v>PM-O-GEN-Inspector-PrimaCorregida-001</v>
          </cell>
          <cell r="H63" t="str">
            <v>PM-O-GEN-Inspector-PrimaCorregida-001</v>
          </cell>
        </row>
        <row r="64">
          <cell r="G64" t="str">
            <v>PM-O-GEN-Inspector-PrimaCorregida-001</v>
          </cell>
          <cell r="H64" t="str">
            <v>PM-O-GEN-Inspector-Prima-001</v>
          </cell>
        </row>
        <row r="65">
          <cell r="F65" t="str">
            <v>PM-O-GEN-Inspector-PrimaCorregida-002-Agentes</v>
          </cell>
          <cell r="G65" t="str">
            <v>PM-O-GEN-Inspector-PrimaCorregida-002-Agentes</v>
          </cell>
          <cell r="H65" t="str">
            <v>PM-O-GEN-Inspector-PrimaCorregida-002-Agentes</v>
          </cell>
        </row>
        <row r="66">
          <cell r="G66" t="str">
            <v>PM-O-GEN-Inspector-PrimaCorregida-002-Agentes</v>
          </cell>
          <cell r="H66" t="str">
            <v>PM-O-GEN-Inspector-Prima-002-Agentes</v>
          </cell>
        </row>
        <row r="67">
          <cell r="F67" t="str">
            <v>PM-O-GEN-Inspector-PrimaCorregida-002</v>
          </cell>
          <cell r="G67" t="str">
            <v>PM-O-GEN-Inspector-PrimaCorregida-002</v>
          </cell>
          <cell r="H67" t="str">
            <v>PM-O-GEN-Inspector-PrimaCorregida-002</v>
          </cell>
        </row>
        <row r="68">
          <cell r="G68" t="str">
            <v>PM-O-GEN-Inspector-PrimaCorregida-002</v>
          </cell>
          <cell r="H68" t="str">
            <v>PM-O-GEN-Inspector-Prima-002</v>
          </cell>
        </row>
        <row r="69">
          <cell r="F69" t="str">
            <v>PM-O-GEN-Inspector-PrimaCorregida-003-Agentes</v>
          </cell>
          <cell r="G69" t="str">
            <v>PM-O-GEN-Inspector-PrimaCorregida-003-Agentes</v>
          </cell>
          <cell r="H69" t="str">
            <v>PM-O-GEN-Inspector-PrimaCorregida-003-Agentes</v>
          </cell>
        </row>
        <row r="70">
          <cell r="G70" t="str">
            <v>PM-O-GEN-Inspector-PrimaCorregida-003-Agentes</v>
          </cell>
          <cell r="H70" t="str">
            <v>PM-O-GEN-Inspector-Prima-003-Agentes</v>
          </cell>
        </row>
        <row r="71">
          <cell r="F71" t="str">
            <v>PM-O-GEN-Inspector-PrimaCorregida-003</v>
          </cell>
          <cell r="G71" t="str">
            <v>PM-O-GEN-Inspector-PrimaCorregida-003</v>
          </cell>
          <cell r="H71" t="str">
            <v>PM-O-GEN-Inspector-PrimaCorregida-003</v>
          </cell>
        </row>
        <row r="72">
          <cell r="G72" t="str">
            <v>PM-O-GEN-Inspector-PrimaCorregida-003</v>
          </cell>
          <cell r="H72" t="str">
            <v>PM-O-GEN-Inspector-Prima-003</v>
          </cell>
        </row>
        <row r="73">
          <cell r="F73" t="str">
            <v>PM-O-GEN-Inspector-PrimaCorregida-004-Agentes</v>
          </cell>
          <cell r="G73" t="str">
            <v>PM-O-GEN-Inspector-PrimaCorregida-004-Agentes</v>
          </cell>
          <cell r="H73" t="str">
            <v>PM-O-GEN-Inspector-PrimaCorregida-004-Agentes</v>
          </cell>
        </row>
        <row r="74">
          <cell r="G74" t="str">
            <v>PM-O-GEN-Inspector-PrimaCorregida-004-Agentes</v>
          </cell>
          <cell r="H74" t="str">
            <v>PM-O-GEN-Inspector-Prima-004-Agentes</v>
          </cell>
        </row>
        <row r="75">
          <cell r="F75" t="str">
            <v>PM-O-GEN-Inspector-PrimaCorregida-004</v>
          </cell>
          <cell r="G75" t="str">
            <v>PM-O-GEN-Inspector-PrimaCorregida-004</v>
          </cell>
          <cell r="H75" t="str">
            <v>PM-O-GEN-Inspector-PrimaCorregida-004</v>
          </cell>
        </row>
        <row r="76">
          <cell r="G76" t="str">
            <v>PM-O-GEN-Inspector-PrimaCorregida-004</v>
          </cell>
          <cell r="H76" t="str">
            <v>PM-O-GEN-Inspector-Prima-004</v>
          </cell>
        </row>
        <row r="77">
          <cell r="F77" t="str">
            <v>PM-O-GEN-Inspector-PrimaCorregida-005-Agentes</v>
          </cell>
          <cell r="G77" t="str">
            <v>PM-O-GEN-Inspector-PrimaCorregida-005-Agentes</v>
          </cell>
          <cell r="H77" t="str">
            <v>PM-O-GEN-Inspector-PrimaCorregida-005-Agentes</v>
          </cell>
        </row>
        <row r="78">
          <cell r="G78" t="str">
            <v>PM-O-GEN-Inspector-PrimaCorregida-005-Agentes</v>
          </cell>
          <cell r="H78" t="str">
            <v>PM-O-GEN-Inspector-Prima-005-Agentes</v>
          </cell>
        </row>
        <row r="79">
          <cell r="F79" t="str">
            <v>PM-O-GEN-Inspector-PrimaCorregida-005</v>
          </cell>
          <cell r="G79" t="str">
            <v>PM-O-GEN-Inspector-PrimaCorregida-005</v>
          </cell>
          <cell r="H79" t="str">
            <v>PM-O-GEN-Inspector-PrimaCorregida-005</v>
          </cell>
        </row>
        <row r="80">
          <cell r="G80" t="str">
            <v>PM-O-GEN-Inspector-PrimaCorregida-005</v>
          </cell>
          <cell r="H80" t="str">
            <v>PM-O-GEN-Inspector-Prima-005</v>
          </cell>
        </row>
        <row r="81">
          <cell r="F81" t="str">
            <v>PM-O-GEN-Inspector-PrimaCorregida-006-Agentes</v>
          </cell>
          <cell r="G81" t="str">
            <v>PM-O-GEN-Inspector-PrimaCorregida-006-Agentes</v>
          </cell>
          <cell r="H81" t="str">
            <v>PM-O-GEN-Inspector-PrimaCorregida-006-Agentes</v>
          </cell>
        </row>
        <row r="82">
          <cell r="G82" t="str">
            <v>PM-O-GEN-Inspector-PrimaCorregida-006-Agentes</v>
          </cell>
          <cell r="H82" t="str">
            <v>PM-O-GEN-Inspector-Prima-006-Agentes</v>
          </cell>
        </row>
        <row r="83">
          <cell r="F83" t="str">
            <v>PM-O-GEN-Inspector-PrimaCorregida-006</v>
          </cell>
          <cell r="G83" t="str">
            <v>PM-O-GEN-Inspector-PrimaCorregida-006</v>
          </cell>
          <cell r="H83" t="str">
            <v>PM-O-GEN-Inspector-PrimaCorregida-006</v>
          </cell>
        </row>
        <row r="84">
          <cell r="G84" t="str">
            <v>PM-O-GEN-Inspector-PrimaCorregida-006</v>
          </cell>
          <cell r="H84" t="str">
            <v>PM-O-GEN-Inspector-Prima-006</v>
          </cell>
        </row>
        <row r="85">
          <cell r="F85" t="str">
            <v>PM-O-GEN-Inspector-PrimaCorregida-007-Agentes</v>
          </cell>
          <cell r="G85" t="str">
            <v>PM-O-GEN-Inspector-PrimaCorregida-007-Agentes</v>
          </cell>
          <cell r="H85" t="str">
            <v>PM-O-GEN-Inspector-PrimaCorregida-007-Agentes</v>
          </cell>
        </row>
        <row r="86">
          <cell r="G86" t="str">
            <v>PM-O-GEN-Inspector-PrimaCorregida-007-Agentes</v>
          </cell>
          <cell r="H86" t="str">
            <v>PM-O-GEN-Inspector-Prima-007-Agentes</v>
          </cell>
        </row>
        <row r="87">
          <cell r="F87" t="str">
            <v>PM-O-GEN-Inspector-PrimaCorregida-007</v>
          </cell>
          <cell r="G87" t="str">
            <v>PM-O-GEN-Inspector-PrimaCorregida-007</v>
          </cell>
          <cell r="H87" t="str">
            <v>PM-O-GEN-Inspector-PrimaCorregida-007</v>
          </cell>
        </row>
        <row r="88">
          <cell r="G88" t="str">
            <v>PM-O-GEN-Inspector-PrimaCorregida-007</v>
          </cell>
          <cell r="H88" t="str">
            <v>PM-O-GEN-Inspector-Prima-007</v>
          </cell>
        </row>
        <row r="89">
          <cell r="F89" t="str">
            <v>PM-O-GEN-Inspector-PrimaCorregida-008-Agentes</v>
          </cell>
          <cell r="G89" t="str">
            <v>PM-O-GEN-Inspector-PrimaCorregida-008-Agentes</v>
          </cell>
          <cell r="H89" t="str">
            <v>PM-O-GEN-Inspector-PrimaCorregida-008-Agentes</v>
          </cell>
        </row>
        <row r="90">
          <cell r="G90" t="str">
            <v>PM-O-GEN-Inspector-PrimaCorregida-008-Agentes</v>
          </cell>
          <cell r="H90" t="str">
            <v>PM-O-GEN-Inspector-Prima-008-Agentes</v>
          </cell>
        </row>
        <row r="91">
          <cell r="F91" t="str">
            <v>PM-O-GEN-Inspector-PrimaCorregida-008</v>
          </cell>
          <cell r="G91" t="str">
            <v>PM-O-GEN-Inspector-PrimaCorregida-008</v>
          </cell>
          <cell r="H91" t="str">
            <v>PM-O-GEN-Inspector-PrimaCorregida-008</v>
          </cell>
        </row>
        <row r="92">
          <cell r="G92" t="str">
            <v>PM-O-GEN-Inspector-PrimaCorregida-008</v>
          </cell>
          <cell r="H92" t="str">
            <v>PM-O-GEN-Inspector-Prima-008</v>
          </cell>
        </row>
        <row r="93">
          <cell r="F93" t="str">
            <v>PM-O-GEN-Inspector-PrimaCorregida-009-Agentes</v>
          </cell>
          <cell r="G93" t="str">
            <v>PM-O-GEN-Inspector-PrimaCorregida-009-Agentes</v>
          </cell>
          <cell r="H93" t="str">
            <v>PM-O-GEN-Inspector-PrimaCorregida-009-Agentes</v>
          </cell>
        </row>
        <row r="94">
          <cell r="G94" t="str">
            <v>PM-O-GEN-Inspector-PrimaCorregida-009-Agentes</v>
          </cell>
          <cell r="H94" t="str">
            <v>PM-O-GEN-Inspector-Prima-009-Agentes</v>
          </cell>
        </row>
        <row r="95">
          <cell r="F95" t="str">
            <v>PM-O-GEN-Inspector-PrimaCorregida-009</v>
          </cell>
          <cell r="G95" t="str">
            <v>PM-O-GEN-Inspector-PrimaCorregida-009</v>
          </cell>
          <cell r="H95" t="str">
            <v>PM-O-GEN-Inspector-PrimaCorregida-009</v>
          </cell>
        </row>
        <row r="96">
          <cell r="G96" t="str">
            <v>PM-O-GEN-Inspector-PrimaCorregida-009</v>
          </cell>
          <cell r="H96" t="str">
            <v>PM-O-GEN-Inspector-Prima-009</v>
          </cell>
        </row>
        <row r="97">
          <cell r="F97" t="str">
            <v>PM-O-GEN-Inspector-PrimaCorregida-997-Agentes</v>
          </cell>
          <cell r="G97" t="str">
            <v>PM-O-GEN-Inspector-PrimaCorregida-997-Agentes</v>
          </cell>
          <cell r="H97" t="str">
            <v>PM-O-GEN-Inspector-PrimaCorregida-997-Agentes</v>
          </cell>
        </row>
        <row r="98">
          <cell r="G98" t="str">
            <v>PM-O-GEN-Inspector-PrimaCorregida-997-Agentes</v>
          </cell>
          <cell r="H98" t="str">
            <v>PM-O-GEN-Inspector-Prima-997-Agentes</v>
          </cell>
        </row>
        <row r="99">
          <cell r="F99" t="str">
            <v>PM-O-GEN-Inspector-PrimaCorregida-997</v>
          </cell>
          <cell r="G99" t="str">
            <v>PM-O-GEN-Inspector-PrimaCorregida-997</v>
          </cell>
          <cell r="H99" t="str">
            <v>PM-O-GEN-Inspector-PrimaCorregida-997</v>
          </cell>
        </row>
        <row r="100">
          <cell r="G100" t="str">
            <v>PM-O-GEN-Inspector-PrimaCorregida-997</v>
          </cell>
          <cell r="H100" t="str">
            <v>PM-O-GEN-Inspector-Prima-997</v>
          </cell>
        </row>
        <row r="101">
          <cell r="F101" t="str">
            <v>SM-O-GEN-Inspector-PrimaCorregida-001-TotalMes</v>
          </cell>
          <cell r="G101" t="str">
            <v>SM-O-GEN-Inspector-PrimaCorregida-001-TotalMes</v>
          </cell>
          <cell r="H101" t="str">
            <v>SM-O-GEN-Inspector-PrimaCorregida-001-TotalMes</v>
          </cell>
        </row>
        <row r="102">
          <cell r="G102" t="str">
            <v>SM-O-GEN-Inspector-PrimaCorregida-001-TotalMes</v>
          </cell>
          <cell r="H102" t="str">
            <v>SM-O-GEN-Inspector-Prima-001-TotalMes</v>
          </cell>
        </row>
        <row r="103">
          <cell r="F103" t="str">
            <v>SM-O-GEN-Inspector-PrimaCorregida-002-TotalMes</v>
          </cell>
          <cell r="G103" t="str">
            <v>SM-O-GEN-Inspector-PrimaCorregida-002-TotalMes</v>
          </cell>
          <cell r="H103" t="str">
            <v>SM-O-GEN-Inspector-PrimaCorregida-002-TotalMes</v>
          </cell>
        </row>
        <row r="104">
          <cell r="G104" t="str">
            <v>SM-O-GEN-Inspector-PrimaCorregida-002-TotalMes</v>
          </cell>
          <cell r="H104" t="str">
            <v>SM-O-GEN-Inspector-Prima-002-TotalMes</v>
          </cell>
        </row>
        <row r="105">
          <cell r="F105" t="str">
            <v>SM-O-GEN-Inspector-PrimaCorregida-003-TotalMes</v>
          </cell>
          <cell r="G105" t="str">
            <v>SM-O-GEN-Inspector-PrimaCorregida-003-TotalMes</v>
          </cell>
          <cell r="H105" t="str">
            <v>SM-O-GEN-Inspector-PrimaCorregida-003-TotalMes</v>
          </cell>
        </row>
        <row r="106">
          <cell r="G106" t="str">
            <v>SM-O-GEN-Inspector-PrimaCorregida-003-TotalMes</v>
          </cell>
          <cell r="H106" t="str">
            <v>SM-O-GEN-Inspector-Prima-003-TotalMes</v>
          </cell>
        </row>
        <row r="107">
          <cell r="F107" t="str">
            <v>SM-O-GEN-Inspector-PrimaCorregida-004-TotalMes</v>
          </cell>
          <cell r="G107" t="str">
            <v>SM-O-GEN-Inspector-PrimaCorregida-004-TotalMes</v>
          </cell>
          <cell r="H107" t="str">
            <v>SM-O-GEN-Inspector-PrimaCorregida-004-TotalMes</v>
          </cell>
        </row>
        <row r="108">
          <cell r="G108" t="str">
            <v>SM-O-GEN-Inspector-PrimaCorregida-004-TotalMes</v>
          </cell>
          <cell r="H108" t="str">
            <v>SM-O-GEN-Inspector-Prima-004-TotalMes</v>
          </cell>
        </row>
        <row r="109">
          <cell r="F109" t="str">
            <v>SM-O-GEN-Inspector-PrimaCorregida-005-TotalMes</v>
          </cell>
          <cell r="G109" t="str">
            <v>SM-O-GEN-Inspector-PrimaCorregida-005-TotalMes</v>
          </cell>
          <cell r="H109" t="str">
            <v>SM-O-GEN-Inspector-PrimaCorregida-005-TotalMes</v>
          </cell>
        </row>
        <row r="110">
          <cell r="G110" t="str">
            <v>SM-O-GEN-Inspector-PrimaCorregida-005-TotalMes</v>
          </cell>
          <cell r="H110" t="str">
            <v>SM-O-GEN-Inspector-Prima-005-TotalMes</v>
          </cell>
        </row>
        <row r="111">
          <cell r="F111" t="str">
            <v>SM-O-GEN-Inspector-PrimaCorregida-006-TotalMes</v>
          </cell>
          <cell r="G111" t="str">
            <v>SM-O-GEN-Inspector-PrimaCorregida-006-TotalMes</v>
          </cell>
          <cell r="H111" t="str">
            <v>SM-O-GEN-Inspector-PrimaCorregida-006-TotalMes</v>
          </cell>
        </row>
        <row r="112">
          <cell r="G112" t="str">
            <v>SM-O-GEN-Inspector-PrimaCorregida-006-TotalMes</v>
          </cell>
          <cell r="H112" t="str">
            <v>SM-O-GEN-Inspector-Prima-006-TotalMes</v>
          </cell>
        </row>
        <row r="113">
          <cell r="F113" t="str">
            <v>SM-O-GEN-Inspector-PrimaCorregida-007-TotalMes</v>
          </cell>
          <cell r="G113" t="str">
            <v>SM-O-GEN-Inspector-PrimaCorregida-007-TotalMes</v>
          </cell>
          <cell r="H113" t="str">
            <v>SM-O-GEN-Inspector-PrimaCorregida-007-TotalMes</v>
          </cell>
        </row>
        <row r="114">
          <cell r="G114" t="str">
            <v>SM-O-GEN-Inspector-PrimaCorregida-007-TotalMes</v>
          </cell>
          <cell r="H114" t="str">
            <v>SM-O-GEN-Inspector-Prima-007-TotalMes</v>
          </cell>
        </row>
        <row r="115">
          <cell r="F115" t="str">
            <v>SM-O-GEN-Inspector-PrimaCorregida-008-TotalMes</v>
          </cell>
          <cell r="G115" t="str">
            <v>SM-O-GEN-Inspector-PrimaCorregida-008-TotalMes</v>
          </cell>
          <cell r="H115" t="str">
            <v>SM-O-GEN-Inspector-PrimaCorregida-008-TotalMes</v>
          </cell>
        </row>
        <row r="116">
          <cell r="G116" t="str">
            <v>SM-O-GEN-Inspector-PrimaCorregida-008-TotalMes</v>
          </cell>
          <cell r="H116" t="str">
            <v>SM-O-GEN-Inspector-Prima-008-TotalMes</v>
          </cell>
        </row>
        <row r="117">
          <cell r="F117" t="str">
            <v>SM-O-GEN-Inspector-PrimaCorregida-009-TotalMes</v>
          </cell>
          <cell r="G117" t="str">
            <v>SM-O-GEN-Inspector-PrimaCorregida-009-TotalMes</v>
          </cell>
          <cell r="H117" t="str">
            <v>SM-O-GEN-Inspector-PrimaCorregida-009-TotalMes</v>
          </cell>
        </row>
        <row r="118">
          <cell r="G118" t="str">
            <v>SM-O-GEN-Inspector-PrimaCorregida-009-TotalMes</v>
          </cell>
          <cell r="H118" t="str">
            <v>SM-O-GEN-Inspector-Prima-009-TotalMes</v>
          </cell>
        </row>
        <row r="119">
          <cell r="F119" t="str">
            <v>SM-O-GEN-Inspector-PrimaCorregida-997-TotalMes</v>
          </cell>
          <cell r="G119" t="str">
            <v>SM-O-GEN-Inspector-PrimaCorregida-997-TotalMes</v>
          </cell>
          <cell r="H119" t="str">
            <v>SM-O-GEN-Inspector-PrimaCorregida-997-TotalMes</v>
          </cell>
        </row>
        <row r="120">
          <cell r="G120" t="str">
            <v>SM-O-GEN-Inspector-PrimaCorregida-997-TotalMes</v>
          </cell>
          <cell r="H120" t="str">
            <v>SM-O-GEN-Inspector-Prima-997-TotalMes</v>
          </cell>
        </row>
        <row r="121">
          <cell r="F121" t="str">
            <v>SM-O-GEN-Inspector-PrimaCorregida-998-TotalMes</v>
          </cell>
          <cell r="G121" t="str">
            <v>SM-O-GEN-Inspector-PrimaCorregida-998-TotalMes</v>
          </cell>
          <cell r="H121" t="str">
            <v>SM-O-GEN-Inspector-PrimaCorregida-998-TotalMes</v>
          </cell>
        </row>
        <row r="122">
          <cell r="G122" t="str">
            <v>SM-O-GEN-Inspector-PrimaCorregida-998-TotalMes</v>
          </cell>
          <cell r="H122" t="str">
            <v>SM-O-GEN-Inspector-Prima-998-TotalMes</v>
          </cell>
        </row>
        <row r="123">
          <cell r="G123" t="str">
            <v>DC-O-GEN-Agente-NumeroPolizas-005</v>
          </cell>
          <cell r="H123" t="str">
            <v>DC-O-GEN-Agente-NumeroPolizas-005</v>
          </cell>
        </row>
        <row r="124">
          <cell r="G124" t="str">
            <v>PM-O-GEN-Agente-NumeroPolizas-005</v>
          </cell>
          <cell r="H124" t="str">
            <v>PM-O-GEN-Agente-NumeroPolizas-005</v>
          </cell>
        </row>
        <row r="125">
          <cell r="F125" t="str">
            <v>PM-O-RPP-Agente-NumeroPolizas-005-SINCC</v>
          </cell>
          <cell r="G125" t="str">
            <v>PM-O-GEN-Agente-NumeroPolizas-005-SINCC</v>
          </cell>
          <cell r="H125" t="str">
            <v>PM-O-GEN-Agente-NumeroPolizas-005-SINCC</v>
          </cell>
        </row>
        <row r="126">
          <cell r="F126" t="str">
            <v>PM-O-RPP-Agente-NumeroPolizas-001</v>
          </cell>
          <cell r="G126" t="str">
            <v>PM-O-GEN-Agente-NumeroPolizas-001</v>
          </cell>
          <cell r="H126" t="str">
            <v>PM-O-GEN-Agente-NumeroPolizas-001</v>
          </cell>
        </row>
        <row r="127">
          <cell r="G127" t="str">
            <v>PM-O-GEN-Agente-NumeroPolizas-001</v>
          </cell>
          <cell r="H127" t="str">
            <v>PM-O-GEN-Agente-NumeroPolizasCorregidas-001</v>
          </cell>
        </row>
        <row r="128">
          <cell r="F128" t="str">
            <v>PM-O-RPP-Agente-NumeroPolizas-002</v>
          </cell>
          <cell r="G128" t="str">
            <v>PM-O-GEN-Agente-NumeroPolizas-002</v>
          </cell>
          <cell r="H128" t="str">
            <v>PM-O-GEN-Agente-NumeroPolizas-002</v>
          </cell>
        </row>
        <row r="129">
          <cell r="G129" t="str">
            <v>PM-O-GEN-Agente-NumeroPolizas-002</v>
          </cell>
          <cell r="H129" t="str">
            <v>PM-O-GEN-Agente-NumeroPolizasCorregidas-002</v>
          </cell>
        </row>
        <row r="130">
          <cell r="F130" t="str">
            <v>PM-O-RPP-Agente-NumeroPolizas-003</v>
          </cell>
          <cell r="G130" t="str">
            <v>PM-O-GEN-Agente-NumeroPolizas-003</v>
          </cell>
          <cell r="H130" t="str">
            <v>PM-O-GEN-Agente-NumeroPolizas-003</v>
          </cell>
        </row>
        <row r="131">
          <cell r="G131" t="str">
            <v>PM-O-GEN-Agente-NumeroPolizas-003</v>
          </cell>
          <cell r="H131" t="str">
            <v>PM-O-GEN-Agente-NumeroPolizasCorregidas-003</v>
          </cell>
        </row>
        <row r="132">
          <cell r="F132" t="str">
            <v>PM-O-RPP-Agente-NumeroPolizas-004</v>
          </cell>
          <cell r="G132" t="str">
            <v>PM-O-GEN-Agente-NumeroPolizas-004</v>
          </cell>
          <cell r="H132" t="str">
            <v>PM-O-GEN-Agente-NumeroPolizas-004</v>
          </cell>
        </row>
        <row r="133">
          <cell r="G133" t="str">
            <v>PM-O-GEN-Agente-NumeroPolizas-004</v>
          </cell>
          <cell r="H133" t="str">
            <v>PM-O-GEN-Agente-NumeroPolizasCorregidas-004</v>
          </cell>
        </row>
        <row r="134">
          <cell r="F134" t="str">
            <v>PM-O-RPP-Agente-NumeroPolizas-998-Total-Productos</v>
          </cell>
          <cell r="G134" t="str">
            <v>PM-O-GEN-Agente-NumeroPolizas-998</v>
          </cell>
          <cell r="H134" t="str">
            <v>PM-O-GEN-Agente-NumeroPolizas-998</v>
          </cell>
        </row>
        <row r="135">
          <cell r="G135" t="str">
            <v>PM-O-GEN-Agente-NumeroPolizas-998</v>
          </cell>
          <cell r="H135" t="str">
            <v>PM-O-GEN-Agente-NumeroPolizasCorregidas-998</v>
          </cell>
        </row>
        <row r="136">
          <cell r="F136" t="str">
            <v>PM-O-RPP-Agente-NumeroPolizas-997</v>
          </cell>
          <cell r="G136" t="str">
            <v>PM-O-GEN-Agente-NumeroPolizas-997</v>
          </cell>
          <cell r="H136" t="str">
            <v>PM-O-GEN-Agente-NumeroPolizas-997</v>
          </cell>
        </row>
        <row r="137">
          <cell r="G137" t="str">
            <v>PM-O-GEN-Agente-NumeroPolizas-997</v>
          </cell>
          <cell r="H137" t="str">
            <v>PM-O-GEN-Agente-NumeroPolizasCorregidas-997</v>
          </cell>
        </row>
        <row r="138">
          <cell r="G138" t="str">
            <v>DC-O-GEN-Agente-Prima-001</v>
          </cell>
          <cell r="H138" t="str">
            <v>DC-O-GEN-Agente-Prima-001</v>
          </cell>
        </row>
        <row r="139">
          <cell r="G139" t="str">
            <v>DC-O-GEN-Agente-Prima-002</v>
          </cell>
          <cell r="H139" t="str">
            <v>DC-O-GEN-Agente-Prima-002</v>
          </cell>
        </row>
        <row r="140">
          <cell r="G140" t="str">
            <v>DC-O-GEN-Agente-Prima-003</v>
          </cell>
          <cell r="H140" t="str">
            <v>DC-O-GEN-Agente-Prima-003</v>
          </cell>
        </row>
        <row r="141">
          <cell r="G141" t="str">
            <v>DC-O-GEN-Agente-Prima-004</v>
          </cell>
          <cell r="H141" t="str">
            <v>DC-O-GEN-Agente-Prima-004</v>
          </cell>
        </row>
        <row r="142">
          <cell r="G142" t="str">
            <v>DC-O-GEN-Agente-Prima-005</v>
          </cell>
          <cell r="H142" t="str">
            <v>DC-O-GEN-Agente-Prima-005</v>
          </cell>
        </row>
        <row r="143">
          <cell r="G143" t="str">
            <v>PM-O-GEN-Agente-Prima-001</v>
          </cell>
          <cell r="H143" t="str">
            <v>PM-O-GEN-Agente-Prima-001</v>
          </cell>
        </row>
        <row r="144">
          <cell r="G144" t="str">
            <v>PM-O-GEN-Agente-Prima-002</v>
          </cell>
          <cell r="H144" t="str">
            <v>PM-O-GEN-Agente-Prima-002</v>
          </cell>
        </row>
        <row r="145">
          <cell r="G145" t="str">
            <v>PM-O-GEN-Agente-Prima-003</v>
          </cell>
          <cell r="H145" t="str">
            <v>PM-O-GEN-Agente-Prima-003</v>
          </cell>
        </row>
        <row r="146">
          <cell r="G146" t="str">
            <v>PM-O-GEN-Agente-Prima-004</v>
          </cell>
          <cell r="H146" t="str">
            <v>PM-O-GEN-Agente-Prima-004</v>
          </cell>
        </row>
        <row r="147">
          <cell r="G147" t="str">
            <v>PM-O-GEN-Agente-Prima-005</v>
          </cell>
          <cell r="H147" t="str">
            <v>PM-O-GEN-Agente-Prima-005</v>
          </cell>
        </row>
        <row r="148">
          <cell r="G148" t="str">
            <v>PM-O-GEN-Agente-Prima-997</v>
          </cell>
          <cell r="H148" t="str">
            <v>PM-O-GEN-Agente-Prima-997</v>
          </cell>
        </row>
        <row r="149">
          <cell r="F149" t="str">
            <v>PM-O-RPP-Agente-Prima-998</v>
          </cell>
          <cell r="G149" t="str">
            <v>PM-O-GEN-Agente-Prima-998</v>
          </cell>
          <cell r="H149" t="str">
            <v>PM-O-GEN-Agente-Prima-998</v>
          </cell>
        </row>
        <row r="150">
          <cell r="F150" t="str">
            <v>SM-RPP-Inspector-PrimaCorregida-Propia</v>
          </cell>
          <cell r="G150" t="str">
            <v>SM-O-GEN-Inspector-PrimaCorregida-998-TotalMes</v>
          </cell>
          <cell r="H150" t="str">
            <v>SM-O-GEN-Inspector-PrimaCorregida-998-Propia</v>
          </cell>
        </row>
        <row r="151">
          <cell r="F151" t="str">
            <v>SM-RPP-Inspector-PrimaCorregida-Agentes</v>
          </cell>
          <cell r="G151" t="str">
            <v>SM-O-GEN-Inspector-PrimaCorregida-998-TotalMes</v>
          </cell>
          <cell r="H151" t="str">
            <v>SM-O-GEN-Inspector-PrimaCorregida-998-Agentes</v>
          </cell>
        </row>
        <row r="152">
          <cell r="F152" t="str">
            <v>SM-RPP-Inspector-PrimaCorregida-TotalMes</v>
          </cell>
          <cell r="G152" t="str">
            <v>SM-O-GEN-Inspector-PrimaCorregida-998-TotalMes</v>
          </cell>
          <cell r="H152" t="str">
            <v>SM-O-GEN-Inspector-PrimaCorregida-998-TotalMes</v>
          </cell>
        </row>
        <row r="153">
          <cell r="G153" t="str">
            <v>SM-O-GEN-Inspector-PrimaCorregida-998-TotalMes</v>
          </cell>
          <cell r="H153" t="str">
            <v>SM-O-GEN-Inspector-Prima-998-TotalMes</v>
          </cell>
        </row>
        <row r="154">
          <cell r="F154" t="str">
            <v>DC-GEN-NumeroPolizas-906</v>
          </cell>
          <cell r="G154" t="str">
            <v>DC-O-GEN-Inspector-NumeroPolizas-906</v>
          </cell>
          <cell r="H154" t="str">
            <v>DC-O-GEN-Inspector-NumeroPolizas-906</v>
          </cell>
        </row>
        <row r="155">
          <cell r="F155" t="str">
            <v>IC-GEN-NumeroPolizas-906</v>
          </cell>
          <cell r="G155" t="str">
            <v>IC-O-GEN-Inspector-NumeroPolizas-906</v>
          </cell>
          <cell r="H155" t="str">
            <v>IC-O-GEN-Inspector-NumeroPolizas-906</v>
          </cell>
        </row>
        <row r="156">
          <cell r="F156" t="str">
            <v>PM-GEN-NumeroPolizas-906</v>
          </cell>
          <cell r="G156" t="str">
            <v>PM-O-GEN-Inspector-NumeroPolizas-906</v>
          </cell>
          <cell r="H156" t="str">
            <v>PM-O-GEN-Inspector-NumeroPolizas-906</v>
          </cell>
        </row>
        <row r="157">
          <cell r="F157" t="str">
            <v>PM-GEN-NumeroPolizas-906-Agentes</v>
          </cell>
          <cell r="G157" t="str">
            <v>PM-O-GEN-Inspector-NumeroPolizas-906-Agentes</v>
          </cell>
          <cell r="H157" t="str">
            <v>PM-O-GEN-Inspector-NumeroPolizas-906-Agentes</v>
          </cell>
        </row>
        <row r="158">
          <cell r="F158" t="str">
            <v>SM-O-RPP-Agente-NumeroPolizas-001-Total-Mes</v>
          </cell>
          <cell r="G158" t="str">
            <v>SM-O-GEN-Agente-NumeroPolizas-001-TotalMes</v>
          </cell>
          <cell r="H158" t="str">
            <v>SM-O-GEN-Agente-NumeroPolizas-001-TotalMes</v>
          </cell>
        </row>
        <row r="159">
          <cell r="G159" t="str">
            <v>SM-O-GEN-Agente-NumeroPolizas-001-TotalMes</v>
          </cell>
          <cell r="H159" t="str">
            <v>SM-O-GEN-Agente-NumeroPolizasCorregidas-001-TotalMes</v>
          </cell>
        </row>
        <row r="160">
          <cell r="F160" t="str">
            <v>SM-O-RPP-Agente-NumeroPolizas-002-Total-Mes</v>
          </cell>
          <cell r="G160" t="str">
            <v>SM-O-GEN-Agente-NumeroPolizas-002-TotalMes</v>
          </cell>
          <cell r="H160" t="str">
            <v>SM-O-GEN-Agente-NumeroPolizas-002-TotalMes</v>
          </cell>
        </row>
        <row r="161">
          <cell r="G161" t="str">
            <v>SM-O-GEN-Agente-NumeroPolizas-002-TotalMes</v>
          </cell>
          <cell r="H161" t="str">
            <v>SM-O-GEN-Agente-NumeroPolizasCorregidas-002-TotalMes</v>
          </cell>
        </row>
        <row r="162">
          <cell r="F162" t="str">
            <v>SM-O-RPP-Agente-NumeroPolizas-003-Total-Mes</v>
          </cell>
          <cell r="G162" t="str">
            <v>SM-O-GEN-Agente-NumeroPolizas-003-TotalMes</v>
          </cell>
          <cell r="H162" t="str">
            <v>SM-O-GEN-Agente-NumeroPolizas-003-TotalMes</v>
          </cell>
        </row>
        <row r="163">
          <cell r="G163" t="str">
            <v>SM-O-GEN-Agente-NumeroPolizas-003-TotalMes</v>
          </cell>
          <cell r="H163" t="str">
            <v>SM-O-GEN-Agente-NumeroPolizasCorregidas-003-TotalMes</v>
          </cell>
        </row>
        <row r="164">
          <cell r="F164" t="str">
            <v>SM-O-RPP-Agente-NumeroPolizas-004-Total-Mes</v>
          </cell>
          <cell r="G164" t="str">
            <v>SM-O-GEN-Agente-NumeroPolizas-004-TotalMes</v>
          </cell>
          <cell r="H164" t="str">
            <v>SM-O-GEN-Agente-NumeroPolizas-004-TotalMes</v>
          </cell>
        </row>
        <row r="165">
          <cell r="G165" t="str">
            <v>SM-O-GEN-Agente-NumeroPolizas-004-TotalMes</v>
          </cell>
          <cell r="H165" t="str">
            <v>SM-O-GEN-Agente-NumeroPolizasCorregidas-004-TotalMes</v>
          </cell>
        </row>
        <row r="166">
          <cell r="G166" t="str">
            <v>SM-O-GEN-Agente-NumeroPolizas-005-TotalMes</v>
          </cell>
          <cell r="H166" t="str">
            <v>SM-O-GEN-Agente-NumeroPolizas-005-TotalMes</v>
          </cell>
        </row>
        <row r="167">
          <cell r="G167" t="str">
            <v>SM-O-GEN-Agente-NumeroPolizas-005-TotalMes</v>
          </cell>
          <cell r="H167" t="str">
            <v>SM-O-GEN-Agente-NumeroPolizasCorregidas-005-TotalMes</v>
          </cell>
        </row>
        <row r="168">
          <cell r="F168" t="str">
            <v>SM-O-RPP-Agente-NumeroPolizas-005-SINCC-Total-Mes</v>
          </cell>
          <cell r="G168" t="str">
            <v>SM-O-GEN-Agente-NumeroPolizas-005-SINCC-TotalMes</v>
          </cell>
          <cell r="H168" t="str">
            <v>SM-O-GEN-Agente-NumeroPolizas-005-SINCC-TotalMes</v>
          </cell>
        </row>
        <row r="169">
          <cell r="F169" t="str">
            <v>SM-O-RPP-Agente-NumeroPolizas-997-Total-Mes</v>
          </cell>
          <cell r="G169" t="str">
            <v>SM-O-GEN-Agente-NumeroPolizas-997-TotalMes</v>
          </cell>
          <cell r="H169" t="str">
            <v>SM-O-GEN-Agente-NumeroPolizas-997-TotalMes</v>
          </cell>
        </row>
        <row r="170">
          <cell r="G170" t="str">
            <v>SM-O-GEN-Agente-NumeroPolizas-997-TotalMes</v>
          </cell>
          <cell r="H170" t="str">
            <v>SM-O-GEN-Agente-NumeroPolizasCorregidas-997-TotalMes</v>
          </cell>
        </row>
        <row r="171">
          <cell r="F171" t="str">
            <v>SM-O-RPP-Agente-Prima-998-Total-Mes</v>
          </cell>
          <cell r="G171" t="str">
            <v>SM-O-GEN-Agente-Prima-998-TotalMes</v>
          </cell>
          <cell r="H171" t="str">
            <v>SM-O-GEN-Agente-Prima-998-TotalMes</v>
          </cell>
        </row>
        <row r="172">
          <cell r="F172" t="str">
            <v>SM-RPP-Inspector-PrimaCorregida-TotalAnual</v>
          </cell>
          <cell r="G172" t="str">
            <v>SM-O-GEN-Inspector-PrimaCorregida-998-TotalAnual</v>
          </cell>
          <cell r="H172" t="str">
            <v>SM-O-GEN-Inspector-PrimaCorregida-998-TotalAnual</v>
          </cell>
        </row>
        <row r="173">
          <cell r="F173" t="str">
            <v>SM-RPP-Inspector-PrimaCorregida-PropiaAnual</v>
          </cell>
          <cell r="G173" t="str">
            <v>SM-O-GEN-Inspector-PrimaCorregida-998-TotalAnual</v>
          </cell>
          <cell r="H173" t="str">
            <v>SM-O-GEN-Inspector-PrimaCorregida-998-PropiaAnual</v>
          </cell>
        </row>
        <row r="174">
          <cell r="F174" t="str">
            <v>SM-RPP-Inspector-PrimaCorregida-AgentesAnual</v>
          </cell>
          <cell r="G174" t="str">
            <v>SM-O-GEN-Inspector-PrimaCorregida-998-TotalAnual</v>
          </cell>
          <cell r="H174" t="str">
            <v>SM-O-GEN-Inspector-PrimaCorregida-998-AgentesAnual</v>
          </cell>
        </row>
        <row r="175">
          <cell r="F175" t="str">
            <v>SM-O-PP-Inspector-Meses</v>
          </cell>
          <cell r="G175" t="str">
            <v>SM-O-GEN-Inspector-Meses</v>
          </cell>
          <cell r="H175" t="str">
            <v>SM-O-GEN-Inspector-Meses</v>
          </cell>
        </row>
        <row r="176">
          <cell r="G176" t="str">
            <v>SM-O-GEN-Agente-NumeroPolizas-998-TotalMes</v>
          </cell>
          <cell r="H176" t="str">
            <v>SM-O-GEN-Agente-NumeroPolizas-998-TotalMes</v>
          </cell>
        </row>
        <row r="177">
          <cell r="G177" t="str">
            <v>SM-O-GEN-Agente-NumeroPolizas-998-TotalMes</v>
          </cell>
          <cell r="H177" t="str">
            <v>SM-O-GEN-Agente-NumeroPolizasCorregidas-998-TotalMes</v>
          </cell>
        </row>
        <row r="178">
          <cell r="G178" t="str">
            <v>SM-O-GEN-Agente-Prima-001-TotalMes</v>
          </cell>
          <cell r="H178" t="str">
            <v>SM-O-GEN-Agente-Prima-001-TotalMes</v>
          </cell>
        </row>
        <row r="179">
          <cell r="G179" t="str">
            <v>SM-O-GEN-Agente-Prima-002-TotalMes</v>
          </cell>
          <cell r="H179" t="str">
            <v>SM-O-GEN-Agente-Prima-002-TotalMes</v>
          </cell>
        </row>
        <row r="180">
          <cell r="G180" t="str">
            <v>SM-O-GEN-Agente-Prima-003-TotalMes</v>
          </cell>
          <cell r="H180" t="str">
            <v>SM-O-GEN-Agente-Prima-003-TotalMes</v>
          </cell>
        </row>
        <row r="181">
          <cell r="G181" t="str">
            <v>SM-O-GEN-Agente-Prima-004-TotalMes</v>
          </cell>
          <cell r="H181" t="str">
            <v>SM-O-GEN-Agente-Prima-004-TotalMes</v>
          </cell>
        </row>
        <row r="182">
          <cell r="G182" t="str">
            <v>SM-O-GEN-Agente-Prima-005-TotalMes</v>
          </cell>
          <cell r="H182" t="str">
            <v>SM-O-GEN-Agente-Prima-005-TotalMes</v>
          </cell>
        </row>
        <row r="183">
          <cell r="G183" t="str">
            <v>SM-O-GEN-Agente-Prima-997-TotalMes</v>
          </cell>
          <cell r="H183" t="str">
            <v>SM-O-GEN-Agente-Prima-997-TotalMes</v>
          </cell>
        </row>
        <row r="184">
          <cell r="F184" t="str">
            <v>DC-O-GEN-Agente-NumeroPolizas-001</v>
          </cell>
          <cell r="G184" t="str">
            <v>DC-O-GEN-Agente-NumeroPolizas-001</v>
          </cell>
          <cell r="H184" t="str">
            <v>DC-O-GEN-Agente-NumeroPolizas-001</v>
          </cell>
        </row>
        <row r="185">
          <cell r="F185" t="str">
            <v>DC-O-GEN-Agente-NumeroPolizas-002</v>
          </cell>
          <cell r="G185" t="str">
            <v>DC-O-GEN-Agente-NumeroPolizas-002</v>
          </cell>
          <cell r="H185" t="str">
            <v>DC-O-GEN-Agente-NumeroPolizas-002</v>
          </cell>
        </row>
        <row r="186">
          <cell r="F186" t="str">
            <v>DC-O-GEN-Agente-NumeroPolizas-003</v>
          </cell>
          <cell r="G186" t="str">
            <v>DC-O-GEN-Agente-NumeroPolizas-003</v>
          </cell>
          <cell r="H186" t="str">
            <v>DC-O-GEN-Agente-NumeroPolizas-003</v>
          </cell>
        </row>
        <row r="187">
          <cell r="F187" t="str">
            <v>DC-O-GEN-Agente-NumeroPolizas-004</v>
          </cell>
          <cell r="G187" t="str">
            <v>DC-O-GEN-Agente-NumeroPolizas-004</v>
          </cell>
          <cell r="H187" t="str">
            <v>DC-O-GEN-Agente-NumeroPolizas-004</v>
          </cell>
        </row>
        <row r="188">
          <cell r="F188" t="str">
            <v>DC-O-GEN-Agente-NumeroPolizas-998</v>
          </cell>
          <cell r="G188" t="str">
            <v>DC-O-GEN-Agente-NumeroPolizas-998</v>
          </cell>
          <cell r="H188" t="str">
            <v>DC-O-GEN-Agente-NumeroPolizas-998</v>
          </cell>
        </row>
        <row r="189">
          <cell r="F189" t="str">
            <v>DC-O-GEN-Agente-NumeroPolizas-998-81</v>
          </cell>
          <cell r="G189" t="str">
            <v>DC-O-GEN-Agente-NumeroPolizas-998-81</v>
          </cell>
          <cell r="H189" t="str">
            <v>DC-O-GEN-Agente-NumeroPolizas-998-81</v>
          </cell>
        </row>
        <row r="190">
          <cell r="F190" t="str">
            <v>DC-O-GEN-Agente-Prima-998</v>
          </cell>
          <cell r="G190" t="str">
            <v>DC-O-GEN-Agente-Prima-998</v>
          </cell>
          <cell r="H190" t="str">
            <v>DC-O-GEN-Agente-Prima-998</v>
          </cell>
        </row>
        <row r="191">
          <cell r="F191" t="str">
            <v>DC-O-GEN-Inspector-NumeroPolizas-997</v>
          </cell>
          <cell r="G191" t="str">
            <v>DC-O-GEN-Inspector-NumeroPolizas-998 y GB1</v>
          </cell>
          <cell r="H191" t="str">
            <v>DC-O-GEN-Inspector-NumeroPolizas-998</v>
          </cell>
        </row>
        <row r="192">
          <cell r="F192" t="str">
            <v>DC-O-GEN-Inspector-PrimaCorregida-001</v>
          </cell>
          <cell r="G192" t="str">
            <v>DC-O-GEN-Inspector-PrimaCorregida-001</v>
          </cell>
          <cell r="H192" t="str">
            <v>DC-O-GEN-Inspector-PrimaCorregida-001</v>
          </cell>
        </row>
        <row r="193">
          <cell r="F193" t="str">
            <v>DC-O-GEN-Inspector-PrimaCorregida-002</v>
          </cell>
          <cell r="G193" t="str">
            <v>DC-O-GEN-Inspector-PrimaCorregida-002</v>
          </cell>
          <cell r="H193" t="str">
            <v>DC-O-GEN-Inspector-PrimaCorregida-002</v>
          </cell>
        </row>
        <row r="194">
          <cell r="F194" t="str">
            <v>DC-O-GEN-Inspector-PrimaCorregida-003</v>
          </cell>
          <cell r="G194" t="str">
            <v>DC-O-GEN-Inspector-PrimaCorregida-003</v>
          </cell>
          <cell r="H194" t="str">
            <v>DC-O-GEN-Inspector-PrimaCorregida-003</v>
          </cell>
        </row>
        <row r="195">
          <cell r="F195" t="str">
            <v>DC-O-GEN-Inspector-PrimaCorregida-004</v>
          </cell>
          <cell r="G195" t="str">
            <v>DC-O-GEN-Inspector-PrimaCorregida-004</v>
          </cell>
          <cell r="H195" t="str">
            <v>DC-O-GEN-Inspector-PrimaCorregida-004</v>
          </cell>
        </row>
        <row r="196">
          <cell r="F196" t="str">
            <v>DC-O-GEN-Inspector-PrimaCorregida-005</v>
          </cell>
          <cell r="G196" t="str">
            <v>DC-O-GEN-Inspector-PrimaCorregida-005</v>
          </cell>
          <cell r="H196" t="str">
            <v>DC-O-GEN-Inspector-PrimaCorregida-005</v>
          </cell>
        </row>
        <row r="197">
          <cell r="F197" t="str">
            <v>DC-O-GEN-Inspector-PrimaCorregida-006</v>
          </cell>
          <cell r="G197" t="str">
            <v>DC-O-GEN-Inspector-PrimaCorregida-006</v>
          </cell>
          <cell r="H197" t="str">
            <v>DC-O-GEN-Inspector-PrimaCorregida-006</v>
          </cell>
        </row>
        <row r="198">
          <cell r="F198" t="str">
            <v>DC-O-GEN-Inspector-PrimaCorregida-007</v>
          </cell>
          <cell r="G198" t="str">
            <v>DC-O-GEN-Inspector-PrimaCorregida-007</v>
          </cell>
          <cell r="H198" t="str">
            <v>DC-O-GEN-Inspector-PrimaCorregida-007</v>
          </cell>
        </row>
        <row r="199">
          <cell r="F199" t="str">
            <v>DC-O-GEN-Inspector-PrimaCorregida-008</v>
          </cell>
          <cell r="G199" t="str">
            <v>DC-O-GEN-Inspector-PrimaCorregida-008</v>
          </cell>
          <cell r="H199" t="str">
            <v>DC-O-GEN-Inspector-PrimaCorregida-008</v>
          </cell>
        </row>
        <row r="200">
          <cell r="F200" t="str">
            <v>DC-O-GEN-Inspector-PrimaCorregida-009</v>
          </cell>
          <cell r="G200" t="str">
            <v>DC-O-GEN-Inspector-PrimaCorregida-009</v>
          </cell>
          <cell r="H200" t="str">
            <v>DC-O-GEN-Inspector-PrimaCorregida-009</v>
          </cell>
        </row>
        <row r="201">
          <cell r="F201" t="str">
            <v>DC-O-GEN-Inspector-PrimaCorregida-997</v>
          </cell>
          <cell r="G201" t="str">
            <v>DC-O-GEN-Inspector-NumeroPolizas-998 y GB1</v>
          </cell>
          <cell r="H201" t="str">
            <v>DC-O-GEN-Inspector-PrimaCorregida-998</v>
          </cell>
        </row>
        <row r="202">
          <cell r="F202" t="str">
            <v>DC-RPP-Inspector-PrimaCorregida</v>
          </cell>
          <cell r="G202" t="str">
            <v>DC-RPP-Inspector-PrimaCorregida</v>
          </cell>
          <cell r="H202" t="str">
            <v>DC-RPP-Inspector-PrimaCorregida</v>
          </cell>
        </row>
        <row r="203">
          <cell r="F203" t="str">
            <v>DC-O-GEN-Inspector-PrimaCorregida-No-Prioritarios-997</v>
          </cell>
          <cell r="G203" t="str">
            <v>DC-O-GEN-Inspector-PrimaCorregida-No-Prioritarios-997</v>
          </cell>
          <cell r="H203" t="str">
            <v>DC-O-GEN-Inspector-PrimaCorregida-No-Prioritarios-997</v>
          </cell>
        </row>
        <row r="204">
          <cell r="F204" t="str">
            <v>DC-O-GEN-Inspector-PrimaCorregida-Prioritarios-Sin-VidaAhorro</v>
          </cell>
          <cell r="G204" t="str">
            <v>DC-O-GEN-Inspector-PrimaCorregida-Prioritarios-Sin-VidaAhorro</v>
          </cell>
          <cell r="H204" t="str">
            <v>DC-O-GEN-Inspector-PrimaCorregida-Prioritarios-Sin-VidaAhorro</v>
          </cell>
        </row>
        <row r="205">
          <cell r="F205" t="str">
            <v>IC-O-GEN-Inspector-PrimaCorregida-001</v>
          </cell>
          <cell r="G205" t="str">
            <v>IC-O-GEN-Inspector-PrimaCorregida-001</v>
          </cell>
          <cell r="H205" t="str">
            <v>IC-O-GEN-Inspector-PrimaCorregida-001</v>
          </cell>
        </row>
        <row r="206">
          <cell r="F206" t="str">
            <v>IC-O-GEN-Inspector-PrimaCorregida-002</v>
          </cell>
          <cell r="G206" t="str">
            <v>IC-O-GEN-Inspector-PrimaCorregida-002</v>
          </cell>
          <cell r="H206" t="str">
            <v>IC-O-GEN-Inspector-PrimaCorregida-002</v>
          </cell>
        </row>
        <row r="207">
          <cell r="F207" t="str">
            <v>IC-O-GEN-Inspector-PrimaCorregida-003</v>
          </cell>
          <cell r="G207" t="str">
            <v>IC-O-GEN-Inspector-PrimaCorregida-003</v>
          </cell>
          <cell r="H207" t="str">
            <v>IC-O-GEN-Inspector-PrimaCorregida-003</v>
          </cell>
        </row>
        <row r="208">
          <cell r="F208" t="str">
            <v>IC-O-GEN-Inspector-PrimaCorregida-004</v>
          </cell>
          <cell r="G208" t="str">
            <v>IC-O-GEN-Inspector-PrimaCorregida-004</v>
          </cell>
          <cell r="H208" t="str">
            <v>IC-O-GEN-Inspector-PrimaCorregida-004</v>
          </cell>
        </row>
        <row r="209">
          <cell r="F209" t="str">
            <v>IC-O-GEN-Inspector-PrimaCorregida-005</v>
          </cell>
          <cell r="G209" t="str">
            <v>IC-O-GEN-Inspector-PrimaCorregida-005</v>
          </cell>
          <cell r="H209" t="str">
            <v>IC-O-GEN-Inspector-PrimaCorregida-005</v>
          </cell>
        </row>
        <row r="210">
          <cell r="F210" t="str">
            <v>IC-O-GEN-Inspector-PrimaCorregida-006</v>
          </cell>
          <cell r="G210" t="str">
            <v>IC-O-GEN-Inspector-PrimaCorregida-006</v>
          </cell>
          <cell r="H210" t="str">
            <v>IC-O-GEN-Inspector-PrimaCorregida-006</v>
          </cell>
        </row>
        <row r="211">
          <cell r="F211" t="str">
            <v>IC-O-GEN-Inspector-PrimaCorregida-007</v>
          </cell>
          <cell r="G211" t="str">
            <v>IC-O-GEN-Inspector-PrimaCorregida-007</v>
          </cell>
          <cell r="H211" t="str">
            <v>IC-O-GEN-Inspector-PrimaCorregida-007</v>
          </cell>
        </row>
        <row r="212">
          <cell r="F212" t="str">
            <v>IC-O-GEN-Inspector-PrimaCorregida-008</v>
          </cell>
          <cell r="G212" t="str">
            <v>IC-O-GEN-Inspector-PrimaCorregida-008</v>
          </cell>
          <cell r="H212" t="str">
            <v>IC-O-GEN-Inspector-PrimaCorregida-008</v>
          </cell>
        </row>
        <row r="213">
          <cell r="F213" t="str">
            <v>IC-O-GEN-Inspector-PrimaCorregida-009</v>
          </cell>
          <cell r="G213" t="str">
            <v>IC-O-GEN-Inspector-PrimaCorregida-009</v>
          </cell>
          <cell r="H213" t="str">
            <v>IC-O-GEN-Inspector-PrimaCorregida-009</v>
          </cell>
        </row>
        <row r="214">
          <cell r="F214" t="str">
            <v>IC-O-GEN-Inspector-PrimaCorregida-997</v>
          </cell>
          <cell r="G214" t="str">
            <v>IC-O-GEN-Inspector-NumeroPolizas-998 y GB1</v>
          </cell>
          <cell r="H214" t="str">
            <v>IC-O-GEN-Inspector-PrimaCorregida-998</v>
          </cell>
        </row>
        <row r="215">
          <cell r="F215" t="str">
            <v>IC-O-GEN-Inspector-PrimaCorregida-No-Prioritarios-997</v>
          </cell>
          <cell r="G215" t="str">
            <v>IC-O-GEN-Inspector-PrimaCorregida-No-Prioritarios-997</v>
          </cell>
          <cell r="H215" t="str">
            <v>IC-O-GEN-Inspector-PrimaCorregida-No-Prioritarios-997</v>
          </cell>
        </row>
        <row r="216">
          <cell r="F216" t="str">
            <v>IC-O-GEN-Inspector-PrimaCorregida-Prioritarios-Sin-VidaAhorro</v>
          </cell>
          <cell r="G216" t="str">
            <v>IC-O-GEN-Inspector-PrimaCorregida-Prioritarios-Sin-VidaAhorro</v>
          </cell>
          <cell r="H216" t="str">
            <v>IC-O-GEN-Inspector-PrimaCorregida-Prioritarios-Sin-VidaAhorro</v>
          </cell>
        </row>
        <row r="217">
          <cell r="F217" t="str">
            <v>PM-O-GEN-Inspector-PrimaCorregida-004-Prioritarios</v>
          </cell>
          <cell r="G217" t="str">
            <v>PM-O-GEN-Inspector-PrimaCorregida-004-Prioritarios</v>
          </cell>
          <cell r="H217" t="str">
            <v>PM-O-GEN-Inspector-PrimaCorregida-004-Prioritarios</v>
          </cell>
        </row>
        <row r="218">
          <cell r="G218" t="str">
            <v>PM-O-GEN-Inspector-PrimaCorregida-004-Prioritarios</v>
          </cell>
          <cell r="H218" t="str">
            <v>PM-O-GEN-Inspector-Prima-004-Prioritarios</v>
          </cell>
        </row>
        <row r="219">
          <cell r="F219" t="str">
            <v>PM-O-GEN-Inspector-PrimaCorregida-004-Prioritarios-Agentes</v>
          </cell>
          <cell r="G219" t="str">
            <v>PM-O-GEN-Inspector-PrimaCorregida-004-Prioritarios-Agentes</v>
          </cell>
          <cell r="H219" t="str">
            <v>PM-O-GEN-Inspector-PrimaCorregida-004-Prioritarios-Agentes</v>
          </cell>
        </row>
        <row r="220">
          <cell r="G220" t="str">
            <v>PM-O-GEN-Inspector-PrimaCorregida-004-Prioritarios-Agentes</v>
          </cell>
          <cell r="H220" t="str">
            <v>PM-O-GEN-Inspector-Prima-004-Prioritarios-Agentes</v>
          </cell>
        </row>
        <row r="221">
          <cell r="F221" t="str">
            <v>PM-O-GEN-Inspector-PrimaCorregida-No-Prioritarios-997</v>
          </cell>
          <cell r="G221" t="str">
            <v>PM-O-GEN-Inspector-PrimaCorregida-No-Prioritarios-997</v>
          </cell>
          <cell r="H221" t="str">
            <v>PM-O-GEN-Inspector-PrimaCorregida-No-Prioritarios-997</v>
          </cell>
        </row>
        <row r="222">
          <cell r="G222" t="str">
            <v>PM-O-GEN-Inspector-PrimaCorregida-No-Prioritarios-997</v>
          </cell>
          <cell r="H222" t="str">
            <v>PM-O-GEN-Inspector-Prima-No-Prioritarios-997</v>
          </cell>
        </row>
        <row r="223">
          <cell r="F223" t="str">
            <v>PM-O-GEN-Inspector-PrimaCorregida-No-Prioritarios-997-Agentes</v>
          </cell>
          <cell r="G223" t="str">
            <v>PM-O-GEN-Inspector-PrimaCorregida-No-Prioritarios-997-Agentes</v>
          </cell>
          <cell r="H223" t="str">
            <v>PM-O-GEN-Inspector-PrimaCorregida-No-Prioritarios-997-Agentes</v>
          </cell>
        </row>
        <row r="224">
          <cell r="G224" t="str">
            <v>PM-O-GEN-Inspector-PrimaCorregida-No-Prioritarios-997-Agentes</v>
          </cell>
          <cell r="H224" t="str">
            <v>PM-O-GEN-Inspector-Prima-No-Prioritarios-997-Agentes</v>
          </cell>
        </row>
        <row r="225">
          <cell r="F225" t="str">
            <v>PM-O-GEN-Inspector-PrimaCorregida-Prioritarios-Sin-VidaAhorro</v>
          </cell>
          <cell r="G225" t="str">
            <v>PM-O-GEN-Inspector-PrimaCorregida-Prioritarios-Sin-VidaAhorro</v>
          </cell>
          <cell r="H225" t="str">
            <v>PM-O-GEN-Inspector-PrimaCorregida-Prioritarios-Sin-VidaAhorro</v>
          </cell>
        </row>
        <row r="226">
          <cell r="G226" t="str">
            <v>PM-O-GEN-Inspector-PrimaCorregida-Prioritarios-Sin-VidaAhorro</v>
          </cell>
          <cell r="H226" t="str">
            <v>PM-O-GEN-Inspector-Prima-Prioritarios-Sin-VidaAhorro</v>
          </cell>
        </row>
        <row r="227">
          <cell r="F227" t="str">
            <v>PM-O-GEN-Inspector-PrimaCorregida-Prioritarios-Sin-VidaAhorro-Agentes</v>
          </cell>
          <cell r="G227" t="str">
            <v>PM-O-GEN-Inspector-PrimaCorregida-Prioritarios-Sin-VidaAhorro-Agentes</v>
          </cell>
          <cell r="H227" t="str">
            <v>PM-O-GEN-Inspector-PrimaCorregida-Prioritarios-Sin-VidaAhorro-Agentes</v>
          </cell>
        </row>
        <row r="228">
          <cell r="G228" t="str">
            <v>PM-O-GEN-Inspector-PrimaCorregida-Prioritarios-Sin-VidaAhorro-Agentes</v>
          </cell>
          <cell r="H228" t="str">
            <v>PM-O-GEN-Inspector-Prima-Prioritarios-Sin-VidaAhorro-Agentes</v>
          </cell>
        </row>
        <row r="229">
          <cell r="F229" t="str">
            <v>SM-O-GEN-Inspector-NumeroPolizas-998-TotalMes</v>
          </cell>
          <cell r="G229" t="str">
            <v>SM-O-GEN-Inspector-NumeroPolizas-998-TotalMes</v>
          </cell>
          <cell r="H229" t="str">
            <v>SM-O-GEN-Inspector-NumeroPolizas-998-TotalMes</v>
          </cell>
        </row>
        <row r="230">
          <cell r="F230" t="str">
            <v>SM-O-GEN-Inspector-NumeroPolizas-998-Propia</v>
          </cell>
          <cell r="G230" t="str">
            <v>SM-O-GEN-Inspector-NumeroPolizas-998-TotalMes</v>
          </cell>
          <cell r="H230" t="str">
            <v>SM-O-GEN-Inspector-NumeroPolizas-998-Propia</v>
          </cell>
        </row>
        <row r="231">
          <cell r="F231" t="str">
            <v>SM-O-GEN-Inspector-NumeroPolizas-998-Agentes</v>
          </cell>
          <cell r="G231" t="str">
            <v>SM-O-GEN-Inspector-NumeroPolizas-998-TotalMes</v>
          </cell>
          <cell r="H231" t="str">
            <v>SM-O-GEN-Inspector-NumeroPolizas-998-Agentes</v>
          </cell>
        </row>
        <row r="232">
          <cell r="F232" t="str">
            <v>PM-O-GEN-Inspector-PrimaCorregida-No-Prioritarios-997</v>
          </cell>
          <cell r="G232" t="str">
            <v>PM-O-GEN-Inspector-PrimaCorregida-No-Prioritarios-997</v>
          </cell>
          <cell r="H232" t="str">
            <v>PM-O-GEN-Inspector-PrimaCorregida-No-Prioritarios-997</v>
          </cell>
        </row>
        <row r="233">
          <cell r="F233" t="str">
            <v>PM-O-GEN-Inspector-PrimaCorregida-No-Prioritarios-997</v>
          </cell>
          <cell r="G233" t="str">
            <v>PM-O-GEN-Inspector-PrimaCorregida-No-Prioritarios-997-RRTT</v>
          </cell>
          <cell r="H233" t="str">
            <v>PM-O-GEN-Inspector-PrimaCorregida-No-Prioritarios-997-RRTT</v>
          </cell>
        </row>
        <row r="234">
          <cell r="F234" t="str">
            <v>PM-O-GEN-Inspector-PrimaCorregida-No-Prioritarios-997</v>
          </cell>
          <cell r="G234" t="str">
            <v>PM-O-GEN-Inspector-PrimaCorregida-No-Prioritarios-997-RRGG</v>
          </cell>
          <cell r="H234" t="str">
            <v>PM-O-GEN-Inspector-PrimaCorregida-No-Prioritarios-997-RRGG</v>
          </cell>
        </row>
        <row r="235">
          <cell r="F235" t="str">
            <v>PM-O-GEN-Inspector-PrimaCorregida-Prioritarios-Sin-VidaAhorro</v>
          </cell>
          <cell r="G235" t="str">
            <v>PM-O-GEN-Inspector-PrimaCorregida-Prioritarios-Sin-VidaAhorro</v>
          </cell>
          <cell r="H235" t="str">
            <v>PM-O-GEN-Inspector-PrimaCorregida-Prioritarios-Sin-VidaAhorro</v>
          </cell>
        </row>
        <row r="236">
          <cell r="F236" t="str">
            <v>PM-O-GEN-Inspector-PrimaCorregida-Prioritarios-Sin-VidaAhorro</v>
          </cell>
          <cell r="G236" t="str">
            <v>PM-O-GEN-Inspector-PrimaCorregida-Prioritarios-Sin-VidaAhorro-RRTT</v>
          </cell>
          <cell r="H236" t="str">
            <v>PM-O-GEN-Inspector-PrimaCorregida-Prioritarios-Sin-VidaAhorro-RRTT</v>
          </cell>
        </row>
        <row r="237">
          <cell r="F237" t="str">
            <v>PM-O-GEN-Inspector-PrimaCorregida-Prioritarios-Sin-VidaAhorro</v>
          </cell>
          <cell r="G237" t="str">
            <v>PM-O-GEN-Inspector-PrimaCorregida-Prioritarios-Sin-VidaAhorro-RRGG</v>
          </cell>
          <cell r="H237" t="str">
            <v>PM-O-GEN-Inspector-PrimaCorregida-Prioritarios-Sin-VidaAhorro-RRGG</v>
          </cell>
        </row>
        <row r="238">
          <cell r="F238" t="str">
            <v>PM-O-GEN-Inspector-PrimaCorregida-No-Prioritarios-997-Agentes</v>
          </cell>
          <cell r="G238" t="str">
            <v>PM-O-GEN-Inspector-PrimaCorregida-No-Prioritarios-997-Agentes</v>
          </cell>
          <cell r="H238" t="str">
            <v>PM-O-GEN-Inspector-PrimaCorregida-No-Prioritarios-997-Agentes</v>
          </cell>
        </row>
        <row r="239">
          <cell r="F239" t="str">
            <v>PM-O-GEN-Inspector-PrimaCorregida-No-Prioritarios-997-Agentes</v>
          </cell>
          <cell r="G239" t="str">
            <v>PM-O-GEN-Inspector-PrimaCorregida-No-Prioritarios-997-Agentes-RRTT</v>
          </cell>
          <cell r="H239" t="str">
            <v>PM-O-GEN-Inspector-PrimaCorregida-No-Prioritarios-997-Agentes-RRTT</v>
          </cell>
        </row>
        <row r="240">
          <cell r="F240" t="str">
            <v>PM-O-GEN-Inspector-PrimaCorregida-No-Prioritarios-997-Agentes</v>
          </cell>
          <cell r="G240" t="str">
            <v>PM-O-GEN-Inspector-PrimaCorregida-No-Prioritarios-997-Agentes-RRGG</v>
          </cell>
          <cell r="H240" t="str">
            <v>PM-O-GEN-Inspector-PrimaCorregida-No-Prioritarios-997-Agentes-RRGG</v>
          </cell>
        </row>
        <row r="241">
          <cell r="F241" t="str">
            <v>PM-O-GEN-Inspector-PrimaCorregida-Prioritarios-Sin-VidaAhorro-Agentes</v>
          </cell>
          <cell r="G241" t="str">
            <v>PM-O-GEN-Inspector-PrimaCorregida-Prioritarios-Sin-VidaAhorro-Agentes</v>
          </cell>
          <cell r="H241" t="str">
            <v>PM-O-GEN-Inspector-PrimaCorregida-Prioritarios-Sin-VidaAhorro-Agentes</v>
          </cell>
        </row>
        <row r="242">
          <cell r="F242" t="str">
            <v>PM-O-GEN-Inspector-PrimaCorregida-Prioritarios-Sin-VidaAhorro-Agentes</v>
          </cell>
          <cell r="G242" t="str">
            <v>PM-O-GEN-Inspector-PrimaCorregida-Prioritarios-Sin-VidaAhorro-Agentes-RRTT</v>
          </cell>
          <cell r="H242" t="str">
            <v>PM-O-GEN-Inspector-PrimaCorregida-Prioritarios-Sin-VidaAhorro-Agentes-RRTT</v>
          </cell>
        </row>
        <row r="243">
          <cell r="F243" t="str">
            <v>PM-O-GEN-Inspector-PrimaCorregida-Prioritarios-Sin-VidaAhorro-Agentes</v>
          </cell>
          <cell r="G243" t="str">
            <v>PM-O-GEN-Inspector-PrimaCorregida-Prioritarios-Sin-VidaAhorro-Agentes-RRGG</v>
          </cell>
          <cell r="H243" t="str">
            <v>PM-O-GEN-Inspector-PrimaCorregida-Prioritarios-Sin-VidaAhorro-Agentes-RRGG</v>
          </cell>
        </row>
        <row r="244">
          <cell r="F244" t="str">
            <v>SM-O-DIF-Inspector-PrimaCorregida-004-y-NoPrioritarios-TotalMes</v>
          </cell>
          <cell r="G244" t="str">
            <v>SM-O-DIF-Inspector-PrimaCorregida-004-y-NoPrioritarios-TotalMes</v>
          </cell>
          <cell r="H244" t="str">
            <v>SM-O-DIF-Inspector-PrimaCorregida-004-y-NoPrioritarios-TotalMes</v>
          </cell>
        </row>
        <row r="245">
          <cell r="G245" t="str">
            <v>SM-O-DIF-Inspector-PrimaCorregida-004-y-NoPrioritarios-TotalMes</v>
          </cell>
          <cell r="H245" t="str">
            <v>SM-O-DIF-Inspector-PrimaCorregida-004-y-NoPrioritarios-RRTT-TotalMes</v>
          </cell>
        </row>
        <row r="246">
          <cell r="G246" t="str">
            <v>SM-O-DIF-Inspector-PrimaCorregida-004-y-NoPrioritarios-TotalMes</v>
          </cell>
          <cell r="H246" t="str">
            <v>SM-O-DIF-Inspector-PrimaCorregida-004-y-NoPrioritarios-RRGG-TotalMes</v>
          </cell>
        </row>
        <row r="247">
          <cell r="F247" t="str">
            <v>SM-O-DIF-Inspector-PrimaCorregida-Prioritarios-Sin-VidaAhorro-TotalMes</v>
          </cell>
          <cell r="G247" t="str">
            <v>SM-O-DIF-Inspector-PrimaCorregida-Prioritarios-Sin-VidaAhorro-TotalMes</v>
          </cell>
          <cell r="H247" t="str">
            <v>SM-O-DIF-Inspector-PrimaCorregida-Prioritarios-Sin-VidaAhorro-TotalMes</v>
          </cell>
        </row>
        <row r="248">
          <cell r="G248" t="str">
            <v>SM-O-DIF-Inspector-PrimaCorregida-Prioritarios-Sin-VidaAhorro-TotalMes</v>
          </cell>
          <cell r="H248" t="str">
            <v>SM-O-DIF-Inspector-PrimaCorregida-Prioritarios-Sin-VidaAhorro-RRTT-TotalMes</v>
          </cell>
        </row>
        <row r="249">
          <cell r="G249" t="str">
            <v>SM-O-DIF-Inspector-PrimaCorregida-Prioritarios-Sin-VidaAhorro-TotalMes</v>
          </cell>
          <cell r="H249" t="str">
            <v>SM-O-DIF-Inspector-PrimaCorregida-Prioritarios-Sin-VidaAhorro-RRGG-TotalMes</v>
          </cell>
        </row>
        <row r="250">
          <cell r="F250" t="str">
            <v>SM-O-DIF-Inspector-Porcentaje-004-y-NoPrioritarios</v>
          </cell>
          <cell r="G250" t="str">
            <v>SM-O-DIF-Inspector-PorcentajePagoMensual</v>
          </cell>
          <cell r="H250" t="str">
            <v>SM-O-DIF-Inspector-Porcentaje-004-y-NoPrioritarios</v>
          </cell>
        </row>
        <row r="251">
          <cell r="F251" t="str">
            <v>SM-O-DIF-Inspector-Porcentaje-Prioritarios-Sin-VidaAhorro</v>
          </cell>
          <cell r="G251" t="str">
            <v>SM-O-DIF-Inspector-PorcentajePagoMensual</v>
          </cell>
          <cell r="H251" t="str">
            <v>SM-O-DIF-Inspector-Porcentaje-Prioritarios-Sin-VidaAhorro</v>
          </cell>
        </row>
        <row r="252">
          <cell r="F252" t="str">
            <v>SM-O-DIF-Inspector-PagoMensual-004-y-NoPrioritarios</v>
          </cell>
          <cell r="G252" t="str">
            <v>SM-O-DIF-Inspector-PagoMensual</v>
          </cell>
          <cell r="H252" t="str">
            <v>SM-O-DIF-Inspector-PagoMensual-004-y-NoPrioritarios</v>
          </cell>
        </row>
        <row r="253">
          <cell r="F253" t="str">
            <v>SM-O-DIF-Inspector-PagoMensual-Prioritarios-Sin-VidaAhorro</v>
          </cell>
          <cell r="G253" t="str">
            <v>SM-O-DIF-Inspector-PagoMensual</v>
          </cell>
          <cell r="H253" t="str">
            <v>SM-O-DIF-Inspector-PagoMensual-Prioritarios-Sin-VidaAhorro</v>
          </cell>
        </row>
        <row r="254">
          <cell r="G254" t="str">
            <v>SM-O-DIF-Inspector-PagoMensual</v>
          </cell>
          <cell r="H254" t="str">
            <v>SM-O-DIF-Inspector-PagoMensual-004-y-NoPrioritarios-RRTT</v>
          </cell>
        </row>
        <row r="255">
          <cell r="G255" t="str">
            <v>SM-O-DIF-Inspector-PagoMensual</v>
          </cell>
          <cell r="H255" t="str">
            <v>SM-O-DIF-Inspector-PagoMensual-Prioritarios-Sin-VidaAhorro-RRTT</v>
          </cell>
        </row>
        <row r="256">
          <cell r="G256" t="str">
            <v>SM-O-DIF-Inspector-PagoMensual</v>
          </cell>
          <cell r="H256" t="str">
            <v>SM-O-DIF-Inspector-PagoMensual-004-y-NoPrioritarios-RRGG</v>
          </cell>
        </row>
        <row r="257">
          <cell r="G257" t="str">
            <v>SM-O-DIF-Inspector-PagoMensual</v>
          </cell>
          <cell r="H257" t="str">
            <v>SM-O-DIF-Inspector-PagoMensual-Prioritarios-Sin-VidaAhorro-RRGG</v>
          </cell>
        </row>
        <row r="258">
          <cell r="F258" t="str">
            <v>SM-O-DIF-Inspector-Prima-998-TotalAnual</v>
          </cell>
          <cell r="G258" t="str">
            <v>SM-O-DIF-Inspector-Prima-TotalAnual</v>
          </cell>
          <cell r="H258" t="str">
            <v>SM-O-DIF-Inspector-Prima-998-TotalAnual</v>
          </cell>
        </row>
        <row r="259">
          <cell r="F259" t="str">
            <v>SM-O-DIF-Inspector-Prima-004-y-NoPrioritarios-TotalAnual</v>
          </cell>
          <cell r="G259" t="str">
            <v>SM-O-DIF-Inspector-Prima-TotalAnual</v>
          </cell>
          <cell r="H259" t="str">
            <v>SM-O-DIF-Inspector-Prima-004-y-NoPrioritarios-TotalAnual</v>
          </cell>
        </row>
        <row r="260">
          <cell r="F260" t="str">
            <v>SM-O-DIF-Inspector-Prima-004-Prioritarios-Sin-VidaAhorro-TotalAnual</v>
          </cell>
          <cell r="G260" t="str">
            <v>SM-O-DIF-Inspector-Prima-TotalAnual</v>
          </cell>
          <cell r="H260" t="str">
            <v>SM-O-DIF-Inspector-Prima-004-Prioritarios-Sin-VidaAhorro-TotalAnual</v>
          </cell>
        </row>
        <row r="261">
          <cell r="G261" t="str">
            <v>SM-O-DIF-Inspector-Prima-TotalAnual</v>
          </cell>
          <cell r="H261" t="str">
            <v>SM-O-DIF-Inspector-Prima-004-y-NoPrioritarios-RRTT-TotalAnual</v>
          </cell>
        </row>
        <row r="262">
          <cell r="G262" t="str">
            <v>SM-O-DIF-Inspector-Prima-TotalAnual</v>
          </cell>
          <cell r="H262" t="str">
            <v>SM-O-DIF-Inspector-Prima-004-Prioritarios-Sin-VidaAhorro-RRTT-TotalAnual</v>
          </cell>
        </row>
        <row r="263">
          <cell r="G263" t="str">
            <v>SM-O-DIF-Inspector-Prima-TotalAnual</v>
          </cell>
          <cell r="H263" t="str">
            <v>SM-O-DIF-Inspector-Prima-004-y-NoPrioritarios-RRGG-TotalAnual</v>
          </cell>
        </row>
        <row r="264">
          <cell r="G264" t="str">
            <v>SM-O-DIF-Inspector-Prima-TotalAnual</v>
          </cell>
          <cell r="H264" t="str">
            <v>SM-O-DIF-Inspector-Prima-004-Prioritarios-Sin-VidaAhorro-RRGG-TotalAnual</v>
          </cell>
        </row>
        <row r="265">
          <cell r="F265" t="str">
            <v>SM-O-DIF-Inspector-Pago-004-y-NoPrioritarios-TotalAnual</v>
          </cell>
          <cell r="G265" t="str">
            <v>SM-O-DIF-Inspector-Pago-TotalAnual</v>
          </cell>
          <cell r="H265" t="str">
            <v>SM-O-DIF-Inspector-Pago-004-y-NoPrioritarios-TotalAnual</v>
          </cell>
        </row>
        <row r="266">
          <cell r="F266" t="str">
            <v>SM-O-DIF-Inspector-Pago-Prioritarios-Sin-VidaAhorro-TotalAnual</v>
          </cell>
          <cell r="G266" t="str">
            <v>SM-O-DIF-Inspector-Pago-TotalAnual</v>
          </cell>
          <cell r="H266" t="str">
            <v>SM-O-DIF-Inspector-Pago-Prioritarios-Sin-VidaAhorro-TotalAnual</v>
          </cell>
        </row>
        <row r="267">
          <cell r="G267" t="str">
            <v>SM-O-DIF-Inspector-Pago-TotalAnual</v>
          </cell>
          <cell r="H267" t="str">
            <v>SM-O-DIF-Inspector-Pago-004-y-NoPrioritarios-RRTT-TotalAnual</v>
          </cell>
        </row>
        <row r="268">
          <cell r="G268" t="str">
            <v>SM-O-DIF-Inspector-Pago-TotalAnual</v>
          </cell>
          <cell r="H268" t="str">
            <v>SM-O-DIF-Inspector-Pago-Prioritarios-Sin-VidaAhorro-RRTT-TotalAnual</v>
          </cell>
        </row>
        <row r="269">
          <cell r="G269" t="str">
            <v>SM-O-DIF-Inspector-Pago-TotalAnual</v>
          </cell>
          <cell r="H269" t="str">
            <v>SM-O-DIF-Inspector-Pago-004-y-NoPrioritarios-RRGG-TotalAnual</v>
          </cell>
        </row>
        <row r="270">
          <cell r="G270" t="str">
            <v>SM-O-DIF-Inspector-Pago-TotalAnual</v>
          </cell>
          <cell r="H270" t="str">
            <v>SM-O-DIF-Inspector-Pago-Prioritarios-Sin-VidaAhorro-RRGG-TotalAnual</v>
          </cell>
        </row>
        <row r="271">
          <cell r="F271" t="str">
            <v>SM-O-GEN-Inspector-NumeroPolizas-998-TotalMes</v>
          </cell>
          <cell r="G271" t="str">
            <v>SM-O-DIF-Inspector-Secundario</v>
          </cell>
          <cell r="H271" t="str">
            <v>SM-O-GEN-Inspector-NumeroPolizas-998-TotalMes</v>
          </cell>
        </row>
        <row r="272">
          <cell r="F272" t="str">
            <v>SM-O-GEN-Inspector-PrimaCorregida-998-TotalMes</v>
          </cell>
          <cell r="G272" t="str">
            <v>SM-O-DIF-Inspector-Secundario</v>
          </cell>
          <cell r="H272" t="str">
            <v>SM-O-GEN-Inspector-PrimaCorregida-998-TotalMes</v>
          </cell>
        </row>
        <row r="273">
          <cell r="F273" t="str">
            <v>SM-O-DIF-Inspector-PrimaCorregida-004-y-NoPrioritarios-TotalMes</v>
          </cell>
          <cell r="G273" t="str">
            <v>SM-O-DIF-Inspector-Secundario</v>
          </cell>
          <cell r="H273" t="str">
            <v>SM-O-DIF-Inspector-PrimaCorregida-004-y-NoPrioritarios-TotalMes</v>
          </cell>
        </row>
        <row r="274">
          <cell r="F274" t="str">
            <v>SM-O-DIF-Inspector-PrimaCorregida-Prioritarios-Sin-VidaAhorro-TotalMes</v>
          </cell>
          <cell r="G274" t="str">
            <v>SM-O-DIF-Inspector-Secundario</v>
          </cell>
          <cell r="H274" t="str">
            <v>SM-O-DIF-Inspector-PrimaCorregida-Prioritarios-Sin-VidaAhorro-TotalMes</v>
          </cell>
        </row>
        <row r="275">
          <cell r="F275" t="str">
            <v>SM-O-DIF-Inspector-PagoMensual-004-y-NoPrioritarios</v>
          </cell>
          <cell r="G275" t="str">
            <v>SM-O-DIF-Inspector-Secundario</v>
          </cell>
          <cell r="H275" t="str">
            <v>SM-O-DIF-Inspector-PagoMensual-004-y-NoPrioritarios</v>
          </cell>
        </row>
        <row r="276">
          <cell r="F276" t="str">
            <v>SM-O-DIF-Inspector-PagoMensual-Prioritarios-Sin-VidaAhorro</v>
          </cell>
          <cell r="G276" t="str">
            <v>SM-O-DIF-Inspector-Secundario</v>
          </cell>
          <cell r="H276" t="str">
            <v>SM-O-DIF-Inspector-PagoMensual-Prioritarios-Sin-VidaAhorro</v>
          </cell>
        </row>
        <row r="277">
          <cell r="G277" t="str">
            <v>SM-O-DIF-Inspector-Secundario</v>
          </cell>
          <cell r="H277" t="str">
            <v>SM-O-DIF-Inspector-PrimaCorregida-004-y-NoPrioritarios-RRTT-TotalMes</v>
          </cell>
        </row>
        <row r="278">
          <cell r="G278" t="str">
            <v>SM-O-DIF-Inspector-Secundario</v>
          </cell>
          <cell r="H278" t="str">
            <v>SM-O-DIF-Inspector-PrimaCorregida-004-y-NoPrioritarios-RRGG-TotalMes</v>
          </cell>
        </row>
        <row r="279">
          <cell r="G279" t="str">
            <v>SM-O-DIF-Inspector-Secundario</v>
          </cell>
          <cell r="H279" t="str">
            <v>SM-O-DIF-Inspector-PrimaCorregida-Prioritarios-Sin-VidaAhorro-RRTT-TotalMes</v>
          </cell>
        </row>
        <row r="280">
          <cell r="G280" t="str">
            <v>SM-O-DIF-Inspector-Secundario</v>
          </cell>
          <cell r="H280" t="str">
            <v>SM-O-DIF-Inspector-PrimaCorregida-Prioritarios-Sin-VidaAhorro-RRGG-TotalMes</v>
          </cell>
        </row>
        <row r="281">
          <cell r="G281" t="str">
            <v>SM-O-DIF-Inspector-Secundario</v>
          </cell>
          <cell r="H281" t="str">
            <v>SM-O-DIF-Inspector-PagoMensual-004-y-NoPrioritarios-RRTT</v>
          </cell>
        </row>
        <row r="282">
          <cell r="G282" t="str">
            <v>SM-O-DIF-Inspector-Secundario</v>
          </cell>
          <cell r="H282" t="str">
            <v>SM-O-DIF-Inspector-PagoMensual-Prioritarios-Sin-VidaAhorro-RRTT</v>
          </cell>
        </row>
        <row r="283">
          <cell r="G283" t="str">
            <v>SM-O-DIF-Inspector-Secundario</v>
          </cell>
          <cell r="H283" t="str">
            <v>SM-O-DIF-Inspector-PagoMensual-004-y-NoPrioritarios-RRGG</v>
          </cell>
        </row>
        <row r="284">
          <cell r="G284" t="str">
            <v>SM-O-DIF-Inspector-Secundario</v>
          </cell>
          <cell r="H284" t="str">
            <v>SM-O-DIF-Inspector-PagoMensual-Prioritarios-Sin-VidaAhorro-RRGG</v>
          </cell>
        </row>
        <row r="285">
          <cell r="G285" t="str">
            <v>SM-O-DIF-Inspector-PorcentajeRegularizacion</v>
          </cell>
          <cell r="H285" t="str">
            <v>SM-O-DIF-Inspector-PorcentajeReg-004-y-NoPrioritarios</v>
          </cell>
        </row>
        <row r="286">
          <cell r="G286" t="str">
            <v>SM-O-DIF-Inspector-PorcentajeRegularizacion</v>
          </cell>
          <cell r="H286" t="str">
            <v>SM-O-DIF-Inspector-PorcentajeReg-Prioritarios-Sin-VidaAhorro</v>
          </cell>
        </row>
        <row r="287">
          <cell r="F287" t="str">
            <v>SM-O-DIF-Inspector-Regularizacion-004-y-NoPrioritarios</v>
          </cell>
          <cell r="G287" t="str">
            <v>SM-O-DIF-Inspector-Regularizacion</v>
          </cell>
          <cell r="H287" t="str">
            <v>SM-O-DIF-Inspector-Regularizacion-004-y-NoPrioritarios</v>
          </cell>
        </row>
        <row r="288">
          <cell r="F288" t="str">
            <v>SM-O-DIF-Inspector-Regularizacion-Prioritarois-Sin-VidaAhorro</v>
          </cell>
          <cell r="G288" t="str">
            <v>SM-O-DIF-Inspector-Regularizacion</v>
          </cell>
          <cell r="H288" t="str">
            <v>SM-O-DIF-Inspector-Regularizacion-Prioritarois-Sin-VidaAhorro</v>
          </cell>
        </row>
        <row r="289">
          <cell r="G289" t="str">
            <v>SM-O-DIF-Inspector-Regularizacion</v>
          </cell>
          <cell r="H289" t="str">
            <v>SM-O-DIF-Inspector-Regularizacion-004-y-NoPrioritarios-RRTT</v>
          </cell>
        </row>
        <row r="290">
          <cell r="G290" t="str">
            <v>SM-O-DIF-Inspector-Regularizacion</v>
          </cell>
          <cell r="H290" t="str">
            <v>SM-O-DIF-Inspector-Regularizacion-004-y-NoPrioritarios-RRGG</v>
          </cell>
        </row>
        <row r="291">
          <cell r="G291" t="str">
            <v>SM-O-DIF-Inspector-Regularizacion</v>
          </cell>
          <cell r="H291" t="str">
            <v>SM-O-DIF-Inspector-Regularizacion-Prioritarois-Sin-VidaAhorro-RRTT</v>
          </cell>
        </row>
        <row r="292">
          <cell r="G292" t="str">
            <v>SM-O-DIF-Inspector-Regularizacion</v>
          </cell>
          <cell r="H292" t="str">
            <v>SM-O-DIF-Inspector-Regularizacion-Prioritarois-Sin-VidaAhorro-RRGG</v>
          </cell>
        </row>
        <row r="293">
          <cell r="F293" t="str">
            <v>SM-O-DIF-Inspector-PagoRegularizacion-004-y-NoPrioritarios</v>
          </cell>
          <cell r="G293" t="str">
            <v>SM-O-DIF-Inspector-PagoRegularizacion-004-y-NoPrioritarios</v>
          </cell>
          <cell r="H293" t="str">
            <v>SM-O-DIF-Inspector-PagoRegularizacion-004-y-NoPrioritarios</v>
          </cell>
        </row>
        <row r="294">
          <cell r="G294" t="str">
            <v>SM-O-DIF-Inspector-PagoRegularizacion-004-y-NoPrioritarios</v>
          </cell>
          <cell r="H294" t="str">
            <v>SM-O-DIF-Inspector-PagoRegularizacion-004-y-NoPrioritarios-RRTT</v>
          </cell>
        </row>
        <row r="295">
          <cell r="G295" t="str">
            <v>SM-O-DIF-Inspector-PagoRegularizacion-004-y-NoPrioritarios</v>
          </cell>
          <cell r="H295" t="str">
            <v>SM-O-DIF-Inspector-PagoRegularizacion-004-y-NoPrioritarios-RRGG</v>
          </cell>
        </row>
        <row r="296">
          <cell r="F296" t="str">
            <v>SM-O-DIF-Inspector-PagoRegularizacion-Prioritarois-Sin-VidaAhorro</v>
          </cell>
          <cell r="G296" t="str">
            <v>SM-O-DIF-Inspector-PagoRegularizacion-Prioritarois-Sin-VidaAhorro</v>
          </cell>
          <cell r="H296" t="str">
            <v>SM-O-DIF-Inspector-PagoRegularizacion-Prioritarois-Sin-VidaAhorro</v>
          </cell>
        </row>
        <row r="297">
          <cell r="G297" t="str">
            <v>SM-O-DIF-Inspector-PagoRegularizacion-Prioritarois-Sin-VidaAhorro</v>
          </cell>
          <cell r="H297" t="str">
            <v>SM-O-DIF-Inspector-PagoRegularizacion-Prioritarois-Sin-VidaAhorro-RRTT</v>
          </cell>
        </row>
        <row r="298">
          <cell r="G298" t="str">
            <v>SM-O-DIF-Inspector-PagoRegularizacion-Prioritarois-Sin-VidaAhorro</v>
          </cell>
          <cell r="H298" t="str">
            <v>SM-O-DIF-Inspector-PagoRegularizacion-Prioritarois-Sin-VidaAhorro-RRGG</v>
          </cell>
        </row>
        <row r="299">
          <cell r="F299" t="str">
            <v>I-O-DIF-Inspector-ImporteMensual-VidaAhorro-y-NoPrioritarios</v>
          </cell>
          <cell r="G299" t="str">
            <v>I-O-DIF-Inspector-ImporteMensual-VidaAhorro-y-NoPrioritarios</v>
          </cell>
          <cell r="H299" t="str">
            <v>I-O-DIF-Inspector-ImporteMensual-VidaAhorro-y-NoPrioritarios-RRTT</v>
          </cell>
        </row>
        <row r="300">
          <cell r="G300" t="str">
            <v>I-O-DIF-Inspector-ImporteMensual-VidaAhorro-y-NoPrioritarios</v>
          </cell>
          <cell r="H300" t="str">
            <v>I-O-DIF-Inspector-ImporteMensual-VidaAhorro-y-NoPrioritarios-RRGG</v>
          </cell>
        </row>
        <row r="301">
          <cell r="F301" t="str">
            <v>I-O-DIF-Inspector-ImporteMensual-Prioritarios-Sin-VidaAhorro</v>
          </cell>
          <cell r="G301" t="str">
            <v>I-O-DIF-Inspector-ImporteMensual-Prioritarios-Sin-VidaAhorro</v>
          </cell>
          <cell r="H301" t="str">
            <v>I-O-DIF-Inspector-ImporteMensual-Prioritarios-Sin-VidaAhorro-RRTT</v>
          </cell>
        </row>
        <row r="302">
          <cell r="G302" t="str">
            <v>I-O-DIF-Inspector-ImporteMensual-Prioritarios-Sin-VidaAhorro</v>
          </cell>
          <cell r="H302" t="str">
            <v>I-O-DIF-Inspector-ImporteMensual-Prioritarios-Sin-VidaAhorro-RRGG</v>
          </cell>
        </row>
        <row r="303">
          <cell r="F303" t="str">
            <v>I-O-DIF-Inspector-ImporteRegularizacion-VidaAhorro-y-NoPrioritarios</v>
          </cell>
          <cell r="G303" t="str">
            <v>I-O-DIF-Inspector-ImporteRegularizacion-VidaAhorro-y-NoPrioritarios</v>
          </cell>
          <cell r="H303" t="str">
            <v>I-O-DIF-Inspector-ImporteRegularizacion-VidaAhorro-y-NoPrioritarios-RRTT</v>
          </cell>
        </row>
        <row r="304">
          <cell r="G304" t="str">
            <v>I-O-DIF-Inspector-ImporteRegularizacion-VidaAhorro-y-NoPrioritarios</v>
          </cell>
          <cell r="H304" t="str">
            <v>I-O-DIF-Inspector-ImporteRegularizacion-VidaAhorro-y-NoPrioritarios-RRGG</v>
          </cell>
        </row>
        <row r="305">
          <cell r="F305" t="str">
            <v>I-O-DIF-Inspector-ImporteRegularizacion-Prioritarios-Sin-VidaAhorro</v>
          </cell>
          <cell r="G305" t="str">
            <v>I-O-DIF-Inspector-ImporteRegularizacion-Prioritarios-Sin-VidaAhorro</v>
          </cell>
          <cell r="H305" t="str">
            <v>I-O-DIF-Inspector-ImporteRegularizacion-Prioritarios-Sin-VidaAhorro-RRTT</v>
          </cell>
        </row>
        <row r="306">
          <cell r="G306" t="str">
            <v>I-O-DIF-Inspector-ImporteRegularizacion-Prioritarios-Sin-VidaAhorro</v>
          </cell>
          <cell r="H306" t="str">
            <v>I-O-DIF-Inspector-ImporteRegularizacion-Prioritarios-Sin-VidaAhorro-RRGG</v>
          </cell>
        </row>
        <row r="307">
          <cell r="F307" t="str">
            <v>D-O-DIF-Inspector-Pago</v>
          </cell>
          <cell r="G307" t="str">
            <v>D-O-DIF-Inspector-Pago</v>
          </cell>
          <cell r="H307" t="str">
            <v>D-O-DIF-Inspector-Pago-RRTT</v>
          </cell>
        </row>
        <row r="308">
          <cell r="G308" t="str">
            <v>D-O-DIF-Inspector-Pago</v>
          </cell>
          <cell r="H308" t="str">
            <v>D-O-DIF-Inspector-Pago-RRGG</v>
          </cell>
        </row>
        <row r="309">
          <cell r="F309" t="str">
            <v>D-O-DIF-Inspector-Pago-Reg</v>
          </cell>
          <cell r="G309" t="str">
            <v>D-O-DIF-Inspector-Pago-Reg</v>
          </cell>
          <cell r="H309" t="str">
            <v>D-O-DIF-Inspector-Pago-Reg-RRTT</v>
          </cell>
        </row>
        <row r="310">
          <cell r="G310" t="str">
            <v>D-O-DIF-Inspector-Pago-Reg</v>
          </cell>
          <cell r="H310" t="str">
            <v>D-O-DIF-Inspector-Pago-Reg-RRGG</v>
          </cell>
        </row>
        <row r="311">
          <cell r="F311" t="str">
            <v>DC-E-DIF-Inspector-Importe</v>
          </cell>
          <cell r="G311" t="str">
            <v>DC-E-DIF-Inspector-Importe</v>
          </cell>
          <cell r="H311" t="str">
            <v>DC-E-DIF-Inspector-Importe</v>
          </cell>
        </row>
        <row r="312">
          <cell r="F312" t="str">
            <v>DC-E-DIF-Inspector-Importe-Agentes</v>
          </cell>
          <cell r="G312" t="str">
            <v>DC-E-DIF-Inspector-Importe-Agentes</v>
          </cell>
          <cell r="H312" t="str">
            <v>DC-E-DIF-Inspector-Importe-Agentes</v>
          </cell>
        </row>
        <row r="313">
          <cell r="F313" t="str">
            <v>IC-E-DIF-Inspector-Importe</v>
          </cell>
          <cell r="G313" t="str">
            <v>IC-E-DIF-Inspector-Importe</v>
          </cell>
          <cell r="H313" t="str">
            <v>IC-E-DIF-Inspector-Importe</v>
          </cell>
        </row>
        <row r="314">
          <cell r="F314" t="str">
            <v>PM-E-DIF-Inspector-Importe</v>
          </cell>
          <cell r="G314" t="str">
            <v>PM-E-DIF-Inspector-Importe-RRTT</v>
          </cell>
          <cell r="H314" t="str">
            <v>PM-E-DIF-Inspector-Importe-RRTT</v>
          </cell>
        </row>
        <row r="315">
          <cell r="G315" t="str">
            <v>PM-E-DIF-Inspector-Importe-RRGG</v>
          </cell>
          <cell r="H315" t="str">
            <v>PM-E-DIF-Inspector-Importe-RRGG</v>
          </cell>
        </row>
        <row r="316">
          <cell r="F316" t="str">
            <v>PM-E-DIF-Inspector-Importe-Agentes</v>
          </cell>
          <cell r="G316" t="str">
            <v>PM-E-DIF-Inspector-Importe-Agentes-RRTT</v>
          </cell>
          <cell r="H316" t="str">
            <v>PM-E-DIF-Inspector-Importe-Agentes-RRTT</v>
          </cell>
        </row>
        <row r="317">
          <cell r="G317" t="str">
            <v>PM-E-DIF-Inspector-Importe-Agentes-RRGG</v>
          </cell>
          <cell r="H317" t="str">
            <v>PM-E-DIF-Inspector-Importe-Agentes-RRGG</v>
          </cell>
        </row>
        <row r="318">
          <cell r="F318" t="str">
            <v>SM-E-DIF-Inspector-PagoMensual</v>
          </cell>
          <cell r="G318" t="str">
            <v>SM-E-DIF-Inspector-PagoMensual</v>
          </cell>
          <cell r="H318" t="str">
            <v>SM-E-DIF-Inspector-PagoMensual</v>
          </cell>
        </row>
        <row r="319">
          <cell r="G319" t="str">
            <v>SM-E-DIF-Inspector-PagoMensual-RRTT</v>
          </cell>
          <cell r="H319" t="str">
            <v>SM-E-DIF-Inspector-PagoMensual-RRTT</v>
          </cell>
        </row>
        <row r="320">
          <cell r="G320" t="str">
            <v>SM-E-DIF-Inspector-PagoMensual-RRGG</v>
          </cell>
          <cell r="H320" t="str">
            <v>SM-E-DIF-Inspector-PagoMensual-RRGG</v>
          </cell>
        </row>
        <row r="321">
          <cell r="F321" t="str">
            <v>I-E-DIF-Inspector-PagoMensual</v>
          </cell>
          <cell r="G321" t="str">
            <v>I-E-DIF-Inspector-PagoMensual-RRTT</v>
          </cell>
          <cell r="H321" t="str">
            <v>I-E-DIF-Inspector-PagoMensual-RRTT</v>
          </cell>
        </row>
        <row r="322">
          <cell r="G322" t="str">
            <v>I-E-DIF-Inspector-PagoMensual-RRGG</v>
          </cell>
          <cell r="H322" t="str">
            <v>I-E-DIF-Inspector-PagoMensual-RRGG</v>
          </cell>
        </row>
        <row r="323">
          <cell r="F323" t="str">
            <v>D-E-DIF-Inspector-PagoMensual</v>
          </cell>
          <cell r="G323" t="str">
            <v>D-E-DIF-Inspector-PagoMensual-RRTT</v>
          </cell>
          <cell r="H323" t="str">
            <v>D-E-DIF-Inspector-PagoMensual-RRTT</v>
          </cell>
        </row>
        <row r="324">
          <cell r="G324" t="str">
            <v>D-E-DIF-Inspector-PagoMensual-RRGG</v>
          </cell>
          <cell r="H324" t="str">
            <v>D-E-DIF-Inspector-PagoMensual-RRGG</v>
          </cell>
        </row>
        <row r="325">
          <cell r="F325" t="str">
            <v>SM-E-GEN-Categoria-MesesTotal</v>
          </cell>
          <cell r="G325" t="str">
            <v>SM-E-GEN-Categoria-Meses</v>
          </cell>
          <cell r="H325" t="str">
            <v>SM-E-GEN-Categoria-Meses</v>
          </cell>
        </row>
        <row r="326">
          <cell r="F326" t="str">
            <v>PM-O-RPP-Agente-NumeroPolizas-997</v>
          </cell>
          <cell r="H326" t="str">
            <v>PM-O-GEN-Agente-NumeroPolizas-997</v>
          </cell>
        </row>
        <row r="327">
          <cell r="H327" t="str">
            <v>PM-O-GEN-Inspector-NumeroPolizas-005-Agentes</v>
          </cell>
        </row>
        <row r="328">
          <cell r="H328" t="str">
            <v>PM-O-GEN-Inspector-NumeroPolizas-997</v>
          </cell>
        </row>
        <row r="329">
          <cell r="H329" t="str">
            <v>PM-O-GEN-Inspector-NumeroPolizas-997-Agentes</v>
          </cell>
        </row>
        <row r="330">
          <cell r="F330" t="str">
            <v>SM-RPP-Inspector-NumeroPolizas-906-TotalMes</v>
          </cell>
          <cell r="H330" t="str">
            <v>SM-O-GEN-Inspector-NumeroPolizas-906-TotalMes</v>
          </cell>
        </row>
        <row r="331">
          <cell r="F331" t="str">
            <v>SM-O-COMU-Inspector-Secundario</v>
          </cell>
          <cell r="H331" t="str">
            <v>SM-O-GEN-Inspector-Secundario</v>
          </cell>
        </row>
        <row r="332">
          <cell r="H332" t="str">
            <v>SM-O-REA-Inspector-Secundario</v>
          </cell>
        </row>
        <row r="333">
          <cell r="H333" t="str">
            <v>SM-O-COLC-Inspector-Secundario</v>
          </cell>
        </row>
        <row r="334">
          <cell r="F334" t="str">
            <v>SM-RPP-Inspector-NumeroPolizas-001-TotalAnual</v>
          </cell>
          <cell r="H334" t="str">
            <v>SM-O-GEN-Inspector-NumeroPolizas-001-TotalAnual</v>
          </cell>
        </row>
        <row r="335">
          <cell r="F335" t="str">
            <v>SM-RPP-Inspector-NumeroPolizas-002-TotalAnual</v>
          </cell>
          <cell r="H335" t="str">
            <v>SM-O-GEN-Inspector-NumeroPolizas-002-TotalAnual</v>
          </cell>
        </row>
        <row r="336">
          <cell r="F336" t="str">
            <v>SM-RPP-Inspector-NumeroPolizas-906-TotalAnual</v>
          </cell>
          <cell r="H336" t="str">
            <v>SM-O-GEN-Inspector-NumeroPolizas-906-TotalAnual</v>
          </cell>
        </row>
        <row r="337">
          <cell r="F337" t="str">
            <v>SM-RPP-Inspector-NumeroPolizas-998-Propia-TotalAnual</v>
          </cell>
          <cell r="H337" t="str">
            <v>SM-O-GEN-Inspector-NumeroPolizas-998-Propia-TotalAnual</v>
          </cell>
        </row>
        <row r="338">
          <cell r="F338" t="str">
            <v>SM-RPP-Inspector-NumeroPolizas-998-TotalAnual</v>
          </cell>
          <cell r="H338" t="str">
            <v>SM-O-GEN-Inspector-NumeroPolizas-998-TotalAnual</v>
          </cell>
        </row>
        <row r="339">
          <cell r="F339" t="str">
            <v>DC-O-RDC-Agente-Polizas-002</v>
          </cell>
          <cell r="H339" t="str">
            <v>DC-O-RDC-Agente-Polizas</v>
          </cell>
        </row>
        <row r="340">
          <cell r="F340" t="str">
            <v>DC-O-RDC-Agente-PrimaCorregida-002</v>
          </cell>
          <cell r="H340" t="str">
            <v>DC-O-RDC-Agente-PrimaCorregida</v>
          </cell>
        </row>
        <row r="341">
          <cell r="F341" t="str">
            <v>DC-O-RDC-Agente-PolizasCorregidas-002</v>
          </cell>
          <cell r="H341" t="str">
            <v>DC-O-RDC-Agente-PolizasCorregidas</v>
          </cell>
        </row>
        <row r="342">
          <cell r="F342" t="str">
            <v>PM-O-RDC-Agente-PrimaCorregida-002</v>
          </cell>
          <cell r="H342" t="str">
            <v>PM-O-RDC-Agente-PrimaCorregida</v>
          </cell>
        </row>
        <row r="343">
          <cell r="F343" t="str">
            <v>PM-O-RDC-Agente-Polizas-002</v>
          </cell>
          <cell r="H343" t="str">
            <v>PM-O-RDC-Agente-Polizas</v>
          </cell>
        </row>
        <row r="344">
          <cell r="F344" t="str">
            <v>PM-O-RDC-Agente-PolizasCorregidas-002</v>
          </cell>
          <cell r="H344" t="str">
            <v>PM-O-RDC-Agente-PolizasCorregidas</v>
          </cell>
        </row>
        <row r="345">
          <cell r="F345" t="str">
            <v>SM-O-RDC-Agente-PrimaCorregida-002</v>
          </cell>
          <cell r="H345" t="str">
            <v>SM-O-RDC-Agente-PrimaCorregida</v>
          </cell>
        </row>
        <row r="346">
          <cell r="F346" t="str">
            <v>SM-O-RDC-Agente-Polizas-002</v>
          </cell>
          <cell r="H346" t="str">
            <v>SM-O-RDC-Agente-Polizas</v>
          </cell>
        </row>
        <row r="347">
          <cell r="F347" t="str">
            <v>SM-O-RDC-Agente-PolizasCorregidas-002</v>
          </cell>
          <cell r="H347" t="str">
            <v>SM-O-RDC-Agente-PolizasCorregidas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92"/>
  <sheetViews>
    <sheetView zoomScale="85" zoomScaleNormal="85" workbookViewId="0">
      <pane ySplit="1" topLeftCell="A2" activePane="bottomLeft" state="frozen"/>
      <selection pane="bottomLeft" activeCell="D11" sqref="D11"/>
    </sheetView>
  </sheetViews>
  <sheetFormatPr defaultColWidth="11.42578125" defaultRowHeight="15" x14ac:dyDescent="0.25"/>
  <cols>
    <col min="1" max="1" width="13.42578125" bestFit="1" customWidth="1"/>
    <col min="2" max="2" width="16.7109375" bestFit="1" customWidth="1"/>
    <col min="3" max="3" width="43.7109375" customWidth="1"/>
    <col min="4" max="4" width="24.28515625" bestFit="1" customWidth="1"/>
    <col min="5" max="5" width="11.5703125" bestFit="1" customWidth="1"/>
    <col min="6" max="6" width="9.28515625" bestFit="1" customWidth="1"/>
    <col min="7" max="8" width="22.5703125" style="19" bestFit="1" customWidth="1"/>
    <col min="9" max="9" width="12.5703125" style="19" bestFit="1" customWidth="1"/>
    <col min="10" max="10" width="15.42578125" bestFit="1" customWidth="1"/>
  </cols>
  <sheetData>
    <row r="1" spans="1:10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20140101</v>
      </c>
      <c r="F2">
        <v>22000101</v>
      </c>
      <c r="G2" s="19" t="s">
        <v>13</v>
      </c>
      <c r="H2" s="19" t="s">
        <v>13</v>
      </c>
      <c r="I2" s="19" t="s">
        <v>14</v>
      </c>
      <c r="J2" t="s">
        <v>15</v>
      </c>
    </row>
    <row r="3" spans="1:10" x14ac:dyDescent="0.25">
      <c r="A3" s="25">
        <v>1</v>
      </c>
      <c r="B3" s="25" t="s">
        <v>16</v>
      </c>
      <c r="C3" s="25" t="s">
        <v>17</v>
      </c>
      <c r="D3" s="25" t="s">
        <v>18</v>
      </c>
      <c r="E3" s="25">
        <v>20140101</v>
      </c>
      <c r="F3" s="25">
        <v>20180101</v>
      </c>
      <c r="G3" s="21" t="s">
        <v>13</v>
      </c>
      <c r="H3" s="21" t="s">
        <v>13</v>
      </c>
      <c r="I3" s="21" t="s">
        <v>19</v>
      </c>
      <c r="J3" s="25" t="s">
        <v>20</v>
      </c>
    </row>
    <row r="4" spans="1:10" x14ac:dyDescent="0.25">
      <c r="A4">
        <v>2</v>
      </c>
      <c r="B4" t="s">
        <v>21</v>
      </c>
      <c r="C4" t="s">
        <v>22</v>
      </c>
      <c r="D4" t="s">
        <v>23</v>
      </c>
      <c r="E4">
        <v>20140101</v>
      </c>
      <c r="F4">
        <v>22000101</v>
      </c>
      <c r="G4" s="19" t="s">
        <v>13</v>
      </c>
      <c r="H4" s="19" t="s">
        <v>13</v>
      </c>
      <c r="I4" s="19" t="s">
        <v>14</v>
      </c>
      <c r="J4" t="s">
        <v>24</v>
      </c>
    </row>
    <row r="5" spans="1:10" x14ac:dyDescent="0.25">
      <c r="A5" s="25">
        <v>2</v>
      </c>
      <c r="B5" s="25" t="s">
        <v>25</v>
      </c>
      <c r="C5" s="25" t="s">
        <v>26</v>
      </c>
      <c r="D5" s="25" t="s">
        <v>27</v>
      </c>
      <c r="E5" s="25">
        <v>20140101</v>
      </c>
      <c r="F5" s="25">
        <v>20180101</v>
      </c>
      <c r="G5" s="21" t="s">
        <v>13</v>
      </c>
      <c r="H5" s="21" t="s">
        <v>13</v>
      </c>
      <c r="I5" s="21" t="s">
        <v>19</v>
      </c>
      <c r="J5" s="25" t="s">
        <v>28</v>
      </c>
    </row>
    <row r="6" spans="1:10" x14ac:dyDescent="0.25">
      <c r="A6">
        <v>0</v>
      </c>
      <c r="B6" t="s">
        <v>29</v>
      </c>
      <c r="C6" t="s">
        <v>30</v>
      </c>
      <c r="D6" t="s">
        <v>31</v>
      </c>
      <c r="E6">
        <v>20190101</v>
      </c>
      <c r="F6">
        <v>22000101</v>
      </c>
      <c r="G6" s="19" t="s">
        <v>13</v>
      </c>
      <c r="H6" s="19" t="s">
        <v>13</v>
      </c>
      <c r="I6" s="19" t="s">
        <v>14</v>
      </c>
      <c r="J6" t="s">
        <v>32</v>
      </c>
    </row>
    <row r="7" spans="1:10" x14ac:dyDescent="0.25">
      <c r="A7">
        <v>2</v>
      </c>
      <c r="B7" t="s">
        <v>33</v>
      </c>
      <c r="C7" t="s">
        <v>34</v>
      </c>
      <c r="D7" t="s">
        <v>35</v>
      </c>
      <c r="E7">
        <v>20140101</v>
      </c>
      <c r="F7">
        <v>22000101</v>
      </c>
      <c r="G7" s="19" t="s">
        <v>13</v>
      </c>
      <c r="H7" s="19" t="s">
        <v>13</v>
      </c>
      <c r="I7" s="19" t="s">
        <v>14</v>
      </c>
      <c r="J7" t="s">
        <v>36</v>
      </c>
    </row>
    <row r="8" spans="1:10" x14ac:dyDescent="0.25">
      <c r="A8">
        <v>2</v>
      </c>
      <c r="B8" t="s">
        <v>37</v>
      </c>
      <c r="C8" t="s">
        <v>38</v>
      </c>
      <c r="D8" t="s">
        <v>39</v>
      </c>
      <c r="E8">
        <v>20140101</v>
      </c>
      <c r="F8">
        <v>22000101</v>
      </c>
      <c r="G8" s="19" t="s">
        <v>13</v>
      </c>
      <c r="H8" s="19" t="s">
        <v>13</v>
      </c>
      <c r="I8" s="19" t="s">
        <v>19</v>
      </c>
      <c r="J8" t="s">
        <v>36</v>
      </c>
    </row>
    <row r="9" spans="1:10" x14ac:dyDescent="0.25">
      <c r="A9">
        <v>2</v>
      </c>
      <c r="B9" t="s">
        <v>40</v>
      </c>
      <c r="C9" t="s">
        <v>41</v>
      </c>
      <c r="D9" t="s">
        <v>42</v>
      </c>
      <c r="E9">
        <v>20140101</v>
      </c>
      <c r="F9">
        <v>22000101</v>
      </c>
      <c r="G9" s="19">
        <v>12</v>
      </c>
      <c r="H9" s="19">
        <v>12</v>
      </c>
      <c r="I9" s="19" t="s">
        <v>14</v>
      </c>
      <c r="J9" t="s">
        <v>43</v>
      </c>
    </row>
    <row r="10" spans="1:10" x14ac:dyDescent="0.25">
      <c r="A10">
        <v>2</v>
      </c>
      <c r="B10" t="s">
        <v>44</v>
      </c>
      <c r="C10" t="s">
        <v>45</v>
      </c>
      <c r="D10" t="s">
        <v>46</v>
      </c>
      <c r="E10">
        <v>20140101</v>
      </c>
      <c r="F10">
        <v>22000101</v>
      </c>
      <c r="G10" s="19">
        <v>12</v>
      </c>
      <c r="H10" s="19">
        <v>12</v>
      </c>
      <c r="I10" s="19" t="s">
        <v>14</v>
      </c>
      <c r="J10" t="s">
        <v>47</v>
      </c>
    </row>
    <row r="11" spans="1:10" x14ac:dyDescent="0.25">
      <c r="A11">
        <v>2</v>
      </c>
      <c r="B11" t="s">
        <v>48</v>
      </c>
      <c r="C11" t="s">
        <v>49</v>
      </c>
      <c r="D11" t="s">
        <v>50</v>
      </c>
      <c r="E11">
        <v>20140101</v>
      </c>
      <c r="F11">
        <v>22000101</v>
      </c>
      <c r="G11" s="19" t="s">
        <v>13</v>
      </c>
      <c r="H11" s="19" t="s">
        <v>13</v>
      </c>
      <c r="I11" s="19" t="s">
        <v>14</v>
      </c>
      <c r="J11" t="s">
        <v>51</v>
      </c>
    </row>
    <row r="12" spans="1:10" x14ac:dyDescent="0.25">
      <c r="A12">
        <v>2</v>
      </c>
      <c r="B12" t="s">
        <v>52</v>
      </c>
      <c r="C12" t="s">
        <v>53</v>
      </c>
      <c r="D12" t="s">
        <v>54</v>
      </c>
      <c r="E12">
        <v>20140101</v>
      </c>
      <c r="F12">
        <v>22000101</v>
      </c>
      <c r="G12" s="19" t="s">
        <v>13</v>
      </c>
      <c r="H12" s="19" t="s">
        <v>13</v>
      </c>
      <c r="I12" s="19" t="s">
        <v>19</v>
      </c>
      <c r="J12" t="s">
        <v>51</v>
      </c>
    </row>
    <row r="13" spans="1:10" x14ac:dyDescent="0.25">
      <c r="A13">
        <v>3</v>
      </c>
      <c r="B13" t="s">
        <v>55</v>
      </c>
      <c r="C13" t="s">
        <v>56</v>
      </c>
      <c r="D13" t="s">
        <v>57</v>
      </c>
      <c r="E13">
        <v>20140101</v>
      </c>
      <c r="F13">
        <v>22000101</v>
      </c>
      <c r="G13" s="19" t="s">
        <v>13</v>
      </c>
      <c r="H13" s="19" t="s">
        <v>13</v>
      </c>
      <c r="I13" s="19" t="s">
        <v>14</v>
      </c>
      <c r="J13" t="s">
        <v>58</v>
      </c>
    </row>
    <row r="14" spans="1:10" x14ac:dyDescent="0.25">
      <c r="A14" s="25">
        <v>3</v>
      </c>
      <c r="B14" s="25" t="s">
        <v>59</v>
      </c>
      <c r="C14" s="25" t="s">
        <v>60</v>
      </c>
      <c r="D14" s="25" t="s">
        <v>61</v>
      </c>
      <c r="E14" s="25">
        <v>20140101</v>
      </c>
      <c r="F14" s="25">
        <v>20180101</v>
      </c>
      <c r="G14" s="21" t="s">
        <v>13</v>
      </c>
      <c r="H14" s="21" t="s">
        <v>13</v>
      </c>
      <c r="I14" s="21" t="s">
        <v>19</v>
      </c>
      <c r="J14" s="25" t="s">
        <v>62</v>
      </c>
    </row>
    <row r="15" spans="1:10" x14ac:dyDescent="0.25">
      <c r="A15">
        <v>3</v>
      </c>
      <c r="B15" t="s">
        <v>63</v>
      </c>
      <c r="C15" t="s">
        <v>64</v>
      </c>
      <c r="D15" t="s">
        <v>65</v>
      </c>
      <c r="E15">
        <v>20140101</v>
      </c>
      <c r="F15">
        <v>22000101</v>
      </c>
      <c r="G15" s="19" t="s">
        <v>13</v>
      </c>
      <c r="H15" s="19" t="s">
        <v>66</v>
      </c>
      <c r="I15" s="19" t="s">
        <v>14</v>
      </c>
      <c r="J15" t="s">
        <v>67</v>
      </c>
    </row>
    <row r="16" spans="1:10" x14ac:dyDescent="0.25">
      <c r="A16" s="2">
        <v>3</v>
      </c>
      <c r="B16" s="2" t="s">
        <v>68</v>
      </c>
      <c r="C16" s="2" t="s">
        <v>69</v>
      </c>
      <c r="D16" s="2" t="s">
        <v>70</v>
      </c>
      <c r="E16" s="2">
        <v>20140101</v>
      </c>
      <c r="F16" s="2">
        <v>20151001</v>
      </c>
      <c r="G16" s="20"/>
      <c r="H16" s="20"/>
      <c r="I16" s="20"/>
      <c r="J16" s="2" t="s">
        <v>71</v>
      </c>
    </row>
    <row r="17" spans="1:10" x14ac:dyDescent="0.25">
      <c r="A17" s="2">
        <v>3</v>
      </c>
      <c r="B17" s="2" t="s">
        <v>72</v>
      </c>
      <c r="C17" s="2" t="s">
        <v>73</v>
      </c>
      <c r="D17" s="2" t="s">
        <v>74</v>
      </c>
      <c r="E17" s="2">
        <v>20140101</v>
      </c>
      <c r="F17" s="2">
        <v>20151001</v>
      </c>
      <c r="G17" s="20"/>
      <c r="H17" s="20"/>
      <c r="I17" s="20"/>
      <c r="J17" s="2" t="s">
        <v>71</v>
      </c>
    </row>
    <row r="18" spans="1:10" x14ac:dyDescent="0.25">
      <c r="A18" s="2">
        <v>3</v>
      </c>
      <c r="B18" s="2" t="s">
        <v>75</v>
      </c>
      <c r="C18" s="2" t="s">
        <v>76</v>
      </c>
      <c r="D18" s="2" t="s">
        <v>77</v>
      </c>
      <c r="E18" s="2">
        <v>20140101</v>
      </c>
      <c r="F18" s="2">
        <v>20151001</v>
      </c>
      <c r="G18" s="20"/>
      <c r="H18" s="20"/>
      <c r="I18" s="20"/>
      <c r="J18" s="2" t="s">
        <v>71</v>
      </c>
    </row>
    <row r="19" spans="1:10" x14ac:dyDescent="0.25">
      <c r="A19">
        <v>3</v>
      </c>
      <c r="B19" t="s">
        <v>78</v>
      </c>
      <c r="C19" t="s">
        <v>79</v>
      </c>
      <c r="D19" t="s">
        <v>80</v>
      </c>
      <c r="E19">
        <v>20140101</v>
      </c>
      <c r="F19">
        <v>22000101</v>
      </c>
      <c r="G19" s="19" t="s">
        <v>13</v>
      </c>
      <c r="H19" s="19" t="s">
        <v>13</v>
      </c>
      <c r="I19" s="19" t="s">
        <v>14</v>
      </c>
      <c r="J19" t="s">
        <v>81</v>
      </c>
    </row>
    <row r="20" spans="1:10" x14ac:dyDescent="0.25">
      <c r="A20">
        <v>3</v>
      </c>
      <c r="B20" t="s">
        <v>82</v>
      </c>
      <c r="C20" t="s">
        <v>83</v>
      </c>
      <c r="D20" t="s">
        <v>84</v>
      </c>
      <c r="E20">
        <v>20140101</v>
      </c>
      <c r="F20">
        <v>22000101</v>
      </c>
      <c r="G20" s="19" t="s">
        <v>13</v>
      </c>
      <c r="H20" s="19" t="s">
        <v>13</v>
      </c>
      <c r="I20" s="19" t="s">
        <v>19</v>
      </c>
      <c r="J20" t="s">
        <v>81</v>
      </c>
    </row>
    <row r="21" spans="1:10" x14ac:dyDescent="0.25">
      <c r="A21" s="2">
        <v>3</v>
      </c>
      <c r="B21" s="2" t="s">
        <v>85</v>
      </c>
      <c r="C21" s="2" t="s">
        <v>86</v>
      </c>
      <c r="D21" s="2" t="s">
        <v>87</v>
      </c>
      <c r="E21" s="2">
        <v>20140101</v>
      </c>
      <c r="F21" s="2">
        <v>20170101</v>
      </c>
      <c r="G21" s="20"/>
      <c r="H21" s="20"/>
      <c r="I21" s="20"/>
      <c r="J21" s="2" t="s">
        <v>71</v>
      </c>
    </row>
    <row r="22" spans="1:10" x14ac:dyDescent="0.25">
      <c r="A22">
        <v>3</v>
      </c>
      <c r="B22" t="s">
        <v>88</v>
      </c>
      <c r="C22" t="s">
        <v>89</v>
      </c>
      <c r="D22" t="s">
        <v>90</v>
      </c>
      <c r="E22">
        <v>20170101</v>
      </c>
      <c r="F22">
        <v>22000101</v>
      </c>
      <c r="G22" s="19">
        <v>12</v>
      </c>
      <c r="H22" s="19">
        <v>12</v>
      </c>
      <c r="I22" s="19" t="s">
        <v>14</v>
      </c>
      <c r="J22" t="s">
        <v>91</v>
      </c>
    </row>
    <row r="23" spans="1:10" x14ac:dyDescent="0.25">
      <c r="A23">
        <v>3</v>
      </c>
      <c r="B23" t="s">
        <v>92</v>
      </c>
      <c r="C23" t="s">
        <v>93</v>
      </c>
      <c r="D23" t="s">
        <v>94</v>
      </c>
      <c r="E23">
        <v>20170101</v>
      </c>
      <c r="F23">
        <v>22000101</v>
      </c>
      <c r="G23" s="19">
        <v>12</v>
      </c>
      <c r="H23" s="19">
        <v>12</v>
      </c>
      <c r="I23" s="19" t="s">
        <v>14</v>
      </c>
      <c r="J23" t="s">
        <v>91</v>
      </c>
    </row>
    <row r="24" spans="1:10" x14ac:dyDescent="0.25">
      <c r="A24">
        <v>3</v>
      </c>
      <c r="B24" t="s">
        <v>95</v>
      </c>
      <c r="C24" t="s">
        <v>96</v>
      </c>
      <c r="D24" t="s">
        <v>97</v>
      </c>
      <c r="E24">
        <v>20140101</v>
      </c>
      <c r="F24">
        <v>22000101</v>
      </c>
      <c r="G24" s="19" t="s">
        <v>13</v>
      </c>
      <c r="H24" s="19" t="s">
        <v>13</v>
      </c>
      <c r="I24" s="19" t="s">
        <v>14</v>
      </c>
      <c r="J24" t="s">
        <v>98</v>
      </c>
    </row>
    <row r="25" spans="1:10" x14ac:dyDescent="0.25">
      <c r="A25" s="25">
        <v>3</v>
      </c>
      <c r="B25" s="25" t="s">
        <v>99</v>
      </c>
      <c r="C25" s="25" t="s">
        <v>100</v>
      </c>
      <c r="D25" s="25" t="s">
        <v>101</v>
      </c>
      <c r="E25" s="25">
        <v>20140101</v>
      </c>
      <c r="F25" s="25">
        <v>20180101</v>
      </c>
      <c r="G25" s="21" t="s">
        <v>13</v>
      </c>
      <c r="H25" s="21" t="s">
        <v>13</v>
      </c>
      <c r="I25" s="21" t="s">
        <v>19</v>
      </c>
      <c r="J25" s="25" t="s">
        <v>102</v>
      </c>
    </row>
    <row r="26" spans="1:10" x14ac:dyDescent="0.25">
      <c r="A26">
        <v>3</v>
      </c>
      <c r="B26" t="s">
        <v>103</v>
      </c>
      <c r="C26" t="s">
        <v>104</v>
      </c>
      <c r="D26" t="s">
        <v>105</v>
      </c>
      <c r="E26">
        <v>20140101</v>
      </c>
      <c r="F26">
        <v>22000101</v>
      </c>
      <c r="G26" s="19" t="s">
        <v>13</v>
      </c>
      <c r="H26" s="19" t="s">
        <v>106</v>
      </c>
      <c r="I26" s="19" t="s">
        <v>14</v>
      </c>
      <c r="J26" t="s">
        <v>107</v>
      </c>
    </row>
    <row r="27" spans="1:10" x14ac:dyDescent="0.25">
      <c r="A27">
        <v>3</v>
      </c>
      <c r="B27" t="s">
        <v>108</v>
      </c>
      <c r="C27" t="s">
        <v>109</v>
      </c>
      <c r="D27" t="s">
        <v>110</v>
      </c>
      <c r="E27">
        <v>20200101</v>
      </c>
      <c r="F27">
        <v>22000101</v>
      </c>
      <c r="G27" s="19" t="s">
        <v>13</v>
      </c>
      <c r="H27" s="19" t="s">
        <v>106</v>
      </c>
      <c r="I27" s="19" t="s">
        <v>14</v>
      </c>
      <c r="J27" t="s">
        <v>107</v>
      </c>
    </row>
    <row r="28" spans="1:10" x14ac:dyDescent="0.25">
      <c r="A28">
        <v>3</v>
      </c>
      <c r="B28" t="s">
        <v>111</v>
      </c>
      <c r="C28" t="s">
        <v>112</v>
      </c>
      <c r="D28" t="s">
        <v>113</v>
      </c>
      <c r="E28">
        <v>20140101</v>
      </c>
      <c r="F28">
        <v>22000101</v>
      </c>
      <c r="G28" s="19">
        <v>1.1200000000000001</v>
      </c>
      <c r="H28" s="19">
        <v>1</v>
      </c>
      <c r="I28" s="19" t="s">
        <v>14</v>
      </c>
      <c r="J28" t="s">
        <v>114</v>
      </c>
    </row>
    <row r="29" spans="1:10" x14ac:dyDescent="0.25">
      <c r="A29">
        <v>3</v>
      </c>
      <c r="B29" t="s">
        <v>115</v>
      </c>
      <c r="C29" t="s">
        <v>116</v>
      </c>
      <c r="D29" t="s">
        <v>117</v>
      </c>
      <c r="E29">
        <v>20140101</v>
      </c>
      <c r="F29">
        <v>20180201</v>
      </c>
      <c r="G29" s="19" t="s">
        <v>13</v>
      </c>
      <c r="H29" s="19" t="s">
        <v>13</v>
      </c>
      <c r="I29" s="19" t="s">
        <v>14</v>
      </c>
      <c r="J29" t="s">
        <v>118</v>
      </c>
    </row>
    <row r="30" spans="1:10" x14ac:dyDescent="0.25">
      <c r="A30">
        <v>4</v>
      </c>
      <c r="B30" t="s">
        <v>119</v>
      </c>
      <c r="C30" t="s">
        <v>120</v>
      </c>
      <c r="D30" t="s">
        <v>121</v>
      </c>
      <c r="E30">
        <v>20140101</v>
      </c>
      <c r="F30">
        <v>22000101</v>
      </c>
      <c r="G30" s="19" t="s">
        <v>13</v>
      </c>
      <c r="H30" s="19" t="s">
        <v>13</v>
      </c>
      <c r="I30" s="19" t="s">
        <v>14</v>
      </c>
      <c r="J30" t="s">
        <v>122</v>
      </c>
    </row>
    <row r="31" spans="1:10" x14ac:dyDescent="0.25">
      <c r="A31">
        <v>4</v>
      </c>
      <c r="B31" t="s">
        <v>123</v>
      </c>
      <c r="C31" t="s">
        <v>124</v>
      </c>
      <c r="D31" t="s">
        <v>125</v>
      </c>
      <c r="E31">
        <v>20140101</v>
      </c>
      <c r="F31">
        <v>22000101</v>
      </c>
      <c r="G31" s="19" t="s">
        <v>13</v>
      </c>
      <c r="H31" s="19" t="s">
        <v>13</v>
      </c>
      <c r="I31" s="19" t="s">
        <v>19</v>
      </c>
      <c r="J31" t="s">
        <v>122</v>
      </c>
    </row>
    <row r="32" spans="1:10" x14ac:dyDescent="0.25">
      <c r="A32" s="25">
        <v>4</v>
      </c>
      <c r="B32" s="25" t="s">
        <v>126</v>
      </c>
      <c r="C32" s="25" t="s">
        <v>127</v>
      </c>
      <c r="D32" s="25" t="s">
        <v>128</v>
      </c>
      <c r="E32" s="25">
        <v>20140101</v>
      </c>
      <c r="F32" s="25">
        <v>20180101</v>
      </c>
      <c r="G32" s="21" t="s">
        <v>13</v>
      </c>
      <c r="H32" s="21" t="s">
        <v>129</v>
      </c>
      <c r="I32" s="21" t="s">
        <v>14</v>
      </c>
      <c r="J32" s="25" t="s">
        <v>130</v>
      </c>
    </row>
    <row r="33" spans="1:10" x14ac:dyDescent="0.25">
      <c r="A33">
        <v>4</v>
      </c>
      <c r="B33" t="s">
        <v>131</v>
      </c>
      <c r="C33" t="s">
        <v>132</v>
      </c>
      <c r="D33" t="s">
        <v>133</v>
      </c>
      <c r="E33">
        <v>20140101</v>
      </c>
      <c r="F33">
        <v>22000101</v>
      </c>
      <c r="G33" s="19" t="s">
        <v>13</v>
      </c>
      <c r="H33" s="19" t="s">
        <v>13</v>
      </c>
      <c r="I33" s="19" t="s">
        <v>14</v>
      </c>
      <c r="J33" t="s">
        <v>134</v>
      </c>
    </row>
    <row r="34" spans="1:10" x14ac:dyDescent="0.25">
      <c r="A34" t="s">
        <v>135</v>
      </c>
      <c r="B34" t="s">
        <v>136</v>
      </c>
      <c r="C34" t="s">
        <v>137</v>
      </c>
      <c r="D34" t="s">
        <v>138</v>
      </c>
      <c r="E34">
        <v>20140101</v>
      </c>
      <c r="F34">
        <v>22000101</v>
      </c>
      <c r="G34" s="19" t="s">
        <v>13</v>
      </c>
      <c r="H34" s="19" t="s">
        <v>13</v>
      </c>
      <c r="I34" s="19" t="s">
        <v>19</v>
      </c>
      <c r="J34" t="s">
        <v>134</v>
      </c>
    </row>
    <row r="35" spans="1:10" x14ac:dyDescent="0.25">
      <c r="A35">
        <v>4</v>
      </c>
      <c r="B35" t="s">
        <v>139</v>
      </c>
      <c r="C35" t="s">
        <v>140</v>
      </c>
      <c r="D35" t="s">
        <v>141</v>
      </c>
      <c r="E35">
        <v>20140101</v>
      </c>
      <c r="F35">
        <v>22000101</v>
      </c>
      <c r="G35" s="19" t="s">
        <v>13</v>
      </c>
      <c r="H35" s="19" t="s">
        <v>13</v>
      </c>
      <c r="I35" s="19" t="s">
        <v>14</v>
      </c>
      <c r="J35" t="s">
        <v>142</v>
      </c>
    </row>
    <row r="36" spans="1:10" x14ac:dyDescent="0.25">
      <c r="A36" t="s">
        <v>135</v>
      </c>
      <c r="B36" t="s">
        <v>143</v>
      </c>
      <c r="C36" t="s">
        <v>144</v>
      </c>
      <c r="D36" t="s">
        <v>145</v>
      </c>
      <c r="E36">
        <v>20140101</v>
      </c>
      <c r="F36">
        <v>22000101</v>
      </c>
      <c r="G36" s="19" t="s">
        <v>13</v>
      </c>
      <c r="H36" s="19" t="s">
        <v>13</v>
      </c>
      <c r="I36" s="19" t="s">
        <v>19</v>
      </c>
      <c r="J36" t="s">
        <v>142</v>
      </c>
    </row>
    <row r="37" spans="1:10" x14ac:dyDescent="0.25">
      <c r="A37">
        <v>4</v>
      </c>
      <c r="B37" t="s">
        <v>146</v>
      </c>
      <c r="C37" t="s">
        <v>147</v>
      </c>
      <c r="D37" t="s">
        <v>148</v>
      </c>
      <c r="E37">
        <v>20140101</v>
      </c>
      <c r="F37">
        <v>22000101</v>
      </c>
      <c r="G37" s="19" t="s">
        <v>149</v>
      </c>
      <c r="H37" s="19" t="s">
        <v>149</v>
      </c>
      <c r="I37" s="19" t="s">
        <v>14</v>
      </c>
      <c r="J37" t="s">
        <v>150</v>
      </c>
    </row>
    <row r="38" spans="1:10" x14ac:dyDescent="0.25">
      <c r="A38">
        <v>4</v>
      </c>
      <c r="B38" t="s">
        <v>151</v>
      </c>
      <c r="C38" t="s">
        <v>152</v>
      </c>
      <c r="D38" t="s">
        <v>153</v>
      </c>
      <c r="E38">
        <v>20140101</v>
      </c>
      <c r="F38">
        <v>22000101</v>
      </c>
      <c r="G38" s="19" t="s">
        <v>13</v>
      </c>
      <c r="H38" s="19" t="s">
        <v>13</v>
      </c>
      <c r="I38" s="19" t="s">
        <v>14</v>
      </c>
      <c r="J38" t="s">
        <v>154</v>
      </c>
    </row>
    <row r="39" spans="1:10" x14ac:dyDescent="0.25">
      <c r="A39">
        <v>4</v>
      </c>
      <c r="B39" t="s">
        <v>155</v>
      </c>
      <c r="C39" t="s">
        <v>156</v>
      </c>
      <c r="D39" t="s">
        <v>157</v>
      </c>
      <c r="E39">
        <v>20140101</v>
      </c>
      <c r="F39">
        <v>22000101</v>
      </c>
      <c r="G39" s="19" t="s">
        <v>13</v>
      </c>
      <c r="H39" s="19" t="s">
        <v>66</v>
      </c>
      <c r="I39" s="19" t="s">
        <v>14</v>
      </c>
      <c r="J39" t="s">
        <v>158</v>
      </c>
    </row>
    <row r="40" spans="1:10" x14ac:dyDescent="0.25">
      <c r="A40">
        <v>4</v>
      </c>
      <c r="B40" t="s">
        <v>159</v>
      </c>
      <c r="C40" t="s">
        <v>160</v>
      </c>
      <c r="D40" t="s">
        <v>161</v>
      </c>
      <c r="E40">
        <v>20140101</v>
      </c>
      <c r="F40">
        <v>22000101</v>
      </c>
      <c r="G40" s="19" t="s">
        <v>13</v>
      </c>
      <c r="H40" s="19" t="s">
        <v>13</v>
      </c>
      <c r="I40" s="19" t="s">
        <v>14</v>
      </c>
      <c r="J40" t="s">
        <v>162</v>
      </c>
    </row>
    <row r="41" spans="1:10" x14ac:dyDescent="0.25">
      <c r="A41" s="2">
        <v>4</v>
      </c>
      <c r="B41" s="2" t="s">
        <v>163</v>
      </c>
      <c r="C41" s="2" t="s">
        <v>164</v>
      </c>
      <c r="D41" s="2" t="s">
        <v>165</v>
      </c>
      <c r="E41" s="2">
        <v>20140101</v>
      </c>
      <c r="F41" s="2">
        <v>20180101</v>
      </c>
      <c r="G41" s="20">
        <v>12</v>
      </c>
      <c r="H41" s="20">
        <v>12</v>
      </c>
      <c r="I41" s="20" t="s">
        <v>14</v>
      </c>
      <c r="J41" s="2" t="s">
        <v>71</v>
      </c>
    </row>
    <row r="42" spans="1:10" x14ac:dyDescent="0.25">
      <c r="A42" s="25">
        <v>4</v>
      </c>
      <c r="B42" s="25" t="s">
        <v>166</v>
      </c>
      <c r="C42" s="25" t="s">
        <v>167</v>
      </c>
      <c r="D42" s="25" t="s">
        <v>168</v>
      </c>
      <c r="E42" s="25">
        <v>20140101</v>
      </c>
      <c r="F42" s="25">
        <v>20180101</v>
      </c>
      <c r="G42" s="21" t="s">
        <v>66</v>
      </c>
      <c r="H42" s="21" t="s">
        <v>66</v>
      </c>
      <c r="I42" s="21" t="s">
        <v>14</v>
      </c>
      <c r="J42" s="25" t="s">
        <v>169</v>
      </c>
    </row>
    <row r="43" spans="1:10" x14ac:dyDescent="0.25">
      <c r="A43">
        <v>0</v>
      </c>
      <c r="B43" t="s">
        <v>170</v>
      </c>
      <c r="C43" t="s">
        <v>171</v>
      </c>
      <c r="D43" t="s">
        <v>172</v>
      </c>
      <c r="E43">
        <v>20180101</v>
      </c>
      <c r="F43">
        <v>22000101</v>
      </c>
      <c r="G43" s="19" t="s">
        <v>13</v>
      </c>
      <c r="H43" s="19" t="s">
        <v>13</v>
      </c>
      <c r="I43" s="19" t="s">
        <v>14</v>
      </c>
      <c r="J43" t="s">
        <v>173</v>
      </c>
    </row>
    <row r="44" spans="1:10" x14ac:dyDescent="0.25">
      <c r="A44">
        <v>0</v>
      </c>
      <c r="B44" t="s">
        <v>174</v>
      </c>
      <c r="C44" t="s">
        <v>175</v>
      </c>
      <c r="D44" t="s">
        <v>176</v>
      </c>
      <c r="E44">
        <v>20181001</v>
      </c>
      <c r="F44">
        <v>22000101</v>
      </c>
      <c r="G44" s="19" t="s">
        <v>177</v>
      </c>
      <c r="H44" s="19" t="s">
        <v>177</v>
      </c>
      <c r="I44" s="19" t="s">
        <v>14</v>
      </c>
      <c r="J44" t="s">
        <v>178</v>
      </c>
    </row>
    <row r="45" spans="1:10" x14ac:dyDescent="0.25">
      <c r="A45">
        <v>0</v>
      </c>
      <c r="B45" t="s">
        <v>179</v>
      </c>
      <c r="C45" t="s">
        <v>180</v>
      </c>
      <c r="D45" t="s">
        <v>181</v>
      </c>
      <c r="E45">
        <v>20181101</v>
      </c>
      <c r="F45">
        <v>22000101</v>
      </c>
      <c r="G45" s="19">
        <v>11.12</v>
      </c>
      <c r="H45" s="19">
        <v>11.12</v>
      </c>
      <c r="I45" s="19" t="s">
        <v>14</v>
      </c>
      <c r="J45" t="s">
        <v>182</v>
      </c>
    </row>
    <row r="46" spans="1:10" x14ac:dyDescent="0.25">
      <c r="A46">
        <v>0</v>
      </c>
      <c r="B46" t="s">
        <v>183</v>
      </c>
      <c r="C46" t="s">
        <v>184</v>
      </c>
      <c r="D46" t="s">
        <v>185</v>
      </c>
      <c r="E46">
        <v>20181101</v>
      </c>
      <c r="F46">
        <v>22000101</v>
      </c>
      <c r="G46" s="19">
        <v>11.12</v>
      </c>
      <c r="H46" s="19">
        <v>11.12</v>
      </c>
      <c r="I46" s="19" t="s">
        <v>19</v>
      </c>
      <c r="J46" t="s">
        <v>182</v>
      </c>
    </row>
    <row r="47" spans="1:10" x14ac:dyDescent="0.25">
      <c r="A47">
        <v>0</v>
      </c>
      <c r="B47" s="27" t="s">
        <v>186</v>
      </c>
      <c r="C47" t="s">
        <v>187</v>
      </c>
      <c r="D47" t="s">
        <v>188</v>
      </c>
      <c r="E47">
        <v>20190101</v>
      </c>
      <c r="F47">
        <v>22000202</v>
      </c>
      <c r="G47" s="19" t="s">
        <v>13</v>
      </c>
      <c r="H47" s="19" t="s">
        <v>13</v>
      </c>
      <c r="I47" s="19" t="s">
        <v>14</v>
      </c>
      <c r="J47" t="s">
        <v>189</v>
      </c>
    </row>
    <row r="48" spans="1:10" x14ac:dyDescent="0.25">
      <c r="A48">
        <v>0</v>
      </c>
      <c r="B48" s="27" t="s">
        <v>190</v>
      </c>
      <c r="C48" t="s">
        <v>191</v>
      </c>
      <c r="D48" t="s">
        <v>192</v>
      </c>
      <c r="E48">
        <v>20190101</v>
      </c>
      <c r="F48">
        <v>22000202</v>
      </c>
      <c r="G48" s="19" t="s">
        <v>13</v>
      </c>
      <c r="H48" s="19" t="s">
        <v>13</v>
      </c>
      <c r="I48" s="19" t="s">
        <v>14</v>
      </c>
      <c r="J48" t="s">
        <v>193</v>
      </c>
    </row>
    <row r="49" spans="1:10" x14ac:dyDescent="0.25">
      <c r="A49">
        <v>0</v>
      </c>
      <c r="B49" t="s">
        <v>194</v>
      </c>
      <c r="C49" t="s">
        <v>195</v>
      </c>
      <c r="D49" t="s">
        <v>196</v>
      </c>
      <c r="E49">
        <v>20200601</v>
      </c>
      <c r="F49">
        <v>22000101</v>
      </c>
      <c r="G49" s="19" t="s">
        <v>13</v>
      </c>
      <c r="H49" s="19" t="s">
        <v>13</v>
      </c>
      <c r="I49" s="19" t="s">
        <v>14</v>
      </c>
      <c r="J49" t="s">
        <v>197</v>
      </c>
    </row>
    <row r="50" spans="1:10" x14ac:dyDescent="0.25">
      <c r="A50">
        <v>0</v>
      </c>
      <c r="B50" t="s">
        <v>198</v>
      </c>
      <c r="C50" t="s">
        <v>199</v>
      </c>
      <c r="D50" t="s">
        <v>200</v>
      </c>
      <c r="E50">
        <v>20200601</v>
      </c>
      <c r="F50">
        <v>20200101</v>
      </c>
      <c r="G50" s="19" t="s">
        <v>13</v>
      </c>
      <c r="H50" s="19" t="s">
        <v>13</v>
      </c>
      <c r="I50" s="19" t="s">
        <v>19</v>
      </c>
      <c r="J50" t="s">
        <v>197</v>
      </c>
    </row>
    <row r="51" spans="1:10" x14ac:dyDescent="0.25">
      <c r="A51">
        <v>0</v>
      </c>
      <c r="B51" t="s">
        <v>201</v>
      </c>
      <c r="C51" t="s">
        <v>202</v>
      </c>
      <c r="D51" t="s">
        <v>203</v>
      </c>
      <c r="E51">
        <v>20140101</v>
      </c>
      <c r="F51">
        <v>22000101</v>
      </c>
      <c r="G51" s="19" t="s">
        <v>13</v>
      </c>
      <c r="H51" s="19" t="s">
        <v>13</v>
      </c>
      <c r="I51" s="19" t="s">
        <v>14</v>
      </c>
      <c r="J51" t="s">
        <v>204</v>
      </c>
    </row>
    <row r="52" spans="1:10" x14ac:dyDescent="0.25">
      <c r="A52">
        <v>0</v>
      </c>
      <c r="B52" t="s">
        <v>205</v>
      </c>
      <c r="C52" t="s">
        <v>206</v>
      </c>
      <c r="D52" t="s">
        <v>207</v>
      </c>
      <c r="E52">
        <v>20140101</v>
      </c>
      <c r="F52">
        <v>22000101</v>
      </c>
      <c r="G52" s="19" t="s">
        <v>13</v>
      </c>
      <c r="H52" s="19" t="s">
        <v>13</v>
      </c>
      <c r="I52" s="19" t="s">
        <v>14</v>
      </c>
      <c r="J52" t="s">
        <v>204</v>
      </c>
    </row>
    <row r="53" spans="1:10" x14ac:dyDescent="0.25">
      <c r="A53">
        <v>0</v>
      </c>
      <c r="B53" t="s">
        <v>208</v>
      </c>
      <c r="C53" t="s">
        <v>209</v>
      </c>
      <c r="D53" t="s">
        <v>207</v>
      </c>
      <c r="E53">
        <v>20140101</v>
      </c>
      <c r="F53">
        <v>22000101</v>
      </c>
      <c r="G53" s="19" t="s">
        <v>13</v>
      </c>
      <c r="H53" s="19" t="s">
        <v>13</v>
      </c>
      <c r="I53" s="19" t="s">
        <v>14</v>
      </c>
      <c r="J53" t="s">
        <v>204</v>
      </c>
    </row>
    <row r="54" spans="1:10" x14ac:dyDescent="0.25">
      <c r="A54">
        <v>0</v>
      </c>
      <c r="B54" t="s">
        <v>210</v>
      </c>
      <c r="C54" t="s">
        <v>211</v>
      </c>
      <c r="D54" t="s">
        <v>212</v>
      </c>
      <c r="E54">
        <v>20140101</v>
      </c>
      <c r="F54">
        <v>22000101</v>
      </c>
      <c r="G54" s="19" t="s">
        <v>13</v>
      </c>
      <c r="H54" s="19" t="s">
        <v>13</v>
      </c>
      <c r="I54" s="19" t="s">
        <v>14</v>
      </c>
      <c r="J54" t="s">
        <v>213</v>
      </c>
    </row>
    <row r="55" spans="1:10" x14ac:dyDescent="0.25">
      <c r="A55">
        <v>0</v>
      </c>
      <c r="B55" t="s">
        <v>214</v>
      </c>
      <c r="C55" t="s">
        <v>215</v>
      </c>
      <c r="D55" t="s">
        <v>216</v>
      </c>
      <c r="E55">
        <v>20140101</v>
      </c>
      <c r="F55">
        <v>22000101</v>
      </c>
      <c r="G55" s="19" t="s">
        <v>13</v>
      </c>
      <c r="H55" s="19" t="s">
        <v>13</v>
      </c>
      <c r="I55" s="19" t="s">
        <v>14</v>
      </c>
      <c r="J55" t="s">
        <v>213</v>
      </c>
    </row>
    <row r="56" spans="1:10" x14ac:dyDescent="0.25">
      <c r="A56">
        <v>0</v>
      </c>
      <c r="B56" t="s">
        <v>217</v>
      </c>
      <c r="C56" t="s">
        <v>218</v>
      </c>
      <c r="D56" t="s">
        <v>216</v>
      </c>
      <c r="E56">
        <v>20140101</v>
      </c>
      <c r="F56">
        <v>22000101</v>
      </c>
      <c r="G56" s="19" t="s">
        <v>13</v>
      </c>
      <c r="H56" s="19" t="s">
        <v>13</v>
      </c>
      <c r="I56" s="19" t="s">
        <v>14</v>
      </c>
      <c r="J56" t="s">
        <v>213</v>
      </c>
    </row>
    <row r="57" spans="1:10" x14ac:dyDescent="0.25">
      <c r="A57">
        <v>0</v>
      </c>
      <c r="B57" t="s">
        <v>219</v>
      </c>
      <c r="C57" t="s">
        <v>220</v>
      </c>
      <c r="D57" t="s">
        <v>221</v>
      </c>
      <c r="E57">
        <v>20140101</v>
      </c>
      <c r="F57">
        <v>22000101</v>
      </c>
      <c r="G57" s="19" t="s">
        <v>13</v>
      </c>
      <c r="H57" s="19" t="s">
        <v>13</v>
      </c>
      <c r="I57" s="19" t="s">
        <v>14</v>
      </c>
      <c r="J57" t="s">
        <v>222</v>
      </c>
    </row>
    <row r="58" spans="1:10" x14ac:dyDescent="0.25">
      <c r="A58">
        <v>0</v>
      </c>
      <c r="B58" t="s">
        <v>223</v>
      </c>
      <c r="C58" t="s">
        <v>224</v>
      </c>
      <c r="D58" t="s">
        <v>225</v>
      </c>
      <c r="E58">
        <v>20140101</v>
      </c>
      <c r="F58">
        <v>22000101</v>
      </c>
      <c r="G58" s="19" t="s">
        <v>13</v>
      </c>
      <c r="H58" s="19" t="s">
        <v>13</v>
      </c>
      <c r="I58" s="19" t="s">
        <v>14</v>
      </c>
      <c r="J58" t="s">
        <v>222</v>
      </c>
    </row>
    <row r="59" spans="1:10" x14ac:dyDescent="0.25">
      <c r="A59">
        <v>0</v>
      </c>
      <c r="B59" t="s">
        <v>226</v>
      </c>
      <c r="C59" t="s">
        <v>227</v>
      </c>
      <c r="D59" t="s">
        <v>225</v>
      </c>
      <c r="E59">
        <v>20140101</v>
      </c>
      <c r="F59">
        <v>22000101</v>
      </c>
      <c r="G59" s="19" t="s">
        <v>13</v>
      </c>
      <c r="H59" s="19" t="s">
        <v>13</v>
      </c>
      <c r="I59" s="19" t="s">
        <v>14</v>
      </c>
      <c r="J59" t="s">
        <v>222</v>
      </c>
    </row>
    <row r="60" spans="1:10" x14ac:dyDescent="0.25">
      <c r="A60">
        <v>0</v>
      </c>
      <c r="B60" t="s">
        <v>228</v>
      </c>
      <c r="C60" t="s">
        <v>229</v>
      </c>
      <c r="D60" t="s">
        <v>230</v>
      </c>
      <c r="E60">
        <v>20140101</v>
      </c>
      <c r="F60">
        <v>22000101</v>
      </c>
      <c r="G60" s="19" t="s">
        <v>13</v>
      </c>
      <c r="H60" s="19" t="s">
        <v>13</v>
      </c>
      <c r="I60" s="19" t="s">
        <v>14</v>
      </c>
      <c r="J60" t="s">
        <v>231</v>
      </c>
    </row>
    <row r="61" spans="1:10" x14ac:dyDescent="0.25">
      <c r="A61">
        <v>0</v>
      </c>
      <c r="B61" t="s">
        <v>232</v>
      </c>
      <c r="C61" t="s">
        <v>233</v>
      </c>
      <c r="D61" t="s">
        <v>234</v>
      </c>
      <c r="E61">
        <v>20140101</v>
      </c>
      <c r="F61">
        <v>22000101</v>
      </c>
      <c r="G61" s="19" t="s">
        <v>13</v>
      </c>
      <c r="H61" s="19" t="s">
        <v>13</v>
      </c>
      <c r="I61" s="19" t="s">
        <v>14</v>
      </c>
      <c r="J61" t="s">
        <v>231</v>
      </c>
    </row>
    <row r="62" spans="1:10" x14ac:dyDescent="0.25">
      <c r="A62">
        <v>0</v>
      </c>
      <c r="B62" t="s">
        <v>235</v>
      </c>
      <c r="C62" t="s">
        <v>236</v>
      </c>
      <c r="D62" t="s">
        <v>234</v>
      </c>
      <c r="E62">
        <v>20140101</v>
      </c>
      <c r="F62">
        <v>22000101</v>
      </c>
      <c r="G62" s="19" t="s">
        <v>13</v>
      </c>
      <c r="H62" s="19" t="s">
        <v>13</v>
      </c>
      <c r="I62" s="19" t="s">
        <v>14</v>
      </c>
      <c r="J62" t="s">
        <v>231</v>
      </c>
    </row>
    <row r="63" spans="1:10" x14ac:dyDescent="0.25">
      <c r="A63">
        <v>0</v>
      </c>
      <c r="B63" t="s">
        <v>237</v>
      </c>
      <c r="C63" t="s">
        <v>238</v>
      </c>
      <c r="D63" t="s">
        <v>239</v>
      </c>
      <c r="E63">
        <v>20140101</v>
      </c>
      <c r="F63">
        <v>22000101</v>
      </c>
      <c r="G63" s="19" t="s">
        <v>240</v>
      </c>
      <c r="H63" s="19" t="s">
        <v>240</v>
      </c>
      <c r="I63" s="19" t="s">
        <v>14</v>
      </c>
      <c r="J63" t="s">
        <v>241</v>
      </c>
    </row>
    <row r="64" spans="1:10" x14ac:dyDescent="0.25">
      <c r="A64" s="25">
        <v>0</v>
      </c>
      <c r="B64" s="25" t="s">
        <v>242</v>
      </c>
      <c r="C64" s="25" t="s">
        <v>243</v>
      </c>
      <c r="D64" s="25" t="s">
        <v>244</v>
      </c>
      <c r="E64" s="25">
        <v>20140101</v>
      </c>
      <c r="F64" s="25">
        <v>20180101</v>
      </c>
      <c r="G64" s="21" t="s">
        <v>240</v>
      </c>
      <c r="H64" s="21" t="s">
        <v>240</v>
      </c>
      <c r="I64" s="21" t="s">
        <v>19</v>
      </c>
      <c r="J64" s="25" t="s">
        <v>241</v>
      </c>
    </row>
    <row r="65" spans="1:10" x14ac:dyDescent="0.25">
      <c r="A65">
        <v>0</v>
      </c>
      <c r="B65" t="s">
        <v>245</v>
      </c>
      <c r="C65" t="s">
        <v>246</v>
      </c>
      <c r="D65" t="s">
        <v>247</v>
      </c>
      <c r="E65">
        <v>20140101</v>
      </c>
      <c r="F65">
        <v>22000101</v>
      </c>
      <c r="G65" s="19" t="s">
        <v>240</v>
      </c>
      <c r="H65" s="19" t="s">
        <v>240</v>
      </c>
      <c r="I65" s="19" t="s">
        <v>14</v>
      </c>
      <c r="J65" t="s">
        <v>248</v>
      </c>
    </row>
    <row r="66" spans="1:10" x14ac:dyDescent="0.25">
      <c r="A66" s="25">
        <v>0</v>
      </c>
      <c r="B66" s="25" t="s">
        <v>249</v>
      </c>
      <c r="C66" s="25" t="s">
        <v>250</v>
      </c>
      <c r="D66" s="25" t="s">
        <v>251</v>
      </c>
      <c r="E66" s="25">
        <v>20140101</v>
      </c>
      <c r="F66" s="25">
        <v>20180101</v>
      </c>
      <c r="G66" s="21" t="s">
        <v>240</v>
      </c>
      <c r="H66" s="21" t="s">
        <v>240</v>
      </c>
      <c r="I66" s="21" t="s">
        <v>19</v>
      </c>
      <c r="J66" s="25" t="s">
        <v>248</v>
      </c>
    </row>
    <row r="67" spans="1:10" x14ac:dyDescent="0.25">
      <c r="A67">
        <v>0</v>
      </c>
      <c r="B67" t="s">
        <v>252</v>
      </c>
      <c r="C67" t="s">
        <v>253</v>
      </c>
      <c r="D67" t="s">
        <v>254</v>
      </c>
      <c r="E67">
        <v>20140101</v>
      </c>
      <c r="F67">
        <v>22000101</v>
      </c>
      <c r="G67" s="19" t="s">
        <v>240</v>
      </c>
      <c r="H67" s="19" t="s">
        <v>240</v>
      </c>
      <c r="I67" s="19" t="s">
        <v>14</v>
      </c>
      <c r="J67" t="s">
        <v>255</v>
      </c>
    </row>
    <row r="68" spans="1:10" x14ac:dyDescent="0.25">
      <c r="A68" s="25">
        <v>0</v>
      </c>
      <c r="B68" s="25" t="s">
        <v>256</v>
      </c>
      <c r="C68" s="25" t="s">
        <v>257</v>
      </c>
      <c r="D68" s="25" t="s">
        <v>258</v>
      </c>
      <c r="E68" s="25">
        <v>20140101</v>
      </c>
      <c r="F68" s="25">
        <v>20180101</v>
      </c>
      <c r="G68" s="21" t="s">
        <v>240</v>
      </c>
      <c r="H68" s="21" t="s">
        <v>240</v>
      </c>
      <c r="I68" s="21" t="s">
        <v>19</v>
      </c>
      <c r="J68" s="25" t="s">
        <v>255</v>
      </c>
    </row>
    <row r="69" spans="1:10" x14ac:dyDescent="0.25">
      <c r="A69">
        <v>0</v>
      </c>
      <c r="B69" t="s">
        <v>259</v>
      </c>
      <c r="C69" t="s">
        <v>260</v>
      </c>
      <c r="D69" t="s">
        <v>261</v>
      </c>
      <c r="E69">
        <v>20140101</v>
      </c>
      <c r="F69">
        <v>22000101</v>
      </c>
      <c r="G69" s="19" t="s">
        <v>240</v>
      </c>
      <c r="H69" s="19" t="s">
        <v>240</v>
      </c>
      <c r="I69" s="19" t="s">
        <v>14</v>
      </c>
      <c r="J69" t="s">
        <v>262</v>
      </c>
    </row>
    <row r="70" spans="1:10" x14ac:dyDescent="0.25">
      <c r="A70" s="25">
        <v>0</v>
      </c>
      <c r="B70" s="25" t="s">
        <v>263</v>
      </c>
      <c r="C70" s="25" t="s">
        <v>264</v>
      </c>
      <c r="D70" s="25" t="s">
        <v>265</v>
      </c>
      <c r="E70" s="25">
        <v>20140101</v>
      </c>
      <c r="F70" s="25">
        <v>20180101</v>
      </c>
      <c r="G70" s="21" t="s">
        <v>240</v>
      </c>
      <c r="H70" s="21" t="s">
        <v>240</v>
      </c>
      <c r="I70" s="21" t="s">
        <v>19</v>
      </c>
      <c r="J70" s="25" t="s">
        <v>262</v>
      </c>
    </row>
    <row r="71" spans="1:10" x14ac:dyDescent="0.25">
      <c r="A71">
        <v>0</v>
      </c>
      <c r="B71" t="s">
        <v>266</v>
      </c>
      <c r="C71" t="s">
        <v>267</v>
      </c>
      <c r="D71" t="s">
        <v>268</v>
      </c>
      <c r="E71">
        <v>20170101</v>
      </c>
      <c r="F71">
        <v>22000101</v>
      </c>
      <c r="G71" s="19" t="s">
        <v>240</v>
      </c>
      <c r="H71" s="19" t="s">
        <v>240</v>
      </c>
      <c r="I71" s="19" t="s">
        <v>19</v>
      </c>
      <c r="J71" t="s">
        <v>269</v>
      </c>
    </row>
    <row r="72" spans="1:10" x14ac:dyDescent="0.25">
      <c r="A72">
        <v>0</v>
      </c>
      <c r="B72" t="s">
        <v>270</v>
      </c>
      <c r="C72" t="s">
        <v>271</v>
      </c>
      <c r="D72" t="s">
        <v>272</v>
      </c>
      <c r="E72">
        <v>20170101</v>
      </c>
      <c r="F72">
        <v>22000101</v>
      </c>
      <c r="G72" s="19" t="s">
        <v>240</v>
      </c>
      <c r="H72" s="19" t="s">
        <v>240</v>
      </c>
      <c r="I72" s="19" t="s">
        <v>19</v>
      </c>
      <c r="J72" t="s">
        <v>273</v>
      </c>
    </row>
    <row r="73" spans="1:10" x14ac:dyDescent="0.25">
      <c r="A73">
        <v>0</v>
      </c>
      <c r="B73" t="s">
        <v>274</v>
      </c>
      <c r="C73" t="s">
        <v>275</v>
      </c>
      <c r="D73" t="s">
        <v>276</v>
      </c>
      <c r="E73">
        <v>20170101</v>
      </c>
      <c r="F73">
        <v>22000101</v>
      </c>
      <c r="G73" s="19" t="s">
        <v>240</v>
      </c>
      <c r="H73" s="19" t="s">
        <v>240</v>
      </c>
      <c r="I73" s="19" t="s">
        <v>19</v>
      </c>
      <c r="J73" t="s">
        <v>277</v>
      </c>
    </row>
    <row r="74" spans="1:10" x14ac:dyDescent="0.25">
      <c r="A74">
        <v>0</v>
      </c>
      <c r="B74" t="s">
        <v>278</v>
      </c>
      <c r="C74" t="s">
        <v>279</v>
      </c>
      <c r="D74" t="s">
        <v>280</v>
      </c>
      <c r="E74">
        <v>20170101</v>
      </c>
      <c r="F74">
        <v>22000101</v>
      </c>
      <c r="G74" s="19" t="s">
        <v>240</v>
      </c>
      <c r="H74" s="19" t="s">
        <v>240</v>
      </c>
      <c r="I74" s="19" t="s">
        <v>19</v>
      </c>
      <c r="J74" t="s">
        <v>281</v>
      </c>
    </row>
    <row r="75" spans="1:10" x14ac:dyDescent="0.25">
      <c r="A75">
        <v>0</v>
      </c>
      <c r="B75" t="s">
        <v>282</v>
      </c>
      <c r="C75" t="s">
        <v>283</v>
      </c>
      <c r="D75" t="s">
        <v>284</v>
      </c>
      <c r="E75">
        <v>20170101</v>
      </c>
      <c r="F75">
        <v>22000101</v>
      </c>
      <c r="G75" s="19" t="s">
        <v>240</v>
      </c>
      <c r="H75" s="19" t="s">
        <v>240</v>
      </c>
      <c r="I75" s="19" t="s">
        <v>19</v>
      </c>
      <c r="J75" t="s">
        <v>285</v>
      </c>
    </row>
    <row r="76" spans="1:10" x14ac:dyDescent="0.25">
      <c r="A76">
        <v>0</v>
      </c>
      <c r="B76" t="s">
        <v>286</v>
      </c>
      <c r="C76" t="s">
        <v>287</v>
      </c>
      <c r="D76" t="s">
        <v>288</v>
      </c>
      <c r="E76">
        <v>20170101</v>
      </c>
      <c r="F76">
        <v>22000101</v>
      </c>
      <c r="G76" s="19" t="s">
        <v>240</v>
      </c>
      <c r="H76" s="19" t="s">
        <v>240</v>
      </c>
      <c r="I76" s="19" t="s">
        <v>19</v>
      </c>
      <c r="J76" t="s">
        <v>289</v>
      </c>
    </row>
    <row r="77" spans="1:10" x14ac:dyDescent="0.25">
      <c r="A77">
        <v>0</v>
      </c>
      <c r="B77" t="s">
        <v>290</v>
      </c>
      <c r="C77" t="s">
        <v>291</v>
      </c>
      <c r="D77" t="s">
        <v>292</v>
      </c>
      <c r="E77">
        <v>20180101</v>
      </c>
      <c r="F77">
        <v>22000101</v>
      </c>
      <c r="G77" s="19" t="s">
        <v>240</v>
      </c>
      <c r="H77" s="19" t="s">
        <v>240</v>
      </c>
      <c r="I77" s="19" t="s">
        <v>19</v>
      </c>
      <c r="J77" t="s">
        <v>293</v>
      </c>
    </row>
    <row r="78" spans="1:10" ht="16.899999999999999" customHeight="1" x14ac:dyDescent="0.25">
      <c r="A78">
        <v>0</v>
      </c>
      <c r="B78" t="s">
        <v>294</v>
      </c>
      <c r="C78" t="s">
        <v>295</v>
      </c>
      <c r="D78" t="s">
        <v>296</v>
      </c>
      <c r="E78">
        <v>20210901</v>
      </c>
      <c r="F78">
        <v>22000101</v>
      </c>
      <c r="G78" s="19" t="s">
        <v>13</v>
      </c>
      <c r="H78" s="19" t="s">
        <v>13</v>
      </c>
      <c r="I78" s="19" t="s">
        <v>14</v>
      </c>
      <c r="J78" t="s">
        <v>297</v>
      </c>
    </row>
    <row r="79" spans="1:10" x14ac:dyDescent="0.25">
      <c r="A79">
        <v>0</v>
      </c>
      <c r="B79" t="s">
        <v>298</v>
      </c>
      <c r="C79" t="s">
        <v>299</v>
      </c>
      <c r="D79" t="s">
        <v>300</v>
      </c>
      <c r="E79">
        <v>20210901</v>
      </c>
      <c r="F79">
        <v>20200101</v>
      </c>
      <c r="G79" s="19" t="s">
        <v>13</v>
      </c>
      <c r="H79" s="19" t="s">
        <v>13</v>
      </c>
      <c r="I79" s="19" t="s">
        <v>19</v>
      </c>
      <c r="J79" t="s">
        <v>297</v>
      </c>
    </row>
    <row r="80" spans="1:10" x14ac:dyDescent="0.25">
      <c r="A80" s="22">
        <v>0</v>
      </c>
      <c r="B80" s="22" t="s">
        <v>301</v>
      </c>
      <c r="C80" s="22" t="s">
        <v>302</v>
      </c>
      <c r="D80" s="22" t="s">
        <v>303</v>
      </c>
      <c r="E80" s="22">
        <v>20220501</v>
      </c>
      <c r="F80" s="22">
        <v>22000101</v>
      </c>
      <c r="G80" s="24" t="s">
        <v>13</v>
      </c>
      <c r="H80" s="24" t="s">
        <v>13</v>
      </c>
      <c r="I80" s="24" t="s">
        <v>14</v>
      </c>
      <c r="J80" s="22" t="s">
        <v>304</v>
      </c>
    </row>
    <row r="81" spans="1:10" x14ac:dyDescent="0.25">
      <c r="A81" s="22">
        <v>0</v>
      </c>
      <c r="B81" s="22" t="s">
        <v>305</v>
      </c>
      <c r="C81" s="22" t="s">
        <v>306</v>
      </c>
      <c r="D81" s="22" t="s">
        <v>307</v>
      </c>
      <c r="E81" s="22">
        <v>20220501</v>
      </c>
      <c r="F81" s="22">
        <v>20200101</v>
      </c>
      <c r="G81" s="24" t="s">
        <v>13</v>
      </c>
      <c r="H81" s="24" t="s">
        <v>13</v>
      </c>
      <c r="I81" s="24" t="s">
        <v>19</v>
      </c>
      <c r="J81" s="22" t="s">
        <v>304</v>
      </c>
    </row>
    <row r="82" spans="1:10" x14ac:dyDescent="0.25">
      <c r="A82">
        <v>0</v>
      </c>
      <c r="B82" t="s">
        <v>308</v>
      </c>
      <c r="C82" t="s">
        <v>309</v>
      </c>
      <c r="D82" t="s">
        <v>310</v>
      </c>
      <c r="E82">
        <v>20170101</v>
      </c>
      <c r="F82">
        <v>22000101</v>
      </c>
      <c r="G82" s="19" t="s">
        <v>240</v>
      </c>
      <c r="H82" s="19" t="s">
        <v>240</v>
      </c>
      <c r="I82" s="19" t="s">
        <v>19</v>
      </c>
      <c r="J82" t="s">
        <v>311</v>
      </c>
    </row>
    <row r="83" spans="1:10" x14ac:dyDescent="0.25">
      <c r="A83">
        <v>0</v>
      </c>
      <c r="B83" t="s">
        <v>312</v>
      </c>
      <c r="C83" t="s">
        <v>313</v>
      </c>
      <c r="D83" t="s">
        <v>314</v>
      </c>
      <c r="E83">
        <v>20220101</v>
      </c>
      <c r="F83">
        <v>22000101</v>
      </c>
      <c r="G83" s="19" t="s">
        <v>240</v>
      </c>
      <c r="H83" s="19" t="s">
        <v>240</v>
      </c>
      <c r="I83" s="19" t="s">
        <v>19</v>
      </c>
      <c r="J83" t="s">
        <v>315</v>
      </c>
    </row>
    <row r="84" spans="1:10" x14ac:dyDescent="0.25">
      <c r="A84">
        <v>0</v>
      </c>
      <c r="B84" t="s">
        <v>316</v>
      </c>
      <c r="C84" t="s">
        <v>317</v>
      </c>
      <c r="D84" t="s">
        <v>318</v>
      </c>
      <c r="E84">
        <v>20220101</v>
      </c>
      <c r="F84">
        <v>22000101</v>
      </c>
      <c r="G84" s="19" t="s">
        <v>240</v>
      </c>
      <c r="H84" s="19" t="s">
        <v>240</v>
      </c>
      <c r="I84" s="19" t="s">
        <v>19</v>
      </c>
      <c r="J84" t="s">
        <v>319</v>
      </c>
    </row>
    <row r="85" spans="1:10" x14ac:dyDescent="0.25">
      <c r="A85">
        <v>0</v>
      </c>
      <c r="B85" t="s">
        <v>163</v>
      </c>
      <c r="C85" t="s">
        <v>320</v>
      </c>
      <c r="D85" t="s">
        <v>12</v>
      </c>
      <c r="E85">
        <v>20140101</v>
      </c>
      <c r="F85">
        <v>22000101</v>
      </c>
      <c r="G85" s="19" t="s">
        <v>240</v>
      </c>
      <c r="H85" s="19" t="s">
        <v>240</v>
      </c>
      <c r="I85" s="19" t="s">
        <v>14</v>
      </c>
      <c r="J85" t="s">
        <v>248</v>
      </c>
    </row>
    <row r="86" spans="1:10" x14ac:dyDescent="0.25">
      <c r="G86"/>
      <c r="H86"/>
      <c r="I86"/>
    </row>
    <row r="87" spans="1:10" x14ac:dyDescent="0.25">
      <c r="G87"/>
      <c r="H87"/>
      <c r="I87"/>
    </row>
    <row r="88" spans="1:10" x14ac:dyDescent="0.25">
      <c r="G88"/>
      <c r="H88"/>
      <c r="I88"/>
    </row>
    <row r="89" spans="1:10" x14ac:dyDescent="0.25">
      <c r="G89"/>
      <c r="H89"/>
      <c r="I89"/>
    </row>
    <row r="90" spans="1:10" x14ac:dyDescent="0.25">
      <c r="G90"/>
      <c r="H90"/>
      <c r="I90"/>
    </row>
    <row r="91" spans="1:10" x14ac:dyDescent="0.25">
      <c r="G91"/>
      <c r="H91"/>
      <c r="I91"/>
    </row>
    <row r="92" spans="1:10" x14ac:dyDescent="0.25">
      <c r="G92"/>
      <c r="H92"/>
      <c r="I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84"/>
  <sheetViews>
    <sheetView topLeftCell="A72" zoomScale="85" zoomScaleNormal="85" workbookViewId="0">
      <selection activeCell="D90" sqref="D90"/>
    </sheetView>
  </sheetViews>
  <sheetFormatPr defaultColWidth="11.42578125" defaultRowHeight="15" x14ac:dyDescent="0.25"/>
  <cols>
    <col min="2" max="2" width="17.85546875" customWidth="1"/>
  </cols>
  <sheetData>
    <row r="1" spans="1:2" x14ac:dyDescent="0.25">
      <c r="A1" t="str">
        <f>IF(INFORMES!J2="OBSOLETO","","INSERT INTO INYCEXT.INYC_CONF_INFORMES (COD_INFORME,DESC_INFORME,TABLA,F_INICIO,F_FIN,CARGA_TABLAS,PUBLICACION,FORMATO,DESCRIPCION) VALUES ("&amp;INFORMES!B2&amp;",'"&amp;INFORMES!C2&amp;"','"&amp;INFORMES!D2&amp;"',TO_DATE('"&amp;INFORMES!E2&amp;"','yyyymmdd'),TO_DATE('"&amp;INFORMES!F2&amp;"','yyyymmdd'),'"&amp;INFORMES!G2&amp;"','"&amp;INFORMES!H2&amp;"','"&amp;INFORMES!I2&amp;"','"&amp;INFORMES!J2&amp;"');")</f>
        <v>INSERT INTO INYCEXT.INYC_CONF_INFORMES (COD_INFORME,DESC_INFORME,TABLA,F_INICIO,F_FIN,CARGA_TABLAS,PUBLICACION,FORMATO,DESCRIPCION) VALUES (1.1,'W-O - Rappel por Producción Resumen','INYC_RPI_RESUMEN',TO_DATE('20140101','yyyymmdd'),TO_DATE('22000101','yyyymmdd'),'1,2,3,4,5,6,7,8,9,10,11,12','1,2,3,4,5,6,7,8,9,10,11,12','pdf','RPI');</v>
      </c>
      <c r="B1" t="str">
        <f>IF(INFORMES!J2="OBSOLETO","","INSERT INTO INYCEXT.INYC_CONF_INFORMES@tc_link (COD_INFORME,DESC_INFORME,TABLA,F_INICIO,F_FIN,CARGA_TABLAS,PUBLICACION,FORMATO,DESCRIPCION) VALUES ("&amp;INFORMES!B2&amp;",'"&amp;INFORMES!C2&amp;"','"&amp;INFORMES!D2&amp;"',TO_DATE('"&amp;INFORMES!E2&amp;"','yyyymmdd'),TO_DATE('"&amp;INFORMES!F2&amp;"','yyyymmdd'),'"&amp;INFORMES!G2&amp;"','"&amp;INFORMES!H2&amp;"','"&amp;INFORMES!I2&amp;"','"&amp;INFORMES!J2&amp;"');")</f>
        <v>INSERT INTO INYCEXT.INYC_CONF_INFORMES@tc_link (COD_INFORME,DESC_INFORME,TABLA,F_INICIO,F_FIN,CARGA_TABLAS,PUBLICACION,FORMATO,DESCRIPCION) VALUES (1.1,'W-O - Rappel por Producción Resumen','INYC_RPI_RESUMEN',TO_DATE('20140101','yyyymmdd'),TO_DATE('22000101','yyyymmdd'),'1,2,3,4,5,6,7,8,9,10,11,12','1,2,3,4,5,6,7,8,9,10,11,12','pdf','RPI');</v>
      </c>
    </row>
    <row r="2" spans="1:2" x14ac:dyDescent="0.25">
      <c r="A2" t="str">
        <f>IF(INFORMES!J3="OBSOLETO","","INSERT INTO INYCEXT.INYC_CONF_INFORMES (COD_INFORME,DESC_INFORME,TABLA,F_INICIO,F_FIN,CARGA_TABLAS,PUBLICACION,FORMATO,DESCRIPCION) VALUES ("&amp;INFORMES!B3&amp;",'"&amp;INFORMES!C3&amp;"','"&amp;INFORMES!D3&amp;"',TO_DATE('"&amp;INFORMES!E3&amp;"','yyyymmdd'),TO_DATE('"&amp;INFORMES!F3&amp;"','yyyymmdd'),'"&amp;INFORMES!G3&amp;"','"&amp;INFORMES!H3&amp;"','"&amp;INFORMES!I3&amp;"','"&amp;INFORMES!J3&amp;"');")</f>
        <v>INSERT INTO INYCEXT.INYC_CONF_INFORMES (COD_INFORME,DESC_INFORME,TABLA,F_INICIO,F_FIN,CARGA_TABLAS,PUBLICACION,FORMATO,DESCRIPCION) VALUES (1.2,'W-O - Rappel por Producción Detalle','INYC_RPI_DETALLE',TO_DATE('20140101','yyyymmdd'),TO_DATE('20180101','yyyymmdd'),'1,2,3,4,5,6,7,8,9,10,11,12','1,2,3,4,5,6,7,8,9,10,11,12','excel','RPI_DETALLE');</v>
      </c>
      <c r="B2" t="str">
        <f>IF(INFORMES!J3="OBSOLETO","","INSERT INTO INYCEXT.INYC_CONF_INFORMES@tc_link (COD_INFORME,DESC_INFORME,TABLA,F_INICIO,F_FIN,CARGA_TABLAS,PUBLICACION,FORMATO,DESCRIPCION) VALUES ("&amp;INFORMES!B3&amp;",'"&amp;INFORMES!C3&amp;"','"&amp;INFORMES!D3&amp;"',TO_DATE('"&amp;INFORMES!E3&amp;"','yyyymmdd'),TO_DATE('"&amp;INFORMES!F3&amp;"','yyyymmdd'),'"&amp;INFORMES!G3&amp;"','"&amp;INFORMES!H3&amp;"','"&amp;INFORMES!I3&amp;"','"&amp;INFORMES!J3&amp;"');")</f>
        <v>INSERT INTO INYCEXT.INYC_CONF_INFORMES@tc_link (COD_INFORME,DESC_INFORME,TABLA,F_INICIO,F_FIN,CARGA_TABLAS,PUBLICACION,FORMATO,DESCRIPCION) VALUES (1.2,'W-O - Rappel por Producción Detalle','INYC_RPI_DETALLE',TO_DATE('20140101','yyyymmdd'),TO_DATE('20180101','yyyymmdd'),'1,2,3,4,5,6,7,8,9,10,11,12','1,2,3,4,5,6,7,8,9,10,11,12','excel','RPI_DETALLE');</v>
      </c>
    </row>
    <row r="3" spans="1:2" x14ac:dyDescent="0.25">
      <c r="A3" t="str">
        <f>IF(INFORMES!J4="OBSOLETO","","INSERT INTO INYCEXT.INYC_CONF_INFORMES (COD_INFORME,DESC_INFORME,TABLA,F_INICIO,F_FIN,CARGA_TABLAS,PUBLICACION,FORMATO,DESCRIPCION) VALUES ("&amp;INFORMES!B4&amp;",'"&amp;INFORMES!C4&amp;"','"&amp;INFORMES!D4&amp;"',TO_DATE('"&amp;INFORMES!E4&amp;"','yyyymmdd'),TO_DATE('"&amp;INFORMES!F4&amp;"','yyyymmdd'),'"&amp;INFORMES!G4&amp;"','"&amp;INFORMES!H4&amp;"','"&amp;INFORMES!I4&amp;"','"&amp;INFORMES!J4&amp;"');")</f>
        <v>INSERT INTO INYCEXT.INYC_CONF_INFORMES (COD_INFORME,DESC_INFORME,TABLA,F_INICIO,F_FIN,CARGA_TABLAS,PUBLICACION,FORMATO,DESCRIPCION) VALUES (2.1,'W-E - Rappel por Producción Resumen','INYC_RAG_RESUMEN',TO_DATE('20140101','yyyymmdd'),TO_DATE('22000101','yyyymmdd'),'1,2,3,4,5,6,7,8,9,10,11,12','1,2,3,4,5,6,7,8,9,10,11,12','pdf','RAG');</v>
      </c>
      <c r="B3" t="str">
        <f>IF(INFORMES!J4="OBSOLETO","","INSERT INTO INYCEXT.INYC_CONF_INFORMES@tc_link (COD_INFORME,DESC_INFORME,TABLA,F_INICIO,F_FIN,CARGA_TABLAS,PUBLICACION,FORMATO,DESCRIPCION) VALUES ("&amp;INFORMES!B4&amp;",'"&amp;INFORMES!C4&amp;"','"&amp;INFORMES!D4&amp;"',TO_DATE('"&amp;INFORMES!E4&amp;"','yyyymmdd'),TO_DATE('"&amp;INFORMES!F4&amp;"','yyyymmdd'),'"&amp;INFORMES!G4&amp;"','"&amp;INFORMES!H4&amp;"','"&amp;INFORMES!I4&amp;"','"&amp;INFORMES!J4&amp;"');")</f>
        <v>INSERT INTO INYCEXT.INYC_CONF_INFORMES@tc_link (COD_INFORME,DESC_INFORME,TABLA,F_INICIO,F_FIN,CARGA_TABLAS,PUBLICACION,FORMATO,DESCRIPCION) VALUES (2.1,'W-E - Rappel por Producción Resumen','INYC_RAG_RESUMEN',TO_DATE('20140101','yyyymmdd'),TO_DATE('22000101','yyyymmdd'),'1,2,3,4,5,6,7,8,9,10,11,12','1,2,3,4,5,6,7,8,9,10,11,12','pdf','RAG');</v>
      </c>
    </row>
    <row r="4" spans="1:2" x14ac:dyDescent="0.25">
      <c r="A4" t="str">
        <f>IF(INFORMES!J5="OBSOLETO","","INSERT INTO INYCEXT.INYC_CONF_INFORMES (COD_INFORME,DESC_INFORME,TABLA,F_INICIO,F_FIN,CARGA_TABLAS,PUBLICACION,FORMATO,DESCRIPCION) VALUES ("&amp;INFORMES!B5&amp;",'"&amp;INFORMES!C5&amp;"','"&amp;INFORMES!D5&amp;"',TO_DATE('"&amp;INFORMES!E5&amp;"','yyyymmdd'),TO_DATE('"&amp;INFORMES!F5&amp;"','yyyymmdd'),'"&amp;INFORMES!G5&amp;"','"&amp;INFORMES!H5&amp;"','"&amp;INFORMES!I5&amp;"','"&amp;INFORMES!J5&amp;"');")</f>
        <v>INSERT INTO INYCEXT.INYC_CONF_INFORMES (COD_INFORME,DESC_INFORME,TABLA,F_INICIO,F_FIN,CARGA_TABLAS,PUBLICACION,FORMATO,DESCRIPCION) VALUES (2.2,'W-E - Rappel por Producción Detalle','INYC_RAG_DETALLE',TO_DATE('20140101','yyyymmdd'),TO_DATE('20180101','yyyymmdd'),'1,2,3,4,5,6,7,8,9,10,11,12','1,2,3,4,5,6,7,8,9,10,11,12','excel','RAG_DETALLE');</v>
      </c>
      <c r="B4" t="str">
        <f>IF(INFORMES!J5="OBSOLETO","","INSERT INTO INYCEXT.INYC_CONF_INFORMES@tc_link (COD_INFORME,DESC_INFORME,TABLA,F_INICIO,F_FIN,CARGA_TABLAS,PUBLICACION,FORMATO,DESCRIPCION) VALUES ("&amp;INFORMES!B5&amp;",'"&amp;INFORMES!C5&amp;"','"&amp;INFORMES!D5&amp;"',TO_DATE('"&amp;INFORMES!E5&amp;"','yyyymmdd'),TO_DATE('"&amp;INFORMES!F5&amp;"','yyyymmdd'),'"&amp;INFORMES!G5&amp;"','"&amp;INFORMES!H5&amp;"','"&amp;INFORMES!I5&amp;"','"&amp;INFORMES!J5&amp;"');")</f>
        <v>INSERT INTO INYCEXT.INYC_CONF_INFORMES@tc_link (COD_INFORME,DESC_INFORME,TABLA,F_INICIO,F_FIN,CARGA_TABLAS,PUBLICACION,FORMATO,DESCRIPCION) VALUES (2.2,'W-E - Rappel por Producción Detalle','INYC_RAG_DETALLE',TO_DATE('20140101','yyyymmdd'),TO_DATE('20180101','yyyymmdd'),'1,2,3,4,5,6,7,8,9,10,11,12','1,2,3,4,5,6,7,8,9,10,11,12','excel','RAG_DETALLE');</v>
      </c>
    </row>
    <row r="5" spans="1:2" x14ac:dyDescent="0.25">
      <c r="A5" t="str">
        <f>IF(INFORMES!J6="OBSOLETO","","INSERT INTO INYCEXT.INYC_CONF_INFORMES (COD_INFORME,DESC_INFORME,TABLA,F_INICIO,F_FIN,CARGA_TABLAS,PUBLICACION,FORMATO,DESCRIPCION) VALUES ("&amp;INFORMES!B6&amp;",'"&amp;INFORMES!C6&amp;"','"&amp;INFORMES!D6&amp;"',TO_DATE('"&amp;INFORMES!E6&amp;"','yyyymmdd'),TO_DATE('"&amp;INFORMES!F6&amp;"','yyyymmdd'),'"&amp;INFORMES!G6&amp;"','"&amp;INFORMES!H6&amp;"','"&amp;INFORMES!I6&amp;"','"&amp;INFORMES!J6&amp;"');")</f>
        <v>INSERT INTO INYCEXT.INYC_CONF_INFORMES (COD_INFORME,DESC_INFORME,TABLA,F_INICIO,F_FIN,CARGA_TABLAS,PUBLICACION,FORMATO,DESCRIPCION) VALUES (2.3,'W-E - Rappel por producción Trimestral Resumen','INYC_RAGT_RESUMEN',TO_DATE('20190101','yyyymmdd'),TO_DATE('22000101','yyyymmdd'),'1,2,3,4,5,6,7,8,9,10,11,12','1,2,3,4,5,6,7,8,9,10,11,12','pdf','RAGT');</v>
      </c>
      <c r="B5" t="str">
        <f>IF(INFORMES!J6="OBSOLETO","","INSERT INTO INYCEXT.INYC_CONF_INFORMES@tc_link (COD_INFORME,DESC_INFORME,TABLA,F_INICIO,F_FIN,CARGA_TABLAS,PUBLICACION,FORMATO,DESCRIPCION) VALUES ("&amp;INFORMES!B6&amp;",'"&amp;INFORMES!C6&amp;"','"&amp;INFORMES!D6&amp;"',TO_DATE('"&amp;INFORMES!E6&amp;"','yyyymmdd'),TO_DATE('"&amp;INFORMES!F6&amp;"','yyyymmdd'),'"&amp;INFORMES!G6&amp;"','"&amp;INFORMES!H6&amp;"','"&amp;INFORMES!I6&amp;"','"&amp;INFORMES!J6&amp;"');")</f>
        <v>INSERT INTO INYCEXT.INYC_CONF_INFORMES@tc_link (COD_INFORME,DESC_INFORME,TABLA,F_INICIO,F_FIN,CARGA_TABLAS,PUBLICACION,FORMATO,DESCRIPCION) VALUES (2.3,'W-E - Rappel por producción Trimestral Resumen','INYC_RAGT_RESUMEN',TO_DATE('20190101','yyyymmdd'),TO_DATE('22000101','yyyymmdd'),'1,2,3,4,5,6,7,8,9,10,11,12','1,2,3,4,5,6,7,8,9,10,11,12','pdf','RAGT');</v>
      </c>
    </row>
    <row r="6" spans="1:2" x14ac:dyDescent="0.25">
      <c r="A6" t="str">
        <f>IF(INFORMES!J7="OBSOLETO","","INSERT INTO INYCEXT.INYC_CONF_INFORMES (COD_INFORME,DESC_INFORME,TABLA,F_INICIO,F_FIN,CARGA_TABLAS,PUBLICACION,FORMATO,DESCRIPCION) VALUES ("&amp;INFORMES!B7&amp;",'"&amp;INFORMES!C7&amp;"','"&amp;INFORMES!D7&amp;"',TO_DATE('"&amp;INFORMES!E7&amp;"','yyyymmdd'),TO_DATE('"&amp;INFORMES!F7&amp;"','yyyymmdd'),'"&amp;INFORMES!G7&amp;"','"&amp;INFORMES!H7&amp;"','"&amp;INFORMES!I7&amp;"','"&amp;INFORMES!J7&amp;"');")</f>
        <v>INSERT INTO INYCEXT.INYC_CONF_INFORMES (COD_INFORME,DESC_INFORME,TABLA,F_INICIO,F_FIN,CARGA_TABLAS,PUBLICACION,FORMATO,DESCRIPCION) VALUES (3.1,'W-E - Rappel Producción Agentes Resumen','INYC_RA_RESUMEN',TO_DATE('20140101','yyyymmdd'),TO_DATE('22000101','yyyymmdd'),'1,2,3,4,5,6,7,8,9,10,11,12','1,2,3,4,5,6,7,8,9,10,11,12','pdf','RA');</v>
      </c>
      <c r="B6" t="str">
        <f>IF(INFORMES!J7="OBSOLETO","","INSERT INTO INYCEXT.INYC_CONF_INFORMES@tc_link (COD_INFORME,DESC_INFORME,TABLA,F_INICIO,F_FIN,CARGA_TABLAS,PUBLICACION,FORMATO,DESCRIPCION) VALUES ("&amp;INFORMES!B7&amp;",'"&amp;INFORMES!C7&amp;"','"&amp;INFORMES!D7&amp;"',TO_DATE('"&amp;INFORMES!E7&amp;"','yyyymmdd'),TO_DATE('"&amp;INFORMES!F7&amp;"','yyyymmdd'),'"&amp;INFORMES!G7&amp;"','"&amp;INFORMES!H7&amp;"','"&amp;INFORMES!I7&amp;"','"&amp;INFORMES!J7&amp;"');")</f>
        <v>INSERT INTO INYCEXT.INYC_CONF_INFORMES@tc_link (COD_INFORME,DESC_INFORME,TABLA,F_INICIO,F_FIN,CARGA_TABLAS,PUBLICACION,FORMATO,DESCRIPCION) VALUES (3.1,'W-E - Rappel Producción Agentes Resumen','INYC_RA_RESUMEN',TO_DATE('20140101','yyyymmdd'),TO_DATE('22000101','yyyymmdd'),'1,2,3,4,5,6,7,8,9,10,11,12','1,2,3,4,5,6,7,8,9,10,11,12','pdf','RA');</v>
      </c>
    </row>
    <row r="7" spans="1:2" x14ac:dyDescent="0.25">
      <c r="A7" t="str">
        <f>IF(INFORMES!J8="OBSOLETO","","INSERT INTO INYCEXT.INYC_CONF_INFORMES (COD_INFORME,DESC_INFORME,TABLA,F_INICIO,F_FIN,CARGA_TABLAS,PUBLICACION,FORMATO,DESCRIPCION) VALUES ("&amp;INFORMES!B8&amp;",'"&amp;INFORMES!C8&amp;"','"&amp;INFORMES!D8&amp;"',TO_DATE('"&amp;INFORMES!E8&amp;"','yyyymmdd'),TO_DATE('"&amp;INFORMES!F8&amp;"','yyyymmdd'),'"&amp;INFORMES!G8&amp;"','"&amp;INFORMES!H8&amp;"','"&amp;INFORMES!I8&amp;"','"&amp;INFORMES!J8&amp;"');")</f>
        <v>INSERT INTO INYCEXT.INYC_CONF_INFORMES (COD_INFORME,DESC_INFORME,TABLA,F_INICIO,F_FIN,CARGA_TABLAS,PUBLICACION,FORMATO,DESCRIPCION) VALUES (3.2,'W-E - Rappel Producción Agentes Detalle','INYC_RA_DETALLE',TO_DATE('20140101','yyyymmdd'),TO_DATE('22000101','yyyymmdd'),'1,2,3,4,5,6,7,8,9,10,11,12','1,2,3,4,5,6,7,8,9,10,11,12','excel','RA');</v>
      </c>
      <c r="B7" t="str">
        <f>IF(INFORMES!J8="OBSOLETO","","INSERT INTO INYCEXT.INYC_CONF_INFORMES@tc_link (COD_INFORME,DESC_INFORME,TABLA,F_INICIO,F_FIN,CARGA_TABLAS,PUBLICACION,FORMATO,DESCRIPCION) VALUES ("&amp;INFORMES!B8&amp;",'"&amp;INFORMES!C8&amp;"','"&amp;INFORMES!D8&amp;"',TO_DATE('"&amp;INFORMES!E8&amp;"','yyyymmdd'),TO_DATE('"&amp;INFORMES!F8&amp;"','yyyymmdd'),'"&amp;INFORMES!G8&amp;"','"&amp;INFORMES!H8&amp;"','"&amp;INFORMES!I8&amp;"','"&amp;INFORMES!J8&amp;"');")</f>
        <v>INSERT INTO INYCEXT.INYC_CONF_INFORMES@tc_link (COD_INFORME,DESC_INFORME,TABLA,F_INICIO,F_FIN,CARGA_TABLAS,PUBLICACION,FORMATO,DESCRIPCION) VALUES (3.2,'W-E - Rappel Producción Agentes Detalle','INYC_RA_DETALLE',TO_DATE('20140101','yyyymmdd'),TO_DATE('22000101','yyyymmdd'),'1,2,3,4,5,6,7,8,9,10,11,12','1,2,3,4,5,6,7,8,9,10,11,12','excel','RA');</v>
      </c>
    </row>
    <row r="8" spans="1:2" x14ac:dyDescent="0.25">
      <c r="A8" t="str">
        <f>IF(INFORMES!J9="OBSOLETO","","INSERT INTO INYCEXT.INYC_CONF_INFORMES (COD_INFORME,DESC_INFORME,TABLA,F_INICIO,F_FIN,CARGA_TABLAS,PUBLICACION,FORMATO,DESCRIPCION) VALUES ("&amp;INFORMES!B9&amp;",'"&amp;INFORMES!C9&amp;"','"&amp;INFORMES!D9&amp;"',TO_DATE('"&amp;INFORMES!E9&amp;"','yyyymmdd'),TO_DATE('"&amp;INFORMES!F9&amp;"','yyyymmdd'),'"&amp;INFORMES!G9&amp;"','"&amp;INFORMES!H9&amp;"','"&amp;INFORMES!I9&amp;"','"&amp;INFORMES!J9&amp;"');")</f>
        <v>INSERT INTO INYCEXT.INYC_CONF_INFORMES (COD_INFORME,DESC_INFORME,TABLA,F_INICIO,F_FIN,CARGA_TABLAS,PUBLICACION,FORMATO,DESCRIPCION) VALUES (4.1,'W-E - Ranking Concurso de Producción Anual','INYC_CONCURSO',TO_DATE('20140101','yyyymmdd'),TO_DATE('22000101','yyyymmdd'),'12','12','pdf','CONCURSO');</v>
      </c>
      <c r="B8" t="str">
        <f>IF(INFORMES!J9="OBSOLETO","","INSERT INTO INYCEXT.INYC_CONF_INFORMES@tc_link (COD_INFORME,DESC_INFORME,TABLA,F_INICIO,F_FIN,CARGA_TABLAS,PUBLICACION,FORMATO,DESCRIPCION) VALUES ("&amp;INFORMES!B9&amp;",'"&amp;INFORMES!C9&amp;"','"&amp;INFORMES!D9&amp;"',TO_DATE('"&amp;INFORMES!E9&amp;"','yyyymmdd'),TO_DATE('"&amp;INFORMES!F9&amp;"','yyyymmdd'),'"&amp;INFORMES!G9&amp;"','"&amp;INFORMES!H9&amp;"','"&amp;INFORMES!I9&amp;"','"&amp;INFORMES!J9&amp;"');")</f>
        <v>INSERT INTO INYCEXT.INYC_CONF_INFORMES@tc_link (COD_INFORME,DESC_INFORME,TABLA,F_INICIO,F_FIN,CARGA_TABLAS,PUBLICACION,FORMATO,DESCRIPCION) VALUES (4.1,'W-E - Ranking Concurso de Producción Anual','INYC_CONCURSO',TO_DATE('20140101','yyyymmdd'),TO_DATE('22000101','yyyymmdd'),'12','12','pdf','CONCURSO');</v>
      </c>
    </row>
    <row r="9" spans="1:2" x14ac:dyDescent="0.25">
      <c r="A9" t="str">
        <f>IF(INFORMES!J10="OBSOLETO","","INSERT INTO INYCEXT.INYC_CONF_INFORMES (COD_INFORME,DESC_INFORME,TABLA,F_INICIO,F_FIN,CARGA_TABLAS,PUBLICACION,FORMATO,DESCRIPCION) VALUES ("&amp;INFORMES!B10&amp;",'"&amp;INFORMES!C10&amp;"','"&amp;INFORMES!D10&amp;"',TO_DATE('"&amp;INFORMES!E10&amp;"','yyyymmdd'),TO_DATE('"&amp;INFORMES!F10&amp;"','yyyymmdd'),'"&amp;INFORMES!G10&amp;"','"&amp;INFORMES!H10&amp;"','"&amp;INFORMES!I10&amp;"','"&amp;INFORMES!J10&amp;"');")</f>
        <v>INSERT INTO INYCEXT.INYC_CONF_INFORMES (COD_INFORME,DESC_INFORME,TABLA,F_INICIO,F_FIN,CARGA_TABLAS,PUBLICACION,FORMATO,DESCRIPCION) VALUES (5.1,'W-E - Incentivo Especial Anual','INYC_INCENTIVO',TO_DATE('20140101','yyyymmdd'),TO_DATE('22000101','yyyymmdd'),'12','12','pdf','INCENTIVO');</v>
      </c>
      <c r="B9" t="str">
        <f>IF(INFORMES!J10="OBSOLETO","","INSERT INTO INYCEXT.INYC_CONF_INFORMES@tc_link (COD_INFORME,DESC_INFORME,TABLA,F_INICIO,F_FIN,CARGA_TABLAS,PUBLICACION,FORMATO,DESCRIPCION) VALUES ("&amp;INFORMES!B10&amp;",'"&amp;INFORMES!C10&amp;"','"&amp;INFORMES!D10&amp;"',TO_DATE('"&amp;INFORMES!E10&amp;"','yyyymmdd'),TO_DATE('"&amp;INFORMES!F10&amp;"','yyyymmdd'),'"&amp;INFORMES!G10&amp;"','"&amp;INFORMES!H10&amp;"','"&amp;INFORMES!I10&amp;"','"&amp;INFORMES!J10&amp;"');")</f>
        <v>INSERT INTO INYCEXT.INYC_CONF_INFORMES@tc_link (COD_INFORME,DESC_INFORME,TABLA,F_INICIO,F_FIN,CARGA_TABLAS,PUBLICACION,FORMATO,DESCRIPCION) VALUES (5.1,'W-E - Incentivo Especial Anual','INYC_INCENTIVO',TO_DATE('20140101','yyyymmdd'),TO_DATE('22000101','yyyymmdd'),'12','12','pdf','INCENTIVO');</v>
      </c>
    </row>
    <row r="10" spans="1:2" x14ac:dyDescent="0.25">
      <c r="A10" t="str">
        <f>IF(INFORMES!J11="OBSOLETO","","INSERT INTO INYCEXT.INYC_CONF_INFORMES (COD_INFORME,DESC_INFORME,TABLA,F_INICIO,F_FIN,CARGA_TABLAS,PUBLICACION,FORMATO,DESCRIPCION) VALUES ("&amp;INFORMES!B11&amp;",'"&amp;INFORMES!C11&amp;"','"&amp;INFORMES!D11&amp;"',TO_DATE('"&amp;INFORMES!E11&amp;"','yyyymmdd'),TO_DATE('"&amp;INFORMES!F11&amp;"','yyyymmdd'),'"&amp;INFORMES!G11&amp;"','"&amp;INFORMES!H11&amp;"','"&amp;INFORMES!I11&amp;"','"&amp;INFORMES!J11&amp;"');")</f>
        <v>INSERT INTO INYCEXT.INYC_CONF_INFORMES (COD_INFORME,DESC_INFORME,TABLA,F_INICIO,F_FIN,CARGA_TABLAS,PUBLICACION,FORMATO,DESCRIPCION) VALUES (6.1,'W-O - Rappel Producción Agentes Resumen','INYC_RPA_RESUMEN',TO_DATE('20140101','yyyymmdd'),TO_DATE('22000101','yyyymmdd'),'1,2,3,4,5,6,7,8,9,10,11,12','1,2,3,4,5,6,7,8,9,10,11,12','pdf','RPA');</v>
      </c>
      <c r="B10" t="str">
        <f>IF(INFORMES!J11="OBSOLETO","","INSERT INTO INYCEXT.INYC_CONF_INFORMES@tc_link (COD_INFORME,DESC_INFORME,TABLA,F_INICIO,F_FIN,CARGA_TABLAS,PUBLICACION,FORMATO,DESCRIPCION) VALUES ("&amp;INFORMES!B11&amp;",'"&amp;INFORMES!C11&amp;"','"&amp;INFORMES!D11&amp;"',TO_DATE('"&amp;INFORMES!E11&amp;"','yyyymmdd'),TO_DATE('"&amp;INFORMES!F11&amp;"','yyyymmdd'),'"&amp;INFORMES!G11&amp;"','"&amp;INFORMES!H11&amp;"','"&amp;INFORMES!I11&amp;"','"&amp;INFORMES!J11&amp;"');")</f>
        <v>INSERT INTO INYCEXT.INYC_CONF_INFORMES@tc_link (COD_INFORME,DESC_INFORME,TABLA,F_INICIO,F_FIN,CARGA_TABLAS,PUBLICACION,FORMATO,DESCRIPCION) VALUES (6.1,'W-O - Rappel Producción Agentes Resumen','INYC_RPA_RESUMEN',TO_DATE('20140101','yyyymmdd'),TO_DATE('22000101','yyyymmdd'),'1,2,3,4,5,6,7,8,9,10,11,12','1,2,3,4,5,6,7,8,9,10,11,12','pdf','RPA');</v>
      </c>
    </row>
    <row r="11" spans="1:2" x14ac:dyDescent="0.25">
      <c r="A11" t="str">
        <f>IF(INFORMES!J12="OBSOLETO","","INSERT INTO INYCEXT.INYC_CONF_INFORMES (COD_INFORME,DESC_INFORME,TABLA,F_INICIO,F_FIN,CARGA_TABLAS,PUBLICACION,FORMATO,DESCRIPCION) VALUES ("&amp;INFORMES!B12&amp;",'"&amp;INFORMES!C12&amp;"','"&amp;INFORMES!D12&amp;"',TO_DATE('"&amp;INFORMES!E12&amp;"','yyyymmdd'),TO_DATE('"&amp;INFORMES!F12&amp;"','yyyymmdd'),'"&amp;INFORMES!G12&amp;"','"&amp;INFORMES!H12&amp;"','"&amp;INFORMES!I12&amp;"','"&amp;INFORMES!J12&amp;"');")</f>
        <v>INSERT INTO INYCEXT.INYC_CONF_INFORMES (COD_INFORME,DESC_INFORME,TABLA,F_INICIO,F_FIN,CARGA_TABLAS,PUBLICACION,FORMATO,DESCRIPCION) VALUES (6.2,'W-O - Rappel Producción Agentes Detalle','INYC_RPA_DETALLE',TO_DATE('20140101','yyyymmdd'),TO_DATE('22000101','yyyymmdd'),'1,2,3,4,5,6,7,8,9,10,11,12','1,2,3,4,5,6,7,8,9,10,11,12','excel','RPA');</v>
      </c>
      <c r="B11" t="str">
        <f>IF(INFORMES!J12="OBSOLETO","","INSERT INTO INYCEXT.INYC_CONF_INFORMES@tc_link (COD_INFORME,DESC_INFORME,TABLA,F_INICIO,F_FIN,CARGA_TABLAS,PUBLICACION,FORMATO,DESCRIPCION) VALUES ("&amp;INFORMES!B12&amp;",'"&amp;INFORMES!C12&amp;"','"&amp;INFORMES!D12&amp;"',TO_DATE('"&amp;INFORMES!E12&amp;"','yyyymmdd'),TO_DATE('"&amp;INFORMES!F12&amp;"','yyyymmdd'),'"&amp;INFORMES!G12&amp;"','"&amp;INFORMES!H12&amp;"','"&amp;INFORMES!I12&amp;"','"&amp;INFORMES!J12&amp;"');")</f>
        <v>INSERT INTO INYCEXT.INYC_CONF_INFORMES@tc_link (COD_INFORME,DESC_INFORME,TABLA,F_INICIO,F_FIN,CARGA_TABLAS,PUBLICACION,FORMATO,DESCRIPCION) VALUES (6.2,'W-O - Rappel Producción Agentes Detalle','INYC_RPA_DETALLE',TO_DATE('20140101','yyyymmdd'),TO_DATE('22000101','yyyymmdd'),'1,2,3,4,5,6,7,8,9,10,11,12','1,2,3,4,5,6,7,8,9,10,11,12','excel','RPA');</v>
      </c>
    </row>
    <row r="12" spans="1:2" x14ac:dyDescent="0.25">
      <c r="A12" t="str">
        <f>IF(INFORMES!J13="OBSOLETO","","INSERT INTO INYCEXT.INYC_CONF_INFORMES (COD_INFORME,DESC_INFORME,TABLA,F_INICIO,F_FIN,CARGA_TABLAS,PUBLICACION,FORMATO,DESCRIPCION) VALUES ("&amp;INFORMES!B13&amp;",'"&amp;INFORMES!C13&amp;"','"&amp;INFORMES!D13&amp;"',TO_DATE('"&amp;INFORMES!E13&amp;"','yyyymmdd'),TO_DATE('"&amp;INFORMES!F13&amp;"','yyyymmdd'),'"&amp;INFORMES!G13&amp;"','"&amp;INFORMES!H13&amp;"','"&amp;INFORMES!I13&amp;"','"&amp;INFORMES!J13&amp;"');")</f>
        <v>INSERT INTO INYCEXT.INYC_CONF_INFORMES (COD_INFORME,DESC_INFORME,TABLA,F_INICIO,F_FIN,CARGA_TABLAS,PUBLICACION,FORMATO,DESCRIPCION) VALUES (7.1,'W-O - Diferenciales Resumen','INYC_DIF_RESUMEN',TO_DATE('20140101','yyyymmdd'),TO_DATE('22000101','yyyymmdd'),'1,2,3,4,5,6,7,8,9,10,11,12','1,2,3,4,5,6,7,8,9,10,11,12','pdf','DIF');</v>
      </c>
      <c r="B12" t="str">
        <f>IF(INFORMES!J13="OBSOLETO","","INSERT INTO INYCEXT.INYC_CONF_INFORMES@tc_link (COD_INFORME,DESC_INFORME,TABLA,F_INICIO,F_FIN,CARGA_TABLAS,PUBLICACION,FORMATO,DESCRIPCION) VALUES ("&amp;INFORMES!B13&amp;",'"&amp;INFORMES!C13&amp;"','"&amp;INFORMES!D13&amp;"',TO_DATE('"&amp;INFORMES!E13&amp;"','yyyymmdd'),TO_DATE('"&amp;INFORMES!F13&amp;"','yyyymmdd'),'"&amp;INFORMES!G13&amp;"','"&amp;INFORMES!H13&amp;"','"&amp;INFORMES!I13&amp;"','"&amp;INFORMES!J13&amp;"');")</f>
        <v>INSERT INTO INYCEXT.INYC_CONF_INFORMES@tc_link (COD_INFORME,DESC_INFORME,TABLA,F_INICIO,F_FIN,CARGA_TABLAS,PUBLICACION,FORMATO,DESCRIPCION) VALUES (7.1,'W-O - Diferenciales Resumen','INYC_DIF_RESUMEN',TO_DATE('20140101','yyyymmdd'),TO_DATE('22000101','yyyymmdd'),'1,2,3,4,5,6,7,8,9,10,11,12','1,2,3,4,5,6,7,8,9,10,11,12','pdf','DIF');</v>
      </c>
    </row>
    <row r="13" spans="1:2" x14ac:dyDescent="0.25">
      <c r="A13" t="str">
        <f>IF(INFORMES!J14="OBSOLETO","","INSERT INTO INYCEXT.INYC_CONF_INFORMES (COD_INFORME,DESC_INFORME,TABLA,F_INICIO,F_FIN,CARGA_TABLAS,PUBLICACION,FORMATO,DESCRIPCION) VALUES ("&amp;INFORMES!B14&amp;",'"&amp;INFORMES!C14&amp;"','"&amp;INFORMES!D14&amp;"',TO_DATE('"&amp;INFORMES!E14&amp;"','yyyymmdd'),TO_DATE('"&amp;INFORMES!F14&amp;"','yyyymmdd'),'"&amp;INFORMES!G14&amp;"','"&amp;INFORMES!H14&amp;"','"&amp;INFORMES!I14&amp;"','"&amp;INFORMES!J14&amp;"');")</f>
        <v>INSERT INTO INYCEXT.INYC_CONF_INFORMES (COD_INFORME,DESC_INFORME,TABLA,F_INICIO,F_FIN,CARGA_TABLAS,PUBLICACION,FORMATO,DESCRIPCION) VALUES (7.2,'W-O - Diferenciales Detalle','INYC_DIF_DETALLE',TO_DATE('20140101','yyyymmdd'),TO_DATE('20180101','yyyymmdd'),'1,2,3,4,5,6,7,8,9,10,11,12','1,2,3,4,5,6,7,8,9,10,11,12','excel','DIF_DETALLE');</v>
      </c>
      <c r="B13" t="str">
        <f>IF(INFORMES!J14="OBSOLETO","","INSERT INTO INYCEXT.INYC_CONF_INFORMES@tc_link (COD_INFORME,DESC_INFORME,TABLA,F_INICIO,F_FIN,CARGA_TABLAS,PUBLICACION,FORMATO,DESCRIPCION) VALUES ("&amp;INFORMES!B14&amp;",'"&amp;INFORMES!C14&amp;"','"&amp;INFORMES!D14&amp;"',TO_DATE('"&amp;INFORMES!E14&amp;"','yyyymmdd'),TO_DATE('"&amp;INFORMES!F14&amp;"','yyyymmdd'),'"&amp;INFORMES!G14&amp;"','"&amp;INFORMES!H14&amp;"','"&amp;INFORMES!I14&amp;"','"&amp;INFORMES!J14&amp;"');")</f>
        <v>INSERT INTO INYCEXT.INYC_CONF_INFORMES@tc_link (COD_INFORME,DESC_INFORME,TABLA,F_INICIO,F_FIN,CARGA_TABLAS,PUBLICACION,FORMATO,DESCRIPCION) VALUES (7.2,'W-O - Diferenciales Detalle','INYC_DIF_DETALLE',TO_DATE('20140101','yyyymmdd'),TO_DATE('20180101','yyyymmdd'),'1,2,3,4,5,6,7,8,9,10,11,12','1,2,3,4,5,6,7,8,9,10,11,12','excel','DIF_DETALLE');</v>
      </c>
    </row>
    <row r="14" spans="1:2" x14ac:dyDescent="0.25">
      <c r="A14" t="str">
        <f>IF(INFORMES!J15="OBSOLETO","","INSERT INTO INYCEXT.INYC_CONF_INFORMES (COD_INFORME,DESC_INFORME,TABLA,F_INICIO,F_FIN,CARGA_TABLAS,PUBLICACION,FORMATO,DESCRIPCION) VALUES ("&amp;INFORMES!B15&amp;",'"&amp;INFORMES!C15&amp;"','"&amp;INFORMES!D15&amp;"',TO_DATE('"&amp;INFORMES!E15&amp;"','yyyymmdd'),TO_DATE('"&amp;INFORMES!F15&amp;"','yyyymmdd'),'"&amp;INFORMES!G15&amp;"','"&amp;INFORMES!H15&amp;"','"&amp;INFORMES!I15&amp;"','"&amp;INFORMES!J15&amp;"');")</f>
        <v>INSERT INTO INYCEXT.INYC_CONF_INFORMES (COD_INFORME,DESC_INFORME,TABLA,F_INICIO,F_FIN,CARGA_TABLAS,PUBLICACION,FORMATO,DESCRIPCION) VALUES (8.1,'W-O - Incentivos por Cumplimiento de Objetivos y Liquidación a Cuenta Resumen','INYC_COLC_RESUMEN',TO_DATE('20140101','yyyymmdd'),TO_DATE('22000101','yyyymmdd'),'1,2,3,4,5,6,7,8,9,10,11,12','3,6,9,12','pdf','COLC');</v>
      </c>
      <c r="B14" t="str">
        <f>IF(INFORMES!J15="OBSOLETO","","INSERT INTO INYCEXT.INYC_CONF_INFORMES@tc_link (COD_INFORME,DESC_INFORME,TABLA,F_INICIO,F_FIN,CARGA_TABLAS,PUBLICACION,FORMATO,DESCRIPCION) VALUES ("&amp;INFORMES!B15&amp;",'"&amp;INFORMES!C15&amp;"','"&amp;INFORMES!D15&amp;"',TO_DATE('"&amp;INFORMES!E15&amp;"','yyyymmdd'),TO_DATE('"&amp;INFORMES!F15&amp;"','yyyymmdd'),'"&amp;INFORMES!G15&amp;"','"&amp;INFORMES!H15&amp;"','"&amp;INFORMES!I15&amp;"','"&amp;INFORMES!J15&amp;"');")</f>
        <v>INSERT INTO INYCEXT.INYC_CONF_INFORMES@tc_link (COD_INFORME,DESC_INFORME,TABLA,F_INICIO,F_FIN,CARGA_TABLAS,PUBLICACION,FORMATO,DESCRIPCION) VALUES (8.1,'W-O - Incentivos por Cumplimiento de Objetivos y Liquidación a Cuenta Resumen','INYC_COLC_RESUMEN',TO_DATE('20140101','yyyymmdd'),TO_DATE('22000101','yyyymmdd'),'1,2,3,4,5,6,7,8,9,10,11,12','3,6,9,12','pdf','COLC');</v>
      </c>
    </row>
    <row r="15" spans="1:2" x14ac:dyDescent="0.25">
      <c r="A15" t="str">
        <f>IF(INFORMES!J16="OBSOLETO","","INSERT INTO INYCEXT.INYC_CONF_INFORMES (COD_INFORME,DESC_INFORME,TABLA,F_INICIO,F_FIN,CARGA_TABLAS,PUBLICACION,FORMATO,DESCRIPCION) VALUES ("&amp;INFORMES!B16&amp;",'"&amp;INFORMES!C16&amp;"','"&amp;INFORMES!D16&amp;"',TO_DATE('"&amp;INFORMES!E16&amp;"','yyyymmdd'),TO_DATE('"&amp;INFORMES!F16&amp;"','yyyymmdd'),'"&amp;INFORMES!G16&amp;"','"&amp;INFORMES!H16&amp;"','"&amp;INFORMES!I16&amp;"','"&amp;INFORMES!J16&amp;"');")</f>
        <v/>
      </c>
      <c r="B15" t="str">
        <f>IF(INFORMES!J16="OBSOLETO","","INSERT INTO INYCEXT.INYC_CONF_INFORMES@tc_link (COD_INFORME,DESC_INFORME,TABLA,F_INICIO,F_FIN,CARGA_TABLAS,PUBLICACION,FORMATO,DESCRIPCION) VALUES ("&amp;INFORMES!B16&amp;",'"&amp;INFORMES!C16&amp;"','"&amp;INFORMES!D16&amp;"',TO_DATE('"&amp;INFORMES!E16&amp;"','yyyymmdd'),TO_DATE('"&amp;INFORMES!F16&amp;"','yyyymmdd'),'"&amp;INFORMES!G16&amp;"','"&amp;INFORMES!H16&amp;"','"&amp;INFORMES!I16&amp;"','"&amp;INFORMES!J16&amp;"');")</f>
        <v/>
      </c>
    </row>
    <row r="16" spans="1:2" x14ac:dyDescent="0.25">
      <c r="A16" t="str">
        <f>IF(INFORMES!J17="OBSOLETO","","INSERT INTO INYCEXT.INYC_CONF_INFORMES (COD_INFORME,DESC_INFORME,TABLA,F_INICIO,F_FIN,CARGA_TABLAS,PUBLICACION,FORMATO,DESCRIPCION) VALUES ("&amp;INFORMES!B17&amp;",'"&amp;INFORMES!C17&amp;"','"&amp;INFORMES!D17&amp;"',TO_DATE('"&amp;INFORMES!E17&amp;"','yyyymmdd'),TO_DATE('"&amp;INFORMES!F17&amp;"','yyyymmdd'),'"&amp;INFORMES!G17&amp;"','"&amp;INFORMES!H17&amp;"','"&amp;INFORMES!I17&amp;"','"&amp;INFORMES!J17&amp;"');")</f>
        <v/>
      </c>
      <c r="B16" t="str">
        <f>IF(INFORMES!J17="OBSOLETO","","INSERT INTO INYCEXT.INYC_CONF_INFORMES@tc_link (COD_INFORME,DESC_INFORME,TABLA,F_INICIO,F_FIN,CARGA_TABLAS,PUBLICACION,FORMATO,DESCRIPCION) VALUES ("&amp;INFORMES!B17&amp;",'"&amp;INFORMES!C17&amp;"','"&amp;INFORMES!D17&amp;"',TO_DATE('"&amp;INFORMES!E17&amp;"','yyyymmdd'),TO_DATE('"&amp;INFORMES!F17&amp;"','yyyymmdd'),'"&amp;INFORMES!G17&amp;"','"&amp;INFORMES!H17&amp;"','"&amp;INFORMES!I17&amp;"','"&amp;INFORMES!J17&amp;"');")</f>
        <v/>
      </c>
    </row>
    <row r="17" spans="1:2" x14ac:dyDescent="0.25">
      <c r="A17" t="str">
        <f>IF(INFORMES!J18="OBSOLETO","","INSERT INTO INYCEXT.INYC_CONF_INFORMES (COD_INFORME,DESC_INFORME,TABLA,F_INICIO,F_FIN,CARGA_TABLAS,PUBLICACION,FORMATO,DESCRIPCION) VALUES ("&amp;INFORMES!B18&amp;",'"&amp;INFORMES!C18&amp;"','"&amp;INFORMES!D18&amp;"',TO_DATE('"&amp;INFORMES!E18&amp;"','yyyymmdd'),TO_DATE('"&amp;INFORMES!F18&amp;"','yyyymmdd'),'"&amp;INFORMES!G18&amp;"','"&amp;INFORMES!H18&amp;"','"&amp;INFORMES!I18&amp;"','"&amp;INFORMES!J18&amp;"');")</f>
        <v/>
      </c>
      <c r="B17" t="str">
        <f>IF(INFORMES!J18="OBSOLETO","","INSERT INTO INYCEXT.INYC_CONF_INFORMES@tc_link (COD_INFORME,DESC_INFORME,TABLA,F_INICIO,F_FIN,CARGA_TABLAS,PUBLICACION,FORMATO,DESCRIPCION) VALUES ("&amp;INFORMES!B18&amp;",'"&amp;INFORMES!C18&amp;"','"&amp;INFORMES!D18&amp;"',TO_DATE('"&amp;INFORMES!E18&amp;"','yyyymmdd'),TO_DATE('"&amp;INFORMES!F18&amp;"','yyyymmdd'),'"&amp;INFORMES!G18&amp;"','"&amp;INFORMES!H18&amp;"','"&amp;INFORMES!I18&amp;"','"&amp;INFORMES!J18&amp;"');")</f>
        <v/>
      </c>
    </row>
    <row r="18" spans="1:2" x14ac:dyDescent="0.25">
      <c r="A18" t="str">
        <f>IF(INFORMES!J19="OBSOLETO","","INSERT INTO INYCEXT.INYC_CONF_INFORMES (COD_INFORME,DESC_INFORME,TABLA,F_INICIO,F_FIN,CARGA_TABLAS,PUBLICACION,FORMATO,DESCRIPCION) VALUES ("&amp;INFORMES!B19&amp;",'"&amp;INFORMES!C19&amp;"','"&amp;INFORMES!D19&amp;"',TO_DATE('"&amp;INFORMES!E19&amp;"','yyyymmdd'),TO_DATE('"&amp;INFORMES!F19&amp;"','yyyymmdd'),'"&amp;INFORMES!G19&amp;"','"&amp;INFORMES!H19&amp;"','"&amp;INFORMES!I19&amp;"','"&amp;INFORMES!J19&amp;"');")</f>
        <v>INSERT INTO INYCEXT.INYC_CONF_INFORMES (COD_INFORME,DESC_INFORME,TABLA,F_INICIO,F_FIN,CARGA_TABLAS,PUBLICACION,FORMATO,DESCRIPCION) VALUES (10.1,'W-O - Rappel Defensa Cartera Resumen','INYC_RDC_RESUMEN',TO_DATE('20140101','yyyymmdd'),TO_DATE('22000101','yyyymmdd'),'1,2,3,4,5,6,7,8,9,10,11,12','1,2,3,4,5,6,7,8,9,10,11,12','pdf','RDC');</v>
      </c>
      <c r="B18" t="str">
        <f>IF(INFORMES!J19="OBSOLETO","","INSERT INTO INYCEXT.INYC_CONF_INFORMES@tc_link (COD_INFORME,DESC_INFORME,TABLA,F_INICIO,F_FIN,CARGA_TABLAS,PUBLICACION,FORMATO,DESCRIPCION) VALUES ("&amp;INFORMES!B19&amp;",'"&amp;INFORMES!C19&amp;"','"&amp;INFORMES!D19&amp;"',TO_DATE('"&amp;INFORMES!E19&amp;"','yyyymmdd'),TO_DATE('"&amp;INFORMES!F19&amp;"','yyyymmdd'),'"&amp;INFORMES!G19&amp;"','"&amp;INFORMES!H19&amp;"','"&amp;INFORMES!I19&amp;"','"&amp;INFORMES!J19&amp;"');")</f>
        <v>INSERT INTO INYCEXT.INYC_CONF_INFORMES@tc_link (COD_INFORME,DESC_INFORME,TABLA,F_INICIO,F_FIN,CARGA_TABLAS,PUBLICACION,FORMATO,DESCRIPCION) VALUES (10.1,'W-O - Rappel Defensa Cartera Resumen','INYC_RDC_RESUMEN',TO_DATE('20140101','yyyymmdd'),TO_DATE('22000101','yyyymmdd'),'1,2,3,4,5,6,7,8,9,10,11,12','1,2,3,4,5,6,7,8,9,10,11,12','pdf','RDC');</v>
      </c>
    </row>
    <row r="19" spans="1:2" x14ac:dyDescent="0.25">
      <c r="A19" t="str">
        <f>IF(INFORMES!J20="OBSOLETO","","INSERT INTO INYCEXT.INYC_CONF_INFORMES (COD_INFORME,DESC_INFORME,TABLA,F_INICIO,F_FIN,CARGA_TABLAS,PUBLICACION,FORMATO,DESCRIPCION) VALUES ("&amp;INFORMES!B20&amp;",'"&amp;INFORMES!C20&amp;"','"&amp;INFORMES!D20&amp;"',TO_DATE('"&amp;INFORMES!E20&amp;"','yyyymmdd'),TO_DATE('"&amp;INFORMES!F20&amp;"','yyyymmdd'),'"&amp;INFORMES!G20&amp;"','"&amp;INFORMES!H20&amp;"','"&amp;INFORMES!I20&amp;"','"&amp;INFORMES!J20&amp;"');")</f>
        <v>INSERT INTO INYCEXT.INYC_CONF_INFORMES (COD_INFORME,DESC_INFORME,TABLA,F_INICIO,F_FIN,CARGA_TABLAS,PUBLICACION,FORMATO,DESCRIPCION) VALUES (10.2,'W-O - Rappel Defensa Cartera Detalle','INYC_RDC_DETALLE',TO_DATE('20140101','yyyymmdd'),TO_DATE('22000101','yyyymmdd'),'1,2,3,4,5,6,7,8,9,10,11,12','1,2,3,4,5,6,7,8,9,10,11,12','excel','RDC');</v>
      </c>
      <c r="B19" t="str">
        <f>IF(INFORMES!J20="OBSOLETO","","INSERT INTO INYCEXT.INYC_CONF_INFORMES@tc_link (COD_INFORME,DESC_INFORME,TABLA,F_INICIO,F_FIN,CARGA_TABLAS,PUBLICACION,FORMATO,DESCRIPCION) VALUES ("&amp;INFORMES!B20&amp;",'"&amp;INFORMES!C20&amp;"','"&amp;INFORMES!D20&amp;"',TO_DATE('"&amp;INFORMES!E20&amp;"','yyyymmdd'),TO_DATE('"&amp;INFORMES!F20&amp;"','yyyymmdd'),'"&amp;INFORMES!G20&amp;"','"&amp;INFORMES!H20&amp;"','"&amp;INFORMES!I20&amp;"','"&amp;INFORMES!J20&amp;"');")</f>
        <v>INSERT INTO INYCEXT.INYC_CONF_INFORMES@tc_link (COD_INFORME,DESC_INFORME,TABLA,F_INICIO,F_FIN,CARGA_TABLAS,PUBLICACION,FORMATO,DESCRIPCION) VALUES (10.2,'W-O - Rappel Defensa Cartera Detalle','INYC_RDC_DETALLE',TO_DATE('20140101','yyyymmdd'),TO_DATE('22000101','yyyymmdd'),'1,2,3,4,5,6,7,8,9,10,11,12','1,2,3,4,5,6,7,8,9,10,11,12','excel','RDC');</v>
      </c>
    </row>
    <row r="20" spans="1:2" x14ac:dyDescent="0.25">
      <c r="A20" t="str">
        <f>IF(INFORMES!J21="OBSOLETO","","INSERT INTO INYCEXT.INYC_CONF_INFORMES (COD_INFORME,DESC_INFORME,TABLA,F_INICIO,F_FIN,CARGA_TABLAS,PUBLICACION,FORMATO,DESCRIPCION) VALUES ("&amp;INFORMES!B21&amp;",'"&amp;INFORMES!C21&amp;"','"&amp;INFORMES!D21&amp;"',TO_DATE('"&amp;INFORMES!E21&amp;"','yyyymmdd'),TO_DATE('"&amp;INFORMES!F21&amp;"','yyyymmdd'),'"&amp;INFORMES!G21&amp;"','"&amp;INFORMES!H21&amp;"','"&amp;INFORMES!I21&amp;"','"&amp;INFORMES!J21&amp;"');")</f>
        <v/>
      </c>
      <c r="B20" t="str">
        <f>IF(INFORMES!J21="OBSOLETO","","INSERT INTO INYCEXT.INYC_CONF_INFORMES@tc_link (COD_INFORME,DESC_INFORME,TABLA,F_INICIO,F_FIN,CARGA_TABLAS,PUBLICACION,FORMATO,DESCRIPCION) VALUES ("&amp;INFORMES!B21&amp;",'"&amp;INFORMES!C21&amp;"','"&amp;INFORMES!D21&amp;"',TO_DATE('"&amp;INFORMES!E21&amp;"','yyyymmdd'),TO_DATE('"&amp;INFORMES!F21&amp;"','yyyymmdd'),'"&amp;INFORMES!G21&amp;"','"&amp;INFORMES!H21&amp;"','"&amp;INFORMES!I21&amp;"','"&amp;INFORMES!J21&amp;"');")</f>
        <v/>
      </c>
    </row>
    <row r="21" spans="1:2" x14ac:dyDescent="0.25">
      <c r="A21" t="str">
        <f>IF(INFORMES!J22="OBSOLETO","","INSERT INTO INYCEXT.INYC_CONF_INFORMES (COD_INFORME,DESC_INFORME,TABLA,F_INICIO,F_FIN,CARGA_TABLAS,PUBLICACION,FORMATO,DESCRIPCION) VALUES ("&amp;INFORMES!B22&amp;",'"&amp;INFORMES!C22&amp;"','"&amp;INFORMES!D22&amp;"',TO_DATE('"&amp;INFORMES!E22&amp;"','yyyymmdd'),TO_DATE('"&amp;INFORMES!F22&amp;"','yyyymmdd'),'"&amp;INFORMES!G22&amp;"','"&amp;INFORMES!H22&amp;"','"&amp;INFORMES!I22&amp;"','"&amp;INFORMES!J22&amp;"');")</f>
        <v>INSERT INTO INYCEXT.INYC_CONF_INFORMES (COD_INFORME,DESC_INFORME,TABLA,F_INICIO,F_FIN,CARGA_TABLAS,PUBLICACION,FORMATO,DESCRIPCION) VALUES (12.1,'W-O - Anulaciones de Primer Año Resumen','INYC_AN1_RESUMEN',TO_DATE('20170101','yyyymmdd'),TO_DATE('22000101','yyyymmdd'),'12','12','pdf','AN');</v>
      </c>
      <c r="B21" t="str">
        <f>IF(INFORMES!J22="OBSOLETO","","INSERT INTO INYCEXT.INYC_CONF_INFORMES@tc_link (COD_INFORME,DESC_INFORME,TABLA,F_INICIO,F_FIN,CARGA_TABLAS,PUBLICACION,FORMATO,DESCRIPCION) VALUES ("&amp;INFORMES!B22&amp;",'"&amp;INFORMES!C22&amp;"','"&amp;INFORMES!D22&amp;"',TO_DATE('"&amp;INFORMES!E22&amp;"','yyyymmdd'),TO_DATE('"&amp;INFORMES!F22&amp;"','yyyymmdd'),'"&amp;INFORMES!G22&amp;"','"&amp;INFORMES!H22&amp;"','"&amp;INFORMES!I22&amp;"','"&amp;INFORMES!J22&amp;"');")</f>
        <v>INSERT INTO INYCEXT.INYC_CONF_INFORMES@tc_link (COD_INFORME,DESC_INFORME,TABLA,F_INICIO,F_FIN,CARGA_TABLAS,PUBLICACION,FORMATO,DESCRIPCION) VALUES (12.1,'W-O - Anulaciones de Primer Año Resumen','INYC_AN1_RESUMEN',TO_DATE('20170101','yyyymmdd'),TO_DATE('22000101','yyyymmdd'),'12','12','pdf','AN');</v>
      </c>
    </row>
    <row r="22" spans="1:2" x14ac:dyDescent="0.25">
      <c r="A22" t="str">
        <f>IF(INFORMES!J23="OBSOLETO","","INSERT INTO INYCEXT.INYC_CONF_INFORMES (COD_INFORME,DESC_INFORME,TABLA,F_INICIO,F_FIN,CARGA_TABLAS,PUBLICACION,FORMATO,DESCRIPCION) VALUES ("&amp;INFORMES!B23&amp;",'"&amp;INFORMES!C23&amp;"','"&amp;INFORMES!D23&amp;"',TO_DATE('"&amp;INFORMES!E23&amp;"','yyyymmdd'),TO_DATE('"&amp;INFORMES!F23&amp;"','yyyymmdd'),'"&amp;INFORMES!G23&amp;"','"&amp;INFORMES!H23&amp;"','"&amp;INFORMES!I23&amp;"','"&amp;INFORMES!J23&amp;"');")</f>
        <v>INSERT INTO INYCEXT.INYC_CONF_INFORMES (COD_INFORME,DESC_INFORME,TABLA,F_INICIO,F_FIN,CARGA_TABLAS,PUBLICACION,FORMATO,DESCRIPCION) VALUES (12.2,'W-O - Anulaciones de Segundo Año Resumen','INYC_AN2_RESUMEN',TO_DATE('20170101','yyyymmdd'),TO_DATE('22000101','yyyymmdd'),'12','12','pdf','AN');</v>
      </c>
      <c r="B22" t="str">
        <f>IF(INFORMES!J23="OBSOLETO","","INSERT INTO INYCEXT.INYC_CONF_INFORMES@tc_link (COD_INFORME,DESC_INFORME,TABLA,F_INICIO,F_FIN,CARGA_TABLAS,PUBLICACION,FORMATO,DESCRIPCION) VALUES ("&amp;INFORMES!B23&amp;",'"&amp;INFORMES!C23&amp;"','"&amp;INFORMES!D23&amp;"',TO_DATE('"&amp;INFORMES!E23&amp;"','yyyymmdd'),TO_DATE('"&amp;INFORMES!F23&amp;"','yyyymmdd'),'"&amp;INFORMES!G23&amp;"','"&amp;INFORMES!H23&amp;"','"&amp;INFORMES!I23&amp;"','"&amp;INFORMES!J23&amp;"');")</f>
        <v>INSERT INTO INYCEXT.INYC_CONF_INFORMES@tc_link (COD_INFORME,DESC_INFORME,TABLA,F_INICIO,F_FIN,CARGA_TABLAS,PUBLICACION,FORMATO,DESCRIPCION) VALUES (12.2,'W-O - Anulaciones de Segundo Año Resumen','INYC_AN2_RESUMEN',TO_DATE('20170101','yyyymmdd'),TO_DATE('22000101','yyyymmdd'),'12','12','pdf','AN');</v>
      </c>
    </row>
    <row r="23" spans="1:2" x14ac:dyDescent="0.25">
      <c r="A23" t="str">
        <f>IF(INFORMES!J24="OBSOLETO","","INSERT INTO INYCEXT.INYC_CONF_INFORMES (COD_INFORME,DESC_INFORME,TABLA,F_INICIO,F_FIN,CARGA_TABLAS,PUBLICACION,FORMATO,DESCRIPCION) VALUES ("&amp;INFORMES!B24&amp;",'"&amp;INFORMES!C24&amp;"','"&amp;INFORMES!D24&amp;"',TO_DATE('"&amp;INFORMES!E24&amp;"','yyyymmdd'),TO_DATE('"&amp;INFORMES!F24&amp;"','yyyymmdd'),'"&amp;INFORMES!G24&amp;"','"&amp;INFORMES!H24&amp;"','"&amp;INFORMES!I24&amp;"','"&amp;INFORMES!J24&amp;"');")</f>
        <v>INSERT INTO INYCEXT.INYC_CONF_INFORMES (COD_INFORME,DESC_INFORME,TABLA,F_INICIO,F_FIN,CARGA_TABLAS,PUBLICACION,FORMATO,DESCRIPCION) VALUES (13.1,'W-E - Diferenciales Resumen','INYC_DIF_E_RESUMEN',TO_DATE('20140101','yyyymmdd'),TO_DATE('22000101','yyyymmdd'),'1,2,3,4,5,6,7,8,9,10,11,12','1,2,3,4,5,6,7,8,9,10,11,12','pdf','DIF_E');</v>
      </c>
      <c r="B23" t="str">
        <f>IF(INFORMES!J24="OBSOLETO","","INSERT INTO INYCEXT.INYC_CONF_INFORMES@tc_link (COD_INFORME,DESC_INFORME,TABLA,F_INICIO,F_FIN,CARGA_TABLAS,PUBLICACION,FORMATO,DESCRIPCION) VALUES ("&amp;INFORMES!B24&amp;",'"&amp;INFORMES!C24&amp;"','"&amp;INFORMES!D24&amp;"',TO_DATE('"&amp;INFORMES!E24&amp;"','yyyymmdd'),TO_DATE('"&amp;INFORMES!F24&amp;"','yyyymmdd'),'"&amp;INFORMES!G24&amp;"','"&amp;INFORMES!H24&amp;"','"&amp;INFORMES!I24&amp;"','"&amp;INFORMES!J24&amp;"');")</f>
        <v>INSERT INTO INYCEXT.INYC_CONF_INFORMES@tc_link (COD_INFORME,DESC_INFORME,TABLA,F_INICIO,F_FIN,CARGA_TABLAS,PUBLICACION,FORMATO,DESCRIPCION) VALUES (13.1,'W-E - Diferenciales Resumen','INYC_DIF_E_RESUMEN',TO_DATE('20140101','yyyymmdd'),TO_DATE('22000101','yyyymmdd'),'1,2,3,4,5,6,7,8,9,10,11,12','1,2,3,4,5,6,7,8,9,10,11,12','pdf','DIF_E');</v>
      </c>
    </row>
    <row r="24" spans="1:2" x14ac:dyDescent="0.25">
      <c r="A24" t="str">
        <f>IF(INFORMES!J25="OBSOLETO","","INSERT INTO INYCEXT.INYC_CONF_INFORMES (COD_INFORME,DESC_INFORME,TABLA,F_INICIO,F_FIN,CARGA_TABLAS,PUBLICACION,FORMATO,DESCRIPCION) VALUES ("&amp;INFORMES!B25&amp;",'"&amp;INFORMES!C25&amp;"','"&amp;INFORMES!D25&amp;"',TO_DATE('"&amp;INFORMES!E25&amp;"','yyyymmdd'),TO_DATE('"&amp;INFORMES!F25&amp;"','yyyymmdd'),'"&amp;INFORMES!G25&amp;"','"&amp;INFORMES!H25&amp;"','"&amp;INFORMES!I25&amp;"','"&amp;INFORMES!J25&amp;"');")</f>
        <v>INSERT INTO INYCEXT.INYC_CONF_INFORMES (COD_INFORME,DESC_INFORME,TABLA,F_INICIO,F_FIN,CARGA_TABLAS,PUBLICACION,FORMATO,DESCRIPCION) VALUES (13.2,'W-E - Diferenciales Detalle','INYC_DIF_E_DETALLE',TO_DATE('20140101','yyyymmdd'),TO_DATE('20180101','yyyymmdd'),'1,2,3,4,5,6,7,8,9,10,11,12','1,2,3,4,5,6,7,8,9,10,11,12','excel','DIF_E_DETALLE');</v>
      </c>
      <c r="B24" t="str">
        <f>IF(INFORMES!J25="OBSOLETO","","INSERT INTO INYCEXT.INYC_CONF_INFORMES@tc_link (COD_INFORME,DESC_INFORME,TABLA,F_INICIO,F_FIN,CARGA_TABLAS,PUBLICACION,FORMATO,DESCRIPCION) VALUES ("&amp;INFORMES!B25&amp;",'"&amp;INFORMES!C25&amp;"','"&amp;INFORMES!D25&amp;"',TO_DATE('"&amp;INFORMES!E25&amp;"','yyyymmdd'),TO_DATE('"&amp;INFORMES!F25&amp;"','yyyymmdd'),'"&amp;INFORMES!G25&amp;"','"&amp;INFORMES!H25&amp;"','"&amp;INFORMES!I25&amp;"','"&amp;INFORMES!J25&amp;"');")</f>
        <v>INSERT INTO INYCEXT.INYC_CONF_INFORMES@tc_link (COD_INFORME,DESC_INFORME,TABLA,F_INICIO,F_FIN,CARGA_TABLAS,PUBLICACION,FORMATO,DESCRIPCION) VALUES (13.2,'W-E - Diferenciales Detalle','INYC_DIF_E_DETALLE',TO_DATE('20140101','yyyymmdd'),TO_DATE('20180101','yyyymmdd'),'1,2,3,4,5,6,7,8,9,10,11,12','1,2,3,4,5,6,7,8,9,10,11,12','excel','DIF_E_DETALLE');</v>
      </c>
    </row>
    <row r="25" spans="1:2" x14ac:dyDescent="0.25">
      <c r="A25" t="str">
        <f>IF(INFORMES!J26="OBSOLETO","","INSERT INTO INYCEXT.INYC_CONF_INFORMES (COD_INFORME,DESC_INFORME,TABLA,F_INICIO,F_FIN,CARGA_TABLAS,PUBLICACION,FORMATO,DESCRIPCION) VALUES ("&amp;INFORMES!B26&amp;",'"&amp;INFORMES!C26&amp;"','"&amp;INFORMES!D26&amp;"',TO_DATE('"&amp;INFORMES!E26&amp;"','yyyymmdd'),TO_DATE('"&amp;INFORMES!F26&amp;"','yyyymmdd'),'"&amp;INFORMES!G26&amp;"','"&amp;INFORMES!H26&amp;"','"&amp;INFORMES!I26&amp;"','"&amp;INFORMES!J26&amp;"');")</f>
        <v>INSERT INTO INYCEXT.INYC_CONF_INFORMES (COD_INFORME,DESC_INFORME,TABLA,F_INICIO,F_FIN,CARGA_TABLAS,PUBLICACION,FORMATO,DESCRIPCION) VALUES (14.1,'W-O - Producción Propia Agentes con Grupo Resumen','INYC_PP_RESUMEN',TO_DATE('20140101','yyyymmdd'),TO_DATE('22000101','yyyymmdd'),'1,2,3,4,5,6,7,8,9,10,11,12','3,4,5,6,7,8,9,10,11,12','pdf','PP');</v>
      </c>
      <c r="B25" t="str">
        <f>IF(INFORMES!J26="OBSOLETO","","INSERT INTO INYCEXT.INYC_CONF_INFORMES@tc_link (COD_INFORME,DESC_INFORME,TABLA,F_INICIO,F_FIN,CARGA_TABLAS,PUBLICACION,FORMATO,DESCRIPCION) VALUES ("&amp;INFORMES!B26&amp;",'"&amp;INFORMES!C26&amp;"','"&amp;INFORMES!D26&amp;"',TO_DATE('"&amp;INFORMES!E26&amp;"','yyyymmdd'),TO_DATE('"&amp;INFORMES!F26&amp;"','yyyymmdd'),'"&amp;INFORMES!G26&amp;"','"&amp;INFORMES!H26&amp;"','"&amp;INFORMES!I26&amp;"','"&amp;INFORMES!J26&amp;"');")</f>
        <v>INSERT INTO INYCEXT.INYC_CONF_INFORMES@tc_link (COD_INFORME,DESC_INFORME,TABLA,F_INICIO,F_FIN,CARGA_TABLAS,PUBLICACION,FORMATO,DESCRIPCION) VALUES (14.1,'W-O - Producción Propia Agentes con Grupo Resumen','INYC_PP_RESUMEN',TO_DATE('20140101','yyyymmdd'),TO_DATE('22000101','yyyymmdd'),'1,2,3,4,5,6,7,8,9,10,11,12','3,4,5,6,7,8,9,10,11,12','pdf','PP');</v>
      </c>
    </row>
    <row r="26" spans="1:2" x14ac:dyDescent="0.25">
      <c r="A26" t="str">
        <f>IF(INFORMES!J27="OBSOLETO","","INSERT INTO INYCEXT.INYC_CONF_INFORMES (COD_INFORME,DESC_INFORME,TABLA,F_INICIO,F_FIN,CARGA_TABLAS,PUBLICACION,FORMATO,DESCRIPCION) VALUES ("&amp;INFORMES!B27&amp;",'"&amp;INFORMES!C27&amp;"','"&amp;INFORMES!D27&amp;"',TO_DATE('"&amp;INFORMES!E27&amp;"','yyyymmdd'),TO_DATE('"&amp;INFORMES!F27&amp;"','yyyymmdd'),'"&amp;INFORMES!G27&amp;"','"&amp;INFORMES!H27&amp;"','"&amp;INFORMES!I27&amp;"','"&amp;INFORMES!J27&amp;"');")</f>
        <v>INSERT INTO INYCEXT.INYC_CONF_INFORMES (COD_INFORME,DESC_INFORME,TABLA,F_INICIO,F_FIN,CARGA_TABLAS,PUBLICACION,FORMATO,DESCRIPCION) VALUES (14.2,'W-O - Producción Propia Agentes con Grupo Detalle','INYC_PP_DETALLE',TO_DATE('20200101','yyyymmdd'),TO_DATE('22000101','yyyymmdd'),'1,2,3,4,5,6,7,8,9,10,11,12','3,4,5,6,7,8,9,10,11,12','pdf','PP');</v>
      </c>
      <c r="B26" t="str">
        <f>IF(INFORMES!J27="OBSOLETO","","INSERT INTO INYCEXT.INYC_CONF_INFORMES@tc_link (COD_INFORME,DESC_INFORME,TABLA,F_INICIO,F_FIN,CARGA_TABLAS,PUBLICACION,FORMATO,DESCRIPCION) VALUES ("&amp;INFORMES!B27&amp;",'"&amp;INFORMES!C27&amp;"','"&amp;INFORMES!D27&amp;"',TO_DATE('"&amp;INFORMES!E27&amp;"','yyyymmdd'),TO_DATE('"&amp;INFORMES!F27&amp;"','yyyymmdd'),'"&amp;INFORMES!G27&amp;"','"&amp;INFORMES!H27&amp;"','"&amp;INFORMES!I27&amp;"','"&amp;INFORMES!J27&amp;"');")</f>
        <v>INSERT INTO INYCEXT.INYC_CONF_INFORMES@tc_link (COD_INFORME,DESC_INFORME,TABLA,F_INICIO,F_FIN,CARGA_TABLAS,PUBLICACION,FORMATO,DESCRIPCION) VALUES (14.2,'W-O - Producción Propia Agentes con Grupo Detalle','INYC_PP_DETALLE',TO_DATE('20200101','yyyymmdd'),TO_DATE('22000101','yyyymmdd'),'1,2,3,4,5,6,7,8,9,10,11,12','3,4,5,6,7,8,9,10,11,12','pdf','PP');</v>
      </c>
    </row>
    <row r="27" spans="1:2" x14ac:dyDescent="0.25">
      <c r="A27" t="str">
        <f>IF(INFORMES!J28="OBSOLETO","","INSERT INTO INYCEXT.INYC_CONF_INFORMES (COD_INFORME,DESC_INFORME,TABLA,F_INICIO,F_FIN,CARGA_TABLAS,PUBLICACION,FORMATO,DESCRIPCION) VALUES ("&amp;INFORMES!B28&amp;",'"&amp;INFORMES!C28&amp;"','"&amp;INFORMES!D28&amp;"',TO_DATE('"&amp;INFORMES!E28&amp;"','yyyymmdd'),TO_DATE('"&amp;INFORMES!F28&amp;"','yyyymmdd'),'"&amp;INFORMES!G28&amp;"','"&amp;INFORMES!H28&amp;"','"&amp;INFORMES!I28&amp;"','"&amp;INFORMES!J28&amp;"');")</f>
        <v>INSERT INTO INYCEXT.INYC_CONF_INFORMES (COD_INFORME,DESC_INFORME,TABLA,F_INICIO,F_FIN,CARGA_TABLAS,PUBLICACION,FORMATO,DESCRIPCION) VALUES (15.1,'W-O - Rappel Incremento de Prima y Pólizas','INYC_RIN_RESUMEN',TO_DATE('20140101','yyyymmdd'),TO_DATE('22000101','yyyymmdd'),'1,12','1','pdf','RIP');</v>
      </c>
      <c r="B27" t="str">
        <f>IF(INFORMES!J28="OBSOLETO","","INSERT INTO INYCEXT.INYC_CONF_INFORMES@tc_link (COD_INFORME,DESC_INFORME,TABLA,F_INICIO,F_FIN,CARGA_TABLAS,PUBLICACION,FORMATO,DESCRIPCION) VALUES ("&amp;INFORMES!B28&amp;",'"&amp;INFORMES!C28&amp;"','"&amp;INFORMES!D28&amp;"',TO_DATE('"&amp;INFORMES!E28&amp;"','yyyymmdd'),TO_DATE('"&amp;INFORMES!F28&amp;"','yyyymmdd'),'"&amp;INFORMES!G28&amp;"','"&amp;INFORMES!H28&amp;"','"&amp;INFORMES!I28&amp;"','"&amp;INFORMES!J28&amp;"');")</f>
        <v>INSERT INTO INYCEXT.INYC_CONF_INFORMES@tc_link (COD_INFORME,DESC_INFORME,TABLA,F_INICIO,F_FIN,CARGA_TABLAS,PUBLICACION,FORMATO,DESCRIPCION) VALUES (15.1,'W-O - Rappel Incremento de Prima y Pólizas','INYC_RIN_RESUMEN',TO_DATE('20140101','yyyymmdd'),TO_DATE('22000101','yyyymmdd'),'1,12','1','pdf','RIP');</v>
      </c>
    </row>
    <row r="28" spans="1:2" x14ac:dyDescent="0.25">
      <c r="A28" t="str">
        <f>IF(INFORMES!J29="OBSOLETO","","INSERT INTO INYCEXT.INYC_CONF_INFORMES (COD_INFORME,DESC_INFORME,TABLA,F_INICIO,F_FIN,CARGA_TABLAS,PUBLICACION,FORMATO,DESCRIPCION) VALUES ("&amp;INFORMES!B29&amp;",'"&amp;INFORMES!C29&amp;"','"&amp;INFORMES!D29&amp;"',TO_DATE('"&amp;INFORMES!E29&amp;"','yyyymmdd'),TO_DATE('"&amp;INFORMES!F29&amp;"','yyyymmdd'),'"&amp;INFORMES!G29&amp;"','"&amp;INFORMES!H29&amp;"','"&amp;INFORMES!I29&amp;"','"&amp;INFORMES!J29&amp;"');")</f>
        <v>INSERT INTO INYCEXT.INYC_CONF_INFORMES (COD_INFORME,DESC_INFORME,TABLA,F_INICIO,F_FIN,CARGA_TABLAS,PUBLICACION,FORMATO,DESCRIPCION) VALUES (16.1,'W-O - Financiación Agentes Plan de Carrera Resumen','INYC_FIN_RESUMEN',TO_DATE('20140101','yyyymmdd'),TO_DATE('20180201','yyyymmdd'),'1,2,3,4,5,6,7,8,9,10,11,12','1,2,3,4,5,6,7,8,9,10,11,12','pdf','FIN');</v>
      </c>
      <c r="B28" t="str">
        <f>IF(INFORMES!J29="OBSOLETO","","INSERT INTO INYCEXT.INYC_CONF_INFORMES@tc_link (COD_INFORME,DESC_INFORME,TABLA,F_INICIO,F_FIN,CARGA_TABLAS,PUBLICACION,FORMATO,DESCRIPCION) VALUES ("&amp;INFORMES!B29&amp;",'"&amp;INFORMES!C29&amp;"','"&amp;INFORMES!D29&amp;"',TO_DATE('"&amp;INFORMES!E29&amp;"','yyyymmdd'),TO_DATE('"&amp;INFORMES!F29&amp;"','yyyymmdd'),'"&amp;INFORMES!G29&amp;"','"&amp;INFORMES!H29&amp;"','"&amp;INFORMES!I29&amp;"','"&amp;INFORMES!J29&amp;"');")</f>
        <v>INSERT INTO INYCEXT.INYC_CONF_INFORMES@tc_link (COD_INFORME,DESC_INFORME,TABLA,F_INICIO,F_FIN,CARGA_TABLAS,PUBLICACION,FORMATO,DESCRIPCION) VALUES (16.1,'W-O - Financiación Agentes Plan de Carrera Resumen','INYC_FIN_RESUMEN',TO_DATE('20140101','yyyymmdd'),TO_DATE('20180201','yyyymmdd'),'1,2,3,4,5,6,7,8,9,10,11,12','1,2,3,4,5,6,7,8,9,10,11,12','pdf','FIN');</v>
      </c>
    </row>
    <row r="29" spans="1:2" x14ac:dyDescent="0.25">
      <c r="A29" t="str">
        <f>IF(INFORMES!J30="OBSOLETO","","INSERT INTO INYCEXT.INYC_CONF_INFORMES (COD_INFORME,DESC_INFORME,TABLA,F_INICIO,F_FIN,CARGA_TABLAS,PUBLICACION,FORMATO,DESCRIPCION) VALUES ("&amp;INFORMES!B30&amp;",'"&amp;INFORMES!C30&amp;"','"&amp;INFORMES!D30&amp;"',TO_DATE('"&amp;INFORMES!E30&amp;"','yyyymmdd'),TO_DATE('"&amp;INFORMES!F30&amp;"','yyyymmdd'),'"&amp;INFORMES!G30&amp;"','"&amp;INFORMES!H30&amp;"','"&amp;INFORMES!I30&amp;"','"&amp;INFORMES!J30&amp;"');")</f>
        <v>INSERT INTO INYCEXT.INYC_CONF_INFORMES (COD_INFORME,DESC_INFORME,TABLA,F_INICIO,F_FIN,CARGA_TABLAS,PUBLICACION,FORMATO,DESCRIPCION) VALUES (17.1,'W-O - Rappel Especial Resumen','INYC_RE_RESUMEN',TO_DATE('20140101','yyyymmdd'),TO_DATE('22000101','yyyymmdd'),'1,2,3,4,5,6,7,8,9,10,11,12','1,2,3,4,5,6,7,8,9,10,11,12','pdf','RE');</v>
      </c>
      <c r="B29" t="str">
        <f>IF(INFORMES!J30="OBSOLETO","","INSERT INTO INYCEXT.INYC_CONF_INFORMES@tc_link (COD_INFORME,DESC_INFORME,TABLA,F_INICIO,F_FIN,CARGA_TABLAS,PUBLICACION,FORMATO,DESCRIPCION) VALUES ("&amp;INFORMES!B30&amp;",'"&amp;INFORMES!C30&amp;"','"&amp;INFORMES!D30&amp;"',TO_DATE('"&amp;INFORMES!E30&amp;"','yyyymmdd'),TO_DATE('"&amp;INFORMES!F30&amp;"','yyyymmdd'),'"&amp;INFORMES!G30&amp;"','"&amp;INFORMES!H30&amp;"','"&amp;INFORMES!I30&amp;"','"&amp;INFORMES!J30&amp;"');")</f>
        <v>INSERT INTO INYCEXT.INYC_CONF_INFORMES@tc_link (COD_INFORME,DESC_INFORME,TABLA,F_INICIO,F_FIN,CARGA_TABLAS,PUBLICACION,FORMATO,DESCRIPCION) VALUES (17.1,'W-O - Rappel Especial Resumen','INYC_RE_RESUMEN',TO_DATE('20140101','yyyymmdd'),TO_DATE('22000101','yyyymmdd'),'1,2,3,4,5,6,7,8,9,10,11,12','1,2,3,4,5,6,7,8,9,10,11,12','pdf','RE');</v>
      </c>
    </row>
    <row r="30" spans="1:2" x14ac:dyDescent="0.25">
      <c r="A30" t="str">
        <f>IF(INFORMES!J31="OBSOLETO","","INSERT INTO INYCEXT.INYC_CONF_INFORMES (COD_INFORME,DESC_INFORME,TABLA,F_INICIO,F_FIN,CARGA_TABLAS,PUBLICACION,FORMATO,DESCRIPCION) VALUES ("&amp;INFORMES!B31&amp;",'"&amp;INFORMES!C31&amp;"','"&amp;INFORMES!D31&amp;"',TO_DATE('"&amp;INFORMES!E31&amp;"','yyyymmdd'),TO_DATE('"&amp;INFORMES!F31&amp;"','yyyymmdd'),'"&amp;INFORMES!G31&amp;"','"&amp;INFORMES!H31&amp;"','"&amp;INFORMES!I31&amp;"','"&amp;INFORMES!J31&amp;"');")</f>
        <v>INSERT INTO INYCEXT.INYC_CONF_INFORMES (COD_INFORME,DESC_INFORME,TABLA,F_INICIO,F_FIN,CARGA_TABLAS,PUBLICACION,FORMATO,DESCRIPCION) VALUES (17.2,'W-O - Rappel Especial Detalle','INYC_RE_DETALLE',TO_DATE('20140101','yyyymmdd'),TO_DATE('22000101','yyyymmdd'),'1,2,3,4,5,6,7,8,9,10,11,12','1,2,3,4,5,6,7,8,9,10,11,12','excel','RE');</v>
      </c>
      <c r="B30" t="str">
        <f>IF(INFORMES!J31="OBSOLETO","","INSERT INTO INYCEXT.INYC_CONF_INFORMES@tc_link (COD_INFORME,DESC_INFORME,TABLA,F_INICIO,F_FIN,CARGA_TABLAS,PUBLICACION,FORMATO,DESCRIPCION) VALUES ("&amp;INFORMES!B31&amp;",'"&amp;INFORMES!C31&amp;"','"&amp;INFORMES!D31&amp;"',TO_DATE('"&amp;INFORMES!E31&amp;"','yyyymmdd'),TO_DATE('"&amp;INFORMES!F31&amp;"','yyyymmdd'),'"&amp;INFORMES!G31&amp;"','"&amp;INFORMES!H31&amp;"','"&amp;INFORMES!I31&amp;"','"&amp;INFORMES!J31&amp;"');")</f>
        <v>INSERT INTO INYCEXT.INYC_CONF_INFORMES@tc_link (COD_INFORME,DESC_INFORME,TABLA,F_INICIO,F_FIN,CARGA_TABLAS,PUBLICACION,FORMATO,DESCRIPCION) VALUES (17.2,'W-O - Rappel Especial Detalle','INYC_RE_DETALLE',TO_DATE('20140101','yyyymmdd'),TO_DATE('22000101','yyyymmdd'),'1,2,3,4,5,6,7,8,9,10,11,12','1,2,3,4,5,6,7,8,9,10,11,12','excel','RE');</v>
      </c>
    </row>
    <row r="31" spans="1:2" x14ac:dyDescent="0.25">
      <c r="A31" t="str">
        <f>IF(INFORMES!J32="OBSOLETO","","INSERT INTO INYCEXT.INYC_CONF_INFORMES (COD_INFORME,DESC_INFORME,TABLA,F_INICIO,F_FIN,CARGA_TABLAS,PUBLICACION,FORMATO,DESCRIPCION) VALUES ("&amp;INFORMES!B32&amp;",'"&amp;INFORMES!C32&amp;"','"&amp;INFORMES!D32&amp;"',TO_DATE('"&amp;INFORMES!E32&amp;"','yyyymmdd'),TO_DATE('"&amp;INFORMES!F32&amp;"','yyyymmdd'),'"&amp;INFORMES!G32&amp;"','"&amp;INFORMES!H32&amp;"','"&amp;INFORMES!I32&amp;"','"&amp;INFORMES!J32&amp;"');")</f>
        <v>INSERT INTO INYCEXT.INYC_CONF_INFORMES (COD_INFORME,DESC_INFORME,TABLA,F_INICIO,F_FIN,CARGA_TABLAS,PUBLICACION,FORMATO,DESCRIPCION) VALUES (18.1,'W-O - Producción Comunidades Resumen','INYC_COMU_RESUMEN',TO_DATE('20140101','yyyymmdd'),TO_DATE('20180101','yyyymmdd'),'1,2,3,4,5,6,7,8,9,10,11,12','6,7,8,9,10,11,12','pdf','COMU');</v>
      </c>
      <c r="B31" t="str">
        <f>IF(INFORMES!J32="OBSOLETO","","INSERT INTO INYCEXT.INYC_CONF_INFORMES@tc_link (COD_INFORME,DESC_INFORME,TABLA,F_INICIO,F_FIN,CARGA_TABLAS,PUBLICACION,FORMATO,DESCRIPCION) VALUES ("&amp;INFORMES!B32&amp;",'"&amp;INFORMES!C32&amp;"','"&amp;INFORMES!D32&amp;"',TO_DATE('"&amp;INFORMES!E32&amp;"','yyyymmdd'),TO_DATE('"&amp;INFORMES!F32&amp;"','yyyymmdd'),'"&amp;INFORMES!G32&amp;"','"&amp;INFORMES!H32&amp;"','"&amp;INFORMES!I32&amp;"','"&amp;INFORMES!J32&amp;"');")</f>
        <v>INSERT INTO INYCEXT.INYC_CONF_INFORMES@tc_link (COD_INFORME,DESC_INFORME,TABLA,F_INICIO,F_FIN,CARGA_TABLAS,PUBLICACION,FORMATO,DESCRIPCION) VALUES (18.1,'W-O - Producción Comunidades Resumen','INYC_COMU_RESUMEN',TO_DATE('20140101','yyyymmdd'),TO_DATE('20180101','yyyymmdd'),'1,2,3,4,5,6,7,8,9,10,11,12','6,7,8,9,10,11,12','pdf','COMU');</v>
      </c>
    </row>
    <row r="32" spans="1:2" x14ac:dyDescent="0.25">
      <c r="A32" t="str">
        <f>IF(INFORMES!J33="OBSOLETO","","INSERT INTO INYCEXT.INYC_CONF_INFORMES (COD_INFORME,DESC_INFORME,TABLA,F_INICIO,F_FIN,CARGA_TABLAS,PUBLICACION,FORMATO,DESCRIPCION) VALUES ("&amp;INFORMES!B33&amp;",'"&amp;INFORMES!C33&amp;"','"&amp;INFORMES!D33&amp;"',TO_DATE('"&amp;INFORMES!E33&amp;"','yyyymmdd'),TO_DATE('"&amp;INFORMES!F33&amp;"','yyyymmdd'),'"&amp;INFORMES!G33&amp;"','"&amp;INFORMES!H33&amp;"','"&amp;INFORMES!I33&amp;"','"&amp;INFORMES!J33&amp;"');")</f>
        <v>INSERT INTO INYCEXT.INYC_CONF_INFORMES (COD_INFORME,DESC_INFORME,TABLA,F_INICIO,F_FIN,CARGA_TABLAS,PUBLICACION,FORMATO,DESCRIPCION) VALUES (19.1,'W-O - Rappel Asistencias Resumen','INYC_ASI_RESUMEN',TO_DATE('20140101','yyyymmdd'),TO_DATE('22000101','yyyymmdd'),'1,2,3,4,5,6,7,8,9,10,11,12','1,2,3,4,5,6,7,8,9,10,11,12','pdf','ASI');</v>
      </c>
      <c r="B32" t="str">
        <f>IF(INFORMES!J33="OBSOLETO","","INSERT INTO INYCEXT.INYC_CONF_INFORMES@tc_link (COD_INFORME,DESC_INFORME,TABLA,F_INICIO,F_FIN,CARGA_TABLAS,PUBLICACION,FORMATO,DESCRIPCION) VALUES ("&amp;INFORMES!B33&amp;",'"&amp;INFORMES!C33&amp;"','"&amp;INFORMES!D33&amp;"',TO_DATE('"&amp;INFORMES!E33&amp;"','yyyymmdd'),TO_DATE('"&amp;INFORMES!F33&amp;"','yyyymmdd'),'"&amp;INFORMES!G33&amp;"','"&amp;INFORMES!H33&amp;"','"&amp;INFORMES!I33&amp;"','"&amp;INFORMES!J33&amp;"');")</f>
        <v>INSERT INTO INYCEXT.INYC_CONF_INFORMES@tc_link (COD_INFORME,DESC_INFORME,TABLA,F_INICIO,F_FIN,CARGA_TABLAS,PUBLICACION,FORMATO,DESCRIPCION) VALUES (19.1,'W-O - Rappel Asistencias Resumen','INYC_ASI_RESUMEN',TO_DATE('20140101','yyyymmdd'),TO_DATE('22000101','yyyymmdd'),'1,2,3,4,5,6,7,8,9,10,11,12','1,2,3,4,5,6,7,8,9,10,11,12','pdf','ASI');</v>
      </c>
    </row>
    <row r="33" spans="1:2" x14ac:dyDescent="0.25">
      <c r="A33" t="str">
        <f>IF(INFORMES!J34="OBSOLETO","","INSERT INTO INYCEXT.INYC_CONF_INFORMES (COD_INFORME,DESC_INFORME,TABLA,F_INICIO,F_FIN,CARGA_TABLAS,PUBLICACION,FORMATO,DESCRIPCION) VALUES ("&amp;INFORMES!B34&amp;",'"&amp;INFORMES!C34&amp;"','"&amp;INFORMES!D34&amp;"',TO_DATE('"&amp;INFORMES!E34&amp;"','yyyymmdd'),TO_DATE('"&amp;INFORMES!F34&amp;"','yyyymmdd'),'"&amp;INFORMES!G34&amp;"','"&amp;INFORMES!H34&amp;"','"&amp;INFORMES!I34&amp;"','"&amp;INFORMES!J34&amp;"');")</f>
        <v>INSERT INTO INYCEXT.INYC_CONF_INFORMES (COD_INFORME,DESC_INFORME,TABLA,F_INICIO,F_FIN,CARGA_TABLAS,PUBLICACION,FORMATO,DESCRIPCION) VALUES (19.2,'W-O - Rappel Asistencias Detalle','INYC_ASI_DETALLE',TO_DATE('20140101','yyyymmdd'),TO_DATE('22000101','yyyymmdd'),'1,2,3,4,5,6,7,8,9,10,11,12','1,2,3,4,5,6,7,8,9,10,11,12','excel','ASI');</v>
      </c>
      <c r="B33" t="str">
        <f>IF(INFORMES!J34="OBSOLETO","","INSERT INTO INYCEXT.INYC_CONF_INFORMES@tc_link (COD_INFORME,DESC_INFORME,TABLA,F_INICIO,F_FIN,CARGA_TABLAS,PUBLICACION,FORMATO,DESCRIPCION) VALUES ("&amp;INFORMES!B34&amp;",'"&amp;INFORMES!C34&amp;"','"&amp;INFORMES!D34&amp;"',TO_DATE('"&amp;INFORMES!E34&amp;"','yyyymmdd'),TO_DATE('"&amp;INFORMES!F34&amp;"','yyyymmdd'),'"&amp;INFORMES!G34&amp;"','"&amp;INFORMES!H34&amp;"','"&amp;INFORMES!I34&amp;"','"&amp;INFORMES!J34&amp;"');")</f>
        <v>INSERT INTO INYCEXT.INYC_CONF_INFORMES@tc_link (COD_INFORME,DESC_INFORME,TABLA,F_INICIO,F_FIN,CARGA_TABLAS,PUBLICACION,FORMATO,DESCRIPCION) VALUES (19.2,'W-O - Rappel Asistencias Detalle','INYC_ASI_DETALLE',TO_DATE('20140101','yyyymmdd'),TO_DATE('22000101','yyyymmdd'),'1,2,3,4,5,6,7,8,9,10,11,12','1,2,3,4,5,6,7,8,9,10,11,12','excel','ASI');</v>
      </c>
    </row>
    <row r="34" spans="1:2" x14ac:dyDescent="0.25">
      <c r="A34" t="str">
        <f>IF(INFORMES!J35="OBSOLETO","","INSERT INTO INYCEXT.INYC_CONF_INFORMES (COD_INFORME,DESC_INFORME,TABLA,F_INICIO,F_FIN,CARGA_TABLAS,PUBLICACION,FORMATO,DESCRIPCION) VALUES ("&amp;INFORMES!B35&amp;",'"&amp;INFORMES!C35&amp;"','"&amp;INFORMES!D35&amp;"',TO_DATE('"&amp;INFORMES!E35&amp;"','yyyymmdd'),TO_DATE('"&amp;INFORMES!F35&amp;"','yyyymmdd'),'"&amp;INFORMES!G35&amp;"','"&amp;INFORMES!H35&amp;"','"&amp;INFORMES!I35&amp;"','"&amp;INFORMES!J35&amp;"');")</f>
        <v>INSERT INTO INYCEXT.INYC_CONF_INFORMES (COD_INFORME,DESC_INFORME,TABLA,F_INICIO,F_FIN,CARGA_TABLAS,PUBLICACION,FORMATO,DESCRIPCION) VALUES (20.1,'W-E - Rappel Asistencias Resumen','INYC_ASI_E_RESUMEN',TO_DATE('20140101','yyyymmdd'),TO_DATE('22000101','yyyymmdd'),'1,2,3,4,5,6,7,8,9,10,11,12','1,2,3,4,5,6,7,8,9,10,11,12','pdf','ASI_E');</v>
      </c>
      <c r="B34" t="str">
        <f>IF(INFORMES!J35="OBSOLETO","","INSERT INTO INYCEXT.INYC_CONF_INFORMES@tc_link (COD_INFORME,DESC_INFORME,TABLA,F_INICIO,F_FIN,CARGA_TABLAS,PUBLICACION,FORMATO,DESCRIPCION) VALUES ("&amp;INFORMES!B35&amp;",'"&amp;INFORMES!C35&amp;"','"&amp;INFORMES!D35&amp;"',TO_DATE('"&amp;INFORMES!E35&amp;"','yyyymmdd'),TO_DATE('"&amp;INFORMES!F35&amp;"','yyyymmdd'),'"&amp;INFORMES!G35&amp;"','"&amp;INFORMES!H35&amp;"','"&amp;INFORMES!I35&amp;"','"&amp;INFORMES!J35&amp;"');")</f>
        <v>INSERT INTO INYCEXT.INYC_CONF_INFORMES@tc_link (COD_INFORME,DESC_INFORME,TABLA,F_INICIO,F_FIN,CARGA_TABLAS,PUBLICACION,FORMATO,DESCRIPCION) VALUES (20.1,'W-E - Rappel Asistencias Resumen','INYC_ASI_E_RESUMEN',TO_DATE('20140101','yyyymmdd'),TO_DATE('22000101','yyyymmdd'),'1,2,3,4,5,6,7,8,9,10,11,12','1,2,3,4,5,6,7,8,9,10,11,12','pdf','ASI_E');</v>
      </c>
    </row>
    <row r="35" spans="1:2" x14ac:dyDescent="0.25">
      <c r="A35" t="str">
        <f>IF(INFORMES!J36="OBSOLETO","","INSERT INTO INYCEXT.INYC_CONF_INFORMES (COD_INFORME,DESC_INFORME,TABLA,F_INICIO,F_FIN,CARGA_TABLAS,PUBLICACION,FORMATO,DESCRIPCION) VALUES ("&amp;INFORMES!B36&amp;",'"&amp;INFORMES!C36&amp;"','"&amp;INFORMES!D36&amp;"',TO_DATE('"&amp;INFORMES!E36&amp;"','yyyymmdd'),TO_DATE('"&amp;INFORMES!F36&amp;"','yyyymmdd'),'"&amp;INFORMES!G36&amp;"','"&amp;INFORMES!H36&amp;"','"&amp;INFORMES!I36&amp;"','"&amp;INFORMES!J36&amp;"');")</f>
        <v>INSERT INTO INYCEXT.INYC_CONF_INFORMES (COD_INFORME,DESC_INFORME,TABLA,F_INICIO,F_FIN,CARGA_TABLAS,PUBLICACION,FORMATO,DESCRIPCION) VALUES (20.2,'W-E - Rappel Asistencias Detalle','INYC_ASI_E_DETALLE',TO_DATE('20140101','yyyymmdd'),TO_DATE('22000101','yyyymmdd'),'1,2,3,4,5,6,7,8,9,10,11,12','1,2,3,4,5,6,7,8,9,10,11,12','excel','ASI_E');</v>
      </c>
      <c r="B35" t="str">
        <f>IF(INFORMES!J36="OBSOLETO","","INSERT INTO INYCEXT.INYC_CONF_INFORMES@tc_link (COD_INFORME,DESC_INFORME,TABLA,F_INICIO,F_FIN,CARGA_TABLAS,PUBLICACION,FORMATO,DESCRIPCION) VALUES ("&amp;INFORMES!B36&amp;",'"&amp;INFORMES!C36&amp;"','"&amp;INFORMES!D36&amp;"',TO_DATE('"&amp;INFORMES!E36&amp;"','yyyymmdd'),TO_DATE('"&amp;INFORMES!F36&amp;"','yyyymmdd'),'"&amp;INFORMES!G36&amp;"','"&amp;INFORMES!H36&amp;"','"&amp;INFORMES!I36&amp;"','"&amp;INFORMES!J36&amp;"');")</f>
        <v>INSERT INTO INYCEXT.INYC_CONF_INFORMES@tc_link (COD_INFORME,DESC_INFORME,TABLA,F_INICIO,F_FIN,CARGA_TABLAS,PUBLICACION,FORMATO,DESCRIPCION) VALUES (20.2,'W-E - Rappel Asistencias Detalle','INYC_ASI_E_DETALLE',TO_DATE('20140101','yyyymmdd'),TO_DATE('22000101','yyyymmdd'),'1,2,3,4,5,6,7,8,9,10,11,12','1,2,3,4,5,6,7,8,9,10,11,12','excel','ASI_E');</v>
      </c>
    </row>
    <row r="36" spans="1:2" x14ac:dyDescent="0.25">
      <c r="A36" t="str">
        <f>IF(INFORMES!J37="OBSOLETO","","INSERT INTO INYCEXT.INYC_CONF_INFORMES (COD_INFORME,DESC_INFORME,TABLA,F_INICIO,F_FIN,CARGA_TABLAS,PUBLICACION,FORMATO,DESCRIPCION) VALUES ("&amp;INFORMES!B37&amp;",'"&amp;INFORMES!C37&amp;"','"&amp;INFORMES!D37&amp;"',TO_DATE('"&amp;INFORMES!E37&amp;"','yyyymmdd'),TO_DATE('"&amp;INFORMES!F37&amp;"','yyyymmdd'),'"&amp;INFORMES!G37&amp;"','"&amp;INFORMES!H37&amp;"','"&amp;INFORMES!I37&amp;"','"&amp;INFORMES!J37&amp;"');")</f>
        <v>INSERT INTO INYCEXT.INYC_CONF_INFORMES (COD_INFORME,DESC_INFORME,TABLA,F_INICIO,F_FIN,CARGA_TABLAS,PUBLICACION,FORMATO,DESCRIPCION) VALUES (21.1,'W-O - Rappel Acción Comercial Hogar Resumen','INYC_RACH_RESUMEN',TO_DATE('20140101','yyyymmdd'),TO_DATE('22000101','yyyymmdd'),'2,3,4,5,6,7,9','2,3,4,5,6,7,9','pdf','RACH');</v>
      </c>
      <c r="B36" t="str">
        <f>IF(INFORMES!J37="OBSOLETO","","INSERT INTO INYCEXT.INYC_CONF_INFORMES@tc_link (COD_INFORME,DESC_INFORME,TABLA,F_INICIO,F_FIN,CARGA_TABLAS,PUBLICACION,FORMATO,DESCRIPCION) VALUES ("&amp;INFORMES!B37&amp;",'"&amp;INFORMES!C37&amp;"','"&amp;INFORMES!D37&amp;"',TO_DATE('"&amp;INFORMES!E37&amp;"','yyyymmdd'),TO_DATE('"&amp;INFORMES!F37&amp;"','yyyymmdd'),'"&amp;INFORMES!G37&amp;"','"&amp;INFORMES!H37&amp;"','"&amp;INFORMES!I37&amp;"','"&amp;INFORMES!J37&amp;"');")</f>
        <v>INSERT INTO INYCEXT.INYC_CONF_INFORMES@tc_link (COD_INFORME,DESC_INFORME,TABLA,F_INICIO,F_FIN,CARGA_TABLAS,PUBLICACION,FORMATO,DESCRIPCION) VALUES (21.1,'W-O - Rappel Acción Comercial Hogar Resumen','INYC_RACH_RESUMEN',TO_DATE('20140101','yyyymmdd'),TO_DATE('22000101','yyyymmdd'),'2,3,4,5,6,7,9','2,3,4,5,6,7,9','pdf','RACH');</v>
      </c>
    </row>
    <row r="37" spans="1:2" x14ac:dyDescent="0.25">
      <c r="A37" t="str">
        <f>IF(INFORMES!J38="OBSOLETO","","INSERT INTO INYCEXT.INYC_CONF_INFORMES (COD_INFORME,DESC_INFORME,TABLA,F_INICIO,F_FIN,CARGA_TABLAS,PUBLICACION,FORMATO,DESCRIPCION) VALUES ("&amp;INFORMES!B38&amp;",'"&amp;INFORMES!C38&amp;"','"&amp;INFORMES!D38&amp;"',TO_DATE('"&amp;INFORMES!E38&amp;"','yyyymmdd'),TO_DATE('"&amp;INFORMES!F38&amp;"','yyyymmdd'),'"&amp;INFORMES!G38&amp;"','"&amp;INFORMES!H38&amp;"','"&amp;INFORMES!I38&amp;"','"&amp;INFORMES!J38&amp;"');")</f>
        <v>INSERT INTO INYCEXT.INYC_CONF_INFORMES (COD_INFORME,DESC_INFORME,TABLA,F_INICIO,F_FIN,CARGA_TABLAS,PUBLICACION,FORMATO,DESCRIPCION) VALUES (22.1,'W-O - Mínimos Garantizados Resumen','INYC_MIN_RESUMEN',TO_DATE('20140101','yyyymmdd'),TO_DATE('22000101','yyyymmdd'),'1,2,3,4,5,6,7,8,9,10,11,12','1,2,3,4,5,6,7,8,9,10,11,12','pdf','MIN');</v>
      </c>
      <c r="B37" t="str">
        <f>IF(INFORMES!J38="OBSOLETO","","INSERT INTO INYCEXT.INYC_CONF_INFORMES@tc_link (COD_INFORME,DESC_INFORME,TABLA,F_INICIO,F_FIN,CARGA_TABLAS,PUBLICACION,FORMATO,DESCRIPCION) VALUES ("&amp;INFORMES!B38&amp;",'"&amp;INFORMES!C38&amp;"','"&amp;INFORMES!D38&amp;"',TO_DATE('"&amp;INFORMES!E38&amp;"','yyyymmdd'),TO_DATE('"&amp;INFORMES!F38&amp;"','yyyymmdd'),'"&amp;INFORMES!G38&amp;"','"&amp;INFORMES!H38&amp;"','"&amp;INFORMES!I38&amp;"','"&amp;INFORMES!J38&amp;"');")</f>
        <v>INSERT INTO INYCEXT.INYC_CONF_INFORMES@tc_link (COD_INFORME,DESC_INFORME,TABLA,F_INICIO,F_FIN,CARGA_TABLAS,PUBLICACION,FORMATO,DESCRIPCION) VALUES (22.1,'W-O - Mínimos Garantizados Resumen','INYC_MIN_RESUMEN',TO_DATE('20140101','yyyymmdd'),TO_DATE('22000101','yyyymmdd'),'1,2,3,4,5,6,7,8,9,10,11,12','1,2,3,4,5,6,7,8,9,10,11,12','pdf','MIN');</v>
      </c>
    </row>
    <row r="38" spans="1:2" x14ac:dyDescent="0.25">
      <c r="A38" t="str">
        <f>IF(INFORMES!J39="OBSOLETO","","INSERT INTO INYCEXT.INYC_CONF_INFORMES (COD_INFORME,DESC_INFORME,TABLA,F_INICIO,F_FIN,CARGA_TABLAS,PUBLICACION,FORMATO,DESCRIPCION) VALUES ("&amp;INFORMES!B39&amp;",'"&amp;INFORMES!C39&amp;"','"&amp;INFORMES!D39&amp;"',TO_DATE('"&amp;INFORMES!E39&amp;"','yyyymmdd'),TO_DATE('"&amp;INFORMES!F39&amp;"','yyyymmdd'),'"&amp;INFORMES!G39&amp;"','"&amp;INFORMES!H39&amp;"','"&amp;INFORMES!I39&amp;"','"&amp;INFORMES!J39&amp;"');")</f>
        <v>INSERT INTO INYCEXT.INYC_CONF_INFORMES (COD_INFORME,DESC_INFORME,TABLA,F_INICIO,F_FIN,CARGA_TABLAS,PUBLICACION,FORMATO,DESCRIPCION) VALUES (23.1,'W-O - Rappel Actividad Agentes con Grupo -Liquidación a Cuenta- Resumen','INYC_REA_RESUMEN',TO_DATE('20140101','yyyymmdd'),TO_DATE('22000101','yyyymmdd'),'1,2,3,4,5,6,7,8,9,10,11,12','3,6,9,12','pdf','REA');</v>
      </c>
      <c r="B38" t="str">
        <f>IF(INFORMES!J39="OBSOLETO","","INSERT INTO INYCEXT.INYC_CONF_INFORMES@tc_link (COD_INFORME,DESC_INFORME,TABLA,F_INICIO,F_FIN,CARGA_TABLAS,PUBLICACION,FORMATO,DESCRIPCION) VALUES ("&amp;INFORMES!B39&amp;",'"&amp;INFORMES!C39&amp;"','"&amp;INFORMES!D39&amp;"',TO_DATE('"&amp;INFORMES!E39&amp;"','yyyymmdd'),TO_DATE('"&amp;INFORMES!F39&amp;"','yyyymmdd'),'"&amp;INFORMES!G39&amp;"','"&amp;INFORMES!H39&amp;"','"&amp;INFORMES!I39&amp;"','"&amp;INFORMES!J39&amp;"');")</f>
        <v>INSERT INTO INYCEXT.INYC_CONF_INFORMES@tc_link (COD_INFORME,DESC_INFORME,TABLA,F_INICIO,F_FIN,CARGA_TABLAS,PUBLICACION,FORMATO,DESCRIPCION) VALUES (23.1,'W-O - Rappel Actividad Agentes con Grupo -Liquidación a Cuenta- Resumen','INYC_REA_RESUMEN',TO_DATE('20140101','yyyymmdd'),TO_DATE('22000101','yyyymmdd'),'1,2,3,4,5,6,7,8,9,10,11,12','3,6,9,12','pdf','REA');</v>
      </c>
    </row>
    <row r="39" spans="1:2" x14ac:dyDescent="0.25">
      <c r="A39" t="str">
        <f>IF(INFORMES!J40="OBSOLETO","","INSERT INTO INYCEXT.INYC_CONF_INFORMES (COD_INFORME,DESC_INFORME,TABLA,F_INICIO,F_FIN,CARGA_TABLAS,PUBLICACION,FORMATO,DESCRIPCION) VALUES ("&amp;INFORMES!B40&amp;",'"&amp;INFORMES!C40&amp;"','"&amp;INFORMES!D40&amp;"',TO_DATE('"&amp;INFORMES!E40&amp;"','yyyymmdd'),TO_DATE('"&amp;INFORMES!F40&amp;"','yyyymmdd'),'"&amp;INFORMES!G40&amp;"','"&amp;INFORMES!H40&amp;"','"&amp;INFORMES!I40&amp;"','"&amp;INFORMES!J40&amp;"');")</f>
        <v>INSERT INTO INYCEXT.INYC_CONF_INFORMES (COD_INFORME,DESC_INFORME,TABLA,F_INICIO,F_FIN,CARGA_TABLAS,PUBLICACION,FORMATO,DESCRIPCION) VALUES (24.1,'W-O - Rappel Incremento Pólizas en Cartera Resumen','INYC_RIP_RESUMEN',TO_DATE('20140101','yyyymmdd'),TO_DATE('22000101','yyyymmdd'),'1,2,3,4,5,6,7,8,9,10,11,12','1,2,3,4,5,6,7,8,9,10,11,12','pdf','RIN');</v>
      </c>
      <c r="B39" t="str">
        <f>IF(INFORMES!J40="OBSOLETO","","INSERT INTO INYCEXT.INYC_CONF_INFORMES@tc_link (COD_INFORME,DESC_INFORME,TABLA,F_INICIO,F_FIN,CARGA_TABLAS,PUBLICACION,FORMATO,DESCRIPCION) VALUES ("&amp;INFORMES!B40&amp;",'"&amp;INFORMES!C40&amp;"','"&amp;INFORMES!D40&amp;"',TO_DATE('"&amp;INFORMES!E40&amp;"','yyyymmdd'),TO_DATE('"&amp;INFORMES!F40&amp;"','yyyymmdd'),'"&amp;INFORMES!G40&amp;"','"&amp;INFORMES!H40&amp;"','"&amp;INFORMES!I40&amp;"','"&amp;INFORMES!J40&amp;"');")</f>
        <v>INSERT INTO INYCEXT.INYC_CONF_INFORMES@tc_link (COD_INFORME,DESC_INFORME,TABLA,F_INICIO,F_FIN,CARGA_TABLAS,PUBLICACION,FORMATO,DESCRIPCION) VALUES (24.1,'W-O - Rappel Incremento Pólizas en Cartera Resumen','INYC_RIP_RESUMEN',TO_DATE('20140101','yyyymmdd'),TO_DATE('22000101','yyyymmdd'),'1,2,3,4,5,6,7,8,9,10,11,12','1,2,3,4,5,6,7,8,9,10,11,12','pdf','RIN');</v>
      </c>
    </row>
    <row r="40" spans="1:2" x14ac:dyDescent="0.25">
      <c r="A40" t="str">
        <f>IF(INFORMES!J41="OBSOLETO","","INSERT INTO INYCEXT.INYC_CONF_INFORMES (COD_INFORME,DESC_INFORME,TABLA,F_INICIO,F_FIN,CARGA_TABLAS,PUBLICACION,FORMATO,DESCRIPCION) VALUES ("&amp;INFORMES!B41&amp;",'"&amp;INFORMES!C41&amp;"','"&amp;INFORMES!D41&amp;"',TO_DATE('"&amp;INFORMES!E41&amp;"','yyyymmdd'),TO_DATE('"&amp;INFORMES!F41&amp;"','yyyymmdd'),'"&amp;INFORMES!G41&amp;"','"&amp;INFORMES!H41&amp;"','"&amp;INFORMES!I41&amp;"','"&amp;INFORMES!J41&amp;"');")</f>
        <v/>
      </c>
      <c r="B40" t="str">
        <f>IF(INFORMES!J41="OBSOLETO","","INSERT INTO INYCEXT.INYC_CONF_INFORMES@tc_link (COD_INFORME,DESC_INFORME,TABLA,F_INICIO,F_FIN,CARGA_TABLAS,PUBLICACION,FORMATO,DESCRIPCION) VALUES ("&amp;INFORMES!B41&amp;",'"&amp;INFORMES!C41&amp;"','"&amp;INFORMES!D41&amp;"',TO_DATE('"&amp;INFORMES!E41&amp;"','yyyymmdd'),TO_DATE('"&amp;INFORMES!F41&amp;"','yyyymmdd'),'"&amp;INFORMES!G41&amp;"','"&amp;INFORMES!H41&amp;"','"&amp;INFORMES!I41&amp;"','"&amp;INFORMES!J41&amp;"');")</f>
        <v/>
      </c>
    </row>
    <row r="41" spans="1:2" x14ac:dyDescent="0.25">
      <c r="A41" t="str">
        <f>IF(INFORMES!J42="OBSOLETO","","INSERT INTO INYCEXT.INYC_CONF_INFORMES (COD_INFORME,DESC_INFORME,TABLA,F_INICIO,F_FIN,CARGA_TABLAS,PUBLICACION,FORMATO,DESCRIPCION) VALUES ("&amp;INFORMES!B42&amp;",'"&amp;INFORMES!C42&amp;"','"&amp;INFORMES!D42&amp;"',TO_DATE('"&amp;INFORMES!E42&amp;"','yyyymmdd'),TO_DATE('"&amp;INFORMES!F42&amp;"','yyyymmdd'),'"&amp;INFORMES!G42&amp;"','"&amp;INFORMES!H42&amp;"','"&amp;INFORMES!I42&amp;"','"&amp;INFORMES!J42&amp;"');")</f>
        <v>INSERT INTO INYCEXT.INYC_CONF_INFORMES (COD_INFORME,DESC_INFORME,TABLA,F_INICIO,F_FIN,CARGA_TABLAS,PUBLICACION,FORMATO,DESCRIPCION) VALUES (26.1,'W-O - Rappel Especial por Cumplimiento de Objetivo de Anulaciones Resumen','INYC_RECOA_RESUMEN',TO_DATE('20140101','yyyymmdd'),TO_DATE('20180101','yyyymmdd'),'3,6,9,12','3,6,9,12','pdf','RECOA');</v>
      </c>
      <c r="B41" t="str">
        <f>IF(INFORMES!J42="OBSOLETO","","INSERT INTO INYCEXT.INYC_CONF_INFORMES@tc_link (COD_INFORME,DESC_INFORME,TABLA,F_INICIO,F_FIN,CARGA_TABLAS,PUBLICACION,FORMATO,DESCRIPCION) VALUES ("&amp;INFORMES!B42&amp;",'"&amp;INFORMES!C42&amp;"','"&amp;INFORMES!D42&amp;"',TO_DATE('"&amp;INFORMES!E42&amp;"','yyyymmdd'),TO_DATE('"&amp;INFORMES!F42&amp;"','yyyymmdd'),'"&amp;INFORMES!G42&amp;"','"&amp;INFORMES!H42&amp;"','"&amp;INFORMES!I42&amp;"','"&amp;INFORMES!J42&amp;"');")</f>
        <v>INSERT INTO INYCEXT.INYC_CONF_INFORMES@tc_link (COD_INFORME,DESC_INFORME,TABLA,F_INICIO,F_FIN,CARGA_TABLAS,PUBLICACION,FORMATO,DESCRIPCION) VALUES (26.1,'W-O - Rappel Especial por Cumplimiento de Objetivo de Anulaciones Resumen','INYC_RECOA_RESUMEN',TO_DATE('20140101','yyyymmdd'),TO_DATE('20180101','yyyymmdd'),'3,6,9,12','3,6,9,12','pdf','RECOA');</v>
      </c>
    </row>
    <row r="42" spans="1:2" x14ac:dyDescent="0.25">
      <c r="A42" t="str">
        <f>IF(INFORMES!J43="OBSOLETO","","INSERT INTO INYCEXT.INYC_CONF_INFORMES (COD_INFORME,DESC_INFORME,TABLA,F_INICIO,F_FIN,CARGA_TABLAS,PUBLICACION,FORMATO,DESCRIPCION) VALUES ("&amp;INFORMES!B43&amp;",'"&amp;INFORMES!C43&amp;"','"&amp;INFORMES!D43&amp;"',TO_DATE('"&amp;INFORMES!E43&amp;"','yyyymmdd'),TO_DATE('"&amp;INFORMES!F43&amp;"','yyyymmdd'),'"&amp;INFORMES!G43&amp;"','"&amp;INFORMES!H43&amp;"','"&amp;INFORMES!I43&amp;"','"&amp;INFORMES!J43&amp;"');")</f>
        <v>INSERT INTO INYCEXT.INYC_CONF_INFORMES (COD_INFORME,DESC_INFORME,TABLA,F_INICIO,F_FIN,CARGA_TABLAS,PUBLICACION,FORMATO,DESCRIPCION) VALUES (27.1,'W-O - Captación Agentes Resumen','INYC_CAP_RESUMEN',TO_DATE('20180101','yyyymmdd'),TO_DATE('22000101','yyyymmdd'),'1,2,3,4,5,6,7,8,9,10,11,12','1,2,3,4,5,6,7,8,9,10,11,12','pdf','CAP');</v>
      </c>
      <c r="B42" t="str">
        <f>IF(INFORMES!J43="OBSOLETO","","INSERT INTO INYCEXT.INYC_CONF_INFORMES@tc_link (COD_INFORME,DESC_INFORME,TABLA,F_INICIO,F_FIN,CARGA_TABLAS,PUBLICACION,FORMATO,DESCRIPCION) VALUES ("&amp;INFORMES!B43&amp;",'"&amp;INFORMES!C43&amp;"','"&amp;INFORMES!D43&amp;"',TO_DATE('"&amp;INFORMES!E43&amp;"','yyyymmdd'),TO_DATE('"&amp;INFORMES!F43&amp;"','yyyymmdd'),'"&amp;INFORMES!G43&amp;"','"&amp;INFORMES!H43&amp;"','"&amp;INFORMES!I43&amp;"','"&amp;INFORMES!J43&amp;"');")</f>
        <v>INSERT INTO INYCEXT.INYC_CONF_INFORMES@tc_link (COD_INFORME,DESC_INFORME,TABLA,F_INICIO,F_FIN,CARGA_TABLAS,PUBLICACION,FORMATO,DESCRIPCION) VALUES (27.1,'W-O - Captación Agentes Resumen','INYC_CAP_RESUMEN',TO_DATE('20180101','yyyymmdd'),TO_DATE('22000101','yyyymmdd'),'1,2,3,4,5,6,7,8,9,10,11,12','1,2,3,4,5,6,7,8,9,10,11,12','pdf','CAP');</v>
      </c>
    </row>
    <row r="43" spans="1:2" x14ac:dyDescent="0.25">
      <c r="A43" t="str">
        <f>IF(INFORMES!J44="OBSOLETO","","INSERT INTO INYCEXT.INYC_CONF_INFORMES (COD_INFORME,DESC_INFORME,TABLA,F_INICIO,F_FIN,CARGA_TABLAS,PUBLICACION,FORMATO,DESCRIPCION) VALUES ("&amp;INFORMES!B44&amp;",'"&amp;INFORMES!C44&amp;"','"&amp;INFORMES!D44&amp;"',TO_DATE('"&amp;INFORMES!E44&amp;"','yyyymmdd'),TO_DATE('"&amp;INFORMES!F44&amp;"','yyyymmdd'),'"&amp;INFORMES!G44&amp;"','"&amp;INFORMES!H44&amp;"','"&amp;INFORMES!I44&amp;"','"&amp;INFORMES!J44&amp;"');")</f>
        <v>INSERT INTO INYCEXT.INYC_CONF_INFORMES (COD_INFORME,DESC_INFORME,TABLA,F_INICIO,F_FIN,CARGA_TABLAS,PUBLICACION,FORMATO,DESCRIPCION) VALUES (28.1,'W-E - Campaña Comercial EA','INYC_CC_E_RESUMEN',TO_DATE('20181001','yyyymmdd'),TO_DATE('22000101','yyyymmdd'),'10,11,12,1','10,11,12,1','pdf','CC_E');</v>
      </c>
      <c r="B43" t="str">
        <f>IF(INFORMES!J44="OBSOLETO","","INSERT INTO INYCEXT.INYC_CONF_INFORMES@tc_link (COD_INFORME,DESC_INFORME,TABLA,F_INICIO,F_FIN,CARGA_TABLAS,PUBLICACION,FORMATO,DESCRIPCION) VALUES ("&amp;INFORMES!B44&amp;",'"&amp;INFORMES!C44&amp;"','"&amp;INFORMES!D44&amp;"',TO_DATE('"&amp;INFORMES!E44&amp;"','yyyymmdd'),TO_DATE('"&amp;INFORMES!F44&amp;"','yyyymmdd'),'"&amp;INFORMES!G44&amp;"','"&amp;INFORMES!H44&amp;"','"&amp;INFORMES!I44&amp;"','"&amp;INFORMES!J44&amp;"');")</f>
        <v>INSERT INTO INYCEXT.INYC_CONF_INFORMES@tc_link (COD_INFORME,DESC_INFORME,TABLA,F_INICIO,F_FIN,CARGA_TABLAS,PUBLICACION,FORMATO,DESCRIPCION) VALUES (28.1,'W-E - Campaña Comercial EA','INYC_CC_E_RESUMEN',TO_DATE('20181001','yyyymmdd'),TO_DATE('22000101','yyyymmdd'),'10,11,12,1','10,11,12,1','pdf','CC_E');</v>
      </c>
    </row>
    <row r="44" spans="1:2" x14ac:dyDescent="0.25">
      <c r="A44" t="str">
        <f>IF(INFORMES!J45="OBSOLETO","","INSERT INTO INYCEXT.INYC_CONF_INFORMES (COD_INFORME,DESC_INFORME,TABLA,F_INICIO,F_FIN,CARGA_TABLAS,PUBLICACION,FORMATO,DESCRIPCION) VALUES ("&amp;INFORMES!B45&amp;",'"&amp;INFORMES!C45&amp;"','"&amp;INFORMES!D45&amp;"',TO_DATE('"&amp;INFORMES!E45&amp;"','yyyymmdd'),TO_DATE('"&amp;INFORMES!F45&amp;"','yyyymmdd'),'"&amp;INFORMES!G45&amp;"','"&amp;INFORMES!H45&amp;"','"&amp;INFORMES!I45&amp;"','"&amp;INFORMES!J45&amp;"');")</f>
        <v>INSERT INTO INYCEXT.INYC_CONF_INFORMES (COD_INFORME,DESC_INFORME,TABLA,F_INICIO,F_FIN,CARGA_TABLAS,PUBLICACION,FORMATO,DESCRIPCION) VALUES (29.1,'W-O - Campaña Personales Ocaso Resumen','INYC_CPP_RESUMEN',TO_DATE('20181101','yyyymmdd'),TO_DATE('22000101','yyyymmdd'),'11,12','11,12','pdf','CPP');</v>
      </c>
      <c r="B44" t="str">
        <f>IF(INFORMES!J45="OBSOLETO","","INSERT INTO INYCEXT.INYC_CONF_INFORMES@tc_link (COD_INFORME,DESC_INFORME,TABLA,F_INICIO,F_FIN,CARGA_TABLAS,PUBLICACION,FORMATO,DESCRIPCION) VALUES ("&amp;INFORMES!B45&amp;",'"&amp;INFORMES!C45&amp;"','"&amp;INFORMES!D45&amp;"',TO_DATE('"&amp;INFORMES!E45&amp;"','yyyymmdd'),TO_DATE('"&amp;INFORMES!F45&amp;"','yyyymmdd'),'"&amp;INFORMES!G45&amp;"','"&amp;INFORMES!H45&amp;"','"&amp;INFORMES!I45&amp;"','"&amp;INFORMES!J45&amp;"');")</f>
        <v>INSERT INTO INYCEXT.INYC_CONF_INFORMES@tc_link (COD_INFORME,DESC_INFORME,TABLA,F_INICIO,F_FIN,CARGA_TABLAS,PUBLICACION,FORMATO,DESCRIPCION) VALUES (29.1,'W-O - Campaña Personales Ocaso Resumen','INYC_CPP_RESUMEN',TO_DATE('20181101','yyyymmdd'),TO_DATE('22000101','yyyymmdd'),'11,12','11,12','pdf','CPP');</v>
      </c>
    </row>
    <row r="45" spans="1:2" x14ac:dyDescent="0.25">
      <c r="A45" t="str">
        <f>IF(INFORMES!J46="OBSOLETO","","INSERT INTO INYCEXT.INYC_CONF_INFORMES (COD_INFORME,DESC_INFORME,TABLA,F_INICIO,F_FIN,CARGA_TABLAS,PUBLICACION,FORMATO,DESCRIPCION) VALUES ("&amp;INFORMES!B46&amp;",'"&amp;INFORMES!C46&amp;"','"&amp;INFORMES!D46&amp;"',TO_DATE('"&amp;INFORMES!E46&amp;"','yyyymmdd'),TO_DATE('"&amp;INFORMES!F46&amp;"','yyyymmdd'),'"&amp;INFORMES!G46&amp;"','"&amp;INFORMES!H46&amp;"','"&amp;INFORMES!I46&amp;"','"&amp;INFORMES!J46&amp;"');")</f>
        <v>INSERT INTO INYCEXT.INYC_CONF_INFORMES (COD_INFORME,DESC_INFORME,TABLA,F_INICIO,F_FIN,CARGA_TABLAS,PUBLICACION,FORMATO,DESCRIPCION) VALUES (29.2,'W-O - Campaña Personales Ocaso Detalle','INYC_CPP_DETALLE',TO_DATE('20181101','yyyymmdd'),TO_DATE('22000101','yyyymmdd'),'11,12','11,12','excel','CPP');</v>
      </c>
      <c r="B45" t="str">
        <f>IF(INFORMES!J46="OBSOLETO","","INSERT INTO INYCEXT.INYC_CONF_INFORMES@tc_link (COD_INFORME,DESC_INFORME,TABLA,F_INICIO,F_FIN,CARGA_TABLAS,PUBLICACION,FORMATO,DESCRIPCION) VALUES ("&amp;INFORMES!B46&amp;",'"&amp;INFORMES!C46&amp;"','"&amp;INFORMES!D46&amp;"',TO_DATE('"&amp;INFORMES!E46&amp;"','yyyymmdd'),TO_DATE('"&amp;INFORMES!F46&amp;"','yyyymmdd'),'"&amp;INFORMES!G46&amp;"','"&amp;INFORMES!H46&amp;"','"&amp;INFORMES!I46&amp;"','"&amp;INFORMES!J46&amp;"');")</f>
        <v>INSERT INTO INYCEXT.INYC_CONF_INFORMES@tc_link (COD_INFORME,DESC_INFORME,TABLA,F_INICIO,F_FIN,CARGA_TABLAS,PUBLICACION,FORMATO,DESCRIPCION) VALUES (29.2,'W-O - Campaña Personales Ocaso Detalle','INYC_CPP_DETALLE',TO_DATE('20181101','yyyymmdd'),TO_DATE('22000101','yyyymmdd'),'11,12','11,12','excel','CPP');</v>
      </c>
    </row>
    <row r="46" spans="1:2" x14ac:dyDescent="0.25">
      <c r="A46" t="str">
        <f>IF(INFORMES!J47="OBSOLETO","","INSERT INTO INYCEXT.INYC_CONF_INFORMES (COD_INFORME,DESC_INFORME,TABLA,F_INICIO,F_FIN,CARGA_TABLAS,PUBLICACION,FORMATO,DESCRIPCION) VALUES ("&amp;INFORMES!B47&amp;",'"&amp;INFORMES!C47&amp;"','"&amp;INFORMES!D47&amp;"',TO_DATE('"&amp;INFORMES!E47&amp;"','yyyymmdd'),TO_DATE('"&amp;INFORMES!F47&amp;"','yyyymmdd'),'"&amp;INFORMES!G47&amp;"','"&amp;INFORMES!H47&amp;"','"&amp;INFORMES!I47&amp;"','"&amp;INFORMES!J47&amp;"');")</f>
        <v>INSERT INTO INYCEXT.INYC_CONF_INFORMES (COD_INFORME,DESC_INFORME,TABLA,F_INICIO,F_FIN,CARGA_TABLAS,PUBLICACION,FORMATO,DESCRIPCION) VALUES (30.1,'W-E - Captación Agentes Resumen','INYC_CAP_E_RESUMEN',TO_DATE('20190101','yyyymmdd'),TO_DATE('22000202','yyyymmdd'),'1,2,3,4,5,6,7,8,9,10,11,12','1,2,3,4,5,6,7,8,9,10,11,12','pdf','CAP_E');</v>
      </c>
      <c r="B46" t="str">
        <f>IF(INFORMES!J47="OBSOLETO","","INSERT INTO INYCEXT.INYC_CONF_INFORMES@tc_link (COD_INFORME,DESC_INFORME,TABLA,F_INICIO,F_FIN,CARGA_TABLAS,PUBLICACION,FORMATO,DESCRIPCION) VALUES ("&amp;INFORMES!B47&amp;",'"&amp;INFORMES!C47&amp;"','"&amp;INFORMES!D47&amp;"',TO_DATE('"&amp;INFORMES!E47&amp;"','yyyymmdd'),TO_DATE('"&amp;INFORMES!F47&amp;"','yyyymmdd'),'"&amp;INFORMES!G47&amp;"','"&amp;INFORMES!H47&amp;"','"&amp;INFORMES!I47&amp;"','"&amp;INFORMES!J47&amp;"');")</f>
        <v>INSERT INTO INYCEXT.INYC_CONF_INFORMES@tc_link (COD_INFORME,DESC_INFORME,TABLA,F_INICIO,F_FIN,CARGA_TABLAS,PUBLICACION,FORMATO,DESCRIPCION) VALUES (30.1,'W-E - Captación Agentes Resumen','INYC_CAP_E_RESUMEN',TO_DATE('20190101','yyyymmdd'),TO_DATE('22000202','yyyymmdd'),'1,2,3,4,5,6,7,8,9,10,11,12','1,2,3,4,5,6,7,8,9,10,11,12','pdf','CAP_E');</v>
      </c>
    </row>
    <row r="47" spans="1:2" x14ac:dyDescent="0.25">
      <c r="A47" t="str">
        <f>IF(INFORMES!J48="OBSOLETO","","INSERT INTO INYCEXT.INYC_CONF_INFORMES (COD_INFORME,DESC_INFORME,TABLA,F_INICIO,F_FIN,CARGA_TABLAS,PUBLICACION,FORMATO,DESCRIPCION) VALUES ("&amp;INFORMES!B48&amp;",'"&amp;INFORMES!C48&amp;"','"&amp;INFORMES!D48&amp;"',TO_DATE('"&amp;INFORMES!E48&amp;"','yyyymmdd'),TO_DATE('"&amp;INFORMES!F48&amp;"','yyyymmdd'),'"&amp;INFORMES!G48&amp;"','"&amp;INFORMES!H48&amp;"','"&amp;INFORMES!I48&amp;"','"&amp;INFORMES!J48&amp;"');")</f>
        <v>INSERT INTO INYCEXT.INYC_CONF_INFORMES (COD_INFORME,DESC_INFORME,TABLA,F_INICIO,F_FIN,CARGA_TABLAS,PUBLICACION,FORMATO,DESCRIPCION) VALUES (31.1,'W-E - Objetivos Agentes Grupo','INYC_OBJ_E_RESUMEN',TO_DATE('20190101','yyyymmdd'),TO_DATE('22000202','yyyymmdd'),'1,2,3,4,5,6,7,8,9,10,11,12','1,2,3,4,5,6,7,8,9,10,11,12','pdf','OBJ_E');</v>
      </c>
      <c r="B47" t="str">
        <f>IF(INFORMES!J48="OBSOLETO","","INSERT INTO INYCEXT.INYC_CONF_INFORMES@tc_link (COD_INFORME,DESC_INFORME,TABLA,F_INICIO,F_FIN,CARGA_TABLAS,PUBLICACION,FORMATO,DESCRIPCION) VALUES ("&amp;INFORMES!B48&amp;",'"&amp;INFORMES!C48&amp;"','"&amp;INFORMES!D48&amp;"',TO_DATE('"&amp;INFORMES!E48&amp;"','yyyymmdd'),TO_DATE('"&amp;INFORMES!F48&amp;"','yyyymmdd'),'"&amp;INFORMES!G48&amp;"','"&amp;INFORMES!H48&amp;"','"&amp;INFORMES!I48&amp;"','"&amp;INFORMES!J48&amp;"');")</f>
        <v>INSERT INTO INYCEXT.INYC_CONF_INFORMES@tc_link (COD_INFORME,DESC_INFORME,TABLA,F_INICIO,F_FIN,CARGA_TABLAS,PUBLICACION,FORMATO,DESCRIPCION) VALUES (31.1,'W-E - Objetivos Agentes Grupo','INYC_OBJ_E_RESUMEN',TO_DATE('20190101','yyyymmdd'),TO_DATE('22000202','yyyymmdd'),'1,2,3,4,5,6,7,8,9,10,11,12','1,2,3,4,5,6,7,8,9,10,11,12','pdf','OBJ_E');</v>
      </c>
    </row>
    <row r="48" spans="1:2" x14ac:dyDescent="0.25">
      <c r="A48" t="str">
        <f>IF(INFORMES!J49="OBSOLETO","","INSERT INTO INYCEXT.INYC_CONF_INFORMES (COD_INFORME,DESC_INFORME,TABLA,F_INICIO,F_FIN,CARGA_TABLAS,PUBLICACION,FORMATO,DESCRIPCION) VALUES ("&amp;INFORMES!B49&amp;",'"&amp;INFORMES!C49&amp;"','"&amp;INFORMES!D49&amp;"',TO_DATE('"&amp;INFORMES!E49&amp;"','yyyymmdd'),TO_DATE('"&amp;INFORMES!F49&amp;"','yyyymmdd'),'"&amp;INFORMES!G49&amp;"','"&amp;INFORMES!H49&amp;"','"&amp;INFORMES!I49&amp;"','"&amp;INFORMES!J49&amp;"');")</f>
        <v>INSERT INTO INYCEXT.INYC_CONF_INFORMES (COD_INFORME,DESC_INFORME,TABLA,F_INICIO,F_FIN,CARGA_TABLAS,PUBLICACION,FORMATO,DESCRIPCION) VALUES (32.1,'W-O - Rappel Producción Propia Ag. Grupo Resumen','INYC_RPP_RESUMEN',TO_DATE('20200601','yyyymmdd'),TO_DATE('22000101','yyyymmdd'),'1,2,3,4,5,6,7,8,9,10,11,12','1,2,3,4,5,6,7,8,9,10,11,12','pdf','RPP');</v>
      </c>
      <c r="B48" t="str">
        <f>IF(INFORMES!J49="OBSOLETO","","INSERT INTO INYCEXT.INYC_CONF_INFORMES@tc_link (COD_INFORME,DESC_INFORME,TABLA,F_INICIO,F_FIN,CARGA_TABLAS,PUBLICACION,FORMATO,DESCRIPCION) VALUES ("&amp;INFORMES!B49&amp;",'"&amp;INFORMES!C49&amp;"','"&amp;INFORMES!D49&amp;"',TO_DATE('"&amp;INFORMES!E49&amp;"','yyyymmdd'),TO_DATE('"&amp;INFORMES!F49&amp;"','yyyymmdd'),'"&amp;INFORMES!G49&amp;"','"&amp;INFORMES!H49&amp;"','"&amp;INFORMES!I49&amp;"','"&amp;INFORMES!J49&amp;"');")</f>
        <v>INSERT INTO INYCEXT.INYC_CONF_INFORMES@tc_link (COD_INFORME,DESC_INFORME,TABLA,F_INICIO,F_FIN,CARGA_TABLAS,PUBLICACION,FORMATO,DESCRIPCION) VALUES (32.1,'W-O - Rappel Producción Propia Ag. Grupo Resumen','INYC_RPP_RESUMEN',TO_DATE('20200601','yyyymmdd'),TO_DATE('22000101','yyyymmdd'),'1,2,3,4,5,6,7,8,9,10,11,12','1,2,3,4,5,6,7,8,9,10,11,12','pdf','RPP');</v>
      </c>
    </row>
    <row r="49" spans="1:2" x14ac:dyDescent="0.25">
      <c r="A49" t="str">
        <f>IF(INFORMES!J50="OBSOLETO","","INSERT INTO INYCEXT.INYC_CONF_INFORMES (COD_INFORME,DESC_INFORME,TABLA,F_INICIO,F_FIN,CARGA_TABLAS,PUBLICACION,FORMATO,DESCRIPCION) VALUES ("&amp;INFORMES!B50&amp;",'"&amp;INFORMES!C50&amp;"','"&amp;INFORMES!D50&amp;"',TO_DATE('"&amp;INFORMES!E50&amp;"','yyyymmdd'),TO_DATE('"&amp;INFORMES!F50&amp;"','yyyymmdd'),'"&amp;INFORMES!G50&amp;"','"&amp;INFORMES!H50&amp;"','"&amp;INFORMES!I50&amp;"','"&amp;INFORMES!J50&amp;"');")</f>
        <v>INSERT INTO INYCEXT.INYC_CONF_INFORMES (COD_INFORME,DESC_INFORME,TABLA,F_INICIO,F_FIN,CARGA_TABLAS,PUBLICACION,FORMATO,DESCRIPCION) VALUES (32.2,'W-O - Rappel Producción Propia Ag. Grupo Detalle','INYC_RPP_DETALLE',TO_DATE('20200601','yyyymmdd'),TO_DATE('20200101','yyyymmdd'),'1,2,3,4,5,6,7,8,9,10,11,12','1,2,3,4,5,6,7,8,9,10,11,12','excel','RPP');</v>
      </c>
      <c r="B49" t="str">
        <f>IF(INFORMES!J50="OBSOLETO","","INSERT INTO INYCEXT.INYC_CONF_INFORMES@tc_link (COD_INFORME,DESC_INFORME,TABLA,F_INICIO,F_FIN,CARGA_TABLAS,PUBLICACION,FORMATO,DESCRIPCION) VALUES ("&amp;INFORMES!B50&amp;",'"&amp;INFORMES!C50&amp;"','"&amp;INFORMES!D50&amp;"',TO_DATE('"&amp;INFORMES!E50&amp;"','yyyymmdd'),TO_DATE('"&amp;INFORMES!F50&amp;"','yyyymmdd'),'"&amp;INFORMES!G50&amp;"','"&amp;INFORMES!H50&amp;"','"&amp;INFORMES!I50&amp;"','"&amp;INFORMES!J50&amp;"');")</f>
        <v>INSERT INTO INYCEXT.INYC_CONF_INFORMES@tc_link (COD_INFORME,DESC_INFORME,TABLA,F_INICIO,F_FIN,CARGA_TABLAS,PUBLICACION,FORMATO,DESCRIPCION) VALUES (32.2,'W-O - Rappel Producción Propia Ag. Grupo Detalle','INYC_RPP_DETALLE',TO_DATE('20200601','yyyymmdd'),TO_DATE('20200101','yyyymmdd'),'1,2,3,4,5,6,7,8,9,10,11,12','1,2,3,4,5,6,7,8,9,10,11,12','excel','RPP');</v>
      </c>
    </row>
    <row r="50" spans="1:2" x14ac:dyDescent="0.25">
      <c r="A50" t="str">
        <f>IF(INFORMES!J51="OBSOLETO","","INSERT INTO INYCEXT.INYC_CONF_INFORMES (COD_INFORME,DESC_INFORME,TABLA,F_INICIO,F_FIN,CARGA_TABLAS,PUBLICACION,FORMATO,DESCRIPCION) VALUES ("&amp;INFORMES!B51&amp;",'"&amp;INFORMES!C51&amp;"','"&amp;INFORMES!D51&amp;"',TO_DATE('"&amp;INFORMES!E51&amp;"','yyyymmdd'),TO_DATE('"&amp;INFORMES!F51&amp;"','yyyymmdd'),'"&amp;INFORMES!G51&amp;"','"&amp;INFORMES!H51&amp;"','"&amp;INFORMES!I51&amp;"','"&amp;INFORMES!J51&amp;"');")</f>
        <v>INSERT INTO INYCEXT.INYC_CONF_INFORMES (COD_INFORME,DESC_INFORME,TABLA,F_INICIO,F_FIN,CARGA_TABLAS,PUBLICACION,FORMATO,DESCRIPCION) VALUES (100.1,'W-O - S4 Factura','INYC_S4_FACTURA',TO_DATE('20140101','yyyymmdd'),TO_DATE('22000101','yyyymmdd'),'1,2,3,4,5,6,7,8,9,10,11,12','1,2,3,4,5,6,7,8,9,10,11,12','pdf','S4');</v>
      </c>
      <c r="B50" t="str">
        <f>IF(INFORMES!J51="OBSOLETO","","INSERT INTO INYCEXT.INYC_CONF_INFORMES@tc_link (COD_INFORME,DESC_INFORME,TABLA,F_INICIO,F_FIN,CARGA_TABLAS,PUBLICACION,FORMATO,DESCRIPCION) VALUES ("&amp;INFORMES!B51&amp;",'"&amp;INFORMES!C51&amp;"','"&amp;INFORMES!D51&amp;"',TO_DATE('"&amp;INFORMES!E51&amp;"','yyyymmdd'),TO_DATE('"&amp;INFORMES!F51&amp;"','yyyymmdd'),'"&amp;INFORMES!G51&amp;"','"&amp;INFORMES!H51&amp;"','"&amp;INFORMES!I51&amp;"','"&amp;INFORMES!J51&amp;"');")</f>
        <v>INSERT INTO INYCEXT.INYC_CONF_INFORMES@tc_link (COD_INFORME,DESC_INFORME,TABLA,F_INICIO,F_FIN,CARGA_TABLAS,PUBLICACION,FORMATO,DESCRIPCION) VALUES (100.1,'W-O - S4 Factura','INYC_S4_FACTURA',TO_DATE('20140101','yyyymmdd'),TO_DATE('22000101','yyyymmdd'),'1,2,3,4,5,6,7,8,9,10,11,12','1,2,3,4,5,6,7,8,9,10,11,12','pdf','S4');</v>
      </c>
    </row>
    <row r="51" spans="1:2" x14ac:dyDescent="0.25">
      <c r="A51" t="str">
        <f>IF(INFORMES!J52="OBSOLETO","","INSERT INTO INYCEXT.INYC_CONF_INFORMES (COD_INFORME,DESC_INFORME,TABLA,F_INICIO,F_FIN,CARGA_TABLAS,PUBLICACION,FORMATO,DESCRIPCION) VALUES ("&amp;INFORMES!B52&amp;",'"&amp;INFORMES!C52&amp;"','"&amp;INFORMES!D52&amp;"',TO_DATE('"&amp;INFORMES!E52&amp;"','yyyymmdd'),TO_DATE('"&amp;INFORMES!F52&amp;"','yyyymmdd'),'"&amp;INFORMES!G52&amp;"','"&amp;INFORMES!H52&amp;"','"&amp;INFORMES!I52&amp;"','"&amp;INFORMES!J52&amp;"');")</f>
        <v>INSERT INTO INYCEXT.INYC_CONF_INFORMES (COD_INFORME,DESC_INFORME,TABLA,F_INICIO,F_FIN,CARGA_TABLAS,PUBLICACION,FORMATO,DESCRIPCION) VALUES (100.2,'W-O - S4 Detalle Pólizas','INYC_S4_POLIZAS',TO_DATE('20140101','yyyymmdd'),TO_DATE('22000101','yyyymmdd'),'1,2,3,4,5,6,7,8,9,10,11,12','1,2,3,4,5,6,7,8,9,10,11,12','pdf','S4');</v>
      </c>
      <c r="B51" t="str">
        <f>IF(INFORMES!J52="OBSOLETO","","INSERT INTO INYCEXT.INYC_CONF_INFORMES@tc_link (COD_INFORME,DESC_INFORME,TABLA,F_INICIO,F_FIN,CARGA_TABLAS,PUBLICACION,FORMATO,DESCRIPCION) VALUES ("&amp;INFORMES!B52&amp;",'"&amp;INFORMES!C52&amp;"','"&amp;INFORMES!D52&amp;"',TO_DATE('"&amp;INFORMES!E52&amp;"','yyyymmdd'),TO_DATE('"&amp;INFORMES!F52&amp;"','yyyymmdd'),'"&amp;INFORMES!G52&amp;"','"&amp;INFORMES!H52&amp;"','"&amp;INFORMES!I52&amp;"','"&amp;INFORMES!J52&amp;"');")</f>
        <v>INSERT INTO INYCEXT.INYC_CONF_INFORMES@tc_link (COD_INFORME,DESC_INFORME,TABLA,F_INICIO,F_FIN,CARGA_TABLAS,PUBLICACION,FORMATO,DESCRIPCION) VALUES (100.2,'W-O - S4 Detalle Pólizas','INYC_S4_POLIZAS',TO_DATE('20140101','yyyymmdd'),TO_DATE('22000101','yyyymmdd'),'1,2,3,4,5,6,7,8,9,10,11,12','1,2,3,4,5,6,7,8,9,10,11,12','pdf','S4');</v>
      </c>
    </row>
    <row r="52" spans="1:2" x14ac:dyDescent="0.25">
      <c r="A52" t="str">
        <f>IF(INFORMES!J53="OBSOLETO","","INSERT INTO INYCEXT.INYC_CONF_INFORMES (COD_INFORME,DESC_INFORME,TABLA,F_INICIO,F_FIN,CARGA_TABLAS,PUBLICACION,FORMATO,DESCRIPCION) VALUES ("&amp;INFORMES!B53&amp;",'"&amp;INFORMES!C53&amp;"','"&amp;INFORMES!D53&amp;"',TO_DATE('"&amp;INFORMES!E53&amp;"','yyyymmdd'),TO_DATE('"&amp;INFORMES!F53&amp;"','yyyymmdd'),'"&amp;INFORMES!G53&amp;"','"&amp;INFORMES!H53&amp;"','"&amp;INFORMES!I53&amp;"','"&amp;INFORMES!J53&amp;"');")</f>
        <v>INSERT INTO INYCEXT.INYC_CONF_INFORMES (COD_INFORME,DESC_INFORME,TABLA,F_INICIO,F_FIN,CARGA_TABLAS,PUBLICACION,FORMATO,DESCRIPCION) VALUES (100.3,'W-O - S4 Detalle Productos','INYC_S4_POLIZAS',TO_DATE('20140101','yyyymmdd'),TO_DATE('22000101','yyyymmdd'),'1,2,3,4,5,6,7,8,9,10,11,12','1,2,3,4,5,6,7,8,9,10,11,12','pdf','S4');</v>
      </c>
      <c r="B52" t="str">
        <f>IF(INFORMES!J53="OBSOLETO","","INSERT INTO INYCEXT.INYC_CONF_INFORMES@tc_link (COD_INFORME,DESC_INFORME,TABLA,F_INICIO,F_FIN,CARGA_TABLAS,PUBLICACION,FORMATO,DESCRIPCION) VALUES ("&amp;INFORMES!B53&amp;",'"&amp;INFORMES!C53&amp;"','"&amp;INFORMES!D53&amp;"',TO_DATE('"&amp;INFORMES!E53&amp;"','yyyymmdd'),TO_DATE('"&amp;INFORMES!F53&amp;"','yyyymmdd'),'"&amp;INFORMES!G53&amp;"','"&amp;INFORMES!H53&amp;"','"&amp;INFORMES!I53&amp;"','"&amp;INFORMES!J53&amp;"');")</f>
        <v>INSERT INTO INYCEXT.INYC_CONF_INFORMES@tc_link (COD_INFORME,DESC_INFORME,TABLA,F_INICIO,F_FIN,CARGA_TABLAS,PUBLICACION,FORMATO,DESCRIPCION) VALUES (100.3,'W-O - S4 Detalle Productos','INYC_S4_POLIZAS',TO_DATE('20140101','yyyymmdd'),TO_DATE('22000101','yyyymmdd'),'1,2,3,4,5,6,7,8,9,10,11,12','1,2,3,4,5,6,7,8,9,10,11,12','pdf','S4');</v>
      </c>
    </row>
    <row r="53" spans="1:2" x14ac:dyDescent="0.25">
      <c r="A53" t="str">
        <f>IF(INFORMES!J54="OBSOLETO","","INSERT INTO INYCEXT.INYC_CONF_INFORMES (COD_INFORME,DESC_INFORME,TABLA,F_INICIO,F_FIN,CARGA_TABLAS,PUBLICACION,FORMATO,DESCRIPCION) VALUES ("&amp;INFORMES!B54&amp;",'"&amp;INFORMES!C54&amp;"','"&amp;INFORMES!D54&amp;"',TO_DATE('"&amp;INFORMES!E54&amp;"','yyyymmdd'),TO_DATE('"&amp;INFORMES!F54&amp;"','yyyymmdd'),'"&amp;INFORMES!G54&amp;"','"&amp;INFORMES!H54&amp;"','"&amp;INFORMES!I54&amp;"','"&amp;INFORMES!J54&amp;"');")</f>
        <v>INSERT INTO INYCEXT.INYC_CONF_INFORMES (COD_INFORME,DESC_INFORME,TABLA,F_INICIO,F_FIN,CARGA_TABLAS,PUBLICACION,FORMATO,DESCRIPCION) VALUES (101.1,'W-O - S5 Factura','INYC_S5_FACTURA',TO_DATE('20140101','yyyymmdd'),TO_DATE('22000101','yyyymmdd'),'1,2,3,4,5,6,7,8,9,10,11,12','1,2,3,4,5,6,7,8,9,10,11,12','pdf','S5');</v>
      </c>
      <c r="B53" t="str">
        <f>IF(INFORMES!J54="OBSOLETO","","INSERT INTO INYCEXT.INYC_CONF_INFORMES@tc_link (COD_INFORME,DESC_INFORME,TABLA,F_INICIO,F_FIN,CARGA_TABLAS,PUBLICACION,FORMATO,DESCRIPCION) VALUES ("&amp;INFORMES!B54&amp;",'"&amp;INFORMES!C54&amp;"','"&amp;INFORMES!D54&amp;"',TO_DATE('"&amp;INFORMES!E54&amp;"','yyyymmdd'),TO_DATE('"&amp;INFORMES!F54&amp;"','yyyymmdd'),'"&amp;INFORMES!G54&amp;"','"&amp;INFORMES!H54&amp;"','"&amp;INFORMES!I54&amp;"','"&amp;INFORMES!J54&amp;"');")</f>
        <v>INSERT INTO INYCEXT.INYC_CONF_INFORMES@tc_link (COD_INFORME,DESC_INFORME,TABLA,F_INICIO,F_FIN,CARGA_TABLAS,PUBLICACION,FORMATO,DESCRIPCION) VALUES (101.1,'W-O - S5 Factura','INYC_S5_FACTURA',TO_DATE('20140101','yyyymmdd'),TO_DATE('22000101','yyyymmdd'),'1,2,3,4,5,6,7,8,9,10,11,12','1,2,3,4,5,6,7,8,9,10,11,12','pdf','S5');</v>
      </c>
    </row>
    <row r="54" spans="1:2" x14ac:dyDescent="0.25">
      <c r="A54" t="str">
        <f>IF(INFORMES!J55="OBSOLETO","","INSERT INTO INYCEXT.INYC_CONF_INFORMES (COD_INFORME,DESC_INFORME,TABLA,F_INICIO,F_FIN,CARGA_TABLAS,PUBLICACION,FORMATO,DESCRIPCION) VALUES ("&amp;INFORMES!B55&amp;",'"&amp;INFORMES!C55&amp;"','"&amp;INFORMES!D55&amp;"',TO_DATE('"&amp;INFORMES!E55&amp;"','yyyymmdd'),TO_DATE('"&amp;INFORMES!F55&amp;"','yyyymmdd'),'"&amp;INFORMES!G55&amp;"','"&amp;INFORMES!H55&amp;"','"&amp;INFORMES!I55&amp;"','"&amp;INFORMES!J55&amp;"');")</f>
        <v>INSERT INTO INYCEXT.INYC_CONF_INFORMES (COD_INFORME,DESC_INFORME,TABLA,F_INICIO,F_FIN,CARGA_TABLAS,PUBLICACION,FORMATO,DESCRIPCION) VALUES (101.2,'W-O - S5 Detalle Pólizas','INYC_S5_POLIZAS',TO_DATE('20140101','yyyymmdd'),TO_DATE('22000101','yyyymmdd'),'1,2,3,4,5,6,7,8,9,10,11,12','1,2,3,4,5,6,7,8,9,10,11,12','pdf','S5');</v>
      </c>
      <c r="B54" t="str">
        <f>IF(INFORMES!J55="OBSOLETO","","INSERT INTO INYCEXT.INYC_CONF_INFORMES@tc_link (COD_INFORME,DESC_INFORME,TABLA,F_INICIO,F_FIN,CARGA_TABLAS,PUBLICACION,FORMATO,DESCRIPCION) VALUES ("&amp;INFORMES!B55&amp;",'"&amp;INFORMES!C55&amp;"','"&amp;INFORMES!D55&amp;"',TO_DATE('"&amp;INFORMES!E55&amp;"','yyyymmdd'),TO_DATE('"&amp;INFORMES!F55&amp;"','yyyymmdd'),'"&amp;INFORMES!G55&amp;"','"&amp;INFORMES!H55&amp;"','"&amp;INFORMES!I55&amp;"','"&amp;INFORMES!J55&amp;"');")</f>
        <v>INSERT INTO INYCEXT.INYC_CONF_INFORMES@tc_link (COD_INFORME,DESC_INFORME,TABLA,F_INICIO,F_FIN,CARGA_TABLAS,PUBLICACION,FORMATO,DESCRIPCION) VALUES (101.2,'W-O - S5 Detalle Pólizas','INYC_S5_POLIZAS',TO_DATE('20140101','yyyymmdd'),TO_DATE('22000101','yyyymmdd'),'1,2,3,4,5,6,7,8,9,10,11,12','1,2,3,4,5,6,7,8,9,10,11,12','pdf','S5');</v>
      </c>
    </row>
    <row r="55" spans="1:2" x14ac:dyDescent="0.25">
      <c r="A55" t="str">
        <f>IF(INFORMES!J56="OBSOLETO","","INSERT INTO INYCEXT.INYC_CONF_INFORMES (COD_INFORME,DESC_INFORME,TABLA,F_INICIO,F_FIN,CARGA_TABLAS,PUBLICACION,FORMATO,DESCRIPCION) VALUES ("&amp;INFORMES!B56&amp;",'"&amp;INFORMES!C56&amp;"','"&amp;INFORMES!D56&amp;"',TO_DATE('"&amp;INFORMES!E56&amp;"','yyyymmdd'),TO_DATE('"&amp;INFORMES!F56&amp;"','yyyymmdd'),'"&amp;INFORMES!G56&amp;"','"&amp;INFORMES!H56&amp;"','"&amp;INFORMES!I56&amp;"','"&amp;INFORMES!J56&amp;"');")</f>
        <v>INSERT INTO INYCEXT.INYC_CONF_INFORMES (COD_INFORME,DESC_INFORME,TABLA,F_INICIO,F_FIN,CARGA_TABLAS,PUBLICACION,FORMATO,DESCRIPCION) VALUES (101.3,'W-O - S5 Detalle Productos','INYC_S5_POLIZAS',TO_DATE('20140101','yyyymmdd'),TO_DATE('22000101','yyyymmdd'),'1,2,3,4,5,6,7,8,9,10,11,12','1,2,3,4,5,6,7,8,9,10,11,12','pdf','S5');</v>
      </c>
      <c r="B55" t="str">
        <f>IF(INFORMES!J56="OBSOLETO","","INSERT INTO INYCEXT.INYC_CONF_INFORMES@tc_link (COD_INFORME,DESC_INFORME,TABLA,F_INICIO,F_FIN,CARGA_TABLAS,PUBLICACION,FORMATO,DESCRIPCION) VALUES ("&amp;INFORMES!B56&amp;",'"&amp;INFORMES!C56&amp;"','"&amp;INFORMES!D56&amp;"',TO_DATE('"&amp;INFORMES!E56&amp;"','yyyymmdd'),TO_DATE('"&amp;INFORMES!F56&amp;"','yyyymmdd'),'"&amp;INFORMES!G56&amp;"','"&amp;INFORMES!H56&amp;"','"&amp;INFORMES!I56&amp;"','"&amp;INFORMES!J56&amp;"');")</f>
        <v>INSERT INTO INYCEXT.INYC_CONF_INFORMES@tc_link (COD_INFORME,DESC_INFORME,TABLA,F_INICIO,F_FIN,CARGA_TABLAS,PUBLICACION,FORMATO,DESCRIPCION) VALUES (101.3,'W-O - S5 Detalle Productos','INYC_S5_POLIZAS',TO_DATE('20140101','yyyymmdd'),TO_DATE('22000101','yyyymmdd'),'1,2,3,4,5,6,7,8,9,10,11,12','1,2,3,4,5,6,7,8,9,10,11,12','pdf','S5');</v>
      </c>
    </row>
    <row r="56" spans="1:2" x14ac:dyDescent="0.25">
      <c r="A56" t="str">
        <f>IF(INFORMES!J57="OBSOLETO","","INSERT INTO INYCEXT.INYC_CONF_INFORMES (COD_INFORME,DESC_INFORME,TABLA,F_INICIO,F_FIN,CARGA_TABLAS,PUBLICACION,FORMATO,DESCRIPCION) VALUES ("&amp;INFORMES!B57&amp;",'"&amp;INFORMES!C57&amp;"','"&amp;INFORMES!D57&amp;"',TO_DATE('"&amp;INFORMES!E57&amp;"','yyyymmdd'),TO_DATE('"&amp;INFORMES!F57&amp;"','yyyymmdd'),'"&amp;INFORMES!G57&amp;"','"&amp;INFORMES!H57&amp;"','"&amp;INFORMES!I57&amp;"','"&amp;INFORMES!J57&amp;"');")</f>
        <v>INSERT INTO INYCEXT.INYC_CONF_INFORMES (COD_INFORME,DESC_INFORME,TABLA,F_INICIO,F_FIN,CARGA_TABLAS,PUBLICACION,FORMATO,DESCRIPCION) VALUES (102.1,'W-E - S4 Factura','INYC_S4_E_FACTURA',TO_DATE('20140101','yyyymmdd'),TO_DATE('22000101','yyyymmdd'),'1,2,3,4,5,6,7,8,9,10,11,12','1,2,3,4,5,6,7,8,9,10,11,12','pdf','S4_E');</v>
      </c>
      <c r="B56" t="str">
        <f>IF(INFORMES!J57="OBSOLETO","","INSERT INTO INYCEXT.INYC_CONF_INFORMES@tc_link (COD_INFORME,DESC_INFORME,TABLA,F_INICIO,F_FIN,CARGA_TABLAS,PUBLICACION,FORMATO,DESCRIPCION) VALUES ("&amp;INFORMES!B57&amp;",'"&amp;INFORMES!C57&amp;"','"&amp;INFORMES!D57&amp;"',TO_DATE('"&amp;INFORMES!E57&amp;"','yyyymmdd'),TO_DATE('"&amp;INFORMES!F57&amp;"','yyyymmdd'),'"&amp;INFORMES!G57&amp;"','"&amp;INFORMES!H57&amp;"','"&amp;INFORMES!I57&amp;"','"&amp;INFORMES!J57&amp;"');")</f>
        <v>INSERT INTO INYCEXT.INYC_CONF_INFORMES@tc_link (COD_INFORME,DESC_INFORME,TABLA,F_INICIO,F_FIN,CARGA_TABLAS,PUBLICACION,FORMATO,DESCRIPCION) VALUES (102.1,'W-E - S4 Factura','INYC_S4_E_FACTURA',TO_DATE('20140101','yyyymmdd'),TO_DATE('22000101','yyyymmdd'),'1,2,3,4,5,6,7,8,9,10,11,12','1,2,3,4,5,6,7,8,9,10,11,12','pdf','S4_E');</v>
      </c>
    </row>
    <row r="57" spans="1:2" x14ac:dyDescent="0.25">
      <c r="A57" t="str">
        <f>IF(INFORMES!J58="OBSOLETO","","INSERT INTO INYCEXT.INYC_CONF_INFORMES (COD_INFORME,DESC_INFORME,TABLA,F_INICIO,F_FIN,CARGA_TABLAS,PUBLICACION,FORMATO,DESCRIPCION) VALUES ("&amp;INFORMES!B58&amp;",'"&amp;INFORMES!C58&amp;"','"&amp;INFORMES!D58&amp;"',TO_DATE('"&amp;INFORMES!E58&amp;"','yyyymmdd'),TO_DATE('"&amp;INFORMES!F58&amp;"','yyyymmdd'),'"&amp;INFORMES!G58&amp;"','"&amp;INFORMES!H58&amp;"','"&amp;INFORMES!I58&amp;"','"&amp;INFORMES!J58&amp;"');")</f>
        <v>INSERT INTO INYCEXT.INYC_CONF_INFORMES (COD_INFORME,DESC_INFORME,TABLA,F_INICIO,F_FIN,CARGA_TABLAS,PUBLICACION,FORMATO,DESCRIPCION) VALUES (102.2,'W-E - S4 Detalle Pólizas','INYC_S4_E_POLIZAS',TO_DATE('20140101','yyyymmdd'),TO_DATE('22000101','yyyymmdd'),'1,2,3,4,5,6,7,8,9,10,11,12','1,2,3,4,5,6,7,8,9,10,11,12','pdf','S4_E');</v>
      </c>
      <c r="B57" t="str">
        <f>IF(INFORMES!J58="OBSOLETO","","INSERT INTO INYCEXT.INYC_CONF_INFORMES@tc_link (COD_INFORME,DESC_INFORME,TABLA,F_INICIO,F_FIN,CARGA_TABLAS,PUBLICACION,FORMATO,DESCRIPCION) VALUES ("&amp;INFORMES!B58&amp;",'"&amp;INFORMES!C58&amp;"','"&amp;INFORMES!D58&amp;"',TO_DATE('"&amp;INFORMES!E58&amp;"','yyyymmdd'),TO_DATE('"&amp;INFORMES!F58&amp;"','yyyymmdd'),'"&amp;INFORMES!G58&amp;"','"&amp;INFORMES!H58&amp;"','"&amp;INFORMES!I58&amp;"','"&amp;INFORMES!J58&amp;"');")</f>
        <v>INSERT INTO INYCEXT.INYC_CONF_INFORMES@tc_link (COD_INFORME,DESC_INFORME,TABLA,F_INICIO,F_FIN,CARGA_TABLAS,PUBLICACION,FORMATO,DESCRIPCION) VALUES (102.2,'W-E - S4 Detalle Pólizas','INYC_S4_E_POLIZAS',TO_DATE('20140101','yyyymmdd'),TO_DATE('22000101','yyyymmdd'),'1,2,3,4,5,6,7,8,9,10,11,12','1,2,3,4,5,6,7,8,9,10,11,12','pdf','S4_E');</v>
      </c>
    </row>
    <row r="58" spans="1:2" x14ac:dyDescent="0.25">
      <c r="A58" t="str">
        <f>IF(INFORMES!J59="OBSOLETO","","INSERT INTO INYCEXT.INYC_CONF_INFORMES (COD_INFORME,DESC_INFORME,TABLA,F_INICIO,F_FIN,CARGA_TABLAS,PUBLICACION,FORMATO,DESCRIPCION) VALUES ("&amp;INFORMES!B59&amp;",'"&amp;INFORMES!C59&amp;"','"&amp;INFORMES!D59&amp;"',TO_DATE('"&amp;INFORMES!E59&amp;"','yyyymmdd'),TO_DATE('"&amp;INFORMES!F59&amp;"','yyyymmdd'),'"&amp;INFORMES!G59&amp;"','"&amp;INFORMES!H59&amp;"','"&amp;INFORMES!I59&amp;"','"&amp;INFORMES!J59&amp;"');")</f>
        <v>INSERT INTO INYCEXT.INYC_CONF_INFORMES (COD_INFORME,DESC_INFORME,TABLA,F_INICIO,F_FIN,CARGA_TABLAS,PUBLICACION,FORMATO,DESCRIPCION) VALUES (102.3,'W-E - S4 Detalle Productos','INYC_S4_E_POLIZAS',TO_DATE('20140101','yyyymmdd'),TO_DATE('22000101','yyyymmdd'),'1,2,3,4,5,6,7,8,9,10,11,12','1,2,3,4,5,6,7,8,9,10,11,12','pdf','S4_E');</v>
      </c>
      <c r="B58" t="str">
        <f>IF(INFORMES!J59="OBSOLETO","","INSERT INTO INYCEXT.INYC_CONF_INFORMES@tc_link (COD_INFORME,DESC_INFORME,TABLA,F_INICIO,F_FIN,CARGA_TABLAS,PUBLICACION,FORMATO,DESCRIPCION) VALUES ("&amp;INFORMES!B59&amp;",'"&amp;INFORMES!C59&amp;"','"&amp;INFORMES!D59&amp;"',TO_DATE('"&amp;INFORMES!E59&amp;"','yyyymmdd'),TO_DATE('"&amp;INFORMES!F59&amp;"','yyyymmdd'),'"&amp;INFORMES!G59&amp;"','"&amp;INFORMES!H59&amp;"','"&amp;INFORMES!I59&amp;"','"&amp;INFORMES!J59&amp;"');")</f>
        <v>INSERT INTO INYCEXT.INYC_CONF_INFORMES@tc_link (COD_INFORME,DESC_INFORME,TABLA,F_INICIO,F_FIN,CARGA_TABLAS,PUBLICACION,FORMATO,DESCRIPCION) VALUES (102.3,'W-E - S4 Detalle Productos','INYC_S4_E_POLIZAS',TO_DATE('20140101','yyyymmdd'),TO_DATE('22000101','yyyymmdd'),'1,2,3,4,5,6,7,8,9,10,11,12','1,2,3,4,5,6,7,8,9,10,11,12','pdf','S4_E');</v>
      </c>
    </row>
    <row r="59" spans="1:2" x14ac:dyDescent="0.25">
      <c r="A59" t="str">
        <f>IF(INFORMES!J60="OBSOLETO","","INSERT INTO INYCEXT.INYC_CONF_INFORMES (COD_INFORME,DESC_INFORME,TABLA,F_INICIO,F_FIN,CARGA_TABLAS,PUBLICACION,FORMATO,DESCRIPCION) VALUES ("&amp;INFORMES!B60&amp;",'"&amp;INFORMES!C60&amp;"','"&amp;INFORMES!D60&amp;"',TO_DATE('"&amp;INFORMES!E60&amp;"','yyyymmdd'),TO_DATE('"&amp;INFORMES!F60&amp;"','yyyymmdd'),'"&amp;INFORMES!G60&amp;"','"&amp;INFORMES!H60&amp;"','"&amp;INFORMES!I60&amp;"','"&amp;INFORMES!J60&amp;"');")</f>
        <v>INSERT INTO INYCEXT.INYC_CONF_INFORMES (COD_INFORME,DESC_INFORME,TABLA,F_INICIO,F_FIN,CARGA_TABLAS,PUBLICACION,FORMATO,DESCRIPCION) VALUES (103.1,'W-E - S5 Factura','INYC_S5_E_FACTURA',TO_DATE('20140101','yyyymmdd'),TO_DATE('22000101','yyyymmdd'),'1,2,3,4,5,6,7,8,9,10,11,12','1,2,3,4,5,6,7,8,9,10,11,12','pdf','S5_E');</v>
      </c>
      <c r="B59" t="str">
        <f>IF(INFORMES!J60="OBSOLETO","","INSERT INTO INYCEXT.INYC_CONF_INFORMES@tc_link (COD_INFORME,DESC_INFORME,TABLA,F_INICIO,F_FIN,CARGA_TABLAS,PUBLICACION,FORMATO,DESCRIPCION) VALUES ("&amp;INFORMES!B60&amp;",'"&amp;INFORMES!C60&amp;"','"&amp;INFORMES!D60&amp;"',TO_DATE('"&amp;INFORMES!E60&amp;"','yyyymmdd'),TO_DATE('"&amp;INFORMES!F60&amp;"','yyyymmdd'),'"&amp;INFORMES!G60&amp;"','"&amp;INFORMES!H60&amp;"','"&amp;INFORMES!I60&amp;"','"&amp;INFORMES!J60&amp;"');")</f>
        <v>INSERT INTO INYCEXT.INYC_CONF_INFORMES@tc_link (COD_INFORME,DESC_INFORME,TABLA,F_INICIO,F_FIN,CARGA_TABLAS,PUBLICACION,FORMATO,DESCRIPCION) VALUES (103.1,'W-E - S5 Factura','INYC_S5_E_FACTURA',TO_DATE('20140101','yyyymmdd'),TO_DATE('22000101','yyyymmdd'),'1,2,3,4,5,6,7,8,9,10,11,12','1,2,3,4,5,6,7,8,9,10,11,12','pdf','S5_E');</v>
      </c>
    </row>
    <row r="60" spans="1:2" x14ac:dyDescent="0.25">
      <c r="A60" t="str">
        <f>IF(INFORMES!J61="OBSOLETO","","INSERT INTO INYCEXT.INYC_CONF_INFORMES (COD_INFORME,DESC_INFORME,TABLA,F_INICIO,F_FIN,CARGA_TABLAS,PUBLICACION,FORMATO,DESCRIPCION) VALUES ("&amp;INFORMES!B61&amp;",'"&amp;INFORMES!C61&amp;"','"&amp;INFORMES!D61&amp;"',TO_DATE('"&amp;INFORMES!E61&amp;"','yyyymmdd'),TO_DATE('"&amp;INFORMES!F61&amp;"','yyyymmdd'),'"&amp;INFORMES!G61&amp;"','"&amp;INFORMES!H61&amp;"','"&amp;INFORMES!I61&amp;"','"&amp;INFORMES!J61&amp;"');")</f>
        <v>INSERT INTO INYCEXT.INYC_CONF_INFORMES (COD_INFORME,DESC_INFORME,TABLA,F_INICIO,F_FIN,CARGA_TABLAS,PUBLICACION,FORMATO,DESCRIPCION) VALUES (103.2,'W-E - S5 Detalle Pólizas','INYC_S5_E_POLIZAS',TO_DATE('20140101','yyyymmdd'),TO_DATE('22000101','yyyymmdd'),'1,2,3,4,5,6,7,8,9,10,11,12','1,2,3,4,5,6,7,8,9,10,11,12','pdf','S5_E');</v>
      </c>
      <c r="B60" t="str">
        <f>IF(INFORMES!J61="OBSOLETO","","INSERT INTO INYCEXT.INYC_CONF_INFORMES@tc_link (COD_INFORME,DESC_INFORME,TABLA,F_INICIO,F_FIN,CARGA_TABLAS,PUBLICACION,FORMATO,DESCRIPCION) VALUES ("&amp;INFORMES!B61&amp;",'"&amp;INFORMES!C61&amp;"','"&amp;INFORMES!D61&amp;"',TO_DATE('"&amp;INFORMES!E61&amp;"','yyyymmdd'),TO_DATE('"&amp;INFORMES!F61&amp;"','yyyymmdd'),'"&amp;INFORMES!G61&amp;"','"&amp;INFORMES!H61&amp;"','"&amp;INFORMES!I61&amp;"','"&amp;INFORMES!J61&amp;"');")</f>
        <v>INSERT INTO INYCEXT.INYC_CONF_INFORMES@tc_link (COD_INFORME,DESC_INFORME,TABLA,F_INICIO,F_FIN,CARGA_TABLAS,PUBLICACION,FORMATO,DESCRIPCION) VALUES (103.2,'W-E - S5 Detalle Pólizas','INYC_S5_E_POLIZAS',TO_DATE('20140101','yyyymmdd'),TO_DATE('22000101','yyyymmdd'),'1,2,3,4,5,6,7,8,9,10,11,12','1,2,3,4,5,6,7,8,9,10,11,12','pdf','S5_E');</v>
      </c>
    </row>
    <row r="61" spans="1:2" x14ac:dyDescent="0.25">
      <c r="A61" t="str">
        <f>IF(INFORMES!J62="OBSOLETO","","INSERT INTO INYCEXT.INYC_CONF_INFORMES (COD_INFORME,DESC_INFORME,TABLA,F_INICIO,F_FIN,CARGA_TABLAS,PUBLICACION,FORMATO,DESCRIPCION) VALUES ("&amp;INFORMES!B62&amp;",'"&amp;INFORMES!C62&amp;"','"&amp;INFORMES!D62&amp;"',TO_DATE('"&amp;INFORMES!E62&amp;"','yyyymmdd'),TO_DATE('"&amp;INFORMES!F62&amp;"','yyyymmdd'),'"&amp;INFORMES!G62&amp;"','"&amp;INFORMES!H62&amp;"','"&amp;INFORMES!I62&amp;"','"&amp;INFORMES!J62&amp;"');")</f>
        <v>INSERT INTO INYCEXT.INYC_CONF_INFORMES (COD_INFORME,DESC_INFORME,TABLA,F_INICIO,F_FIN,CARGA_TABLAS,PUBLICACION,FORMATO,DESCRIPCION) VALUES (103.3,'W-E - S5 Detalle Productos','INYC_S5_E_POLIZAS',TO_DATE('20140101','yyyymmdd'),TO_DATE('22000101','yyyymmdd'),'1,2,3,4,5,6,7,8,9,10,11,12','1,2,3,4,5,6,7,8,9,10,11,12','pdf','S5_E');</v>
      </c>
      <c r="B61" t="str">
        <f>IF(INFORMES!J62="OBSOLETO","","INSERT INTO INYCEXT.INYC_CONF_INFORMES@tc_link (COD_INFORME,DESC_INFORME,TABLA,F_INICIO,F_FIN,CARGA_TABLAS,PUBLICACION,FORMATO,DESCRIPCION) VALUES ("&amp;INFORMES!B62&amp;",'"&amp;INFORMES!C62&amp;"','"&amp;INFORMES!D62&amp;"',TO_DATE('"&amp;INFORMES!E62&amp;"','yyyymmdd'),TO_DATE('"&amp;INFORMES!F62&amp;"','yyyymmdd'),'"&amp;INFORMES!G62&amp;"','"&amp;INFORMES!H62&amp;"','"&amp;INFORMES!I62&amp;"','"&amp;INFORMES!J62&amp;"');")</f>
        <v>INSERT INTO INYCEXT.INYC_CONF_INFORMES@tc_link (COD_INFORME,DESC_INFORME,TABLA,F_INICIO,F_FIN,CARGA_TABLAS,PUBLICACION,FORMATO,DESCRIPCION) VALUES (103.3,'W-E - S5 Detalle Productos','INYC_S5_E_POLIZAS',TO_DATE('20140101','yyyymmdd'),TO_DATE('22000101','yyyymmdd'),'1,2,3,4,5,6,7,8,9,10,11,12','1,2,3,4,5,6,7,8,9,10,11,12','pdf','S5_E');</v>
      </c>
    </row>
    <row r="62" spans="1:2" x14ac:dyDescent="0.25">
      <c r="A62" t="str">
        <f>IF(INFORMES!J63="OBSOLETO","","INSERT INTO INYCEXT.INYC_CONF_INFORMES (COD_INFORME,DESC_INFORME,TABLA,F_INICIO,F_FIN,CARGA_TABLAS,PUBLICACION,FORMATO,DESCRIPCION) VALUES ("&amp;INFORMES!B63&amp;",'"&amp;INFORMES!C63&amp;"','"&amp;INFORMES!D63&amp;"',TO_DATE('"&amp;INFORMES!E63&amp;"','yyyymmdd'),TO_DATE('"&amp;INFORMES!F63&amp;"','yyyymmdd'),'"&amp;INFORMES!G63&amp;"','"&amp;INFORMES!H63&amp;"','"&amp;INFORMES!I63&amp;"','"&amp;INFORMES!J63&amp;"');")</f>
        <v>INSERT INTO INYCEXT.INYC_CONF_INFORMES (COD_INFORME,DESC_INFORME,TABLA,F_INICIO,F_FIN,CARGA_TABLAS,PUBLICACION,FORMATO,DESCRIPCION) VALUES (104.1,'W-O - Percepciones -S4- Resumen','INYC_PEPA_RESUMEN',TO_DATE('20140101','yyyymmdd'),TO_DATE('22000101','yyyymmdd'),'DIARIO','DIARIO','pdf','PEPA');</v>
      </c>
      <c r="B62" t="str">
        <f>IF(INFORMES!J63="OBSOLETO","","INSERT INTO INYCEXT.INYC_CONF_INFORMES@tc_link (COD_INFORME,DESC_INFORME,TABLA,F_INICIO,F_FIN,CARGA_TABLAS,PUBLICACION,FORMATO,DESCRIPCION) VALUES ("&amp;INFORMES!B63&amp;",'"&amp;INFORMES!C63&amp;"','"&amp;INFORMES!D63&amp;"',TO_DATE('"&amp;INFORMES!E63&amp;"','yyyymmdd'),TO_DATE('"&amp;INFORMES!F63&amp;"','yyyymmdd'),'"&amp;INFORMES!G63&amp;"','"&amp;INFORMES!H63&amp;"','"&amp;INFORMES!I63&amp;"','"&amp;INFORMES!J63&amp;"');")</f>
        <v>INSERT INTO INYCEXT.INYC_CONF_INFORMES@tc_link (COD_INFORME,DESC_INFORME,TABLA,F_INICIO,F_FIN,CARGA_TABLAS,PUBLICACION,FORMATO,DESCRIPCION) VALUES (104.1,'W-O - Percepciones -S4- Resumen','INYC_PEPA_RESUMEN',TO_DATE('20140101','yyyymmdd'),TO_DATE('22000101','yyyymmdd'),'DIARIO','DIARIO','pdf','PEPA');</v>
      </c>
    </row>
    <row r="63" spans="1:2" x14ac:dyDescent="0.25">
      <c r="A63" t="str">
        <f>IF(INFORMES!J64="OBSOLETO","","INSERT INTO INYCEXT.INYC_CONF_INFORMES (COD_INFORME,DESC_INFORME,TABLA,F_INICIO,F_FIN,CARGA_TABLAS,PUBLICACION,FORMATO,DESCRIPCION) VALUES ("&amp;INFORMES!B64&amp;",'"&amp;INFORMES!C64&amp;"','"&amp;INFORMES!D64&amp;"',TO_DATE('"&amp;INFORMES!E64&amp;"','yyyymmdd'),TO_DATE('"&amp;INFORMES!F64&amp;"','yyyymmdd'),'"&amp;INFORMES!G64&amp;"','"&amp;INFORMES!H64&amp;"','"&amp;INFORMES!I64&amp;"','"&amp;INFORMES!J64&amp;"');")</f>
        <v>INSERT INTO INYCEXT.INYC_CONF_INFORMES (COD_INFORME,DESC_INFORME,TABLA,F_INICIO,F_FIN,CARGA_TABLAS,PUBLICACION,FORMATO,DESCRIPCION) VALUES (104.2,'W-O - Percepciones -S4- Detalle','INYC_PEPA_DETALLE',TO_DATE('20140101','yyyymmdd'),TO_DATE('20180101','yyyymmdd'),'DIARIO','DIARIO','excel','PEPA');</v>
      </c>
      <c r="B63" t="str">
        <f>IF(INFORMES!J64="OBSOLETO","","INSERT INTO INYCEXT.INYC_CONF_INFORMES@tc_link (COD_INFORME,DESC_INFORME,TABLA,F_INICIO,F_FIN,CARGA_TABLAS,PUBLICACION,FORMATO,DESCRIPCION) VALUES ("&amp;INFORMES!B64&amp;",'"&amp;INFORMES!C64&amp;"','"&amp;INFORMES!D64&amp;"',TO_DATE('"&amp;INFORMES!E64&amp;"','yyyymmdd'),TO_DATE('"&amp;INFORMES!F64&amp;"','yyyymmdd'),'"&amp;INFORMES!G64&amp;"','"&amp;INFORMES!H64&amp;"','"&amp;INFORMES!I64&amp;"','"&amp;INFORMES!J64&amp;"');")</f>
        <v>INSERT INTO INYCEXT.INYC_CONF_INFORMES@tc_link (COD_INFORME,DESC_INFORME,TABLA,F_INICIO,F_FIN,CARGA_TABLAS,PUBLICACION,FORMATO,DESCRIPCION) VALUES (104.2,'W-O - Percepciones -S4- Detalle','INYC_PEPA_DETALLE',TO_DATE('20140101','yyyymmdd'),TO_DATE('20180101','yyyymmdd'),'DIARIO','DIARIO','excel','PEPA');</v>
      </c>
    </row>
    <row r="64" spans="1:2" x14ac:dyDescent="0.25">
      <c r="A64" t="str">
        <f>IF(INFORMES!J65="OBSOLETO","","INSERT INTO INYCEXT.INYC_CONF_INFORMES (COD_INFORME,DESC_INFORME,TABLA,F_INICIO,F_FIN,CARGA_TABLAS,PUBLICACION,FORMATO,DESCRIPCION) VALUES ("&amp;INFORMES!B65&amp;",'"&amp;INFORMES!C65&amp;"','"&amp;INFORMES!D65&amp;"',TO_DATE('"&amp;INFORMES!E65&amp;"','yyyymmdd'),TO_DATE('"&amp;INFORMES!F65&amp;"','yyyymmdd'),'"&amp;INFORMES!G65&amp;"','"&amp;INFORMES!H65&amp;"','"&amp;INFORMES!I65&amp;"','"&amp;INFORMES!J65&amp;"');")</f>
        <v>INSERT INTO INYCEXT.INYC_CONF_INFORMES (COD_INFORME,DESC_INFORME,TABLA,F_INICIO,F_FIN,CARGA_TABLAS,PUBLICACION,FORMATO,DESCRIPCION) VALUES (105.1,'W-O - Percepciones -S5- Resumen','INYC_PEPI_RESUMEN',TO_DATE('20140101','yyyymmdd'),TO_DATE('22000101','yyyymmdd'),'DIARIO','DIARIO','pdf','PEPI');</v>
      </c>
      <c r="B64" t="str">
        <f>IF(INFORMES!J65="OBSOLETO","","INSERT INTO INYCEXT.INYC_CONF_INFORMES@tc_link (COD_INFORME,DESC_INFORME,TABLA,F_INICIO,F_FIN,CARGA_TABLAS,PUBLICACION,FORMATO,DESCRIPCION) VALUES ("&amp;INFORMES!B65&amp;",'"&amp;INFORMES!C65&amp;"','"&amp;INFORMES!D65&amp;"',TO_DATE('"&amp;INFORMES!E65&amp;"','yyyymmdd'),TO_DATE('"&amp;INFORMES!F65&amp;"','yyyymmdd'),'"&amp;INFORMES!G65&amp;"','"&amp;INFORMES!H65&amp;"','"&amp;INFORMES!I65&amp;"','"&amp;INFORMES!J65&amp;"');")</f>
        <v>INSERT INTO INYCEXT.INYC_CONF_INFORMES@tc_link (COD_INFORME,DESC_INFORME,TABLA,F_INICIO,F_FIN,CARGA_TABLAS,PUBLICACION,FORMATO,DESCRIPCION) VALUES (105.1,'W-O - Percepciones -S5- Resumen','INYC_PEPI_RESUMEN',TO_DATE('20140101','yyyymmdd'),TO_DATE('22000101','yyyymmdd'),'DIARIO','DIARIO','pdf','PEPI');</v>
      </c>
    </row>
    <row r="65" spans="1:2" x14ac:dyDescent="0.25">
      <c r="A65" t="str">
        <f>IF(INFORMES!J66="OBSOLETO","","INSERT INTO INYCEXT.INYC_CONF_INFORMES (COD_INFORME,DESC_INFORME,TABLA,F_INICIO,F_FIN,CARGA_TABLAS,PUBLICACION,FORMATO,DESCRIPCION) VALUES ("&amp;INFORMES!B66&amp;",'"&amp;INFORMES!C66&amp;"','"&amp;INFORMES!D66&amp;"',TO_DATE('"&amp;INFORMES!E66&amp;"','yyyymmdd'),TO_DATE('"&amp;INFORMES!F66&amp;"','yyyymmdd'),'"&amp;INFORMES!G66&amp;"','"&amp;INFORMES!H66&amp;"','"&amp;INFORMES!I66&amp;"','"&amp;INFORMES!J66&amp;"');")</f>
        <v>INSERT INTO INYCEXT.INYC_CONF_INFORMES (COD_INFORME,DESC_INFORME,TABLA,F_INICIO,F_FIN,CARGA_TABLAS,PUBLICACION,FORMATO,DESCRIPCION) VALUES (105.2,'W-O - Percepciones -S5- Detalle','INYC_PEPI_DETALLE',TO_DATE('20140101','yyyymmdd'),TO_DATE('20180101','yyyymmdd'),'DIARIO','DIARIO','excel','PEPI');</v>
      </c>
      <c r="B65" t="str">
        <f>IF(INFORMES!J66="OBSOLETO","","INSERT INTO INYCEXT.INYC_CONF_INFORMES@tc_link (COD_INFORME,DESC_INFORME,TABLA,F_INICIO,F_FIN,CARGA_TABLAS,PUBLICACION,FORMATO,DESCRIPCION) VALUES ("&amp;INFORMES!B66&amp;",'"&amp;INFORMES!C66&amp;"','"&amp;INFORMES!D66&amp;"',TO_DATE('"&amp;INFORMES!E66&amp;"','yyyymmdd'),TO_DATE('"&amp;INFORMES!F66&amp;"','yyyymmdd'),'"&amp;INFORMES!G66&amp;"','"&amp;INFORMES!H66&amp;"','"&amp;INFORMES!I66&amp;"','"&amp;INFORMES!J66&amp;"');")</f>
        <v>INSERT INTO INYCEXT.INYC_CONF_INFORMES@tc_link (COD_INFORME,DESC_INFORME,TABLA,F_INICIO,F_FIN,CARGA_TABLAS,PUBLICACION,FORMATO,DESCRIPCION) VALUES (105.2,'W-O - Percepciones -S5- Detalle','INYC_PEPI_DETALLE',TO_DATE('20140101','yyyymmdd'),TO_DATE('20180101','yyyymmdd'),'DIARIO','DIARIO','excel','PEPI');</v>
      </c>
    </row>
    <row r="66" spans="1:2" x14ac:dyDescent="0.25">
      <c r="A66" t="str">
        <f>IF(INFORMES!J67="OBSOLETO","","INSERT INTO INYCEXT.INYC_CONF_INFORMES (COD_INFORME,DESC_INFORME,TABLA,F_INICIO,F_FIN,CARGA_TABLAS,PUBLICACION,FORMATO,DESCRIPCION) VALUES ("&amp;INFORMES!B67&amp;",'"&amp;INFORMES!C67&amp;"','"&amp;INFORMES!D67&amp;"',TO_DATE('"&amp;INFORMES!E67&amp;"','yyyymmdd'),TO_DATE('"&amp;INFORMES!F67&amp;"','yyyymmdd'),'"&amp;INFORMES!G67&amp;"','"&amp;INFORMES!H67&amp;"','"&amp;INFORMES!I67&amp;"','"&amp;INFORMES!J67&amp;"');")</f>
        <v>INSERT INTO INYCEXT.INYC_CONF_INFORMES (COD_INFORME,DESC_INFORME,TABLA,F_INICIO,F_FIN,CARGA_TABLAS,PUBLICACION,FORMATO,DESCRIPCION) VALUES (106.1,'W-E - Percepciones -S4- Resumen','INYC_PEPA_E_RESUMEN',TO_DATE('20140101','yyyymmdd'),TO_DATE('22000101','yyyymmdd'),'DIARIO','DIARIO','pdf','PEPA_E');</v>
      </c>
      <c r="B66" t="str">
        <f>IF(INFORMES!J67="OBSOLETO","","INSERT INTO INYCEXT.INYC_CONF_INFORMES@tc_link (COD_INFORME,DESC_INFORME,TABLA,F_INICIO,F_FIN,CARGA_TABLAS,PUBLICACION,FORMATO,DESCRIPCION) VALUES ("&amp;INFORMES!B67&amp;",'"&amp;INFORMES!C67&amp;"','"&amp;INFORMES!D67&amp;"',TO_DATE('"&amp;INFORMES!E67&amp;"','yyyymmdd'),TO_DATE('"&amp;INFORMES!F67&amp;"','yyyymmdd'),'"&amp;INFORMES!G67&amp;"','"&amp;INFORMES!H67&amp;"','"&amp;INFORMES!I67&amp;"','"&amp;INFORMES!J67&amp;"');")</f>
        <v>INSERT INTO INYCEXT.INYC_CONF_INFORMES@tc_link (COD_INFORME,DESC_INFORME,TABLA,F_INICIO,F_FIN,CARGA_TABLAS,PUBLICACION,FORMATO,DESCRIPCION) VALUES (106.1,'W-E - Percepciones -S4- Resumen','INYC_PEPA_E_RESUMEN',TO_DATE('20140101','yyyymmdd'),TO_DATE('22000101','yyyymmdd'),'DIARIO','DIARIO','pdf','PEPA_E');</v>
      </c>
    </row>
    <row r="67" spans="1:2" x14ac:dyDescent="0.25">
      <c r="A67" t="str">
        <f>IF(INFORMES!J68="OBSOLETO","","INSERT INTO INYCEXT.INYC_CONF_INFORMES (COD_INFORME,DESC_INFORME,TABLA,F_INICIO,F_FIN,CARGA_TABLAS,PUBLICACION,FORMATO,DESCRIPCION) VALUES ("&amp;INFORMES!B68&amp;",'"&amp;INFORMES!C68&amp;"','"&amp;INFORMES!D68&amp;"',TO_DATE('"&amp;INFORMES!E68&amp;"','yyyymmdd'),TO_DATE('"&amp;INFORMES!F68&amp;"','yyyymmdd'),'"&amp;INFORMES!G68&amp;"','"&amp;INFORMES!H68&amp;"','"&amp;INFORMES!I68&amp;"','"&amp;INFORMES!J68&amp;"');")</f>
        <v>INSERT INTO INYCEXT.INYC_CONF_INFORMES (COD_INFORME,DESC_INFORME,TABLA,F_INICIO,F_FIN,CARGA_TABLAS,PUBLICACION,FORMATO,DESCRIPCION) VALUES (106.2,'W-E - Percepciones -S4- Detalle','INYC_PEPA_E_DETALLE',TO_DATE('20140101','yyyymmdd'),TO_DATE('20180101','yyyymmdd'),'DIARIO','DIARIO','excel','PEPA_E');</v>
      </c>
      <c r="B67" t="str">
        <f>IF(INFORMES!J68="OBSOLETO","","INSERT INTO INYCEXT.INYC_CONF_INFORMES@tc_link (COD_INFORME,DESC_INFORME,TABLA,F_INICIO,F_FIN,CARGA_TABLAS,PUBLICACION,FORMATO,DESCRIPCION) VALUES ("&amp;INFORMES!B68&amp;",'"&amp;INFORMES!C68&amp;"','"&amp;INFORMES!D68&amp;"',TO_DATE('"&amp;INFORMES!E68&amp;"','yyyymmdd'),TO_DATE('"&amp;INFORMES!F68&amp;"','yyyymmdd'),'"&amp;INFORMES!G68&amp;"','"&amp;INFORMES!H68&amp;"','"&amp;INFORMES!I68&amp;"','"&amp;INFORMES!J68&amp;"');")</f>
        <v>INSERT INTO INYCEXT.INYC_CONF_INFORMES@tc_link (COD_INFORME,DESC_INFORME,TABLA,F_INICIO,F_FIN,CARGA_TABLAS,PUBLICACION,FORMATO,DESCRIPCION) VALUES (106.2,'W-E - Percepciones -S4- Detalle','INYC_PEPA_E_DETALLE',TO_DATE('20140101','yyyymmdd'),TO_DATE('20180101','yyyymmdd'),'DIARIO','DIARIO','excel','PEPA_E');</v>
      </c>
    </row>
    <row r="68" spans="1:2" x14ac:dyDescent="0.25">
      <c r="A68" t="str">
        <f>IF(INFORMES!J69="OBSOLETO","","INSERT INTO INYCEXT.INYC_CONF_INFORMES (COD_INFORME,DESC_INFORME,TABLA,F_INICIO,F_FIN,CARGA_TABLAS,PUBLICACION,FORMATO,DESCRIPCION) VALUES ("&amp;INFORMES!B69&amp;",'"&amp;INFORMES!C69&amp;"','"&amp;INFORMES!D69&amp;"',TO_DATE('"&amp;INFORMES!E69&amp;"','yyyymmdd'),TO_DATE('"&amp;INFORMES!F69&amp;"','yyyymmdd'),'"&amp;INFORMES!G69&amp;"','"&amp;INFORMES!H69&amp;"','"&amp;INFORMES!I69&amp;"','"&amp;INFORMES!J69&amp;"');")</f>
        <v>INSERT INTO INYCEXT.INYC_CONF_INFORMES (COD_INFORME,DESC_INFORME,TABLA,F_INICIO,F_FIN,CARGA_TABLAS,PUBLICACION,FORMATO,DESCRIPCION) VALUES (107.1,'W-E - Percepciones -S5- Resumen','INYC_PEPI_E_RESUMEN',TO_DATE('20140101','yyyymmdd'),TO_DATE('22000101','yyyymmdd'),'DIARIO','DIARIO','pdf','PEPI_E');</v>
      </c>
      <c r="B68" t="str">
        <f>IF(INFORMES!J69="OBSOLETO","","INSERT INTO INYCEXT.INYC_CONF_INFORMES@tc_link (COD_INFORME,DESC_INFORME,TABLA,F_INICIO,F_FIN,CARGA_TABLAS,PUBLICACION,FORMATO,DESCRIPCION) VALUES ("&amp;INFORMES!B69&amp;",'"&amp;INFORMES!C69&amp;"','"&amp;INFORMES!D69&amp;"',TO_DATE('"&amp;INFORMES!E69&amp;"','yyyymmdd'),TO_DATE('"&amp;INFORMES!F69&amp;"','yyyymmdd'),'"&amp;INFORMES!G69&amp;"','"&amp;INFORMES!H69&amp;"','"&amp;INFORMES!I69&amp;"','"&amp;INFORMES!J69&amp;"');")</f>
        <v>INSERT INTO INYCEXT.INYC_CONF_INFORMES@tc_link (COD_INFORME,DESC_INFORME,TABLA,F_INICIO,F_FIN,CARGA_TABLAS,PUBLICACION,FORMATO,DESCRIPCION) VALUES (107.1,'W-E - Percepciones -S5- Resumen','INYC_PEPI_E_RESUMEN',TO_DATE('20140101','yyyymmdd'),TO_DATE('22000101','yyyymmdd'),'DIARIO','DIARIO','pdf','PEPI_E');</v>
      </c>
    </row>
    <row r="69" spans="1:2" x14ac:dyDescent="0.25">
      <c r="A69" t="str">
        <f>IF(INFORMES!J70="OBSOLETO","","INSERT INTO INYCEXT.INYC_CONF_INFORMES (COD_INFORME,DESC_INFORME,TABLA,F_INICIO,F_FIN,CARGA_TABLAS,PUBLICACION,FORMATO,DESCRIPCION) VALUES ("&amp;INFORMES!B70&amp;",'"&amp;INFORMES!C70&amp;"','"&amp;INFORMES!D70&amp;"',TO_DATE('"&amp;INFORMES!E70&amp;"','yyyymmdd'),TO_DATE('"&amp;INFORMES!F70&amp;"','yyyymmdd'),'"&amp;INFORMES!G70&amp;"','"&amp;INFORMES!H70&amp;"','"&amp;INFORMES!I70&amp;"','"&amp;INFORMES!J70&amp;"');")</f>
        <v>INSERT INTO INYCEXT.INYC_CONF_INFORMES (COD_INFORME,DESC_INFORME,TABLA,F_INICIO,F_FIN,CARGA_TABLAS,PUBLICACION,FORMATO,DESCRIPCION) VALUES (107.2,'W-E - Percepciones -S5- Detalle','INYC_PEPI_E_DETALLE',TO_DATE('20140101','yyyymmdd'),TO_DATE('20180101','yyyymmdd'),'DIARIO','DIARIO','excel','PEPI_E');</v>
      </c>
      <c r="B69" t="str">
        <f>IF(INFORMES!J70="OBSOLETO","","INSERT INTO INYCEXT.INYC_CONF_INFORMES@tc_link (COD_INFORME,DESC_INFORME,TABLA,F_INICIO,F_FIN,CARGA_TABLAS,PUBLICACION,FORMATO,DESCRIPCION) VALUES ("&amp;INFORMES!B70&amp;",'"&amp;INFORMES!C70&amp;"','"&amp;INFORMES!D70&amp;"',TO_DATE('"&amp;INFORMES!E70&amp;"','yyyymmdd'),TO_DATE('"&amp;INFORMES!F70&amp;"','yyyymmdd'),'"&amp;INFORMES!G70&amp;"','"&amp;INFORMES!H70&amp;"','"&amp;INFORMES!I70&amp;"','"&amp;INFORMES!J70&amp;"');")</f>
        <v>INSERT INTO INYCEXT.INYC_CONF_INFORMES@tc_link (COD_INFORME,DESC_INFORME,TABLA,F_INICIO,F_FIN,CARGA_TABLAS,PUBLICACION,FORMATO,DESCRIPCION) VALUES (107.2,'W-E - Percepciones -S5- Detalle','INYC_PEPI_E_DETALLE',TO_DATE('20140101','yyyymmdd'),TO_DATE('20180101','yyyymmdd'),'DIARIO','DIARIO','excel','PEPI_E');</v>
      </c>
    </row>
    <row r="70" spans="1:2" x14ac:dyDescent="0.25">
      <c r="A70" t="str">
        <f>IF(INFORMES!J71="OBSOLETO","","INSERT INTO INYCEXT.INYC_CONF_INFORMES (COD_INFORME,DESC_INFORME,TABLA,F_INICIO,F_FIN,CARGA_TABLAS,PUBLICACION,FORMATO,DESCRIPCION) VALUES ("&amp;INFORMES!B71&amp;",'"&amp;INFORMES!C71&amp;"','"&amp;INFORMES!D71&amp;"',TO_DATE('"&amp;INFORMES!E71&amp;"','yyyymmdd'),TO_DATE('"&amp;INFORMES!F71&amp;"','yyyymmdd'),'"&amp;INFORMES!G71&amp;"','"&amp;INFORMES!H71&amp;"','"&amp;INFORMES!I71&amp;"','"&amp;INFORMES!J71&amp;"');")</f>
        <v>INSERT INTO INYCEXT.INYC_CONF_INFORMES (COD_INFORME,DESC_INFORME,TABLA,F_INICIO,F_FIN,CARGA_TABLAS,PUBLICACION,FORMATO,DESCRIPCION) VALUES (111.1,'1.11 Percepciones Agentes','INYC_PERC_AGENTES',TO_DATE('20170101','yyyymmdd'),TO_DATE('22000101','yyyymmdd'),'DIARIO','DIARIO','excel','PEAG');</v>
      </c>
      <c r="B70" t="str">
        <f>IF(INFORMES!J71="OBSOLETO","","INSERT INTO INYCEXT.INYC_CONF_INFORMES@tc_link (COD_INFORME,DESC_INFORME,TABLA,F_INICIO,F_FIN,CARGA_TABLAS,PUBLICACION,FORMATO,DESCRIPCION) VALUES ("&amp;INFORMES!B71&amp;",'"&amp;INFORMES!C71&amp;"','"&amp;INFORMES!D71&amp;"',TO_DATE('"&amp;INFORMES!E71&amp;"','yyyymmdd'),TO_DATE('"&amp;INFORMES!F71&amp;"','yyyymmdd'),'"&amp;INFORMES!G71&amp;"','"&amp;INFORMES!H71&amp;"','"&amp;INFORMES!I71&amp;"','"&amp;INFORMES!J71&amp;"');")</f>
        <v>INSERT INTO INYCEXT.INYC_CONF_INFORMES@tc_link (COD_INFORME,DESC_INFORME,TABLA,F_INICIO,F_FIN,CARGA_TABLAS,PUBLICACION,FORMATO,DESCRIPCION) VALUES (111.1,'1.11 Percepciones Agentes','INYC_PERC_AGENTES',TO_DATE('20170101','yyyymmdd'),TO_DATE('22000101','yyyymmdd'),'DIARIO','DIARIO','excel','PEAG');</v>
      </c>
    </row>
    <row r="71" spans="1:2" x14ac:dyDescent="0.25">
      <c r="A71" t="str">
        <f>IF(INFORMES!J72="OBSOLETO","","INSERT INTO INYCEXT.INYC_CONF_INFORMES (COD_INFORME,DESC_INFORME,TABLA,F_INICIO,F_FIN,CARGA_TABLAS,PUBLICACION,FORMATO,DESCRIPCION) VALUES ("&amp;INFORMES!B72&amp;",'"&amp;INFORMES!C72&amp;"','"&amp;INFORMES!D72&amp;"',TO_DATE('"&amp;INFORMES!E72&amp;"','yyyymmdd'),TO_DATE('"&amp;INFORMES!F72&amp;"','yyyymmdd'),'"&amp;INFORMES!G72&amp;"','"&amp;INFORMES!H72&amp;"','"&amp;INFORMES!I72&amp;"','"&amp;INFORMES!J72&amp;"');")</f>
        <v>INSERT INTO INYCEXT.INYC_CONF_INFORMES (COD_INFORME,DESC_INFORME,TABLA,F_INICIO,F_FIN,CARGA_TABLAS,PUBLICACION,FORMATO,DESCRIPCION) VALUES (112.1,'1.12 Produccion Agentes','INYC_PROD_AGENTES',TO_DATE('20170101','yyyymmdd'),TO_DATE('22000101','yyyymmdd'),'DIARIO','DIARIO','excel','PRAG');</v>
      </c>
      <c r="B71" t="str">
        <f>IF(INFORMES!J72="OBSOLETO","","INSERT INTO INYCEXT.INYC_CONF_INFORMES@tc_link (COD_INFORME,DESC_INFORME,TABLA,F_INICIO,F_FIN,CARGA_TABLAS,PUBLICACION,FORMATO,DESCRIPCION) VALUES ("&amp;INFORMES!B72&amp;",'"&amp;INFORMES!C72&amp;"','"&amp;INFORMES!D72&amp;"',TO_DATE('"&amp;INFORMES!E72&amp;"','yyyymmdd'),TO_DATE('"&amp;INFORMES!F72&amp;"','yyyymmdd'),'"&amp;INFORMES!G72&amp;"','"&amp;INFORMES!H72&amp;"','"&amp;INFORMES!I72&amp;"','"&amp;INFORMES!J72&amp;"');")</f>
        <v>INSERT INTO INYCEXT.INYC_CONF_INFORMES@tc_link (COD_INFORME,DESC_INFORME,TABLA,F_INICIO,F_FIN,CARGA_TABLAS,PUBLICACION,FORMATO,DESCRIPCION) VALUES (112.1,'1.12 Produccion Agentes','INYC_PROD_AGENTES',TO_DATE('20170101','yyyymmdd'),TO_DATE('22000101','yyyymmdd'),'DIARIO','DIARIO','excel','PRAG');</v>
      </c>
    </row>
    <row r="72" spans="1:2" x14ac:dyDescent="0.25">
      <c r="A72" t="str">
        <f>IF(INFORMES!J73="OBSOLETO","","INSERT INTO INYCEXT.INYC_CONF_INFORMES (COD_INFORME,DESC_INFORME,TABLA,F_INICIO,F_FIN,CARGA_TABLAS,PUBLICACION,FORMATO,DESCRIPCION) VALUES ("&amp;INFORMES!B73&amp;",'"&amp;INFORMES!C73&amp;"','"&amp;INFORMES!D73&amp;"',TO_DATE('"&amp;INFORMES!E73&amp;"','yyyymmdd'),TO_DATE('"&amp;INFORMES!F73&amp;"','yyyymmdd'),'"&amp;INFORMES!G73&amp;"','"&amp;INFORMES!H73&amp;"','"&amp;INFORMES!I73&amp;"','"&amp;INFORMES!J73&amp;"');")</f>
        <v>INSERT INTO INYCEXT.INYC_CONF_INFORMES (COD_INFORME,DESC_INFORME,TABLA,F_INICIO,F_FIN,CARGA_TABLAS,PUBLICACION,FORMATO,DESCRIPCION) VALUES (113.1,'1.13 Percepciones Inspectores','INYC_PERC_INSPECTORES',TO_DATE('20170101','yyyymmdd'),TO_DATE('22000101','yyyymmdd'),'DIARIO','DIARIO','excel','PEIN');</v>
      </c>
      <c r="B72" t="str">
        <f>IF(INFORMES!J73="OBSOLETO","","INSERT INTO INYCEXT.INYC_CONF_INFORMES@tc_link (COD_INFORME,DESC_INFORME,TABLA,F_INICIO,F_FIN,CARGA_TABLAS,PUBLICACION,FORMATO,DESCRIPCION) VALUES ("&amp;INFORMES!B73&amp;",'"&amp;INFORMES!C73&amp;"','"&amp;INFORMES!D73&amp;"',TO_DATE('"&amp;INFORMES!E73&amp;"','yyyymmdd'),TO_DATE('"&amp;INFORMES!F73&amp;"','yyyymmdd'),'"&amp;INFORMES!G73&amp;"','"&amp;INFORMES!H73&amp;"','"&amp;INFORMES!I73&amp;"','"&amp;INFORMES!J73&amp;"');")</f>
        <v>INSERT INTO INYCEXT.INYC_CONF_INFORMES@tc_link (COD_INFORME,DESC_INFORME,TABLA,F_INICIO,F_FIN,CARGA_TABLAS,PUBLICACION,FORMATO,DESCRIPCION) VALUES (113.1,'1.13 Percepciones Inspectores','INYC_PERC_INSPECTORES',TO_DATE('20170101','yyyymmdd'),TO_DATE('22000101','yyyymmdd'),'DIARIO','DIARIO','excel','PEIN');</v>
      </c>
    </row>
    <row r="73" spans="1:2" x14ac:dyDescent="0.25">
      <c r="A73" t="str">
        <f>IF(INFORMES!J74="OBSOLETO","","INSERT INTO INYCEXT.INYC_CONF_INFORMES (COD_INFORME,DESC_INFORME,TABLA,F_INICIO,F_FIN,CARGA_TABLAS,PUBLICACION,FORMATO,DESCRIPCION) VALUES ("&amp;INFORMES!B74&amp;",'"&amp;INFORMES!C74&amp;"','"&amp;INFORMES!D74&amp;"',TO_DATE('"&amp;INFORMES!E74&amp;"','yyyymmdd'),TO_DATE('"&amp;INFORMES!F74&amp;"','yyyymmdd'),'"&amp;INFORMES!G74&amp;"','"&amp;INFORMES!H74&amp;"','"&amp;INFORMES!I74&amp;"','"&amp;INFORMES!J74&amp;"');")</f>
        <v>INSERT INTO INYCEXT.INYC_CONF_INFORMES (COD_INFORME,DESC_INFORME,TABLA,F_INICIO,F_FIN,CARGA_TABLAS,PUBLICACION,FORMATO,DESCRIPCION) VALUES (114.1,'1.14 Produccion Inspectores','INYC_PROD_INSPECTORES',TO_DATE('20170101','yyyymmdd'),TO_DATE('22000101','yyyymmdd'),'DIARIO','DIARIO','excel','PRIN');</v>
      </c>
      <c r="B73" t="str">
        <f>IF(INFORMES!J74="OBSOLETO","","INSERT INTO INYCEXT.INYC_CONF_INFORMES@tc_link (COD_INFORME,DESC_INFORME,TABLA,F_INICIO,F_FIN,CARGA_TABLAS,PUBLICACION,FORMATO,DESCRIPCION) VALUES ("&amp;INFORMES!B74&amp;",'"&amp;INFORMES!C74&amp;"','"&amp;INFORMES!D74&amp;"',TO_DATE('"&amp;INFORMES!E74&amp;"','yyyymmdd'),TO_DATE('"&amp;INFORMES!F74&amp;"','yyyymmdd'),'"&amp;INFORMES!G74&amp;"','"&amp;INFORMES!H74&amp;"','"&amp;INFORMES!I74&amp;"','"&amp;INFORMES!J74&amp;"');")</f>
        <v>INSERT INTO INYCEXT.INYC_CONF_INFORMES@tc_link (COD_INFORME,DESC_INFORME,TABLA,F_INICIO,F_FIN,CARGA_TABLAS,PUBLICACION,FORMATO,DESCRIPCION) VALUES (114.1,'1.14 Produccion Inspectores','INYC_PROD_INSPECTORES',TO_DATE('20170101','yyyymmdd'),TO_DATE('22000101','yyyymmdd'),'DIARIO','DIARIO','excel','PRIN');</v>
      </c>
    </row>
    <row r="74" spans="1:2" x14ac:dyDescent="0.25">
      <c r="A74" t="str">
        <f>IF(INFORMES!J75="OBSOLETO","","INSERT INTO INYCEXT.INYC_CONF_INFORMES (COD_INFORME,DESC_INFORME,TABLA,F_INICIO,F_FIN,CARGA_TABLAS,PUBLICACION,FORMATO,DESCRIPCION) VALUES ("&amp;INFORMES!B75&amp;",'"&amp;INFORMES!C75&amp;"','"&amp;INFORMES!D75&amp;"',TO_DATE('"&amp;INFORMES!E75&amp;"','yyyymmdd'),TO_DATE('"&amp;INFORMES!F75&amp;"','yyyymmdd'),'"&amp;INFORMES!G75&amp;"','"&amp;INFORMES!H75&amp;"','"&amp;INFORMES!I75&amp;"','"&amp;INFORMES!J75&amp;"');")</f>
        <v>INSERT INTO INYCEXT.INYC_CONF_INFORMES (COD_INFORME,DESC_INFORME,TABLA,F_INICIO,F_FIN,CARGA_TABLAS,PUBLICACION,FORMATO,DESCRIPCION) VALUES (115.1,'1.15 Cartera Agentes','INYC_CARTERA_AGENTES',TO_DATE('20170101','yyyymmdd'),TO_DATE('22000101','yyyymmdd'),'DIARIO','DIARIO','excel','CARTERA');</v>
      </c>
      <c r="B74" t="str">
        <f>IF(INFORMES!J75="OBSOLETO","","INSERT INTO INYCEXT.INYC_CONF_INFORMES@tc_link (COD_INFORME,DESC_INFORME,TABLA,F_INICIO,F_FIN,CARGA_TABLAS,PUBLICACION,FORMATO,DESCRIPCION) VALUES ("&amp;INFORMES!B75&amp;",'"&amp;INFORMES!C75&amp;"','"&amp;INFORMES!D75&amp;"',TO_DATE('"&amp;INFORMES!E75&amp;"','yyyymmdd'),TO_DATE('"&amp;INFORMES!F75&amp;"','yyyymmdd'),'"&amp;INFORMES!G75&amp;"','"&amp;INFORMES!H75&amp;"','"&amp;INFORMES!I75&amp;"','"&amp;INFORMES!J75&amp;"');")</f>
        <v>INSERT INTO INYCEXT.INYC_CONF_INFORMES@tc_link (COD_INFORME,DESC_INFORME,TABLA,F_INICIO,F_FIN,CARGA_TABLAS,PUBLICACION,FORMATO,DESCRIPCION) VALUES (115.1,'1.15 Cartera Agentes','INYC_CARTERA_AGENTES',TO_DATE('20170101','yyyymmdd'),TO_DATE('22000101','yyyymmdd'),'DIARIO','DIARIO','excel','CARTERA');</v>
      </c>
    </row>
    <row r="75" spans="1:2" x14ac:dyDescent="0.25">
      <c r="A75" t="str">
        <f>IF(INFORMES!J76="OBSOLETO","","INSERT INTO INYCEXT.INYC_CONF_INFORMES (COD_INFORME,DESC_INFORME,TABLA,F_INICIO,F_FIN,CARGA_TABLAS,PUBLICACION,FORMATO,DESCRIPCION) VALUES ("&amp;INFORMES!B76&amp;",'"&amp;INFORMES!C76&amp;"','"&amp;INFORMES!D76&amp;"',TO_DATE('"&amp;INFORMES!E76&amp;"','yyyymmdd'),TO_DATE('"&amp;INFORMES!F76&amp;"','yyyymmdd'),'"&amp;INFORMES!G76&amp;"','"&amp;INFORMES!H76&amp;"','"&amp;INFORMES!I76&amp;"','"&amp;INFORMES!J76&amp;"');")</f>
        <v>INSERT INTO INYCEXT.INYC_CONF_INFORMES (COD_INFORME,DESC_INFORME,TABLA,F_INICIO,F_FIN,CARGA_TABLAS,PUBLICACION,FORMATO,DESCRIPCION) VALUES (116.1,'1.16 Agentes Activos - OMESCU','INYC_INSP_ACTIVOS',TO_DATE('20170101','yyyymmdd'),TO_DATE('22000101','yyyymmdd'),'DIARIO','DIARIO','excel','OMESCU');</v>
      </c>
      <c r="B75" t="str">
        <f>IF(INFORMES!J76="OBSOLETO","","INSERT INTO INYCEXT.INYC_CONF_INFORMES@tc_link (COD_INFORME,DESC_INFORME,TABLA,F_INICIO,F_FIN,CARGA_TABLAS,PUBLICACION,FORMATO,DESCRIPCION) VALUES ("&amp;INFORMES!B76&amp;",'"&amp;INFORMES!C76&amp;"','"&amp;INFORMES!D76&amp;"',TO_DATE('"&amp;INFORMES!E76&amp;"','yyyymmdd'),TO_DATE('"&amp;INFORMES!F76&amp;"','yyyymmdd'),'"&amp;INFORMES!G76&amp;"','"&amp;INFORMES!H76&amp;"','"&amp;INFORMES!I76&amp;"','"&amp;INFORMES!J76&amp;"');")</f>
        <v>INSERT INTO INYCEXT.INYC_CONF_INFORMES@tc_link (COD_INFORME,DESC_INFORME,TABLA,F_INICIO,F_FIN,CARGA_TABLAS,PUBLICACION,FORMATO,DESCRIPCION) VALUES (116.1,'1.16 Agentes Activos - OMESCU','INYC_INSP_ACTIVOS',TO_DATE('20170101','yyyymmdd'),TO_DATE('22000101','yyyymmdd'),'DIARIO','DIARIO','excel','OMESCU');</v>
      </c>
    </row>
    <row r="76" spans="1:2" x14ac:dyDescent="0.25">
      <c r="A76" t="str">
        <f>IF(INFORMES!J77="OBSOLETO","","INSERT INTO INYCEXT.INYC_CONF_INFORMES (COD_INFORME,DESC_INFORME,TABLA,F_INICIO,F_FIN,CARGA_TABLAS,PUBLICACION,FORMATO,DESCRIPCION) VALUES ("&amp;INFORMES!B77&amp;",'"&amp;INFORMES!C77&amp;"','"&amp;INFORMES!D77&amp;"',TO_DATE('"&amp;INFORMES!E77&amp;"','yyyymmdd'),TO_DATE('"&amp;INFORMES!F77&amp;"','yyyymmdd'),'"&amp;INFORMES!G77&amp;"','"&amp;INFORMES!H77&amp;"','"&amp;INFORMES!I77&amp;"','"&amp;INFORMES!J77&amp;"');")</f>
        <v>INSERT INTO INYCEXT.INYC_CONF_INFORMES (COD_INFORME,DESC_INFORME,TABLA,F_INICIO,F_FIN,CARGA_TABLAS,PUBLICACION,FORMATO,DESCRIPCION) VALUES (302.1,'3.2 Produccion Agentes','INYC_PROD_E_AGENTES',TO_DATE('20180101','yyyymmdd'),TO_DATE('22000101','yyyymmdd'),'DIARIO','DIARIO','excel','PRAG_E');</v>
      </c>
      <c r="B76" t="str">
        <f>IF(INFORMES!J77="OBSOLETO","","INSERT INTO INYCEXT.INYC_CONF_INFORMES@tc_link (COD_INFORME,DESC_INFORME,TABLA,F_INICIO,F_FIN,CARGA_TABLAS,PUBLICACION,FORMATO,DESCRIPCION) VALUES ("&amp;INFORMES!B77&amp;",'"&amp;INFORMES!C77&amp;"','"&amp;INFORMES!D77&amp;"',TO_DATE('"&amp;INFORMES!E77&amp;"','yyyymmdd'),TO_DATE('"&amp;INFORMES!F77&amp;"','yyyymmdd'),'"&amp;INFORMES!G77&amp;"','"&amp;INFORMES!H77&amp;"','"&amp;INFORMES!I77&amp;"','"&amp;INFORMES!J77&amp;"');")</f>
        <v>INSERT INTO INYCEXT.INYC_CONF_INFORMES@tc_link (COD_INFORME,DESC_INFORME,TABLA,F_INICIO,F_FIN,CARGA_TABLAS,PUBLICACION,FORMATO,DESCRIPCION) VALUES (302.1,'3.2 Produccion Agentes','INYC_PROD_E_AGENTES',TO_DATE('20180101','yyyymmdd'),TO_DATE('22000101','yyyymmdd'),'DIARIO','DIARIO','excel','PRAG_E');</v>
      </c>
    </row>
    <row r="77" spans="1:2" x14ac:dyDescent="0.25">
      <c r="A77" t="str">
        <f>IF(INFORMES!J78="OBSOLETO","","INSERT INTO INYCEXT.INYC_CONF_INFORMES (COD_INFORME,DESC_INFORME,TABLA,F_INICIO,F_FIN,CARGA_TABLAS,PUBLICACION,FORMATO,DESCRIPCION) VALUES ("&amp;INFORMES!B78&amp;",'"&amp;INFORMES!C78&amp;"','"&amp;INFORMES!D78&amp;"',TO_DATE('"&amp;INFORMES!E78&amp;"','yyyymmdd'),TO_DATE('"&amp;INFORMES!F78&amp;"','yyyymmdd'),'"&amp;INFORMES!G78&amp;"','"&amp;INFORMES!H78&amp;"','"&amp;INFORMES!I78&amp;"','"&amp;INFORMES!J78&amp;"');")</f>
        <v>INSERT INTO INYCEXT.INYC_CONF_INFORMES (COD_INFORME,DESC_INFORME,TABLA,F_INICIO,F_FIN,CARGA_TABLAS,PUBLICACION,FORMATO,DESCRIPCION) VALUES (128.1,'1.28 Super Accion Resumen','INYC_SAC_RESUMEN',TO_DATE('20210901','yyyymmdd'),TO_DATE('22000101','yyyymmdd'),'1,2,3,4,5,6,7,8,9,10,11,12','1,2,3,4,5,6,7,8,9,10,11,12','pdf','SAC');</v>
      </c>
      <c r="B77" t="str">
        <f>IF(INFORMES!J78="OBSOLETO","","INSERT INTO INYCEXT.INYC_CONF_INFORMES@tc_link (COD_INFORME,DESC_INFORME,TABLA,F_INICIO,F_FIN,CARGA_TABLAS,PUBLICACION,FORMATO,DESCRIPCION) VALUES ("&amp;INFORMES!B78&amp;",'"&amp;INFORMES!C78&amp;"','"&amp;INFORMES!D78&amp;"',TO_DATE('"&amp;INFORMES!E78&amp;"','yyyymmdd'),TO_DATE('"&amp;INFORMES!F78&amp;"','yyyymmdd'),'"&amp;INFORMES!G78&amp;"','"&amp;INFORMES!H78&amp;"','"&amp;INFORMES!I78&amp;"','"&amp;INFORMES!J78&amp;"');")</f>
        <v>INSERT INTO INYCEXT.INYC_CONF_INFORMES@tc_link (COD_INFORME,DESC_INFORME,TABLA,F_INICIO,F_FIN,CARGA_TABLAS,PUBLICACION,FORMATO,DESCRIPCION) VALUES (128.1,'1.28 Super Accion Resumen','INYC_SAC_RESUMEN',TO_DATE('20210901','yyyymmdd'),TO_DATE('22000101','yyyymmdd'),'1,2,3,4,5,6,7,8,9,10,11,12','1,2,3,4,5,6,7,8,9,10,11,12','pdf','SAC');</v>
      </c>
    </row>
    <row r="78" spans="1:2" x14ac:dyDescent="0.25">
      <c r="A78" t="str">
        <f>IF(INFORMES!J79="OBSOLETO","","INSERT INTO INYCEXT.INYC_CONF_INFORMES (COD_INFORME,DESC_INFORME,TABLA,F_INICIO,F_FIN,CARGA_TABLAS,PUBLICACION,FORMATO,DESCRIPCION) VALUES ("&amp;INFORMES!B79&amp;",'"&amp;INFORMES!C79&amp;"','"&amp;INFORMES!D79&amp;"',TO_DATE('"&amp;INFORMES!E79&amp;"','yyyymmdd'),TO_DATE('"&amp;INFORMES!F79&amp;"','yyyymmdd'),'"&amp;INFORMES!G79&amp;"','"&amp;INFORMES!H79&amp;"','"&amp;INFORMES!I79&amp;"','"&amp;INFORMES!J79&amp;"');")</f>
        <v>INSERT INTO INYCEXT.INYC_CONF_INFORMES (COD_INFORME,DESC_INFORME,TABLA,F_INICIO,F_FIN,CARGA_TABLAS,PUBLICACION,FORMATO,DESCRIPCION) VALUES (128.2,'1.28 Super Accion Detalle','INYC_SAC_DETALLE',TO_DATE('20210901','yyyymmdd'),TO_DATE('20200101','yyyymmdd'),'1,2,3,4,5,6,7,8,9,10,11,12','1,2,3,4,5,6,7,8,9,10,11,12','excel','SAC');</v>
      </c>
      <c r="B78" t="str">
        <f>IF(INFORMES!J79="OBSOLETO","","INSERT INTO INYCEXT.INYC_CONF_INFORMES@tc_link (COD_INFORME,DESC_INFORME,TABLA,F_INICIO,F_FIN,CARGA_TABLAS,PUBLICACION,FORMATO,DESCRIPCION) VALUES ("&amp;INFORMES!B79&amp;",'"&amp;INFORMES!C79&amp;"','"&amp;INFORMES!D79&amp;"',TO_DATE('"&amp;INFORMES!E79&amp;"','yyyymmdd'),TO_DATE('"&amp;INFORMES!F79&amp;"','yyyymmdd'),'"&amp;INFORMES!G79&amp;"','"&amp;INFORMES!H79&amp;"','"&amp;INFORMES!I79&amp;"','"&amp;INFORMES!J79&amp;"');")</f>
        <v>INSERT INTO INYCEXT.INYC_CONF_INFORMES@tc_link (COD_INFORME,DESC_INFORME,TABLA,F_INICIO,F_FIN,CARGA_TABLAS,PUBLICACION,FORMATO,DESCRIPCION) VALUES (128.2,'1.28 Super Accion Detalle','INYC_SAC_DETALLE',TO_DATE('20210901','yyyymmdd'),TO_DATE('20200101','yyyymmdd'),'1,2,3,4,5,6,7,8,9,10,11,12','1,2,3,4,5,6,7,8,9,10,11,12','excel','SAC');</v>
      </c>
    </row>
    <row r="79" spans="1:2" x14ac:dyDescent="0.25">
      <c r="A79" t="str">
        <f>IF(INFORMES!J80="OBSOLETO","","INSERT INTO INYCEXT.INYC_CONF_INFORMES (COD_INFORME,DESC_INFORME,TABLA,F_INICIO,F_FIN,CARGA_TABLAS,PUBLICACION,FORMATO,DESCRIPCION) VALUES ("&amp;INFORMES!B80&amp;",'"&amp;INFORMES!C80&amp;"','"&amp;INFORMES!D80&amp;"',TO_DATE('"&amp;INFORMES!E80&amp;"','yyyymmdd'),TO_DATE('"&amp;INFORMES!F80&amp;"','yyyymmdd'),'"&amp;INFORMES!G80&amp;"','"&amp;INFORMES!H80&amp;"','"&amp;INFORMES!I80&amp;"','"&amp;INFORMES!J80&amp;"');")</f>
        <v>INSERT INTO INYCEXT.INYC_CONF_INFORMES (COD_INFORME,DESC_INFORME,TABLA,F_INICIO,F_FIN,CARGA_TABLAS,PUBLICACION,FORMATO,DESCRIPCION) VALUES (33.1,'W-O - Gestiones Explotacion Resumen','INYC_GES_RESUMEN',TO_DATE('20220501','yyyymmdd'),TO_DATE('22000101','yyyymmdd'),'1,2,3,4,5,6,7,8,9,10,11,12','1,2,3,4,5,6,7,8,9,10,11,12','pdf','GEX');</v>
      </c>
      <c r="B79" t="str">
        <f>IF(INFORMES!J80="OBSOLETO","","INSERT INTO INYCEXT.INYC_CONF_INFORMES@tc_link (COD_INFORME,DESC_INFORME,TABLA,F_INICIO,F_FIN,CARGA_TABLAS,PUBLICACION,FORMATO,DESCRIPCION) VALUES ("&amp;INFORMES!B80&amp;",'"&amp;INFORMES!C80&amp;"','"&amp;INFORMES!D80&amp;"',TO_DATE('"&amp;INFORMES!E80&amp;"','yyyymmdd'),TO_DATE('"&amp;INFORMES!F80&amp;"','yyyymmdd'),'"&amp;INFORMES!G80&amp;"','"&amp;INFORMES!H80&amp;"','"&amp;INFORMES!I80&amp;"','"&amp;INFORMES!J80&amp;"');")</f>
        <v>INSERT INTO INYCEXT.INYC_CONF_INFORMES@tc_link (COD_INFORME,DESC_INFORME,TABLA,F_INICIO,F_FIN,CARGA_TABLAS,PUBLICACION,FORMATO,DESCRIPCION) VALUES (33.1,'W-O - Gestiones Explotacion Resumen','INYC_GES_RESUMEN',TO_DATE('20220501','yyyymmdd'),TO_DATE('22000101','yyyymmdd'),'1,2,3,4,5,6,7,8,9,10,11,12','1,2,3,4,5,6,7,8,9,10,11,12','pdf','GEX');</v>
      </c>
    </row>
    <row r="80" spans="1:2" x14ac:dyDescent="0.25">
      <c r="A80" t="str">
        <f>IF(INFORMES!J81="OBSOLETO","","INSERT INTO INYCEXT.INYC_CONF_INFORMES (COD_INFORME,DESC_INFORME,TABLA,F_INICIO,F_FIN,CARGA_TABLAS,PUBLICACION,FORMATO,DESCRIPCION) VALUES ("&amp;INFORMES!B81&amp;",'"&amp;INFORMES!C81&amp;"','"&amp;INFORMES!D81&amp;"',TO_DATE('"&amp;INFORMES!E81&amp;"','yyyymmdd'),TO_DATE('"&amp;INFORMES!F81&amp;"','yyyymmdd'),'"&amp;INFORMES!G81&amp;"','"&amp;INFORMES!H81&amp;"','"&amp;INFORMES!I81&amp;"','"&amp;INFORMES!J81&amp;"');")</f>
        <v>INSERT INTO INYCEXT.INYC_CONF_INFORMES (COD_INFORME,DESC_INFORME,TABLA,F_INICIO,F_FIN,CARGA_TABLAS,PUBLICACION,FORMATO,DESCRIPCION) VALUES (33.2,'W-O - Gestiones Explotacion Detalle','INYC_GES_DETALLE',TO_DATE('20220501','yyyymmdd'),TO_DATE('20200101','yyyymmdd'),'1,2,3,4,5,6,7,8,9,10,11,12','1,2,3,4,5,6,7,8,9,10,11,12','excel','GEX');</v>
      </c>
      <c r="B80" t="str">
        <f>IF(INFORMES!J81="OBSOLETO","","INSERT INTO INYCEXT.INYC_CONF_INFORMES@tc_link (COD_INFORME,DESC_INFORME,TABLA,F_INICIO,F_FIN,CARGA_TABLAS,PUBLICACION,FORMATO,DESCRIPCION) VALUES ("&amp;INFORMES!B81&amp;",'"&amp;INFORMES!C81&amp;"','"&amp;INFORMES!D81&amp;"',TO_DATE('"&amp;INFORMES!E81&amp;"','yyyymmdd'),TO_DATE('"&amp;INFORMES!F81&amp;"','yyyymmdd'),'"&amp;INFORMES!G81&amp;"','"&amp;INFORMES!H81&amp;"','"&amp;INFORMES!I81&amp;"','"&amp;INFORMES!J81&amp;"');")</f>
        <v>INSERT INTO INYCEXT.INYC_CONF_INFORMES@tc_link (COD_INFORME,DESC_INFORME,TABLA,F_INICIO,F_FIN,CARGA_TABLAS,PUBLICACION,FORMATO,DESCRIPCION) VALUES (33.2,'W-O - Gestiones Explotacion Detalle','INYC_GES_DETALLE',TO_DATE('20220501','yyyymmdd'),TO_DATE('20200101','yyyymmdd'),'1,2,3,4,5,6,7,8,9,10,11,12','1,2,3,4,5,6,7,8,9,10,11,12','excel','GEX');</v>
      </c>
    </row>
    <row r="81" spans="1:1" x14ac:dyDescent="0.25">
      <c r="A81" t="str">
        <f>IF(INFORMES!J82="OBSOLETO","","INSERT INTO INYCEXT.INYC_CONF_INFORMES (COD_INFORME,DESC_INFORME,TABLA,F_INICIO,F_FIN,CARGA_TABLAS,PUBLICACION,FORMATO,DESCRIPCION) VALUES ("&amp;INFORMES!B82&amp;",'"&amp;INFORMES!C82&amp;"','"&amp;INFORMES!D82&amp;"',TO_DATE('"&amp;INFORMES!E82&amp;"','yyyymmdd'),TO_DATE('"&amp;INFORMES!F82&amp;"','yyyymmdd'),'"&amp;INFORMES!G82&amp;"','"&amp;INFORMES!H82&amp;"','"&amp;INFORMES!I82&amp;"','"&amp;INFORMES!J82&amp;"');")</f>
        <v>INSERT INTO INYCEXT.INYC_CONF_INFORMES (COD_INFORME,DESC_INFORME,TABLA,F_INICIO,F_FIN,CARGA_TABLAS,PUBLICACION,FORMATO,DESCRIPCION) VALUES (3.3,'3.3 Percepciones Agentes Eterna','INYC_PERC_E_AGENTES',TO_DATE('20170101','yyyymmdd'),TO_DATE('22000101','yyyymmdd'),'DIARIO','DIARIO','excel','PEAG_E');</v>
      </c>
    </row>
    <row r="82" spans="1:1" x14ac:dyDescent="0.25">
      <c r="A82" t="str">
        <f>IF(INFORMES!J83="OBSOLETO","","INSERT INTO INYCEXT.INYC_CONF_INFORMES (COD_INFORME,DESC_INFORME,TABLA,F_INICIO,F_FIN,CARGA_TABLAS,PUBLICACION,FORMATO,DESCRIPCION) VALUES ("&amp;INFORMES!B83&amp;",'"&amp;INFORMES!C83&amp;"','"&amp;INFORMES!D83&amp;"',TO_DATE('"&amp;INFORMES!E83&amp;"','yyyymmdd'),TO_DATE('"&amp;INFORMES!F83&amp;"','yyyymmdd'),'"&amp;INFORMES!G83&amp;"','"&amp;INFORMES!H83&amp;"','"&amp;INFORMES!I83&amp;"','"&amp;INFORMES!J83&amp;"');")</f>
        <v>INSERT INTO INYCEXT.INYC_CONF_INFORMES (COD_INFORME,DESC_INFORME,TABLA,F_INICIO,F_FIN,CARGA_TABLAS,PUBLICACION,FORMATO,DESCRIPCION) VALUES (3.4,'3.4 Percepciones Inspectores Eterna','INYC_PERC_E_INSPECTORES',TO_DATE('20220101','yyyymmdd'),TO_DATE('22000101','yyyymmdd'),'DIARIO','DIARIO','excel','PEIN_E');</v>
      </c>
    </row>
    <row r="83" spans="1:1" x14ac:dyDescent="0.25">
      <c r="A83" t="str">
        <f>IF(INFORMES!J84="OBSOLETO","","INSERT INTO INYCEXT.INYC_CONF_INFORMES (COD_INFORME,DESC_INFORME,TABLA,F_INICIO,F_FIN,CARGA_TABLAS,PUBLICACION,FORMATO,DESCRIPCION) VALUES ("&amp;INFORMES!B84&amp;",'"&amp;INFORMES!C84&amp;"','"&amp;INFORMES!D84&amp;"',TO_DATE('"&amp;INFORMES!E84&amp;"','yyyymmdd'),TO_DATE('"&amp;INFORMES!F84&amp;"','yyyymmdd'),'"&amp;INFORMES!G84&amp;"','"&amp;INFORMES!H84&amp;"','"&amp;INFORMES!I84&amp;"','"&amp;INFORMES!J84&amp;"');")</f>
        <v>INSERT INTO INYCEXT.INYC_CONF_INFORMES (COD_INFORME,DESC_INFORME,TABLA,F_INICIO,F_FIN,CARGA_TABLAS,PUBLICACION,FORMATO,DESCRIPCION) VALUES (117.1,'1.17 Produccion Inspectores Eterna','INYC_PROD_E_INSPECTORES',TO_DATE('20220101','yyyymmdd'),TO_DATE('22000101','yyyymmdd'),'DIARIO','DIARIO','excel','PRIN_E');</v>
      </c>
    </row>
    <row r="84" spans="1:1" x14ac:dyDescent="0.25">
      <c r="A84" t="str">
        <f>IF(INFORMES!J85="OBSOLETO","","INSERT INTO INYCEXT.INYC_CONF_INFORMES (COD_INFORME,DESC_INFORME,TABLA,F_INICIO,F_FIN,CARGA_TABLAS,PUBLICACION,FORMATO,DESCRIPCION) VALUES ("&amp;INFORMES!B85&amp;",'"&amp;INFORMES!C85&amp;"','"&amp;INFORMES!D85&amp;"',TO_DATE('"&amp;INFORMES!E85&amp;"','yyyymmdd'),TO_DATE('"&amp;INFORMES!F85&amp;"','yyyymmdd'),'"&amp;INFORMES!G85&amp;"','"&amp;INFORMES!H85&amp;"','"&amp;INFORMES!I85&amp;"','"&amp;INFORMES!J85&amp;"');")</f>
        <v>INSERT INTO INYCEXT.INYC_CONF_INFORMES (COD_INFORME,DESC_INFORME,TABLA,F_INICIO,F_FIN,CARGA_TABLAS,PUBLICACION,FORMATO,DESCRIPCION) VALUES (25.1,'W-O - Incentivos Inspectores Comerciales','INYC_RPI_RESUMEN',TO_DATE('20140101','yyyymmdd'),TO_DATE('22000101','yyyymmdd'),'DIARIO','DIARIO','pdf','PEPI');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K1409"/>
  <sheetViews>
    <sheetView topLeftCell="B1" zoomScale="85" zoomScaleNormal="85" workbookViewId="0">
      <pane ySplit="1" topLeftCell="A1385" activePane="bottomLeft" state="frozen"/>
      <selection pane="bottomLeft" activeCell="F1409" sqref="F1404:F1409"/>
    </sheetView>
  </sheetViews>
  <sheetFormatPr defaultColWidth="11.42578125" defaultRowHeight="15" x14ac:dyDescent="0.25"/>
  <cols>
    <col min="1" max="1" width="9.5703125" bestFit="1" customWidth="1"/>
    <col min="2" max="2" width="16.42578125" bestFit="1" customWidth="1"/>
    <col min="3" max="3" width="23" customWidth="1"/>
    <col min="4" max="4" width="40.28515625" customWidth="1"/>
    <col min="5" max="5" width="12.5703125" customWidth="1"/>
    <col min="6" max="6" width="53.140625" customWidth="1"/>
    <col min="7" max="7" width="57.5703125" customWidth="1"/>
    <col min="8" max="8" width="11" bestFit="1" customWidth="1"/>
    <col min="9" max="9" width="10.28515625" customWidth="1"/>
    <col min="10" max="10" width="18.140625" customWidth="1"/>
    <col min="11" max="11" width="11.140625" bestFit="1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321</v>
      </c>
      <c r="E1" s="1"/>
      <c r="F1" s="1" t="s">
        <v>322</v>
      </c>
      <c r="G1" s="1" t="s">
        <v>323</v>
      </c>
      <c r="H1" s="1" t="s">
        <v>4</v>
      </c>
      <c r="I1" s="1" t="s">
        <v>5</v>
      </c>
      <c r="J1" s="1" t="s">
        <v>9</v>
      </c>
      <c r="K1" s="1" t="s">
        <v>324</v>
      </c>
    </row>
    <row r="2" spans="1:11" x14ac:dyDescent="0.25">
      <c r="A2">
        <v>1</v>
      </c>
      <c r="B2" t="s">
        <v>10</v>
      </c>
      <c r="C2" t="s">
        <v>12</v>
      </c>
      <c r="D2" t="s">
        <v>325</v>
      </c>
      <c r="E2" t="b">
        <f t="shared" ref="E2:E95" si="0">F2=G2</f>
        <v>1</v>
      </c>
      <c r="F2" t="s">
        <v>326</v>
      </c>
      <c r="G2" t="str">
        <f>IF(ISERROR(VLOOKUP(F2,MODIFICACIONES_REALIZADAS!F:H,3,)),F2,VLOOKUP(F2,MODIFICACIONES_REALIZADAS!F:H,3,))</f>
        <v>SM-O-RPP-Inspector-ObjetivoAnual-NumPolizas-001</v>
      </c>
      <c r="H2">
        <v>20140101</v>
      </c>
      <c r="I2">
        <v>22000101</v>
      </c>
    </row>
    <row r="3" spans="1:11" x14ac:dyDescent="0.25">
      <c r="A3">
        <v>1</v>
      </c>
      <c r="B3" t="s">
        <v>10</v>
      </c>
      <c r="C3" t="s">
        <v>12</v>
      </c>
      <c r="D3" t="s">
        <v>327</v>
      </c>
      <c r="E3" t="b">
        <f t="shared" si="0"/>
        <v>1</v>
      </c>
      <c r="F3" t="s">
        <v>328</v>
      </c>
      <c r="G3" t="str">
        <f>IF(ISERROR(VLOOKUP(F3,MODIFICACIONES_REALIZADAS!F:H,3,)),F3,VLOOKUP(F3,MODIFICACIONES_REALIZADAS!F:H,3,))</f>
        <v>SM-O-RPP-Inspector-ObjetivoAnual-NumPolizas-002</v>
      </c>
      <c r="H3">
        <v>20140101</v>
      </c>
      <c r="I3">
        <v>22000101</v>
      </c>
    </row>
    <row r="4" spans="1:11" x14ac:dyDescent="0.25">
      <c r="A4">
        <v>1</v>
      </c>
      <c r="B4" t="s">
        <v>10</v>
      </c>
      <c r="C4" t="s">
        <v>12</v>
      </c>
      <c r="D4" t="s">
        <v>329</v>
      </c>
      <c r="E4" t="b">
        <f t="shared" si="0"/>
        <v>1</v>
      </c>
      <c r="F4" t="s">
        <v>330</v>
      </c>
      <c r="G4" t="str">
        <f>IF(ISERROR(VLOOKUP(F4,MODIFICACIONES_REALIZADAS!F:H,3,)),F4,VLOOKUP(F4,MODIFICACIONES_REALIZADAS!F:H,3,))</f>
        <v>SM-O-RPP-Inspector-ObjetivoAnual-NumPolizas-906</v>
      </c>
      <c r="H4">
        <v>20140101</v>
      </c>
      <c r="I4">
        <v>22000101</v>
      </c>
    </row>
    <row r="5" spans="1:11" x14ac:dyDescent="0.25">
      <c r="A5">
        <v>1</v>
      </c>
      <c r="B5" t="s">
        <v>10</v>
      </c>
      <c r="C5" t="s">
        <v>12</v>
      </c>
      <c r="D5" t="s">
        <v>331</v>
      </c>
      <c r="E5" t="b">
        <f t="shared" si="0"/>
        <v>1</v>
      </c>
      <c r="F5" t="s">
        <v>332</v>
      </c>
      <c r="G5" t="str">
        <f>IF(ISERROR(VLOOKUP(F5,MODIFICACIONES_REALIZADAS!F:H,3,)),F5,VLOOKUP(F5,MODIFICACIONES_REALIZADAS!F:H,3,))</f>
        <v>SM-O-RPP-Inspector-ObjetivoAnual-NumPolizas-998</v>
      </c>
      <c r="H5">
        <v>20140101</v>
      </c>
      <c r="I5">
        <v>22000101</v>
      </c>
    </row>
    <row r="6" spans="1:11" x14ac:dyDescent="0.25">
      <c r="A6">
        <v>1</v>
      </c>
      <c r="B6" t="s">
        <v>10</v>
      </c>
      <c r="C6" t="s">
        <v>12</v>
      </c>
      <c r="D6" t="s">
        <v>333</v>
      </c>
      <c r="E6" t="b">
        <f t="shared" si="0"/>
        <v>1</v>
      </c>
      <c r="F6" t="s">
        <v>334</v>
      </c>
      <c r="G6" t="str">
        <f>IF(ISERROR(VLOOKUP(F6,MODIFICACIONES_REALIZADAS!F:H,3,)),F6,VLOOKUP(F6,MODIFICACIONES_REALIZADAS!F:H,3,))</f>
        <v>SM-O-RPP-Inspector-ObjetivoUnicoAnual-PrimaCorregida</v>
      </c>
      <c r="H6">
        <v>20140101</v>
      </c>
      <c r="I6">
        <v>22000101</v>
      </c>
    </row>
    <row r="7" spans="1:11" x14ac:dyDescent="0.25">
      <c r="A7">
        <v>1</v>
      </c>
      <c r="B7" t="s">
        <v>10</v>
      </c>
      <c r="C7" t="s">
        <v>12</v>
      </c>
      <c r="D7" t="s">
        <v>335</v>
      </c>
      <c r="E7" t="b">
        <f t="shared" si="0"/>
        <v>1</v>
      </c>
      <c r="F7" t="s">
        <v>336</v>
      </c>
      <c r="G7" t="str">
        <f>IF(ISERROR(VLOOKUP(F7,MODIFICACIONES_REALIZADAS!F:H,3,)),F7,VLOOKUP(F7,MODIFICACIONES_REALIZADAS!F:H,3,))</f>
        <v>SM-O-RPP-Inspector-ObjetivoTrimestral-Rappel1-NumPolizas-001</v>
      </c>
      <c r="H7">
        <v>20140101</v>
      </c>
      <c r="I7">
        <v>22000101</v>
      </c>
    </row>
    <row r="8" spans="1:11" x14ac:dyDescent="0.25">
      <c r="A8">
        <v>1</v>
      </c>
      <c r="B8" t="s">
        <v>10</v>
      </c>
      <c r="C8" t="s">
        <v>12</v>
      </c>
      <c r="D8" t="s">
        <v>337</v>
      </c>
      <c r="E8" t="b">
        <f t="shared" si="0"/>
        <v>1</v>
      </c>
      <c r="F8" t="s">
        <v>338</v>
      </c>
      <c r="G8" t="str">
        <f>IF(ISERROR(VLOOKUP(F8,MODIFICACIONES_REALIZADAS!F:H,3,)),F8,VLOOKUP(F8,MODIFICACIONES_REALIZADAS!F:H,3,))</f>
        <v>SM-O-RPP-Inspector-ObjetivoTrimestral-Rappel1-NumPolizas-002</v>
      </c>
      <c r="H8">
        <v>20140101</v>
      </c>
      <c r="I8">
        <v>22000101</v>
      </c>
    </row>
    <row r="9" spans="1:11" x14ac:dyDescent="0.25">
      <c r="A9">
        <v>1</v>
      </c>
      <c r="B9" t="s">
        <v>10</v>
      </c>
      <c r="C9" t="s">
        <v>12</v>
      </c>
      <c r="D9" t="s">
        <v>339</v>
      </c>
      <c r="E9" t="b">
        <f t="shared" si="0"/>
        <v>1</v>
      </c>
      <c r="F9" t="s">
        <v>340</v>
      </c>
      <c r="G9" t="str">
        <f>IF(ISERROR(VLOOKUP(F9,MODIFICACIONES_REALIZADAS!F:H,3,)),F9,VLOOKUP(F9,MODIFICACIONES_REALIZADAS!F:H,3,))</f>
        <v>SM-O-RPP-Inspector-ObjetivoTrimestral-Rappel1-NumPolizas-906</v>
      </c>
      <c r="H9">
        <v>20140101</v>
      </c>
      <c r="I9">
        <v>22000101</v>
      </c>
    </row>
    <row r="10" spans="1:11" x14ac:dyDescent="0.25">
      <c r="A10">
        <v>1</v>
      </c>
      <c r="B10" t="s">
        <v>10</v>
      </c>
      <c r="C10" t="s">
        <v>12</v>
      </c>
      <c r="D10" t="s">
        <v>341</v>
      </c>
      <c r="E10" t="b">
        <f t="shared" si="0"/>
        <v>1</v>
      </c>
      <c r="F10" t="s">
        <v>342</v>
      </c>
      <c r="G10" t="str">
        <f>IF(ISERROR(VLOOKUP(F10,MODIFICACIONES_REALIZADAS!F:H,3,)),F10,VLOOKUP(F10,MODIFICACIONES_REALIZADAS!F:H,3,))</f>
        <v>SM-O-RPP-Inspector-ObjetivoTrimestral-Rappel1-NumPolizas-998</v>
      </c>
      <c r="H10">
        <v>20140101</v>
      </c>
      <c r="I10">
        <v>22000101</v>
      </c>
    </row>
    <row r="11" spans="1:11" x14ac:dyDescent="0.25">
      <c r="A11">
        <v>1</v>
      </c>
      <c r="B11" t="s">
        <v>10</v>
      </c>
      <c r="C11" t="s">
        <v>12</v>
      </c>
      <c r="D11" t="s">
        <v>343</v>
      </c>
      <c r="E11" t="b">
        <f t="shared" si="0"/>
        <v>1</v>
      </c>
      <c r="F11" t="s">
        <v>344</v>
      </c>
      <c r="G11" t="str">
        <f>IF(ISERROR(VLOOKUP(F11,MODIFICACIONES_REALIZADAS!F:H,3,)),F11,VLOOKUP(F11,MODIFICACIONES_REALIZADAS!F:H,3,))</f>
        <v>SM-O-RPP-Inspector-ObjetivoTrimestral-Rappel2-NumPolizas-998</v>
      </c>
      <c r="H11">
        <v>20140101</v>
      </c>
      <c r="I11">
        <v>22000101</v>
      </c>
    </row>
    <row r="12" spans="1:11" x14ac:dyDescent="0.25">
      <c r="A12">
        <v>1</v>
      </c>
      <c r="B12" t="s">
        <v>10</v>
      </c>
      <c r="C12" t="s">
        <v>12</v>
      </c>
      <c r="D12" t="s">
        <v>345</v>
      </c>
      <c r="E12" t="b">
        <f t="shared" si="0"/>
        <v>1</v>
      </c>
      <c r="F12" t="s">
        <v>346</v>
      </c>
      <c r="G12" t="str">
        <f>IF(ISERROR(VLOOKUP(F12,MODIFICACIONES_REALIZADAS!F:H,3,)),F12,VLOOKUP(F12,MODIFICACIONES_REALIZADAS!F:H,3,))</f>
        <v>SM-RPP-Inspector-ImportesRegularizacionAnual-Rappel1-Mes1</v>
      </c>
      <c r="H12">
        <v>20140101</v>
      </c>
      <c r="I12">
        <v>22000101</v>
      </c>
    </row>
    <row r="13" spans="1:11" x14ac:dyDescent="0.25">
      <c r="A13">
        <v>1</v>
      </c>
      <c r="B13" t="s">
        <v>10</v>
      </c>
      <c r="C13" t="s">
        <v>12</v>
      </c>
      <c r="D13" t="s">
        <v>347</v>
      </c>
      <c r="E13" t="b">
        <f t="shared" si="0"/>
        <v>1</v>
      </c>
      <c r="F13" t="s">
        <v>348</v>
      </c>
      <c r="G13" t="str">
        <f>IF(ISERROR(VLOOKUP(F13,MODIFICACIONES_REALIZADAS!F:H,3,)),F13,VLOOKUP(F13,MODIFICACIONES_REALIZADAS!F:H,3,))</f>
        <v>SM-RPP-Inspector-ImportesRegularizacionAnual-Rappel1-Mes10</v>
      </c>
      <c r="H13">
        <v>20140101</v>
      </c>
      <c r="I13">
        <v>22000101</v>
      </c>
    </row>
    <row r="14" spans="1:11" x14ac:dyDescent="0.25">
      <c r="A14">
        <v>1</v>
      </c>
      <c r="B14" t="s">
        <v>10</v>
      </c>
      <c r="C14" t="s">
        <v>12</v>
      </c>
      <c r="D14" t="s">
        <v>349</v>
      </c>
      <c r="E14" t="b">
        <f t="shared" si="0"/>
        <v>1</v>
      </c>
      <c r="F14" t="s">
        <v>350</v>
      </c>
      <c r="G14" t="str">
        <f>IF(ISERROR(VLOOKUP(F14,MODIFICACIONES_REALIZADAS!F:H,3,)),F14,VLOOKUP(F14,MODIFICACIONES_REALIZADAS!F:H,3,))</f>
        <v>SM-RPP-Inspector-ImportesRegularizacionAnual-Rappel1-Mes11</v>
      </c>
      <c r="H14">
        <v>20140101</v>
      </c>
      <c r="I14">
        <v>22000101</v>
      </c>
    </row>
    <row r="15" spans="1:11" x14ac:dyDescent="0.25">
      <c r="A15">
        <v>1</v>
      </c>
      <c r="B15" t="s">
        <v>10</v>
      </c>
      <c r="C15" t="s">
        <v>12</v>
      </c>
      <c r="D15" t="s">
        <v>351</v>
      </c>
      <c r="E15" t="b">
        <f t="shared" si="0"/>
        <v>1</v>
      </c>
      <c r="F15" t="s">
        <v>352</v>
      </c>
      <c r="G15" t="str">
        <f>IF(ISERROR(VLOOKUP(F15,MODIFICACIONES_REALIZADAS!F:H,3,)),F15,VLOOKUP(F15,MODIFICACIONES_REALIZADAS!F:H,3,))</f>
        <v>SM-RPP-Inspector-ImportesRegularizacionAnual-Rappel1-Mes12</v>
      </c>
      <c r="H15">
        <v>20140101</v>
      </c>
      <c r="I15">
        <v>22000101</v>
      </c>
    </row>
    <row r="16" spans="1:11" x14ac:dyDescent="0.25">
      <c r="A16">
        <v>1</v>
      </c>
      <c r="B16" t="s">
        <v>10</v>
      </c>
      <c r="C16" t="s">
        <v>12</v>
      </c>
      <c r="D16" t="s">
        <v>353</v>
      </c>
      <c r="E16" t="b">
        <f t="shared" si="0"/>
        <v>1</v>
      </c>
      <c r="F16" t="s">
        <v>354</v>
      </c>
      <c r="G16" t="str">
        <f>IF(ISERROR(VLOOKUP(F16,MODIFICACIONES_REALIZADAS!F:H,3,)),F16,VLOOKUP(F16,MODIFICACIONES_REALIZADAS!F:H,3,))</f>
        <v>SM-RPP-Inspector-ImportesRegularizacionAnual-Rappel1-Mes2</v>
      </c>
      <c r="H16">
        <v>20140101</v>
      </c>
      <c r="I16">
        <v>22000101</v>
      </c>
    </row>
    <row r="17" spans="1:11" x14ac:dyDescent="0.25">
      <c r="A17">
        <v>1</v>
      </c>
      <c r="B17" t="s">
        <v>10</v>
      </c>
      <c r="C17" t="s">
        <v>12</v>
      </c>
      <c r="D17" t="s">
        <v>355</v>
      </c>
      <c r="E17" t="b">
        <f t="shared" si="0"/>
        <v>1</v>
      </c>
      <c r="F17" t="s">
        <v>356</v>
      </c>
      <c r="G17" t="str">
        <f>IF(ISERROR(VLOOKUP(F17,MODIFICACIONES_REALIZADAS!F:H,3,)),F17,VLOOKUP(F17,MODIFICACIONES_REALIZADAS!F:H,3,))</f>
        <v>SM-RPP-Inspector-ImportesRegularizacionAnual-Rappel1-Mes3</v>
      </c>
      <c r="H17">
        <v>20140101</v>
      </c>
      <c r="I17">
        <v>22000101</v>
      </c>
    </row>
    <row r="18" spans="1:11" x14ac:dyDescent="0.25">
      <c r="A18">
        <v>1</v>
      </c>
      <c r="B18" t="s">
        <v>10</v>
      </c>
      <c r="C18" t="s">
        <v>12</v>
      </c>
      <c r="D18" t="s">
        <v>357</v>
      </c>
      <c r="E18" t="b">
        <f t="shared" si="0"/>
        <v>1</v>
      </c>
      <c r="F18" t="s">
        <v>358</v>
      </c>
      <c r="G18" t="str">
        <f>IF(ISERROR(VLOOKUP(F18,MODIFICACIONES_REALIZADAS!F:H,3,)),F18,VLOOKUP(F18,MODIFICACIONES_REALIZADAS!F:H,3,))</f>
        <v>SM-RPP-Inspector-ImportesRegularizacionAnual-Rappel1-Mes4</v>
      </c>
      <c r="H18">
        <v>20140101</v>
      </c>
      <c r="I18">
        <v>22000101</v>
      </c>
    </row>
    <row r="19" spans="1:11" x14ac:dyDescent="0.25">
      <c r="A19">
        <v>1</v>
      </c>
      <c r="B19" t="s">
        <v>10</v>
      </c>
      <c r="C19" t="s">
        <v>12</v>
      </c>
      <c r="D19" t="s">
        <v>359</v>
      </c>
      <c r="E19" t="b">
        <f t="shared" si="0"/>
        <v>1</v>
      </c>
      <c r="F19" t="s">
        <v>360</v>
      </c>
      <c r="G19" t="str">
        <f>IF(ISERROR(VLOOKUP(F19,MODIFICACIONES_REALIZADAS!F:H,3,)),F19,VLOOKUP(F19,MODIFICACIONES_REALIZADAS!F:H,3,))</f>
        <v>SM-RPP-Inspector-ImportesRegularizacionAnual-Rappel1-Mes5</v>
      </c>
      <c r="H19">
        <v>20140101</v>
      </c>
      <c r="I19">
        <v>22000101</v>
      </c>
    </row>
    <row r="20" spans="1:11" x14ac:dyDescent="0.25">
      <c r="A20">
        <v>1</v>
      </c>
      <c r="B20" t="s">
        <v>10</v>
      </c>
      <c r="C20" t="s">
        <v>12</v>
      </c>
      <c r="D20" t="s">
        <v>361</v>
      </c>
      <c r="E20" t="b">
        <f t="shared" si="0"/>
        <v>1</v>
      </c>
      <c r="F20" t="s">
        <v>362</v>
      </c>
      <c r="G20" t="str">
        <f>IF(ISERROR(VLOOKUP(F20,MODIFICACIONES_REALIZADAS!F:H,3,)),F20,VLOOKUP(F20,MODIFICACIONES_REALIZADAS!F:H,3,))</f>
        <v>SM-RPP-Inspector-ImportesRegularizacionAnual-Rappel1-Mes6</v>
      </c>
      <c r="H20">
        <v>20140101</v>
      </c>
      <c r="I20">
        <v>22000101</v>
      </c>
    </row>
    <row r="21" spans="1:11" x14ac:dyDescent="0.25">
      <c r="A21">
        <v>1</v>
      </c>
      <c r="B21" t="s">
        <v>10</v>
      </c>
      <c r="C21" t="s">
        <v>12</v>
      </c>
      <c r="D21" t="s">
        <v>363</v>
      </c>
      <c r="E21" t="b">
        <f t="shared" si="0"/>
        <v>1</v>
      </c>
      <c r="F21" t="s">
        <v>364</v>
      </c>
      <c r="G21" t="str">
        <f>IF(ISERROR(VLOOKUP(F21,MODIFICACIONES_REALIZADAS!F:H,3,)),F21,VLOOKUP(F21,MODIFICACIONES_REALIZADAS!F:H,3,))</f>
        <v>SM-RPP-Inspector-ImportesRegularizacionAnual-Rappel1-Mes7</v>
      </c>
      <c r="H21">
        <v>20140101</v>
      </c>
      <c r="I21">
        <v>22000101</v>
      </c>
    </row>
    <row r="22" spans="1:11" x14ac:dyDescent="0.25">
      <c r="A22">
        <v>1</v>
      </c>
      <c r="B22" t="s">
        <v>10</v>
      </c>
      <c r="C22" t="s">
        <v>12</v>
      </c>
      <c r="D22" t="s">
        <v>365</v>
      </c>
      <c r="E22" t="b">
        <f t="shared" si="0"/>
        <v>1</v>
      </c>
      <c r="F22" t="s">
        <v>366</v>
      </c>
      <c r="G22" t="str">
        <f>IF(ISERROR(VLOOKUP(F22,MODIFICACIONES_REALIZADAS!F:H,3,)),F22,VLOOKUP(F22,MODIFICACIONES_REALIZADAS!F:H,3,))</f>
        <v>SM-RPP-Inspector-ImportesRegularizacionAnual-Rappel1-Mes8</v>
      </c>
      <c r="H22">
        <v>20140101</v>
      </c>
      <c r="I22">
        <v>22000101</v>
      </c>
    </row>
    <row r="23" spans="1:11" x14ac:dyDescent="0.25">
      <c r="A23">
        <v>1</v>
      </c>
      <c r="B23" t="s">
        <v>10</v>
      </c>
      <c r="C23" t="s">
        <v>12</v>
      </c>
      <c r="D23" t="s">
        <v>367</v>
      </c>
      <c r="E23" t="b">
        <f t="shared" si="0"/>
        <v>1</v>
      </c>
      <c r="F23" t="s">
        <v>368</v>
      </c>
      <c r="G23" t="str">
        <f>IF(ISERROR(VLOOKUP(F23,MODIFICACIONES_REALIZADAS!F:H,3,)),F23,VLOOKUP(F23,MODIFICACIONES_REALIZADAS!F:H,3,))</f>
        <v>SM-RPP-Inspector-ImportesRegularizacionAnual-Rappel1-Mes9</v>
      </c>
      <c r="H23">
        <v>20140101</v>
      </c>
      <c r="I23">
        <v>22000101</v>
      </c>
    </row>
    <row r="24" spans="1:11" x14ac:dyDescent="0.25">
      <c r="A24">
        <v>1</v>
      </c>
      <c r="B24" t="s">
        <v>10</v>
      </c>
      <c r="C24" t="s">
        <v>12</v>
      </c>
      <c r="D24" t="s">
        <v>369</v>
      </c>
      <c r="E24" t="b">
        <f t="shared" si="0"/>
        <v>1</v>
      </c>
      <c r="F24" t="s">
        <v>370</v>
      </c>
      <c r="G24" t="str">
        <f>IF(ISERROR(VLOOKUP(F24,MODIFICACIONES_REALIZADAS!F:H,3,)),F24,VLOOKUP(F24,MODIFICACIONES_REALIZADAS!F:H,3,))</f>
        <v>SM-RPP-Inspector-PagoRegularizacion-Anual-Final</v>
      </c>
      <c r="H24">
        <v>20140101</v>
      </c>
      <c r="I24">
        <v>22000101</v>
      </c>
    </row>
    <row r="25" spans="1:11" x14ac:dyDescent="0.25">
      <c r="A25" s="2">
        <v>1</v>
      </c>
      <c r="B25" s="2" t="s">
        <v>10</v>
      </c>
      <c r="C25" s="2" t="s">
        <v>12</v>
      </c>
      <c r="D25" s="2" t="s">
        <v>371</v>
      </c>
      <c r="E25" s="2" t="b">
        <f t="shared" si="0"/>
        <v>0</v>
      </c>
      <c r="F25" s="2" t="s">
        <v>372</v>
      </c>
      <c r="G25" s="2" t="str">
        <f>IF(ISERROR(VLOOKUP(F25,MODIFICACIONES_REALIZADAS!F:H,3,)),F25,VLOOKUP(F25,MODIFICACIONES_REALIZADAS!F:H,3,))</f>
        <v>PM-O-GEN-Inspector-NumeroPolizas-001</v>
      </c>
      <c r="H25" s="2">
        <v>20140101</v>
      </c>
      <c r="I25" s="2">
        <v>20180101</v>
      </c>
      <c r="J25" s="2" t="s">
        <v>373</v>
      </c>
      <c r="K25" s="2"/>
    </row>
    <row r="26" spans="1:11" x14ac:dyDescent="0.25">
      <c r="A26" s="2">
        <v>1</v>
      </c>
      <c r="B26" s="2" t="s">
        <v>10</v>
      </c>
      <c r="C26" s="2" t="s">
        <v>12</v>
      </c>
      <c r="D26" s="2" t="s">
        <v>374</v>
      </c>
      <c r="E26" s="2" t="b">
        <f t="shared" si="0"/>
        <v>0</v>
      </c>
      <c r="F26" s="2" t="s">
        <v>375</v>
      </c>
      <c r="G26" s="2" t="str">
        <f>IF(ISERROR(VLOOKUP(F26,MODIFICACIONES_REALIZADAS!F:H,3,)),F26,VLOOKUP(F26,MODIFICACIONES_REALIZADAS!F:H,3,))</f>
        <v>PM-O-GEN-Inspector-NumeroPolizas-002</v>
      </c>
      <c r="H26" s="2">
        <v>20140101</v>
      </c>
      <c r="I26" s="2">
        <v>20180101</v>
      </c>
      <c r="J26" s="2" t="s">
        <v>373</v>
      </c>
      <c r="K26" s="2"/>
    </row>
    <row r="27" spans="1:11" x14ac:dyDescent="0.25">
      <c r="A27" s="2">
        <v>1</v>
      </c>
      <c r="B27" s="2" t="s">
        <v>10</v>
      </c>
      <c r="C27" s="2" t="s">
        <v>12</v>
      </c>
      <c r="D27" s="2" t="s">
        <v>376</v>
      </c>
      <c r="E27" s="2" t="b">
        <f t="shared" si="0"/>
        <v>0</v>
      </c>
      <c r="F27" s="2" t="s">
        <v>377</v>
      </c>
      <c r="G27" s="2" t="str">
        <f>IF(ISERROR(VLOOKUP(F27,MODIFICACIONES_REALIZADAS!F:H,3,)),F27,VLOOKUP(F27,MODIFICACIONES_REALIZADAS!F:H,3,))</f>
        <v>PM-O-GEN-Inspector-NumeroPolizas-906</v>
      </c>
      <c r="H27" s="2">
        <v>20140101</v>
      </c>
      <c r="I27" s="2">
        <v>20180101</v>
      </c>
      <c r="J27" s="2" t="s">
        <v>373</v>
      </c>
      <c r="K27" s="2"/>
    </row>
    <row r="28" spans="1:11" x14ac:dyDescent="0.25">
      <c r="A28" s="2">
        <v>1</v>
      </c>
      <c r="B28" s="2" t="s">
        <v>10</v>
      </c>
      <c r="C28" s="2" t="s">
        <v>12</v>
      </c>
      <c r="D28" s="2" t="s">
        <v>378</v>
      </c>
      <c r="E28" s="2" t="b">
        <f t="shared" si="0"/>
        <v>0</v>
      </c>
      <c r="F28" s="2" t="s">
        <v>379</v>
      </c>
      <c r="G28" s="2" t="str">
        <f>IF(ISERROR(VLOOKUP(F28,MODIFICACIONES_REALIZADAS!F:H,3,)),F28,VLOOKUP(F28,MODIFICACIONES_REALIZADAS!F:H,3,))</f>
        <v>PM-O-GEN-Inspector-NumeroPolizas-998</v>
      </c>
      <c r="H28" s="2">
        <v>20140101</v>
      </c>
      <c r="I28" s="2">
        <v>20180101</v>
      </c>
      <c r="J28" s="2" t="s">
        <v>373</v>
      </c>
      <c r="K28" s="2"/>
    </row>
    <row r="29" spans="1:11" x14ac:dyDescent="0.25">
      <c r="A29" s="22">
        <v>1</v>
      </c>
      <c r="B29" s="22" t="s">
        <v>10</v>
      </c>
      <c r="C29" s="22" t="s">
        <v>12</v>
      </c>
      <c r="D29" s="22" t="s">
        <v>380</v>
      </c>
      <c r="E29" s="22" t="b">
        <f t="shared" ref="E29:E31" si="1">F29=G29</f>
        <v>1</v>
      </c>
      <c r="F29" s="22" t="s">
        <v>381</v>
      </c>
      <c r="G29" s="22" t="str">
        <f>IF(ISERROR(VLOOKUP(F29,MODIFICACIONES_REALIZADAS!F:H,3,)),F29,VLOOKUP(F29,MODIFICACIONES_REALIZADAS!F:H,3,))</f>
        <v>PM-O-GEN-Inspector-NumeroPolizasCorregidas-001</v>
      </c>
      <c r="H29" s="22">
        <v>20180101</v>
      </c>
      <c r="I29" s="22">
        <v>22000101</v>
      </c>
      <c r="J29" s="22" t="s">
        <v>373</v>
      </c>
      <c r="K29" s="22"/>
    </row>
    <row r="30" spans="1:11" x14ac:dyDescent="0.25">
      <c r="A30" s="22">
        <v>1</v>
      </c>
      <c r="B30" s="22" t="s">
        <v>10</v>
      </c>
      <c r="C30" s="22" t="s">
        <v>12</v>
      </c>
      <c r="D30" s="22" t="s">
        <v>382</v>
      </c>
      <c r="E30" s="22" t="b">
        <f t="shared" si="1"/>
        <v>1</v>
      </c>
      <c r="F30" s="22" t="s">
        <v>383</v>
      </c>
      <c r="G30" s="22" t="str">
        <f>IF(ISERROR(VLOOKUP(F30,MODIFICACIONES_REALIZADAS!F:H,3,)),F30,VLOOKUP(F30,MODIFICACIONES_REALIZADAS!F:H,3,))</f>
        <v>PM-O-GEN-Inspector-NumeroPolizasCorregidas-002</v>
      </c>
      <c r="H30" s="22">
        <v>20180101</v>
      </c>
      <c r="I30" s="22">
        <v>22000101</v>
      </c>
      <c r="J30" s="22" t="s">
        <v>373</v>
      </c>
      <c r="K30" s="22"/>
    </row>
    <row r="31" spans="1:11" x14ac:dyDescent="0.25">
      <c r="A31" s="22">
        <v>1</v>
      </c>
      <c r="B31" s="22" t="s">
        <v>10</v>
      </c>
      <c r="C31" s="22" t="s">
        <v>12</v>
      </c>
      <c r="D31" s="22" t="s">
        <v>384</v>
      </c>
      <c r="E31" s="22" t="b">
        <f t="shared" si="1"/>
        <v>1</v>
      </c>
      <c r="F31" s="22" t="s">
        <v>385</v>
      </c>
      <c r="G31" s="22" t="str">
        <f>IF(ISERROR(VLOOKUP(F31,MODIFICACIONES_REALIZADAS!F:H,3,)),F31,VLOOKUP(F31,MODIFICACIONES_REALIZADAS!F:H,3,))</f>
        <v>PM-O-GEN-Inspector-NumeroPolizasCorregidas-906</v>
      </c>
      <c r="H31" s="22">
        <v>20180101</v>
      </c>
      <c r="I31" s="22">
        <v>22000101</v>
      </c>
      <c r="J31" s="22" t="s">
        <v>373</v>
      </c>
      <c r="K31" s="22"/>
    </row>
    <row r="32" spans="1:11" x14ac:dyDescent="0.25">
      <c r="A32">
        <v>1</v>
      </c>
      <c r="B32" t="s">
        <v>10</v>
      </c>
      <c r="C32" t="s">
        <v>12</v>
      </c>
      <c r="D32" t="s">
        <v>386</v>
      </c>
      <c r="E32" t="b">
        <f t="shared" si="0"/>
        <v>0</v>
      </c>
      <c r="F32" t="s">
        <v>387</v>
      </c>
      <c r="G32" t="str">
        <f>IF(ISERROR(VLOOKUP(F32,MODIFICACIONES_REALIZADAS!F:H,3,)),F32,VLOOKUP(F32,MODIFICACIONES_REALIZADAS!F:H,3,))</f>
        <v>PM-O-GEN-Inspector-PrimaCorregida-998</v>
      </c>
      <c r="H32">
        <v>20140101</v>
      </c>
      <c r="I32">
        <v>22000101</v>
      </c>
    </row>
    <row r="33" spans="1:11" x14ac:dyDescent="0.25">
      <c r="A33" s="22">
        <v>1</v>
      </c>
      <c r="B33" s="22" t="s">
        <v>10</v>
      </c>
      <c r="C33" s="22" t="s">
        <v>12</v>
      </c>
      <c r="D33" s="22" t="s">
        <v>388</v>
      </c>
      <c r="E33" s="22" t="b">
        <f t="shared" ref="E33" si="2">F33=G33</f>
        <v>1</v>
      </c>
      <c r="F33" s="22" t="s">
        <v>389</v>
      </c>
      <c r="G33" s="22" t="str">
        <f>IF(ISERROR(VLOOKUP(F33,MODIFICACIONES_REALIZADAS!F:H,3,)),F33,VLOOKUP(F33,MODIFICACIONES_REALIZADAS!F:H,3,))</f>
        <v>PM-O-GEN-Inspector-NumeroPolizasCorregidas-998</v>
      </c>
      <c r="H33" s="22">
        <v>20180101</v>
      </c>
      <c r="I33" s="22">
        <v>22000101</v>
      </c>
      <c r="J33" s="22" t="s">
        <v>390</v>
      </c>
      <c r="K33" s="22"/>
    </row>
    <row r="34" spans="1:11" x14ac:dyDescent="0.25">
      <c r="A34" s="22">
        <v>1</v>
      </c>
      <c r="B34" s="22" t="s">
        <v>10</v>
      </c>
      <c r="C34" s="22" t="s">
        <v>12</v>
      </c>
      <c r="D34" s="22" t="s">
        <v>391</v>
      </c>
      <c r="E34" s="22" t="b">
        <f t="shared" si="0"/>
        <v>1</v>
      </c>
      <c r="F34" s="22" t="s">
        <v>392</v>
      </c>
      <c r="G34" s="22" t="str">
        <f>IF(ISERROR(VLOOKUP(F34,MODIFICACIONES_REALIZADAS!F:H,3,)),F34,VLOOKUP(F34,MODIFICACIONES_REALIZADAS!F:H,3,))</f>
        <v>PM-O-GEN-Agente-NumAsegurados</v>
      </c>
      <c r="H34" s="22">
        <v>20180101</v>
      </c>
      <c r="I34" s="22">
        <v>22000101</v>
      </c>
      <c r="J34" s="22" t="s">
        <v>390</v>
      </c>
      <c r="K34" s="22"/>
    </row>
    <row r="35" spans="1:11" x14ac:dyDescent="0.25">
      <c r="A35" s="2">
        <v>1</v>
      </c>
      <c r="B35" s="2" t="s">
        <v>10</v>
      </c>
      <c r="C35" s="2" t="s">
        <v>12</v>
      </c>
      <c r="D35" s="2" t="s">
        <v>393</v>
      </c>
      <c r="E35" s="2" t="b">
        <f t="shared" si="0"/>
        <v>0</v>
      </c>
      <c r="F35" s="2" t="s">
        <v>394</v>
      </c>
      <c r="G35" s="2" t="str">
        <f>IF(ISERROR(VLOOKUP(F35,MODIFICACIONES_REALIZADAS!F:H,3,)),F35,VLOOKUP(F35,MODIFICACIONES_REALIZADAS!F:H,3,))</f>
        <v>PM-O-GEN-Inspector-NumeroPolizas-001-Agentes</v>
      </c>
      <c r="H35" s="2">
        <v>20140101</v>
      </c>
      <c r="I35" s="2">
        <v>20180101</v>
      </c>
      <c r="J35" s="2" t="s">
        <v>373</v>
      </c>
      <c r="K35" s="2"/>
    </row>
    <row r="36" spans="1:11" x14ac:dyDescent="0.25">
      <c r="A36" s="2">
        <v>1</v>
      </c>
      <c r="B36" s="2" t="s">
        <v>10</v>
      </c>
      <c r="C36" s="2" t="s">
        <v>12</v>
      </c>
      <c r="D36" s="2" t="s">
        <v>395</v>
      </c>
      <c r="E36" s="2" t="b">
        <f t="shared" si="0"/>
        <v>0</v>
      </c>
      <c r="F36" s="2" t="s">
        <v>396</v>
      </c>
      <c r="G36" s="2" t="str">
        <f>IF(ISERROR(VLOOKUP(F36,MODIFICACIONES_REALIZADAS!F:H,3,)),F36,VLOOKUP(F36,MODIFICACIONES_REALIZADAS!F:H,3,))</f>
        <v>PM-O-GEN-Inspector-NumeroPolizas-002-Agentes</v>
      </c>
      <c r="H36" s="2">
        <v>20140101</v>
      </c>
      <c r="I36" s="2">
        <v>20180101</v>
      </c>
      <c r="J36" s="2" t="s">
        <v>373</v>
      </c>
      <c r="K36" s="2"/>
    </row>
    <row r="37" spans="1:11" x14ac:dyDescent="0.25">
      <c r="A37" s="2">
        <v>1</v>
      </c>
      <c r="B37" s="2" t="s">
        <v>10</v>
      </c>
      <c r="C37" s="2" t="s">
        <v>12</v>
      </c>
      <c r="D37" s="2" t="s">
        <v>397</v>
      </c>
      <c r="E37" s="2" t="b">
        <f t="shared" si="0"/>
        <v>0</v>
      </c>
      <c r="F37" s="2" t="s">
        <v>398</v>
      </c>
      <c r="G37" s="2" t="str">
        <f>IF(ISERROR(VLOOKUP(F37,MODIFICACIONES_REALIZADAS!F:H,3,)),F37,VLOOKUP(F37,MODIFICACIONES_REALIZADAS!F:H,3,))</f>
        <v>PM-O-GEN-Inspector-NumeroPolizas-906-Agentes</v>
      </c>
      <c r="H37" s="2">
        <v>20140101</v>
      </c>
      <c r="I37" s="2">
        <v>20180101</v>
      </c>
      <c r="J37" s="2" t="s">
        <v>373</v>
      </c>
      <c r="K37" s="2"/>
    </row>
    <row r="38" spans="1:11" x14ac:dyDescent="0.25">
      <c r="A38" s="2">
        <v>1</v>
      </c>
      <c r="B38" s="2" t="s">
        <v>10</v>
      </c>
      <c r="C38" s="2" t="s">
        <v>12</v>
      </c>
      <c r="D38" s="2" t="s">
        <v>399</v>
      </c>
      <c r="E38" s="2" t="b">
        <f t="shared" si="0"/>
        <v>0</v>
      </c>
      <c r="F38" s="2" t="s">
        <v>400</v>
      </c>
      <c r="G38" s="2" t="str">
        <f>IF(ISERROR(VLOOKUP(F38,MODIFICACIONES_REALIZADAS!F:H,3,)),F38,VLOOKUP(F38,MODIFICACIONES_REALIZADAS!F:H,3,))</f>
        <v>PM-O-GEN-Inspector-NumeroPolizas-998-Agentes</v>
      </c>
      <c r="H38" s="2">
        <v>20140101</v>
      </c>
      <c r="I38" s="2">
        <v>20180101</v>
      </c>
      <c r="J38" s="2" t="s">
        <v>373</v>
      </c>
      <c r="K38" s="2"/>
    </row>
    <row r="39" spans="1:11" x14ac:dyDescent="0.25">
      <c r="A39" s="22">
        <v>1</v>
      </c>
      <c r="B39" s="22" t="s">
        <v>10</v>
      </c>
      <c r="C39" s="22" t="s">
        <v>12</v>
      </c>
      <c r="D39" s="22" t="s">
        <v>401</v>
      </c>
      <c r="E39" s="22" t="b">
        <f t="shared" ref="E39:E41" si="3">F39=G39</f>
        <v>1</v>
      </c>
      <c r="F39" s="22" t="s">
        <v>402</v>
      </c>
      <c r="G39" s="22" t="str">
        <f>IF(ISERROR(VLOOKUP(F39,MODIFICACIONES_REALIZADAS!F:H,3,)),F39,VLOOKUP(F39,MODIFICACIONES_REALIZADAS!F:H,3,))</f>
        <v>PM-O-GEN-Inspector-NumeroPolizasCorregidas-001-Agentes</v>
      </c>
      <c r="H39" s="22">
        <v>20180101</v>
      </c>
      <c r="I39" s="22">
        <v>22000101</v>
      </c>
      <c r="J39" s="22" t="s">
        <v>373</v>
      </c>
      <c r="K39" s="22"/>
    </row>
    <row r="40" spans="1:11" x14ac:dyDescent="0.25">
      <c r="A40" s="22">
        <v>1</v>
      </c>
      <c r="B40" s="22" t="s">
        <v>10</v>
      </c>
      <c r="C40" s="22" t="s">
        <v>12</v>
      </c>
      <c r="D40" s="22" t="s">
        <v>403</v>
      </c>
      <c r="E40" s="22" t="b">
        <f t="shared" si="3"/>
        <v>1</v>
      </c>
      <c r="F40" s="22" t="s">
        <v>404</v>
      </c>
      <c r="G40" s="22" t="str">
        <f>IF(ISERROR(VLOOKUP(F40,MODIFICACIONES_REALIZADAS!F:H,3,)),F40,VLOOKUP(F40,MODIFICACIONES_REALIZADAS!F:H,3,))</f>
        <v>PM-O-GEN-Inspector-NumeroPolizasCorregidas-002-Agentes</v>
      </c>
      <c r="H40" s="22">
        <v>20180101</v>
      </c>
      <c r="I40" s="22">
        <v>22000101</v>
      </c>
      <c r="J40" s="22" t="s">
        <v>373</v>
      </c>
      <c r="K40" s="22"/>
    </row>
    <row r="41" spans="1:11" x14ac:dyDescent="0.25">
      <c r="A41" s="22">
        <v>1</v>
      </c>
      <c r="B41" s="22" t="s">
        <v>10</v>
      </c>
      <c r="C41" s="22" t="s">
        <v>12</v>
      </c>
      <c r="D41" s="22" t="s">
        <v>405</v>
      </c>
      <c r="E41" s="22" t="b">
        <f t="shared" si="3"/>
        <v>1</v>
      </c>
      <c r="F41" s="22" t="s">
        <v>406</v>
      </c>
      <c r="G41" s="22" t="str">
        <f>IF(ISERROR(VLOOKUP(F41,MODIFICACIONES_REALIZADAS!F:H,3,)),F41,VLOOKUP(F41,MODIFICACIONES_REALIZADAS!F:H,3,))</f>
        <v>PM-O-GEN-Inspector-NumeroPolizasCorregidas-906-Agentes</v>
      </c>
      <c r="H41" s="22">
        <v>20180101</v>
      </c>
      <c r="I41" s="22">
        <v>22000101</v>
      </c>
      <c r="J41" s="22" t="s">
        <v>373</v>
      </c>
      <c r="K41" s="22"/>
    </row>
    <row r="42" spans="1:11" x14ac:dyDescent="0.25">
      <c r="A42">
        <v>1</v>
      </c>
      <c r="B42" t="s">
        <v>10</v>
      </c>
      <c r="C42" t="s">
        <v>12</v>
      </c>
      <c r="D42" t="s">
        <v>407</v>
      </c>
      <c r="E42" t="b">
        <f t="shared" si="0"/>
        <v>0</v>
      </c>
      <c r="F42" t="s">
        <v>408</v>
      </c>
      <c r="G42" t="str">
        <f>IF(ISERROR(VLOOKUP(F42,MODIFICACIONES_REALIZADAS!F:H,3,)),F42,VLOOKUP(F42,MODIFICACIONES_REALIZADAS!F:H,3,))</f>
        <v>PM-O-GEN-Inspector-PrimaCorregida-998-Agentes</v>
      </c>
      <c r="H42">
        <v>20140101</v>
      </c>
      <c r="I42">
        <v>22000101</v>
      </c>
    </row>
    <row r="43" spans="1:11" x14ac:dyDescent="0.25">
      <c r="A43" s="22">
        <v>1</v>
      </c>
      <c r="B43" s="22" t="s">
        <v>10</v>
      </c>
      <c r="C43" s="22" t="s">
        <v>12</v>
      </c>
      <c r="D43" s="22" t="s">
        <v>388</v>
      </c>
      <c r="E43" s="22" t="b">
        <f t="shared" si="0"/>
        <v>1</v>
      </c>
      <c r="F43" s="22" t="s">
        <v>409</v>
      </c>
      <c r="G43" s="22" t="str">
        <f>IF(ISERROR(VLOOKUP(F43,MODIFICACIONES_REALIZADAS!F:H,3,)),F43,VLOOKUP(F43,MODIFICACIONES_REALIZADAS!F:H,3,))</f>
        <v>PM-O-GEN-Inspector-NumeroPolizasCorregidas-998-Agentes</v>
      </c>
      <c r="H43" s="22">
        <v>20180101</v>
      </c>
      <c r="I43" s="22">
        <v>22000101</v>
      </c>
      <c r="J43" s="22" t="s">
        <v>390</v>
      </c>
      <c r="K43" s="22"/>
    </row>
    <row r="44" spans="1:11" x14ac:dyDescent="0.25">
      <c r="A44" s="22">
        <v>1</v>
      </c>
      <c r="B44" s="22" t="s">
        <v>10</v>
      </c>
      <c r="C44" s="22" t="s">
        <v>12</v>
      </c>
      <c r="D44" s="22" t="s">
        <v>410</v>
      </c>
      <c r="E44" s="22" t="b">
        <f>F44=G44</f>
        <v>1</v>
      </c>
      <c r="F44" s="22" t="s">
        <v>411</v>
      </c>
      <c r="G44" s="22" t="str">
        <f>IF(ISERROR(VLOOKUP(F44,MODIFICACIONES_REALIZADAS!F:H,3,)),F44,VLOOKUP(F44,MODIFICACIONES_REALIZADAS!F:H,3,))</f>
        <v>PM-O-GEN-Inspector-NumAsegurados-Agentes</v>
      </c>
      <c r="H44" s="22">
        <v>20180101</v>
      </c>
      <c r="I44" s="22">
        <v>22000101</v>
      </c>
      <c r="J44" s="22" t="s">
        <v>412</v>
      </c>
      <c r="K44" s="22"/>
    </row>
    <row r="45" spans="1:11" x14ac:dyDescent="0.25">
      <c r="A45" s="2">
        <v>1</v>
      </c>
      <c r="B45" s="2" t="s">
        <v>10</v>
      </c>
      <c r="C45" s="2" t="s">
        <v>12</v>
      </c>
      <c r="D45" s="2" t="s">
        <v>413</v>
      </c>
      <c r="E45" s="2" t="b">
        <f t="shared" si="0"/>
        <v>0</v>
      </c>
      <c r="F45" s="2" t="s">
        <v>414</v>
      </c>
      <c r="G45" s="2" t="str">
        <f>IF(ISERROR(VLOOKUP(F45,MODIFICACIONES_REALIZADAS!F:H,3,)),F45,VLOOKUP(F45,MODIFICACIONES_REALIZADAS!F:H,3,))</f>
        <v>SM-O-GEN-Inspector-NumeroPolizas-001-TotalMes</v>
      </c>
      <c r="H45" s="2">
        <v>20140101</v>
      </c>
      <c r="I45" s="2">
        <v>20180101</v>
      </c>
      <c r="J45" s="2" t="s">
        <v>373</v>
      </c>
      <c r="K45" s="2"/>
    </row>
    <row r="46" spans="1:11" x14ac:dyDescent="0.25">
      <c r="A46" s="2">
        <v>1</v>
      </c>
      <c r="B46" s="2" t="s">
        <v>10</v>
      </c>
      <c r="C46" s="2" t="s">
        <v>12</v>
      </c>
      <c r="D46" s="2" t="s">
        <v>415</v>
      </c>
      <c r="E46" s="2" t="b">
        <f t="shared" si="0"/>
        <v>0</v>
      </c>
      <c r="F46" s="2" t="s">
        <v>416</v>
      </c>
      <c r="G46" s="2" t="str">
        <f>IF(ISERROR(VLOOKUP(F46,MODIFICACIONES_REALIZADAS!F:H,3,)),F46,VLOOKUP(F46,MODIFICACIONES_REALIZADAS!F:H,3,))</f>
        <v>SM-O-GEN-Inspector-NumeroPolizas-002-TotalMes</v>
      </c>
      <c r="H46" s="2">
        <v>20140101</v>
      </c>
      <c r="I46" s="2">
        <v>20180101</v>
      </c>
      <c r="J46" s="2" t="s">
        <v>373</v>
      </c>
      <c r="K46" s="2"/>
    </row>
    <row r="47" spans="1:11" x14ac:dyDescent="0.25">
      <c r="A47" s="2">
        <v>1</v>
      </c>
      <c r="B47" s="2" t="s">
        <v>10</v>
      </c>
      <c r="C47" s="2" t="s">
        <v>12</v>
      </c>
      <c r="D47" s="2" t="s">
        <v>417</v>
      </c>
      <c r="E47" s="2" t="b">
        <f t="shared" si="0"/>
        <v>0</v>
      </c>
      <c r="F47" s="2" t="s">
        <v>418</v>
      </c>
      <c r="G47" s="2" t="str">
        <f>IF(ISERROR(VLOOKUP(F47,MODIFICACIONES_REALIZADAS!F:H,3,)),F47,VLOOKUP(F47,MODIFICACIONES_REALIZADAS!F:H,3,))</f>
        <v>SM-O-GEN-Inspector-NumeroPolizas-906-TotalMes</v>
      </c>
      <c r="H47" s="2">
        <v>20140101</v>
      </c>
      <c r="I47" s="2">
        <v>20180101</v>
      </c>
      <c r="J47" s="2" t="s">
        <v>373</v>
      </c>
      <c r="K47" s="2"/>
    </row>
    <row r="48" spans="1:11" x14ac:dyDescent="0.25">
      <c r="A48" s="2">
        <v>1</v>
      </c>
      <c r="B48" s="2" t="s">
        <v>10</v>
      </c>
      <c r="C48" s="2" t="s">
        <v>12</v>
      </c>
      <c r="D48" s="2" t="s">
        <v>419</v>
      </c>
      <c r="E48" s="2" t="b">
        <f t="shared" si="0"/>
        <v>0</v>
      </c>
      <c r="F48" s="2" t="s">
        <v>420</v>
      </c>
      <c r="G48" s="2" t="str">
        <f>IF(ISERROR(VLOOKUP(F48,MODIFICACIONES_REALIZADAS!F:H,3,)),F48,VLOOKUP(F48,MODIFICACIONES_REALIZADAS!F:H,3,))</f>
        <v>SM-O-GEN-Inspector-NumeroPolizas-998-TotalMes</v>
      </c>
      <c r="H48" s="2">
        <v>20140101</v>
      </c>
      <c r="I48" s="2">
        <v>20180101</v>
      </c>
      <c r="J48" s="2" t="s">
        <v>373</v>
      </c>
      <c r="K48" s="2"/>
    </row>
    <row r="49" spans="1:11" x14ac:dyDescent="0.25">
      <c r="A49" s="22">
        <v>1</v>
      </c>
      <c r="B49" s="22" t="s">
        <v>10</v>
      </c>
      <c r="C49" s="22" t="s">
        <v>12</v>
      </c>
      <c r="D49" s="22" t="s">
        <v>421</v>
      </c>
      <c r="E49" s="22" t="b">
        <f t="shared" ref="E49:E51" si="4">F49=G49</f>
        <v>1</v>
      </c>
      <c r="F49" s="22" t="s">
        <v>422</v>
      </c>
      <c r="G49" s="22" t="str">
        <f>IF(ISERROR(VLOOKUP(F49,MODIFICACIONES_REALIZADAS!F:H,3,)),F49,VLOOKUP(F49,MODIFICACIONES_REALIZADAS!F:H,3,))</f>
        <v>SM-O-GEN-Inspector-NumeroPolizasCorregidas-001-TotalMes</v>
      </c>
      <c r="H49" s="22">
        <v>20180101</v>
      </c>
      <c r="I49" s="22">
        <v>22000101</v>
      </c>
      <c r="J49" s="22" t="s">
        <v>373</v>
      </c>
      <c r="K49" s="22"/>
    </row>
    <row r="50" spans="1:11" x14ac:dyDescent="0.25">
      <c r="A50" s="22">
        <v>1</v>
      </c>
      <c r="B50" s="22" t="s">
        <v>10</v>
      </c>
      <c r="C50" s="22" t="s">
        <v>12</v>
      </c>
      <c r="D50" s="22" t="s">
        <v>423</v>
      </c>
      <c r="E50" s="22" t="b">
        <f t="shared" si="4"/>
        <v>1</v>
      </c>
      <c r="F50" s="22" t="s">
        <v>424</v>
      </c>
      <c r="G50" s="22" t="str">
        <f>IF(ISERROR(VLOOKUP(F50,MODIFICACIONES_REALIZADAS!F:H,3,)),F50,VLOOKUP(F50,MODIFICACIONES_REALIZADAS!F:H,3,))</f>
        <v>SM-O-GEN-Inspector-NumeroPolizasCorregidas-002-TotalMes</v>
      </c>
      <c r="H50" s="22">
        <v>20180101</v>
      </c>
      <c r="I50" s="22">
        <v>22000101</v>
      </c>
      <c r="J50" s="22" t="s">
        <v>373</v>
      </c>
      <c r="K50" s="22"/>
    </row>
    <row r="51" spans="1:11" x14ac:dyDescent="0.25">
      <c r="A51" s="22">
        <v>1</v>
      </c>
      <c r="B51" s="22" t="s">
        <v>10</v>
      </c>
      <c r="C51" s="22" t="s">
        <v>12</v>
      </c>
      <c r="D51" s="22" t="s">
        <v>425</v>
      </c>
      <c r="E51" s="22" t="b">
        <f t="shared" si="4"/>
        <v>1</v>
      </c>
      <c r="F51" s="22" t="s">
        <v>426</v>
      </c>
      <c r="G51" s="22" t="str">
        <f>IF(ISERROR(VLOOKUP(F51,MODIFICACIONES_REALIZADAS!F:H,3,)),F51,VLOOKUP(F51,MODIFICACIONES_REALIZADAS!F:H,3,))</f>
        <v>SM-O-GEN-Inspector-NumeroPolizasCorregidas-906-TotalMes</v>
      </c>
      <c r="H51" s="22">
        <v>20180101</v>
      </c>
      <c r="I51" s="22">
        <v>22000101</v>
      </c>
      <c r="J51" s="22" t="s">
        <v>373</v>
      </c>
      <c r="K51" s="22"/>
    </row>
    <row r="52" spans="1:11" x14ac:dyDescent="0.25">
      <c r="A52">
        <v>1</v>
      </c>
      <c r="B52" t="s">
        <v>10</v>
      </c>
      <c r="C52" t="s">
        <v>12</v>
      </c>
      <c r="D52" t="s">
        <v>427</v>
      </c>
      <c r="E52" t="b">
        <f t="shared" si="0"/>
        <v>1</v>
      </c>
      <c r="F52" t="s">
        <v>428</v>
      </c>
      <c r="G52" t="str">
        <f>IF(ISERROR(VLOOKUP(F52,MODIFICACIONES_REALIZADAS!F:H,3,)),F52,VLOOKUP(F52,MODIFICACIONES_REALIZADAS!F:H,3,))</f>
        <v>SM-RPP-Inspector-PagoMensual</v>
      </c>
      <c r="H52">
        <v>20140101</v>
      </c>
      <c r="I52">
        <v>22000101</v>
      </c>
    </row>
    <row r="53" spans="1:11" x14ac:dyDescent="0.25">
      <c r="A53">
        <v>1</v>
      </c>
      <c r="B53" t="s">
        <v>10</v>
      </c>
      <c r="C53" t="s">
        <v>12</v>
      </c>
      <c r="D53" t="s">
        <v>429</v>
      </c>
      <c r="E53" t="b">
        <f t="shared" si="0"/>
        <v>0</v>
      </c>
      <c r="F53" t="s">
        <v>430</v>
      </c>
      <c r="G53" t="str">
        <f>IF(ISERROR(VLOOKUP(F53,MODIFICACIONES_REALIZADAS!F:H,3,)),F53,VLOOKUP(F53,MODIFICACIONES_REALIZADAS!F:H,3,))</f>
        <v>SM-O-GEN-Inspector-PrimaCorregida-998-TotalMes</v>
      </c>
      <c r="H53">
        <v>20140101</v>
      </c>
      <c r="I53">
        <v>22000101</v>
      </c>
    </row>
    <row r="54" spans="1:11" x14ac:dyDescent="0.25">
      <c r="A54" s="22">
        <v>1</v>
      </c>
      <c r="B54" s="22" t="s">
        <v>10</v>
      </c>
      <c r="C54" s="22" t="s">
        <v>12</v>
      </c>
      <c r="D54" s="22" t="s">
        <v>431</v>
      </c>
      <c r="E54" s="22" t="b">
        <v>1</v>
      </c>
      <c r="F54" s="22" t="s">
        <v>432</v>
      </c>
      <c r="G54" s="22" t="str">
        <f>IF(ISERROR(VLOOKUP(F54,MODIFICACIONES_REALIZADAS!F:H,3,)),F54,VLOOKUP(F54,MODIFICACIONES_REALIZADAS!F:H,3,))</f>
        <v>SM-O-GEN-Inspector-NumeroPolizasCorregidas-998-TotalMes</v>
      </c>
      <c r="H54" s="22">
        <v>20180101</v>
      </c>
      <c r="I54" s="22">
        <v>22000101</v>
      </c>
      <c r="J54" s="22" t="s">
        <v>390</v>
      </c>
      <c r="K54" s="22"/>
    </row>
    <row r="55" spans="1:11" x14ac:dyDescent="0.25">
      <c r="A55" s="22">
        <v>1</v>
      </c>
      <c r="B55" s="22" t="s">
        <v>10</v>
      </c>
      <c r="C55" s="22" t="s">
        <v>12</v>
      </c>
      <c r="D55" s="22" t="s">
        <v>433</v>
      </c>
      <c r="E55" s="22" t="b">
        <f t="shared" si="0"/>
        <v>1</v>
      </c>
      <c r="F55" s="22" t="s">
        <v>434</v>
      </c>
      <c r="G55" s="22" t="str">
        <f>IF(ISERROR(VLOOKUP(F55,MODIFICACIONES_REALIZADAS!F:H,3,)),F55,VLOOKUP(F55,MODIFICACIONES_REALIZADAS!F:H,3,))</f>
        <v>SM-O-GEN-Inspector-NumAsegurados-TotalMes</v>
      </c>
      <c r="H55" s="22">
        <v>20180101</v>
      </c>
      <c r="I55" s="22">
        <v>22000101</v>
      </c>
      <c r="J55" s="22" t="s">
        <v>412</v>
      </c>
      <c r="K55" s="22"/>
    </row>
    <row r="56" spans="1:11" x14ac:dyDescent="0.25">
      <c r="A56">
        <v>1</v>
      </c>
      <c r="B56" t="s">
        <v>10</v>
      </c>
      <c r="C56" t="s">
        <v>12</v>
      </c>
      <c r="D56" t="s">
        <v>435</v>
      </c>
      <c r="E56" t="b">
        <f t="shared" si="0"/>
        <v>1</v>
      </c>
      <c r="F56" t="s">
        <v>436</v>
      </c>
      <c r="G56" t="str">
        <f>IF(ISERROR(VLOOKUP(F56,MODIFICACIONES_REALIZADAS!F:H,3,)),F56,VLOOKUP(F56,MODIFICACIONES_REALIZADAS!F:H,3,))</f>
        <v>SM-RPP-Inspector-ImportesRegularizacionTrimestral-Rappel1-Mes1</v>
      </c>
      <c r="H56">
        <v>20140101</v>
      </c>
      <c r="I56">
        <v>22000101</v>
      </c>
    </row>
    <row r="57" spans="1:11" x14ac:dyDescent="0.25">
      <c r="A57">
        <v>1</v>
      </c>
      <c r="B57" t="s">
        <v>10</v>
      </c>
      <c r="C57" t="s">
        <v>12</v>
      </c>
      <c r="D57" t="s">
        <v>437</v>
      </c>
      <c r="E57" t="b">
        <f t="shared" si="0"/>
        <v>1</v>
      </c>
      <c r="F57" t="s">
        <v>438</v>
      </c>
      <c r="G57" t="str">
        <f>IF(ISERROR(VLOOKUP(F57,MODIFICACIONES_REALIZADAS!F:H,3,)),F57,VLOOKUP(F57,MODIFICACIONES_REALIZADAS!F:H,3,))</f>
        <v>SM-RPP-Inspector-ImportesRegularizacionTrimestral-Rappel1-Mes2</v>
      </c>
      <c r="H57">
        <v>20140101</v>
      </c>
      <c r="I57">
        <v>22000101</v>
      </c>
    </row>
    <row r="58" spans="1:11" x14ac:dyDescent="0.25">
      <c r="A58">
        <v>1</v>
      </c>
      <c r="B58" t="s">
        <v>10</v>
      </c>
      <c r="C58" t="s">
        <v>12</v>
      </c>
      <c r="D58" t="s">
        <v>439</v>
      </c>
      <c r="E58" t="b">
        <f t="shared" si="0"/>
        <v>1</v>
      </c>
      <c r="F58" t="s">
        <v>440</v>
      </c>
      <c r="G58" t="str">
        <f>IF(ISERROR(VLOOKUP(F58,MODIFICACIONES_REALIZADAS!F:H,3,)),F58,VLOOKUP(F58,MODIFICACIONES_REALIZADAS!F:H,3,))</f>
        <v>SM-RPP-Inspector-ImportesRegularizacionTrimestral-Rappel1-Mes3</v>
      </c>
      <c r="H58">
        <v>20140101</v>
      </c>
      <c r="I58">
        <v>22000101</v>
      </c>
    </row>
    <row r="59" spans="1:11" x14ac:dyDescent="0.25">
      <c r="A59">
        <v>1</v>
      </c>
      <c r="B59" t="s">
        <v>10</v>
      </c>
      <c r="C59" t="s">
        <v>12</v>
      </c>
      <c r="D59" t="s">
        <v>441</v>
      </c>
      <c r="E59" t="b">
        <f t="shared" si="0"/>
        <v>1</v>
      </c>
      <c r="F59" t="s">
        <v>442</v>
      </c>
      <c r="G59" t="str">
        <f>IF(ISERROR(VLOOKUP(F59,MODIFICACIONES_REALIZADAS!F:H,3,)),F59,VLOOKUP(F59,MODIFICACIONES_REALIZADAS!F:H,3,))</f>
        <v>SM-RPP-Inspector-ImportesRegularizacionTrimestral-Rappel2-Mes1</v>
      </c>
      <c r="H59">
        <v>20140101</v>
      </c>
      <c r="I59">
        <v>22000101</v>
      </c>
    </row>
    <row r="60" spans="1:11" x14ac:dyDescent="0.25">
      <c r="A60">
        <v>1</v>
      </c>
      <c r="B60" t="s">
        <v>10</v>
      </c>
      <c r="C60" t="s">
        <v>12</v>
      </c>
      <c r="D60" t="s">
        <v>443</v>
      </c>
      <c r="E60" t="b">
        <f t="shared" si="0"/>
        <v>1</v>
      </c>
      <c r="F60" t="s">
        <v>444</v>
      </c>
      <c r="G60" t="str">
        <f>IF(ISERROR(VLOOKUP(F60,MODIFICACIONES_REALIZADAS!F:H,3,)),F60,VLOOKUP(F60,MODIFICACIONES_REALIZADAS!F:H,3,))</f>
        <v>SM-RPP-Inspector-ImportesRegularizacionTrimestral-Rappel2-Mes2</v>
      </c>
      <c r="H60">
        <v>20140101</v>
      </c>
      <c r="I60">
        <v>22000101</v>
      </c>
    </row>
    <row r="61" spans="1:11" x14ac:dyDescent="0.25">
      <c r="A61">
        <v>1</v>
      </c>
      <c r="B61" t="s">
        <v>10</v>
      </c>
      <c r="C61" t="s">
        <v>12</v>
      </c>
      <c r="D61" t="s">
        <v>445</v>
      </c>
      <c r="E61" t="b">
        <f t="shared" si="0"/>
        <v>1</v>
      </c>
      <c r="F61" t="s">
        <v>446</v>
      </c>
      <c r="G61" t="str">
        <f>IF(ISERROR(VLOOKUP(F61,MODIFICACIONES_REALIZADAS!F:H,3,)),F61,VLOOKUP(F61,MODIFICACIONES_REALIZADAS!F:H,3,))</f>
        <v>SM-RPP-Inspector-ImportesRegularizacionTrimestral-Rappel2-Mes3</v>
      </c>
      <c r="H61">
        <v>20140101</v>
      </c>
      <c r="I61">
        <v>22000101</v>
      </c>
    </row>
    <row r="62" spans="1:11" x14ac:dyDescent="0.25">
      <c r="A62" s="22">
        <v>1</v>
      </c>
      <c r="B62" s="22" t="s">
        <v>10</v>
      </c>
      <c r="C62" s="22" t="s">
        <v>12</v>
      </c>
      <c r="D62" s="22" t="s">
        <v>447</v>
      </c>
      <c r="E62" s="22" t="b">
        <f t="shared" ref="E62:E69" si="5">F62=G62</f>
        <v>1</v>
      </c>
      <c r="F62" s="22" t="s">
        <v>448</v>
      </c>
      <c r="G62" s="22" t="str">
        <f>IF(ISERROR(VLOOKUP(F62,MODIFICACIONES_REALIZADAS!F:H,3,)),F62,VLOOKUP(F62,MODIFICACIONES_REALIZADAS!F:H,3,))</f>
        <v>I-RPP-Inspector-ImporteRegTrimestral-Mes1</v>
      </c>
      <c r="H62" s="22">
        <v>20180601</v>
      </c>
      <c r="I62" s="22">
        <v>22000101</v>
      </c>
      <c r="J62" s="22" t="s">
        <v>449</v>
      </c>
      <c r="K62" s="22"/>
    </row>
    <row r="63" spans="1:11" x14ac:dyDescent="0.25">
      <c r="A63" s="22">
        <v>1</v>
      </c>
      <c r="B63" s="22" t="s">
        <v>10</v>
      </c>
      <c r="C63" s="22" t="s">
        <v>12</v>
      </c>
      <c r="D63" s="22" t="s">
        <v>450</v>
      </c>
      <c r="E63" s="22" t="b">
        <f t="shared" si="5"/>
        <v>1</v>
      </c>
      <c r="F63" s="22" t="s">
        <v>451</v>
      </c>
      <c r="G63" s="22" t="str">
        <f>IF(ISERROR(VLOOKUP(F63,MODIFICACIONES_REALIZADAS!F:H,3,)),F63,VLOOKUP(F63,MODIFICACIONES_REALIZADAS!F:H,3,))</f>
        <v>I-RPP-Inspector-ImporteRegTrimestral-Mes2</v>
      </c>
      <c r="H63" s="22">
        <v>20180601</v>
      </c>
      <c r="I63" s="22">
        <v>22000101</v>
      </c>
      <c r="J63" s="22" t="s">
        <v>449</v>
      </c>
      <c r="K63" s="22"/>
    </row>
    <row r="64" spans="1:11" x14ac:dyDescent="0.25">
      <c r="A64" s="22">
        <v>1</v>
      </c>
      <c r="B64" s="22" t="s">
        <v>10</v>
      </c>
      <c r="C64" s="22" t="s">
        <v>12</v>
      </c>
      <c r="D64" s="22" t="s">
        <v>452</v>
      </c>
      <c r="E64" s="22" t="b">
        <f t="shared" si="5"/>
        <v>1</v>
      </c>
      <c r="F64" s="22" t="s">
        <v>453</v>
      </c>
      <c r="G64" s="22" t="str">
        <f>IF(ISERROR(VLOOKUP(F64,MODIFICACIONES_REALIZADAS!F:H,3,)),F64,VLOOKUP(F64,MODIFICACIONES_REALIZADAS!F:H,3,))</f>
        <v>I-RPP-Inspector-ImporteRegTrimestral-Mes3</v>
      </c>
      <c r="H64" s="22">
        <v>20180601</v>
      </c>
      <c r="I64" s="22">
        <v>22000101</v>
      </c>
      <c r="J64" s="22" t="s">
        <v>449</v>
      </c>
      <c r="K64" s="22"/>
    </row>
    <row r="65" spans="1:11" x14ac:dyDescent="0.25">
      <c r="A65" s="22">
        <v>1</v>
      </c>
      <c r="B65" s="22" t="s">
        <v>10</v>
      </c>
      <c r="C65" s="22" t="s">
        <v>12</v>
      </c>
      <c r="D65" s="22" t="s">
        <v>454</v>
      </c>
      <c r="E65" s="22" t="b">
        <f t="shared" si="5"/>
        <v>1</v>
      </c>
      <c r="F65" s="22" t="s">
        <v>455</v>
      </c>
      <c r="G65" s="22" t="str">
        <f>IF(ISERROR(VLOOKUP(F65,MODIFICACIONES_REALIZADAS!F:H,3,)),F65,VLOOKUP(F65,MODIFICACIONES_REALIZADAS!F:H,3,))</f>
        <v>I-RPP-Inspector-ImporteRegTrimestral-MinMes1</v>
      </c>
      <c r="H65" s="22">
        <v>20180601</v>
      </c>
      <c r="I65" s="22">
        <v>22000101</v>
      </c>
      <c r="J65" s="22" t="s">
        <v>449</v>
      </c>
      <c r="K65" s="22"/>
    </row>
    <row r="66" spans="1:11" x14ac:dyDescent="0.25">
      <c r="A66" s="22">
        <v>1</v>
      </c>
      <c r="B66" s="22" t="s">
        <v>10</v>
      </c>
      <c r="C66" s="22" t="s">
        <v>12</v>
      </c>
      <c r="D66" s="22" t="s">
        <v>456</v>
      </c>
      <c r="E66" s="22" t="b">
        <f t="shared" si="5"/>
        <v>1</v>
      </c>
      <c r="F66" s="22" t="s">
        <v>457</v>
      </c>
      <c r="G66" s="22" t="str">
        <f>IF(ISERROR(VLOOKUP(F66,MODIFICACIONES_REALIZADAS!F:H,3,)),F66,VLOOKUP(F66,MODIFICACIONES_REALIZADAS!F:H,3,))</f>
        <v>I-RPP-Inspector-ImporteRegTrimestral-MinMes2</v>
      </c>
      <c r="H66" s="22">
        <v>20180601</v>
      </c>
      <c r="I66" s="22">
        <v>22000101</v>
      </c>
      <c r="J66" s="22" t="s">
        <v>449</v>
      </c>
      <c r="K66" s="22"/>
    </row>
    <row r="67" spans="1:11" x14ac:dyDescent="0.25">
      <c r="A67" s="22">
        <v>1</v>
      </c>
      <c r="B67" s="22" t="s">
        <v>10</v>
      </c>
      <c r="C67" s="22" t="s">
        <v>12</v>
      </c>
      <c r="D67" s="22" t="s">
        <v>458</v>
      </c>
      <c r="E67" s="22" t="b">
        <f t="shared" si="5"/>
        <v>1</v>
      </c>
      <c r="F67" s="22" t="s">
        <v>459</v>
      </c>
      <c r="G67" s="22" t="str">
        <f>IF(ISERROR(VLOOKUP(F67,MODIFICACIONES_REALIZADAS!F:H,3,)),F67,VLOOKUP(F67,MODIFICACIONES_REALIZADAS!F:H,3,))</f>
        <v>I-RPP-Inspector-ImporteRegTrimestral-MinMes3</v>
      </c>
      <c r="H67" s="22">
        <v>20180601</v>
      </c>
      <c r="I67" s="22">
        <v>22000101</v>
      </c>
      <c r="J67" s="22" t="s">
        <v>449</v>
      </c>
      <c r="K67" s="22"/>
    </row>
    <row r="68" spans="1:11" x14ac:dyDescent="0.25">
      <c r="A68" s="2">
        <v>1</v>
      </c>
      <c r="B68" s="2" t="s">
        <v>10</v>
      </c>
      <c r="C68" s="2" t="s">
        <v>12</v>
      </c>
      <c r="D68" s="2" t="s">
        <v>460</v>
      </c>
      <c r="E68" s="2" t="b">
        <f>F68=G68</f>
        <v>1</v>
      </c>
      <c r="F68" s="2" t="s">
        <v>461</v>
      </c>
      <c r="G68" s="2" t="str">
        <f>IF(ISERROR(VLOOKUP(F68,MODIFICACIONES_REALIZADAS!F:H,3,)),F68,VLOOKUP(F68,MODIFICACIONES_REALIZADAS!F:H,3,))</f>
        <v>SM-RPP-Inspector-PagoRegularizacion-Trimestral-Final</v>
      </c>
      <c r="H68" s="2">
        <v>20140101</v>
      </c>
      <c r="I68" s="2">
        <v>20180601</v>
      </c>
      <c r="J68" s="2" t="s">
        <v>449</v>
      </c>
      <c r="K68" s="2"/>
    </row>
    <row r="69" spans="1:11" x14ac:dyDescent="0.25">
      <c r="A69" s="22">
        <v>1</v>
      </c>
      <c r="B69" s="22" t="s">
        <v>10</v>
      </c>
      <c r="C69" s="22" t="s">
        <v>12</v>
      </c>
      <c r="D69" s="22" t="s">
        <v>462</v>
      </c>
      <c r="E69" s="22" t="b">
        <f t="shared" si="5"/>
        <v>1</v>
      </c>
      <c r="F69" s="22" t="s">
        <v>463</v>
      </c>
      <c r="G69" s="22" t="str">
        <f>IF(ISERROR(VLOOKUP(F69,MODIFICACIONES_REALIZADAS!F:H,3,)),F69,VLOOKUP(F69,MODIFICACIONES_REALIZADAS!F:H,3,))</f>
        <v>I-RPP-Inspector-ImporteRegTrimestral</v>
      </c>
      <c r="H69" s="22">
        <v>20180601</v>
      </c>
      <c r="I69" s="22">
        <v>22000101</v>
      </c>
      <c r="J69" s="22" t="s">
        <v>449</v>
      </c>
      <c r="K69" s="22"/>
    </row>
    <row r="70" spans="1:11" x14ac:dyDescent="0.25">
      <c r="A70">
        <v>1</v>
      </c>
      <c r="B70" t="s">
        <v>10</v>
      </c>
      <c r="C70" t="s">
        <v>12</v>
      </c>
      <c r="D70" t="s">
        <v>464</v>
      </c>
      <c r="E70" t="b">
        <f t="shared" si="0"/>
        <v>1</v>
      </c>
      <c r="F70" t="s">
        <v>465</v>
      </c>
      <c r="G70" t="str">
        <f>IF(ISERROR(VLOOKUP(F70,MODIFICACIONES_REALIZADAS!F:H,3,)),F70,VLOOKUP(F70,MODIFICACIONES_REALIZADAS!F:H,3,))</f>
        <v>SM-RPP-Inspector-ConsecucionAnual-001</v>
      </c>
      <c r="H70">
        <v>20140101</v>
      </c>
      <c r="I70">
        <v>22000101</v>
      </c>
    </row>
    <row r="71" spans="1:11" x14ac:dyDescent="0.25">
      <c r="A71">
        <v>1</v>
      </c>
      <c r="B71" t="s">
        <v>10</v>
      </c>
      <c r="C71" t="s">
        <v>12</v>
      </c>
      <c r="D71" t="s">
        <v>466</v>
      </c>
      <c r="E71" t="b">
        <f t="shared" si="0"/>
        <v>1</v>
      </c>
      <c r="F71" t="s">
        <v>467</v>
      </c>
      <c r="G71" t="str">
        <f>IF(ISERROR(VLOOKUP(F71,MODIFICACIONES_REALIZADAS!F:H,3,)),F71,VLOOKUP(F71,MODIFICACIONES_REALIZADAS!F:H,3,))</f>
        <v>SM-RPP-Inspector-ConsecucionAnual-002</v>
      </c>
      <c r="H71">
        <v>20140101</v>
      </c>
      <c r="I71">
        <v>22000101</v>
      </c>
    </row>
    <row r="72" spans="1:11" x14ac:dyDescent="0.25">
      <c r="A72">
        <v>1</v>
      </c>
      <c r="B72" t="s">
        <v>10</v>
      </c>
      <c r="C72" t="s">
        <v>12</v>
      </c>
      <c r="D72" t="s">
        <v>468</v>
      </c>
      <c r="E72" t="b">
        <f t="shared" si="0"/>
        <v>1</v>
      </c>
      <c r="F72" t="s">
        <v>469</v>
      </c>
      <c r="G72" t="str">
        <f>IF(ISERROR(VLOOKUP(F72,MODIFICACIONES_REALIZADAS!F:H,3,)),F72,VLOOKUP(F72,MODIFICACIONES_REALIZADAS!F:H,3,))</f>
        <v>SM-RPP-Inspector-ConsecucionAnual-906</v>
      </c>
      <c r="H72">
        <v>20140101</v>
      </c>
      <c r="I72">
        <v>22000101</v>
      </c>
    </row>
    <row r="73" spans="1:11" x14ac:dyDescent="0.25">
      <c r="A73">
        <v>1</v>
      </c>
      <c r="B73" t="s">
        <v>10</v>
      </c>
      <c r="C73" t="s">
        <v>12</v>
      </c>
      <c r="D73" t="s">
        <v>470</v>
      </c>
      <c r="E73" t="b">
        <f t="shared" si="0"/>
        <v>1</v>
      </c>
      <c r="F73" t="s">
        <v>471</v>
      </c>
      <c r="G73" t="str">
        <f>IF(ISERROR(VLOOKUP(F73,MODIFICACIONES_REALIZADAS!F:H,3,)),F73,VLOOKUP(F73,MODIFICACIONES_REALIZADAS!F:H,3,))</f>
        <v>SM-RPP-Inspector-ConsecucionAnual-998</v>
      </c>
      <c r="H73">
        <v>20140101</v>
      </c>
      <c r="I73">
        <v>22000101</v>
      </c>
    </row>
    <row r="74" spans="1:11" x14ac:dyDescent="0.25">
      <c r="A74">
        <v>1</v>
      </c>
      <c r="B74" t="s">
        <v>10</v>
      </c>
      <c r="C74" t="s">
        <v>12</v>
      </c>
      <c r="D74" t="s">
        <v>472</v>
      </c>
      <c r="E74" t="b">
        <f t="shared" si="0"/>
        <v>1</v>
      </c>
      <c r="F74" t="s">
        <v>473</v>
      </c>
      <c r="G74" t="str">
        <f>IF(ISERROR(VLOOKUP(F74,MODIFICACIONES_REALIZADAS!F:H,3,)),F74,VLOOKUP(F74,MODIFICACIONES_REALIZADAS!F:H,3,))</f>
        <v>SM-RPP-Inspector-ConsecucionAnual-998-Propia</v>
      </c>
      <c r="H74">
        <v>20140101</v>
      </c>
      <c r="I74">
        <v>22000101</v>
      </c>
    </row>
    <row r="75" spans="1:11" x14ac:dyDescent="0.25">
      <c r="A75">
        <v>1</v>
      </c>
      <c r="B75" t="s">
        <v>10</v>
      </c>
      <c r="C75" t="s">
        <v>12</v>
      </c>
      <c r="D75" t="s">
        <v>474</v>
      </c>
      <c r="E75" t="b">
        <f t="shared" si="0"/>
        <v>1</v>
      </c>
      <c r="F75" t="s">
        <v>475</v>
      </c>
      <c r="G75" t="str">
        <f>IF(ISERROR(VLOOKUP(F75,MODIFICACIONES_REALIZADAS!F:H,3,)),F75,VLOOKUP(F75,MODIFICACIONES_REALIZADAS!F:H,3,))</f>
        <v>SM-RPP-Inspector-ConsecucionAnual-Importe</v>
      </c>
      <c r="H75">
        <v>20140101</v>
      </c>
      <c r="I75">
        <v>22000101</v>
      </c>
    </row>
    <row r="76" spans="1:11" x14ac:dyDescent="0.25">
      <c r="A76">
        <v>1</v>
      </c>
      <c r="B76" t="s">
        <v>10</v>
      </c>
      <c r="C76" t="s">
        <v>12</v>
      </c>
      <c r="D76" t="s">
        <v>476</v>
      </c>
      <c r="E76" t="b">
        <f t="shared" si="0"/>
        <v>1</v>
      </c>
      <c r="F76" t="s">
        <v>477</v>
      </c>
      <c r="G76" t="str">
        <f>IF(ISERROR(VLOOKUP(F76,MODIFICACIONES_REALIZADAS!F:H,3,)),F76,VLOOKUP(F76,MODIFICACIONES_REALIZADAS!F:H,3,))</f>
        <v>SM-RPP-Inspector-ConsecucionAnual-PrimaCorregida-Agentes</v>
      </c>
      <c r="H76">
        <v>20140101</v>
      </c>
      <c r="I76">
        <v>22000101</v>
      </c>
    </row>
    <row r="77" spans="1:11" x14ac:dyDescent="0.25">
      <c r="A77" s="25">
        <v>1</v>
      </c>
      <c r="B77" s="25" t="s">
        <v>10</v>
      </c>
      <c r="C77" s="25" t="s">
        <v>12</v>
      </c>
      <c r="D77" s="25" t="s">
        <v>478</v>
      </c>
      <c r="E77" s="25" t="b">
        <f t="shared" si="0"/>
        <v>0</v>
      </c>
      <c r="F77" s="25" t="s">
        <v>479</v>
      </c>
      <c r="G77" s="25" t="str">
        <f>IF(ISERROR(VLOOKUP(F77,MODIFICACIONES_REALIZADAS!F:H,3,)),F77,VLOOKUP(F77,MODIFICACIONES_REALIZADAS!F:H,3,))</f>
        <v>SM-O-GEN-Inspector-NumeroPolizas-001-TotalAnual</v>
      </c>
      <c r="H77" s="25">
        <v>20140101</v>
      </c>
      <c r="I77" s="25">
        <v>20180101</v>
      </c>
      <c r="J77" s="25" t="s">
        <v>480</v>
      </c>
      <c r="K77" s="25"/>
    </row>
    <row r="78" spans="1:11" x14ac:dyDescent="0.25">
      <c r="A78" s="25">
        <v>1</v>
      </c>
      <c r="B78" s="25" t="s">
        <v>10</v>
      </c>
      <c r="C78" s="25" t="s">
        <v>12</v>
      </c>
      <c r="D78" s="25" t="s">
        <v>481</v>
      </c>
      <c r="E78" s="25" t="b">
        <f t="shared" si="0"/>
        <v>0</v>
      </c>
      <c r="F78" s="25" t="s">
        <v>482</v>
      </c>
      <c r="G78" s="25" t="str">
        <f>IF(ISERROR(VLOOKUP(F78,MODIFICACIONES_REALIZADAS!F:H,3,)),F78,VLOOKUP(F78,MODIFICACIONES_REALIZADAS!F:H,3,))</f>
        <v>SM-O-GEN-Inspector-NumeroPolizas-002-TotalAnual</v>
      </c>
      <c r="H78" s="25">
        <v>20140101</v>
      </c>
      <c r="I78" s="25">
        <v>20180101</v>
      </c>
      <c r="J78" s="25" t="s">
        <v>480</v>
      </c>
      <c r="K78" s="25"/>
    </row>
    <row r="79" spans="1:11" x14ac:dyDescent="0.25">
      <c r="A79" s="25">
        <v>1</v>
      </c>
      <c r="B79" s="25" t="s">
        <v>10</v>
      </c>
      <c r="C79" s="25" t="s">
        <v>12</v>
      </c>
      <c r="D79" s="25" t="s">
        <v>483</v>
      </c>
      <c r="E79" s="25" t="b">
        <f t="shared" si="0"/>
        <v>0</v>
      </c>
      <c r="F79" s="25" t="s">
        <v>484</v>
      </c>
      <c r="G79" s="25" t="str">
        <f>IF(ISERROR(VLOOKUP(F79,MODIFICACIONES_REALIZADAS!F:H,3,)),F79,VLOOKUP(F79,MODIFICACIONES_REALIZADAS!F:H,3,))</f>
        <v>SM-O-GEN-Inspector-NumeroPolizas-906-TotalAnual</v>
      </c>
      <c r="H79" s="25">
        <v>20140101</v>
      </c>
      <c r="I79" s="25">
        <v>20180101</v>
      </c>
      <c r="J79" s="25" t="s">
        <v>480</v>
      </c>
      <c r="K79" s="25"/>
    </row>
    <row r="80" spans="1:11" x14ac:dyDescent="0.25">
      <c r="A80" s="25">
        <v>1</v>
      </c>
      <c r="B80" s="25" t="s">
        <v>10</v>
      </c>
      <c r="C80" s="25" t="s">
        <v>12</v>
      </c>
      <c r="D80" s="25" t="s">
        <v>485</v>
      </c>
      <c r="E80" s="25" t="b">
        <f t="shared" si="0"/>
        <v>0</v>
      </c>
      <c r="F80" s="25" t="s">
        <v>486</v>
      </c>
      <c r="G80" s="25" t="str">
        <f>IF(ISERROR(VLOOKUP(F80,MODIFICACIONES_REALIZADAS!F:H,3,)),F80,VLOOKUP(F80,MODIFICACIONES_REALIZADAS!F:H,3,))</f>
        <v>SM-O-GEN-Inspector-NumeroPolizas-998-Propia-TotalAnual</v>
      </c>
      <c r="H80" s="25">
        <v>20140101</v>
      </c>
      <c r="I80" s="25">
        <v>20180101</v>
      </c>
      <c r="J80" s="25" t="s">
        <v>480</v>
      </c>
      <c r="K80" s="25"/>
    </row>
    <row r="81" spans="1:11" x14ac:dyDescent="0.25">
      <c r="A81" s="25">
        <v>1</v>
      </c>
      <c r="B81" s="25" t="s">
        <v>10</v>
      </c>
      <c r="C81" s="25" t="s">
        <v>12</v>
      </c>
      <c r="D81" s="25" t="s">
        <v>487</v>
      </c>
      <c r="E81" s="25" t="b">
        <f t="shared" si="0"/>
        <v>0</v>
      </c>
      <c r="F81" s="25" t="s">
        <v>488</v>
      </c>
      <c r="G81" s="25" t="str">
        <f>IF(ISERROR(VLOOKUP(F81,MODIFICACIONES_REALIZADAS!F:H,3,)),F81,VLOOKUP(F81,MODIFICACIONES_REALIZADAS!F:H,3,))</f>
        <v>SM-O-GEN-Inspector-NumeroPolizas-998-TotalAnual</v>
      </c>
      <c r="H81" s="25">
        <v>20140101</v>
      </c>
      <c r="I81" s="25">
        <v>20180101</v>
      </c>
      <c r="J81" s="25" t="s">
        <v>480</v>
      </c>
      <c r="K81" s="25"/>
    </row>
    <row r="82" spans="1:11" x14ac:dyDescent="0.25">
      <c r="A82" s="26">
        <v>1</v>
      </c>
      <c r="B82" s="26" t="s">
        <v>10</v>
      </c>
      <c r="C82" s="26" t="s">
        <v>12</v>
      </c>
      <c r="D82" s="26" t="s">
        <v>489</v>
      </c>
      <c r="E82" s="26" t="b">
        <f t="shared" ref="E82:E85" si="6">F82=G82</f>
        <v>1</v>
      </c>
      <c r="F82" s="26" t="s">
        <v>490</v>
      </c>
      <c r="G82" s="26" t="str">
        <f>IF(ISERROR(VLOOKUP(F82,MODIFICACIONES_REALIZADAS!F:H,3,)),F82,VLOOKUP(F82,MODIFICACIONES_REALIZADAS!F:H,3,))</f>
        <v>SM-O-GEN-Inspector-NumeroPolizasCorregidas-001-TotalAnual</v>
      </c>
      <c r="H82" s="22">
        <v>20180101</v>
      </c>
      <c r="I82" s="26">
        <v>22000101</v>
      </c>
      <c r="J82" s="22" t="s">
        <v>480</v>
      </c>
      <c r="K82" s="26"/>
    </row>
    <row r="83" spans="1:11" x14ac:dyDescent="0.25">
      <c r="A83" s="26">
        <v>1</v>
      </c>
      <c r="B83" s="26" t="s">
        <v>10</v>
      </c>
      <c r="C83" s="26" t="s">
        <v>12</v>
      </c>
      <c r="D83" s="26" t="s">
        <v>491</v>
      </c>
      <c r="E83" s="26" t="b">
        <f t="shared" si="6"/>
        <v>1</v>
      </c>
      <c r="F83" s="26" t="s">
        <v>492</v>
      </c>
      <c r="G83" s="26" t="str">
        <f>IF(ISERROR(VLOOKUP(F83,MODIFICACIONES_REALIZADAS!F:H,3,)),F83,VLOOKUP(F83,MODIFICACIONES_REALIZADAS!F:H,3,))</f>
        <v>SM-O-GEN-Inspector-NumeroPolizasCorregidas-002-TotalAnual</v>
      </c>
      <c r="H83" s="22">
        <v>20180101</v>
      </c>
      <c r="I83" s="26">
        <v>22000101</v>
      </c>
      <c r="J83" s="22" t="s">
        <v>480</v>
      </c>
      <c r="K83" s="26"/>
    </row>
    <row r="84" spans="1:11" x14ac:dyDescent="0.25">
      <c r="A84" s="26">
        <v>1</v>
      </c>
      <c r="B84" s="26" t="s">
        <v>10</v>
      </c>
      <c r="C84" s="26" t="s">
        <v>12</v>
      </c>
      <c r="D84" s="26" t="s">
        <v>493</v>
      </c>
      <c r="E84" s="26" t="b">
        <f t="shared" si="6"/>
        <v>1</v>
      </c>
      <c r="F84" s="26" t="s">
        <v>494</v>
      </c>
      <c r="G84" s="26" t="str">
        <f>IF(ISERROR(VLOOKUP(F84,MODIFICACIONES_REALIZADAS!F:H,3,)),F84,VLOOKUP(F84,MODIFICACIONES_REALIZADAS!F:H,3,))</f>
        <v>SM-O-GEN-Inspector-NumeroPolizasCorregidas-906-TotalAnual</v>
      </c>
      <c r="H84" s="22">
        <v>20180101</v>
      </c>
      <c r="I84" s="26">
        <v>22000101</v>
      </c>
      <c r="J84" s="22" t="s">
        <v>480</v>
      </c>
      <c r="K84" s="26"/>
    </row>
    <row r="85" spans="1:11" x14ac:dyDescent="0.25">
      <c r="A85" s="26">
        <v>1</v>
      </c>
      <c r="B85" s="26" t="s">
        <v>10</v>
      </c>
      <c r="C85" s="26" t="s">
        <v>12</v>
      </c>
      <c r="D85" s="26" t="s">
        <v>495</v>
      </c>
      <c r="E85" s="26" t="b">
        <f t="shared" si="6"/>
        <v>1</v>
      </c>
      <c r="F85" s="26" t="s">
        <v>496</v>
      </c>
      <c r="G85" s="26" t="str">
        <f>IF(ISERROR(VLOOKUP(F85,MODIFICACIONES_REALIZADAS!F:H,3,)),F85,VLOOKUP(F85,MODIFICACIONES_REALIZADAS!F:H,3,))</f>
        <v>SM-O-GEN-Inspector-NumeroPolizasCorregidas-998-Propia-TotalAnual</v>
      </c>
      <c r="H85" s="22">
        <v>20180101</v>
      </c>
      <c r="I85" s="26">
        <v>22000101</v>
      </c>
      <c r="J85" s="22" t="s">
        <v>480</v>
      </c>
      <c r="K85" s="26"/>
    </row>
    <row r="86" spans="1:11" x14ac:dyDescent="0.25">
      <c r="A86">
        <v>1</v>
      </c>
      <c r="B86" t="s">
        <v>10</v>
      </c>
      <c r="C86" t="s">
        <v>12</v>
      </c>
      <c r="D86" t="s">
        <v>497</v>
      </c>
      <c r="E86" t="b">
        <f t="shared" si="0"/>
        <v>0</v>
      </c>
      <c r="F86" t="s">
        <v>498</v>
      </c>
      <c r="G86" t="str">
        <f>IF(ISERROR(VLOOKUP(F86,MODIFICACIONES_REALIZADAS!F:H,3,)),F86,VLOOKUP(F86,MODIFICACIONES_REALIZADAS!F:H,3,))</f>
        <v>SM-O-GEN-Inspector-PrimaCorregida-998-AgentesAnual</v>
      </c>
      <c r="H86">
        <v>20140101</v>
      </c>
      <c r="I86">
        <v>22000101</v>
      </c>
    </row>
    <row r="87" spans="1:11" x14ac:dyDescent="0.25">
      <c r="A87">
        <v>1</v>
      </c>
      <c r="B87" t="s">
        <v>10</v>
      </c>
      <c r="C87" t="s">
        <v>12</v>
      </c>
      <c r="D87" t="s">
        <v>499</v>
      </c>
      <c r="E87" t="b">
        <f t="shared" si="0"/>
        <v>0</v>
      </c>
      <c r="F87" t="s">
        <v>500</v>
      </c>
      <c r="G87" t="str">
        <f>IF(ISERROR(VLOOKUP(F87,MODIFICACIONES_REALIZADAS!F:H,3,)),F87,VLOOKUP(F87,MODIFICACIONES_REALIZADAS!F:H,3,))</f>
        <v>SM-O-GEN-Inspector-PrimaCorregida-998-PropiaAnual</v>
      </c>
      <c r="H87">
        <v>20140101</v>
      </c>
      <c r="I87">
        <v>22000101</v>
      </c>
    </row>
    <row r="88" spans="1:11" x14ac:dyDescent="0.25">
      <c r="A88">
        <v>1</v>
      </c>
      <c r="B88" t="s">
        <v>10</v>
      </c>
      <c r="C88" t="s">
        <v>12</v>
      </c>
      <c r="D88" t="s">
        <v>501</v>
      </c>
      <c r="E88" t="b">
        <f t="shared" si="0"/>
        <v>0</v>
      </c>
      <c r="F88" t="s">
        <v>502</v>
      </c>
      <c r="G88" t="str">
        <f>IF(ISERROR(VLOOKUP(F88,MODIFICACIONES_REALIZADAS!F:H,3,)),F88,VLOOKUP(F88,MODIFICACIONES_REALIZADAS!F:H,3,))</f>
        <v>SM-O-GEN-Inspector-PrimaCorregida-998-TotalAnual</v>
      </c>
      <c r="H88">
        <v>20140101</v>
      </c>
      <c r="I88">
        <v>22000101</v>
      </c>
    </row>
    <row r="89" spans="1:11" x14ac:dyDescent="0.25">
      <c r="A89" s="22">
        <v>1</v>
      </c>
      <c r="B89" s="22" t="s">
        <v>10</v>
      </c>
      <c r="C89" s="22" t="s">
        <v>12</v>
      </c>
      <c r="D89" s="22" t="s">
        <v>503</v>
      </c>
      <c r="E89" s="22" t="b">
        <v>1</v>
      </c>
      <c r="F89" s="22" t="s">
        <v>504</v>
      </c>
      <c r="G89" s="22" t="str">
        <f>IF(ISERROR(VLOOKUP(F89,MODIFICACIONES_REALIZADAS!F:H,3,)),F89,VLOOKUP(F89,MODIFICACIONES_REALIZADAS!F:H,3,))</f>
        <v>SM-O-GEN-Inspector-NumeroPolizasCorregidas-998-TotalAnual</v>
      </c>
      <c r="H89" s="22">
        <v>20180101</v>
      </c>
      <c r="I89" s="22">
        <v>22000101</v>
      </c>
      <c r="J89" s="22" t="s">
        <v>390</v>
      </c>
      <c r="K89" s="22"/>
    </row>
    <row r="90" spans="1:11" x14ac:dyDescent="0.25">
      <c r="A90" s="22">
        <v>1</v>
      </c>
      <c r="B90" s="22" t="s">
        <v>10</v>
      </c>
      <c r="C90" s="22" t="s">
        <v>12</v>
      </c>
      <c r="D90" s="22" t="s">
        <v>505</v>
      </c>
      <c r="E90" s="22" t="b">
        <f>F90=G90</f>
        <v>1</v>
      </c>
      <c r="F90" s="22" t="s">
        <v>506</v>
      </c>
      <c r="G90" s="22" t="str">
        <f>IF(ISERROR(VLOOKUP(F90,MODIFICACIONES_REALIZADAS!F:H,3,)),F90,VLOOKUP(F90,MODIFICACIONES_REALIZADAS!F:H,3,))</f>
        <v>SM-O-GEN-Inspector-NumAsegurados-TotalAnual</v>
      </c>
      <c r="H90" s="22">
        <v>20180101</v>
      </c>
      <c r="I90" s="22">
        <v>22000101</v>
      </c>
      <c r="J90" s="22" t="s">
        <v>412</v>
      </c>
      <c r="K90" s="22"/>
    </row>
    <row r="91" spans="1:11" x14ac:dyDescent="0.25">
      <c r="A91">
        <v>1</v>
      </c>
      <c r="B91" t="s">
        <v>10</v>
      </c>
      <c r="C91" t="s">
        <v>12</v>
      </c>
      <c r="D91" t="s">
        <v>507</v>
      </c>
      <c r="E91" t="b">
        <f t="shared" si="0"/>
        <v>1</v>
      </c>
      <c r="F91" t="s">
        <v>508</v>
      </c>
      <c r="G91" t="str">
        <f>IF(ISERROR(VLOOKUP(F91,MODIFICACIONES_REALIZADAS!F:H,3,)),F91,VLOOKUP(F91,MODIFICACIONES_REALIZADAS!F:H,3,))</f>
        <v>SM-RPP-Inspector-ConsecucionTrimestral-001</v>
      </c>
      <c r="H91">
        <v>20140101</v>
      </c>
      <c r="I91">
        <v>22000101</v>
      </c>
    </row>
    <row r="92" spans="1:11" x14ac:dyDescent="0.25">
      <c r="A92">
        <v>1</v>
      </c>
      <c r="B92" t="s">
        <v>10</v>
      </c>
      <c r="C92" t="s">
        <v>12</v>
      </c>
      <c r="D92" t="s">
        <v>509</v>
      </c>
      <c r="E92" t="b">
        <f t="shared" si="0"/>
        <v>1</v>
      </c>
      <c r="F92" t="s">
        <v>510</v>
      </c>
      <c r="G92" t="str">
        <f>IF(ISERROR(VLOOKUP(F92,MODIFICACIONES_REALIZADAS!F:H,3,)),F92,VLOOKUP(F92,MODIFICACIONES_REALIZADAS!F:H,3,))</f>
        <v>SM-RPP-Inspector-ConsecucionTrimestral-002</v>
      </c>
      <c r="H92">
        <v>20140101</v>
      </c>
      <c r="I92">
        <v>22000101</v>
      </c>
    </row>
    <row r="93" spans="1:11" x14ac:dyDescent="0.25">
      <c r="A93">
        <v>1</v>
      </c>
      <c r="B93" t="s">
        <v>10</v>
      </c>
      <c r="C93" t="s">
        <v>12</v>
      </c>
      <c r="D93" t="s">
        <v>511</v>
      </c>
      <c r="E93" t="b">
        <f t="shared" si="0"/>
        <v>1</v>
      </c>
      <c r="F93" t="s">
        <v>512</v>
      </c>
      <c r="G93" t="str">
        <f>IF(ISERROR(VLOOKUP(F93,MODIFICACIONES_REALIZADAS!F:H,3,)),F93,VLOOKUP(F93,MODIFICACIONES_REALIZADAS!F:H,3,))</f>
        <v>SM-RPP-Inspector-ConsecucionTrimestral-906</v>
      </c>
      <c r="H93">
        <v>20140101</v>
      </c>
      <c r="I93">
        <v>22000101</v>
      </c>
    </row>
    <row r="94" spans="1:11" x14ac:dyDescent="0.25">
      <c r="A94">
        <v>1</v>
      </c>
      <c r="B94" t="s">
        <v>10</v>
      </c>
      <c r="C94" t="s">
        <v>12</v>
      </c>
      <c r="D94" t="s">
        <v>513</v>
      </c>
      <c r="E94" t="b">
        <f t="shared" si="0"/>
        <v>1</v>
      </c>
      <c r="F94" t="s">
        <v>514</v>
      </c>
      <c r="G94" t="str">
        <f>IF(ISERROR(VLOOKUP(F94,MODIFICACIONES_REALIZADAS!F:H,3,)),F94,VLOOKUP(F94,MODIFICACIONES_REALIZADAS!F:H,3,))</f>
        <v>SM-RPP-Inspector-ConsecucionTrimestral-998</v>
      </c>
      <c r="H94">
        <v>20140101</v>
      </c>
      <c r="I94">
        <v>22000101</v>
      </c>
    </row>
    <row r="95" spans="1:11" x14ac:dyDescent="0.25">
      <c r="A95" s="25">
        <v>1</v>
      </c>
      <c r="B95" s="25" t="s">
        <v>10</v>
      </c>
      <c r="C95" s="25" t="s">
        <v>12</v>
      </c>
      <c r="D95" s="25" t="s">
        <v>515</v>
      </c>
      <c r="E95" s="25" t="b">
        <f t="shared" si="0"/>
        <v>1</v>
      </c>
      <c r="F95" s="25" t="s">
        <v>516</v>
      </c>
      <c r="G95" s="25" t="str">
        <f>IF(ISERROR(VLOOKUP(F95,MODIFICACIONES_REALIZADAS!F:H,3,)),F95,VLOOKUP(F95,MODIFICACIONES_REALIZADAS!F:H,3,))</f>
        <v>SM-RPP-Inspector-NumeroPolizas-001-TotalTrimestre</v>
      </c>
      <c r="H95" s="25">
        <v>20140101</v>
      </c>
      <c r="I95" s="25">
        <v>20180301</v>
      </c>
      <c r="J95" s="25" t="s">
        <v>517</v>
      </c>
      <c r="K95" s="25"/>
    </row>
    <row r="96" spans="1:11" x14ac:dyDescent="0.25">
      <c r="A96" s="25">
        <v>1</v>
      </c>
      <c r="B96" s="25" t="s">
        <v>10</v>
      </c>
      <c r="C96" s="25" t="s">
        <v>12</v>
      </c>
      <c r="D96" s="25" t="s">
        <v>518</v>
      </c>
      <c r="E96" s="25" t="b">
        <f t="shared" ref="E96:E186" si="7">F96=G96</f>
        <v>1</v>
      </c>
      <c r="F96" s="25" t="s">
        <v>519</v>
      </c>
      <c r="G96" s="25" t="str">
        <f>IF(ISERROR(VLOOKUP(F96,MODIFICACIONES_REALIZADAS!F:H,3,)),F96,VLOOKUP(F96,MODIFICACIONES_REALIZADAS!F:H,3,))</f>
        <v>SM-RPP-Inspector-NumeroPolizas-002-TotalTrimestre</v>
      </c>
      <c r="H96" s="25">
        <v>20140101</v>
      </c>
      <c r="I96" s="25">
        <v>20180301</v>
      </c>
      <c r="J96" s="25" t="s">
        <v>517</v>
      </c>
      <c r="K96" s="25"/>
    </row>
    <row r="97" spans="1:11" x14ac:dyDescent="0.25">
      <c r="A97" s="25">
        <v>1</v>
      </c>
      <c r="B97" s="25" t="s">
        <v>10</v>
      </c>
      <c r="C97" s="25" t="s">
        <v>12</v>
      </c>
      <c r="D97" s="25" t="s">
        <v>520</v>
      </c>
      <c r="E97" s="25" t="b">
        <f t="shared" si="7"/>
        <v>1</v>
      </c>
      <c r="F97" s="25" t="s">
        <v>521</v>
      </c>
      <c r="G97" s="25" t="str">
        <f>IF(ISERROR(VLOOKUP(F97,MODIFICACIONES_REALIZADAS!F:H,3,)),F97,VLOOKUP(F97,MODIFICACIONES_REALIZADAS!F:H,3,))</f>
        <v>SM-RPP-Inspector-NumeroPolizas-906-TotalTrimestre</v>
      </c>
      <c r="H97" s="25">
        <v>20140101</v>
      </c>
      <c r="I97" s="25">
        <v>20180301</v>
      </c>
      <c r="J97" s="25" t="s">
        <v>517</v>
      </c>
      <c r="K97" s="25"/>
    </row>
    <row r="98" spans="1:11" x14ac:dyDescent="0.25">
      <c r="A98" s="25">
        <v>1</v>
      </c>
      <c r="B98" s="25" t="s">
        <v>10</v>
      </c>
      <c r="C98" s="25" t="s">
        <v>12</v>
      </c>
      <c r="D98" s="25" t="s">
        <v>522</v>
      </c>
      <c r="E98" s="25" t="b">
        <f t="shared" si="7"/>
        <v>1</v>
      </c>
      <c r="F98" s="25" t="s">
        <v>523</v>
      </c>
      <c r="G98" s="25" t="str">
        <f>IF(ISERROR(VLOOKUP(F98,MODIFICACIONES_REALIZADAS!F:H,3,)),F98,VLOOKUP(F98,MODIFICACIONES_REALIZADAS!F:H,3,))</f>
        <v>SM-RPP-Inspector-NumeroPolizas-998-TotalTrimestre</v>
      </c>
      <c r="H98" s="25">
        <v>20140101</v>
      </c>
      <c r="I98" s="25">
        <v>20180301</v>
      </c>
      <c r="J98" s="25" t="s">
        <v>517</v>
      </c>
      <c r="K98" s="25"/>
    </row>
    <row r="99" spans="1:11" x14ac:dyDescent="0.25">
      <c r="A99" s="22">
        <v>1</v>
      </c>
      <c r="B99" s="22" t="s">
        <v>10</v>
      </c>
      <c r="C99" s="22" t="s">
        <v>12</v>
      </c>
      <c r="D99" s="22" t="s">
        <v>524</v>
      </c>
      <c r="E99" s="22" t="b">
        <f t="shared" si="7"/>
        <v>1</v>
      </c>
      <c r="F99" s="22" t="s">
        <v>525</v>
      </c>
      <c r="G99" s="22" t="str">
        <f>IF(ISERROR(VLOOKUP(F99,MODIFICACIONES_REALIZADAS!F:H,3,)),F99,VLOOKUP(F99,MODIFICACIONES_REALIZADAS!F:H,3,))</f>
        <v>SM-O-GEN-Inspector-NumeroPolizasCorregidas-001-TotalTrimestre</v>
      </c>
      <c r="H99" s="22">
        <v>20180301</v>
      </c>
      <c r="I99" s="22">
        <v>22000101</v>
      </c>
      <c r="J99" s="22" t="s">
        <v>517</v>
      </c>
      <c r="K99" s="22"/>
    </row>
    <row r="100" spans="1:11" x14ac:dyDescent="0.25">
      <c r="A100" s="22">
        <v>1</v>
      </c>
      <c r="B100" s="22" t="s">
        <v>10</v>
      </c>
      <c r="C100" s="22" t="s">
        <v>12</v>
      </c>
      <c r="D100" s="22" t="s">
        <v>526</v>
      </c>
      <c r="E100" s="22" t="b">
        <f t="shared" ref="E100:E102" si="8">F100=G100</f>
        <v>1</v>
      </c>
      <c r="F100" s="22" t="s">
        <v>527</v>
      </c>
      <c r="G100" s="22" t="str">
        <f>IF(ISERROR(VLOOKUP(F100,MODIFICACIONES_REALIZADAS!F:H,3,)),F100,VLOOKUP(F100,MODIFICACIONES_REALIZADAS!F:H,3,))</f>
        <v>SM-O-GEN-Inspector-NumeroPolizasCorregidas-002-TotalTrimestre</v>
      </c>
      <c r="H100" s="22">
        <v>20180301</v>
      </c>
      <c r="I100" s="22">
        <v>22000101</v>
      </c>
      <c r="J100" s="22" t="s">
        <v>517</v>
      </c>
      <c r="K100" s="22"/>
    </row>
    <row r="101" spans="1:11" x14ac:dyDescent="0.25">
      <c r="A101" s="22">
        <v>1</v>
      </c>
      <c r="B101" s="22" t="s">
        <v>10</v>
      </c>
      <c r="C101" s="22" t="s">
        <v>12</v>
      </c>
      <c r="D101" s="22" t="s">
        <v>528</v>
      </c>
      <c r="E101" s="22" t="b">
        <f t="shared" si="8"/>
        <v>1</v>
      </c>
      <c r="F101" s="22" t="s">
        <v>529</v>
      </c>
      <c r="G101" s="22" t="str">
        <f>IF(ISERROR(VLOOKUP(F101,MODIFICACIONES_REALIZADAS!F:H,3,)),F101,VLOOKUP(F101,MODIFICACIONES_REALIZADAS!F:H,3,))</f>
        <v>SM-O-GEN-Inspector-NumeroPolizasCorregidas-906-TotalTrimestre</v>
      </c>
      <c r="H101" s="22">
        <v>20180301</v>
      </c>
      <c r="I101" s="22">
        <v>22000101</v>
      </c>
      <c r="J101" s="22" t="s">
        <v>517</v>
      </c>
      <c r="K101" s="22"/>
    </row>
    <row r="102" spans="1:11" x14ac:dyDescent="0.25">
      <c r="A102" s="22">
        <v>1</v>
      </c>
      <c r="B102" s="22" t="s">
        <v>10</v>
      </c>
      <c r="C102" s="22" t="s">
        <v>12</v>
      </c>
      <c r="D102" s="22" t="s">
        <v>530</v>
      </c>
      <c r="E102" s="22" t="b">
        <f t="shared" si="8"/>
        <v>1</v>
      </c>
      <c r="F102" s="22" t="s">
        <v>531</v>
      </c>
      <c r="G102" s="22" t="str">
        <f>IF(ISERROR(VLOOKUP(F102,MODIFICACIONES_REALIZADAS!F:H,3,)),F102,VLOOKUP(F102,MODIFICACIONES_REALIZADAS!F:H,3,))</f>
        <v>SM-O-GEN-Inspector-NumeroPolizasCorregidas-998-TotalTrimestre</v>
      </c>
      <c r="H102" s="22">
        <v>20180301</v>
      </c>
      <c r="I102" s="22">
        <v>22000101</v>
      </c>
      <c r="J102" s="22" t="s">
        <v>517</v>
      </c>
      <c r="K102" s="22"/>
    </row>
    <row r="103" spans="1:11" x14ac:dyDescent="0.25">
      <c r="A103" s="25">
        <v>1</v>
      </c>
      <c r="B103" s="25" t="s">
        <v>16</v>
      </c>
      <c r="C103" s="25" t="s">
        <v>18</v>
      </c>
      <c r="D103" s="25" t="s">
        <v>532</v>
      </c>
      <c r="E103" s="25" t="b">
        <f t="shared" si="7"/>
        <v>0</v>
      </c>
      <c r="F103" s="25" t="s">
        <v>533</v>
      </c>
      <c r="G103" s="25" t="str">
        <f>IF(ISERROR(VLOOKUP(F103,MODIFICACIONES_REALIZADAS!F:H,3,)),F103,VLOOKUP(F103,MODIFICACIONES_REALIZADAS!F:H,3,))</f>
        <v>DC-O-GEN-Inspector-PrimaCorregida-998</v>
      </c>
      <c r="H103" s="25">
        <v>20140101</v>
      </c>
      <c r="I103" s="25">
        <v>22000101</v>
      </c>
      <c r="J103" s="25" t="s">
        <v>390</v>
      </c>
      <c r="K103" s="25"/>
    </row>
    <row r="104" spans="1:11" x14ac:dyDescent="0.25">
      <c r="A104" s="25">
        <v>1</v>
      </c>
      <c r="B104" s="25" t="s">
        <v>16</v>
      </c>
      <c r="C104" s="25" t="s">
        <v>18</v>
      </c>
      <c r="D104" s="25" t="s">
        <v>534</v>
      </c>
      <c r="E104" s="25" t="b">
        <f t="shared" si="7"/>
        <v>0</v>
      </c>
      <c r="F104" s="25" t="s">
        <v>535</v>
      </c>
      <c r="G104" s="25" t="str">
        <f>IF(ISERROR(VLOOKUP(F104,MODIFICACIONES_REALIZADAS!F:H,3,)),F104,VLOOKUP(F104,MODIFICACIONES_REALIZADAS!F:H,3,))</f>
        <v>IC-O-GEN-Inspector-PrimaCorregida-998</v>
      </c>
      <c r="H104" s="25">
        <v>20140101</v>
      </c>
      <c r="I104" s="25">
        <v>22000101</v>
      </c>
      <c r="J104" s="25" t="s">
        <v>390</v>
      </c>
      <c r="K104" s="25"/>
    </row>
    <row r="105" spans="1:11" x14ac:dyDescent="0.25">
      <c r="A105" s="25">
        <v>1</v>
      </c>
      <c r="B105" s="25" t="s">
        <v>16</v>
      </c>
      <c r="C105" s="25" t="s">
        <v>18</v>
      </c>
      <c r="D105" s="25" t="s">
        <v>536</v>
      </c>
      <c r="E105" s="25" t="b">
        <f t="shared" si="7"/>
        <v>0</v>
      </c>
      <c r="F105" s="25" t="s">
        <v>537</v>
      </c>
      <c r="G105" s="25" t="str">
        <f>IF(ISERROR(VLOOKUP(F105,MODIFICACIONES_REALIZADAS!F:H,3,)),F105,VLOOKUP(F105,MODIFICACIONES_REALIZADAS!F:H,3,))</f>
        <v>DC-O-GEN-Inspector-NumeroPolizas-998</v>
      </c>
      <c r="H105" s="25">
        <v>20140101</v>
      </c>
      <c r="I105" s="25">
        <v>22000101</v>
      </c>
      <c r="J105" s="25" t="s">
        <v>390</v>
      </c>
      <c r="K105" s="25"/>
    </row>
    <row r="106" spans="1:11" x14ac:dyDescent="0.25">
      <c r="A106" s="25">
        <v>1</v>
      </c>
      <c r="B106" s="25" t="s">
        <v>16</v>
      </c>
      <c r="C106" s="25" t="s">
        <v>18</v>
      </c>
      <c r="D106" s="25" t="s">
        <v>538</v>
      </c>
      <c r="E106" s="25" t="b">
        <f t="shared" si="7"/>
        <v>0</v>
      </c>
      <c r="F106" s="25" t="s">
        <v>539</v>
      </c>
      <c r="G106" s="25" t="str">
        <f>IF(ISERROR(VLOOKUP(F106,MODIFICACIONES_REALIZADAS!F:H,3,)),F106,VLOOKUP(F106,MODIFICACIONES_REALIZADAS!F:H,3,))</f>
        <v>IC-O-GEN-Inspector-NumeroPolizas-998</v>
      </c>
      <c r="H106" s="25">
        <v>20140101</v>
      </c>
      <c r="I106" s="25">
        <v>22000101</v>
      </c>
      <c r="J106" s="25" t="s">
        <v>390</v>
      </c>
      <c r="K106" s="25"/>
    </row>
    <row r="107" spans="1:11" x14ac:dyDescent="0.25">
      <c r="A107" s="2">
        <v>2</v>
      </c>
      <c r="B107" s="2" t="s">
        <v>21</v>
      </c>
      <c r="C107" s="2" t="s">
        <v>23</v>
      </c>
      <c r="D107" s="2" t="s">
        <v>540</v>
      </c>
      <c r="E107" s="2" t="b">
        <f t="shared" ref="E107:E114" si="9">F107=G107</f>
        <v>1</v>
      </c>
      <c r="F107" s="2" t="s">
        <v>541</v>
      </c>
      <c r="G107" s="2" t="str">
        <f>IF(ISERROR(VLOOKUP(F107,MODIFICACIONES_REALIZADAS!F:H,3,)),F107,VLOOKUP(F107,MODIFICACIONES_REALIZADAS!F:H,3,))</f>
        <v>PM-E-GEN-Inspector-NumeroPolizas-001</v>
      </c>
      <c r="H107" s="2">
        <v>20170101</v>
      </c>
      <c r="I107" s="2">
        <v>20180101</v>
      </c>
      <c r="J107" s="2" t="s">
        <v>412</v>
      </c>
      <c r="K107" s="2"/>
    </row>
    <row r="108" spans="1:11" x14ac:dyDescent="0.25">
      <c r="A108" s="2">
        <v>2</v>
      </c>
      <c r="B108" s="2" t="s">
        <v>21</v>
      </c>
      <c r="C108" s="2" t="s">
        <v>23</v>
      </c>
      <c r="D108" s="2" t="s">
        <v>542</v>
      </c>
      <c r="E108" s="2" t="b">
        <f t="shared" si="9"/>
        <v>1</v>
      </c>
      <c r="F108" s="2" t="s">
        <v>543</v>
      </c>
      <c r="G108" s="2" t="str">
        <f>IF(ISERROR(VLOOKUP(F108,MODIFICACIONES_REALIZADAS!F:H,3,)),F108,VLOOKUP(F108,MODIFICACIONES_REALIZADAS!F:H,3,))</f>
        <v>PM-E-GEN-Inspector-NumeroPolizas-001-Agentes</v>
      </c>
      <c r="H108" s="2">
        <v>20170101</v>
      </c>
      <c r="I108" s="2">
        <v>20180101</v>
      </c>
      <c r="J108" s="2" t="s">
        <v>412</v>
      </c>
      <c r="K108" s="2"/>
    </row>
    <row r="109" spans="1:11" x14ac:dyDescent="0.25">
      <c r="A109" s="2">
        <v>2</v>
      </c>
      <c r="B109" s="2" t="s">
        <v>21</v>
      </c>
      <c r="C109" s="2" t="s">
        <v>23</v>
      </c>
      <c r="D109" s="2" t="s">
        <v>544</v>
      </c>
      <c r="E109" s="2" t="b">
        <f t="shared" si="9"/>
        <v>1</v>
      </c>
      <c r="F109" s="2" t="s">
        <v>545</v>
      </c>
      <c r="G109" s="2" t="str">
        <f>IF(ISERROR(VLOOKUP(F109,MODIFICACIONES_REALIZADAS!F:H,3,)),F109,VLOOKUP(F109,MODIFICACIONES_REALIZADAS!F:H,3,))</f>
        <v>PM-E-GEN-Inspector-NumeroPolizas-004</v>
      </c>
      <c r="H109" s="2">
        <v>20140101</v>
      </c>
      <c r="I109" s="2">
        <v>20180101</v>
      </c>
      <c r="J109" s="2" t="s">
        <v>412</v>
      </c>
      <c r="K109" s="2"/>
    </row>
    <row r="110" spans="1:11" x14ac:dyDescent="0.25">
      <c r="A110" s="2">
        <v>2</v>
      </c>
      <c r="B110" s="2" t="s">
        <v>21</v>
      </c>
      <c r="C110" s="2" t="s">
        <v>23</v>
      </c>
      <c r="D110" s="2" t="s">
        <v>546</v>
      </c>
      <c r="E110" s="2" t="b">
        <f t="shared" si="9"/>
        <v>1</v>
      </c>
      <c r="F110" s="2" t="s">
        <v>547</v>
      </c>
      <c r="G110" s="2" t="str">
        <f>IF(ISERROR(VLOOKUP(F110,MODIFICACIONES_REALIZADAS!F:H,3,)),F110,VLOOKUP(F110,MODIFICACIONES_REALIZADAS!F:H,3,))</f>
        <v>PM-E-GEN-Inspector-NumeroPolizas-004-Agentes</v>
      </c>
      <c r="H110" s="2">
        <v>20140101</v>
      </c>
      <c r="I110" s="2">
        <v>20180101</v>
      </c>
      <c r="J110" s="2" t="s">
        <v>412</v>
      </c>
      <c r="K110" s="2"/>
    </row>
    <row r="111" spans="1:11" x14ac:dyDescent="0.25">
      <c r="A111" s="22">
        <v>2</v>
      </c>
      <c r="B111" s="22" t="s">
        <v>21</v>
      </c>
      <c r="C111" s="22" t="s">
        <v>23</v>
      </c>
      <c r="D111" s="22" t="s">
        <v>548</v>
      </c>
      <c r="E111" s="22" t="b">
        <f t="shared" si="9"/>
        <v>1</v>
      </c>
      <c r="F111" s="22" t="s">
        <v>549</v>
      </c>
      <c r="G111" s="22" t="str">
        <f>IF(ISERROR(VLOOKUP(F111,MODIFICACIONES_REALIZADAS!F:H,3,)),F111,VLOOKUP(F111,MODIFICACIONES_REALIZADAS!F:H,3,))</f>
        <v>PM-E-GEN-Inspector-NumeroPolizasCorregidas-Decesos-Propia</v>
      </c>
      <c r="H111" s="22">
        <v>20180101</v>
      </c>
      <c r="I111" s="22">
        <v>22000101</v>
      </c>
      <c r="J111" s="22" t="s">
        <v>412</v>
      </c>
      <c r="K111" s="22"/>
    </row>
    <row r="112" spans="1:11" x14ac:dyDescent="0.25">
      <c r="A112" s="22">
        <v>2</v>
      </c>
      <c r="B112" s="22" t="s">
        <v>21</v>
      </c>
      <c r="C112" s="22" t="s">
        <v>23</v>
      </c>
      <c r="D112" s="22" t="s">
        <v>550</v>
      </c>
      <c r="E112" s="22" t="b">
        <f t="shared" si="9"/>
        <v>1</v>
      </c>
      <c r="F112" s="22" t="s">
        <v>551</v>
      </c>
      <c r="G112" s="22" t="str">
        <f>IF(ISERROR(VLOOKUP(F112,MODIFICACIONES_REALIZADAS!F:H,3,)),F112,VLOOKUP(F112,MODIFICACIONES_REALIZADAS!F:H,3,))</f>
        <v>PM-E-GEN-Inspector-NumeroPolizasCorregidas-Decesos-Agentes</v>
      </c>
      <c r="H112" s="22">
        <v>20180101</v>
      </c>
      <c r="I112" s="22">
        <v>22000101</v>
      </c>
      <c r="J112" s="22" t="s">
        <v>412</v>
      </c>
      <c r="K112" s="22"/>
    </row>
    <row r="113" spans="1:11" x14ac:dyDescent="0.25">
      <c r="A113" s="22">
        <v>2</v>
      </c>
      <c r="B113" s="22" t="s">
        <v>21</v>
      </c>
      <c r="C113" s="22" t="s">
        <v>23</v>
      </c>
      <c r="D113" s="22" t="s">
        <v>552</v>
      </c>
      <c r="E113" s="22" t="b">
        <f t="shared" si="9"/>
        <v>1</v>
      </c>
      <c r="F113" s="22" t="s">
        <v>553</v>
      </c>
      <c r="G113" s="22" t="str">
        <f>IF(ISERROR(VLOOKUP(F113,MODIFICACIONES_REALIZADAS!F:H,3,)),F113,VLOOKUP(F113,MODIFICACIONES_REALIZADAS!F:H,3,))</f>
        <v>PM-E-GEN-Inspector-NumeroPolizasCorregidas-ProdPrioritarios-Propia</v>
      </c>
      <c r="H113" s="22">
        <v>20180101</v>
      </c>
      <c r="I113" s="22">
        <v>22000101</v>
      </c>
      <c r="J113" s="22" t="s">
        <v>412</v>
      </c>
      <c r="K113" s="22"/>
    </row>
    <row r="114" spans="1:11" x14ac:dyDescent="0.25">
      <c r="A114" s="22">
        <v>2</v>
      </c>
      <c r="B114" s="22" t="s">
        <v>21</v>
      </c>
      <c r="C114" s="22" t="s">
        <v>23</v>
      </c>
      <c r="D114" s="22" t="s">
        <v>554</v>
      </c>
      <c r="E114" s="22" t="b">
        <f t="shared" si="9"/>
        <v>1</v>
      </c>
      <c r="F114" s="22" t="s">
        <v>555</v>
      </c>
      <c r="G114" s="22" t="str">
        <f>IF(ISERROR(VLOOKUP(F114,MODIFICACIONES_REALIZADAS!F:H,3,)),F114,VLOOKUP(F114,MODIFICACIONES_REALIZADAS!F:H,3,))</f>
        <v>PM-E-GEN-Inspector-NumeroPolizasCorregidas-ProdPrioritarios-Agentes</v>
      </c>
      <c r="H114" s="22">
        <v>20180101</v>
      </c>
      <c r="I114" s="22">
        <v>22000101</v>
      </c>
      <c r="J114" s="22" t="s">
        <v>412</v>
      </c>
      <c r="K114" s="22"/>
    </row>
    <row r="115" spans="1:11" x14ac:dyDescent="0.25">
      <c r="A115" s="2">
        <v>2</v>
      </c>
      <c r="B115" s="2" t="s">
        <v>21</v>
      </c>
      <c r="C115" s="2" t="s">
        <v>23</v>
      </c>
      <c r="D115" s="2" t="s">
        <v>556</v>
      </c>
      <c r="E115" s="2" t="b">
        <f t="shared" si="7"/>
        <v>1</v>
      </c>
      <c r="F115" s="2" t="s">
        <v>557</v>
      </c>
      <c r="G115" s="2" t="str">
        <f>IF(ISERROR(VLOOKUP(F115,MODIFICACIONES_REALIZADAS!F:H,3,)),F115,VLOOKUP(F115,MODIFICACIONES_REALIZADAS!F:H,3,))</f>
        <v>PM-E-GEN-Inspector-PrimaCorregida-004</v>
      </c>
      <c r="H115" s="2">
        <v>20140101</v>
      </c>
      <c r="I115" s="2">
        <v>20180101</v>
      </c>
      <c r="J115" s="2" t="s">
        <v>412</v>
      </c>
      <c r="K115" s="2"/>
    </row>
    <row r="116" spans="1:11" x14ac:dyDescent="0.25">
      <c r="A116" s="2">
        <v>2</v>
      </c>
      <c r="B116" s="2" t="s">
        <v>21</v>
      </c>
      <c r="C116" s="2" t="s">
        <v>23</v>
      </c>
      <c r="D116" s="2" t="s">
        <v>558</v>
      </c>
      <c r="E116" s="2" t="b">
        <f t="shared" ref="E116:E122" si="10">F116=G116</f>
        <v>1</v>
      </c>
      <c r="F116" s="2" t="s">
        <v>559</v>
      </c>
      <c r="G116" s="2" t="str">
        <f>IF(ISERROR(VLOOKUP(F116,MODIFICACIONES_REALIZADAS!F:H,3,)),F116,VLOOKUP(F116,MODIFICACIONES_REALIZADAS!F:H,3,))</f>
        <v>PM-E-GEN-Inspector-PrimaCorregida-004-Agentes</v>
      </c>
      <c r="H116" s="2">
        <v>20140101</v>
      </c>
      <c r="I116" s="2">
        <v>20180101</v>
      </c>
      <c r="J116" s="2" t="s">
        <v>412</v>
      </c>
      <c r="K116" s="2"/>
    </row>
    <row r="117" spans="1:11" x14ac:dyDescent="0.25">
      <c r="A117" s="22">
        <v>2</v>
      </c>
      <c r="B117" s="22" t="s">
        <v>21</v>
      </c>
      <c r="C117" s="22" t="s">
        <v>23</v>
      </c>
      <c r="D117" s="22" t="s">
        <v>560</v>
      </c>
      <c r="E117" s="22" t="b">
        <f t="shared" si="10"/>
        <v>1</v>
      </c>
      <c r="F117" s="22" t="s">
        <v>561</v>
      </c>
      <c r="G117" s="22" t="str">
        <f>IF(ISERROR(VLOOKUP(F117,MODIFICACIONES_REALIZADAS!F:H,3,)),F117,VLOOKUP(F117,MODIFICACIONES_REALIZADAS!F:H,3,))</f>
        <v>PM-E-GEN-Inspector-PrimaCorregida-ProdPrioritarios-Propia</v>
      </c>
      <c r="H117" s="22">
        <v>20140101</v>
      </c>
      <c r="I117" s="22">
        <v>22000101</v>
      </c>
      <c r="J117" s="22" t="s">
        <v>412</v>
      </c>
      <c r="K117" s="22"/>
    </row>
    <row r="118" spans="1:11" x14ac:dyDescent="0.25">
      <c r="A118" s="22">
        <v>2</v>
      </c>
      <c r="B118" s="22" t="s">
        <v>21</v>
      </c>
      <c r="C118" s="22" t="s">
        <v>23</v>
      </c>
      <c r="D118" s="22" t="s">
        <v>562</v>
      </c>
      <c r="E118" s="22" t="b">
        <f t="shared" si="10"/>
        <v>1</v>
      </c>
      <c r="F118" s="22" t="s">
        <v>563</v>
      </c>
      <c r="G118" s="22" t="str">
        <f>IF(ISERROR(VLOOKUP(F118,MODIFICACIONES_REALIZADAS!F:H,3,)),F118,VLOOKUP(F118,MODIFICACIONES_REALIZADAS!F:H,3,))</f>
        <v>PM-E-GEN-Inspector-PrimaCorregida-ProdPrioritarios-Agentes</v>
      </c>
      <c r="H118" s="22">
        <v>20140101</v>
      </c>
      <c r="I118" s="22">
        <v>22000101</v>
      </c>
      <c r="J118" s="22" t="s">
        <v>412</v>
      </c>
      <c r="K118" s="22"/>
    </row>
    <row r="119" spans="1:11" x14ac:dyDescent="0.25">
      <c r="A119" s="2">
        <v>2</v>
      </c>
      <c r="B119" s="2" t="s">
        <v>21</v>
      </c>
      <c r="C119" s="2" t="s">
        <v>23</v>
      </c>
      <c r="D119" s="2" t="s">
        <v>564</v>
      </c>
      <c r="E119" s="2" t="b">
        <f t="shared" si="10"/>
        <v>1</v>
      </c>
      <c r="F119" s="2" t="s">
        <v>565</v>
      </c>
      <c r="G119" s="2" t="str">
        <f>IF(ISERROR(VLOOKUP(F119,MODIFICACIONES_REALIZADAS!F:H,3,)),F119,VLOOKUP(F119,MODIFICACIONES_REALIZADAS!F:H,3,))</f>
        <v>SM-E-GEN-Inspector-NumeroPolizas-004-TotalMes</v>
      </c>
      <c r="H119" s="2">
        <v>20140101</v>
      </c>
      <c r="I119" s="2">
        <v>20180101</v>
      </c>
      <c r="J119" s="2" t="s">
        <v>412</v>
      </c>
      <c r="K119" s="2"/>
    </row>
    <row r="120" spans="1:11" x14ac:dyDescent="0.25">
      <c r="A120" s="22">
        <v>2</v>
      </c>
      <c r="B120" s="22" t="s">
        <v>21</v>
      </c>
      <c r="C120" s="22" t="s">
        <v>23</v>
      </c>
      <c r="D120" s="22" t="s">
        <v>566</v>
      </c>
      <c r="E120" s="22" t="b">
        <f t="shared" si="10"/>
        <v>1</v>
      </c>
      <c r="F120" s="22" t="s">
        <v>567</v>
      </c>
      <c r="G120" s="22" t="str">
        <f>IF(ISERROR(VLOOKUP(F120,MODIFICACIONES_REALIZADAS!F:H,3,)),F120,VLOOKUP(F120,MODIFICACIONES_REALIZADAS!F:H,3,))</f>
        <v>SM-E-GEN-Inspector-NumeroPolizasCorregidas-ProdPrioritarios-TotalMes</v>
      </c>
      <c r="H120" s="22">
        <v>20180101</v>
      </c>
      <c r="I120" s="22">
        <v>22000101</v>
      </c>
      <c r="J120" s="22" t="s">
        <v>412</v>
      </c>
      <c r="K120" s="22"/>
    </row>
    <row r="121" spans="1:11" x14ac:dyDescent="0.25">
      <c r="A121" s="2">
        <v>2</v>
      </c>
      <c r="B121" s="2" t="s">
        <v>21</v>
      </c>
      <c r="C121" s="2" t="s">
        <v>23</v>
      </c>
      <c r="D121" s="2" t="s">
        <v>568</v>
      </c>
      <c r="E121" s="2" t="b">
        <f t="shared" si="10"/>
        <v>1</v>
      </c>
      <c r="F121" s="2" t="s">
        <v>569</v>
      </c>
      <c r="G121" s="2" t="str">
        <f>IF(ISERROR(VLOOKUP(F121,MODIFICACIONES_REALIZADAS!F:H,3,)),F121,VLOOKUP(F121,MODIFICACIONES_REALIZADAS!F:H,3,))</f>
        <v>SM-E-GEN-Inspector-PrimaCorregida-004-TotalMes</v>
      </c>
      <c r="H121" s="2">
        <v>20140101</v>
      </c>
      <c r="I121" s="2">
        <v>20180101</v>
      </c>
      <c r="J121" s="2" t="s">
        <v>412</v>
      </c>
      <c r="K121" s="2"/>
    </row>
    <row r="122" spans="1:11" x14ac:dyDescent="0.25">
      <c r="A122" s="22">
        <v>2</v>
      </c>
      <c r="B122" s="22" t="s">
        <v>21</v>
      </c>
      <c r="C122" s="22" t="s">
        <v>23</v>
      </c>
      <c r="D122" s="22" t="s">
        <v>570</v>
      </c>
      <c r="E122" s="22" t="b">
        <f t="shared" si="10"/>
        <v>1</v>
      </c>
      <c r="F122" s="22" t="s">
        <v>571</v>
      </c>
      <c r="G122" s="22" t="str">
        <f>IF(ISERROR(VLOOKUP(F122,MODIFICACIONES_REALIZADAS!F:H,3,)),F122,VLOOKUP(F122,MODIFICACIONES_REALIZADAS!F:H,3,))</f>
        <v>SM-E-GEN-Inspector-PrimaCorregida-ProdPrioritarios-TotalMes</v>
      </c>
      <c r="H122" s="22">
        <v>20140101</v>
      </c>
      <c r="I122" s="22">
        <v>22000101</v>
      </c>
      <c r="J122" s="22" t="s">
        <v>412</v>
      </c>
      <c r="K122" s="22"/>
    </row>
    <row r="123" spans="1:11" x14ac:dyDescent="0.25">
      <c r="A123">
        <v>2</v>
      </c>
      <c r="B123" t="s">
        <v>21</v>
      </c>
      <c r="C123" t="s">
        <v>23</v>
      </c>
      <c r="D123" t="s">
        <v>572</v>
      </c>
      <c r="E123" t="b">
        <f t="shared" si="7"/>
        <v>1</v>
      </c>
      <c r="F123" t="s">
        <v>573</v>
      </c>
      <c r="G123" t="str">
        <f>IF(ISERROR(VLOOKUP(F123,MODIFICACIONES_REALIZADAS!F:H,3,)),F123,VLOOKUP(F123,MODIFICACIONES_REALIZADAS!F:H,3,))</f>
        <v>SM-E-RP2-Inspector-PagoMensual</v>
      </c>
      <c r="H123">
        <v>20140101</v>
      </c>
      <c r="I123">
        <v>22000101</v>
      </c>
    </row>
    <row r="124" spans="1:11" ht="13.15" customHeight="1" x14ac:dyDescent="0.25">
      <c r="A124">
        <v>2</v>
      </c>
      <c r="B124" t="s">
        <v>21</v>
      </c>
      <c r="C124" t="s">
        <v>23</v>
      </c>
      <c r="D124" t="s">
        <v>574</v>
      </c>
      <c r="E124" t="b">
        <f>F124=G124</f>
        <v>1</v>
      </c>
      <c r="F124" t="s">
        <v>575</v>
      </c>
      <c r="G124" t="str">
        <f>IF(ISERROR(VLOOKUP(F124,MODIFICACIONES_REALIZADAS!F:H,3,)),F124,VLOOKUP(F124,MODIFICACIONES_REALIZADAS!F:H,3,))</f>
        <v>SM-E-SP-Inspector-PagoMensual</v>
      </c>
      <c r="H124">
        <v>20140101</v>
      </c>
      <c r="I124">
        <v>22000101</v>
      </c>
    </row>
    <row r="125" spans="1:11" x14ac:dyDescent="0.25">
      <c r="A125" s="2">
        <v>2</v>
      </c>
      <c r="B125" s="2" t="s">
        <v>21</v>
      </c>
      <c r="C125" s="2" t="s">
        <v>23</v>
      </c>
      <c r="D125" s="2" t="s">
        <v>576</v>
      </c>
      <c r="E125" s="2" t="b">
        <f t="shared" si="7"/>
        <v>1</v>
      </c>
      <c r="F125" s="2" t="s">
        <v>577</v>
      </c>
      <c r="G125" s="2" t="str">
        <f>IF(ISERROR(VLOOKUP(F125,MODIFICACIONES_REALIZADAS!F:H,3,)),F125,VLOOKUP(F125,MODIFICACIONES_REALIZADAS!F:H,3,))</f>
        <v>PM-E-RP1-Inspector-NumeroPolizas-001</v>
      </c>
      <c r="H125" s="2">
        <v>20140101</v>
      </c>
      <c r="I125" s="2">
        <v>20170101</v>
      </c>
      <c r="J125" s="2" t="s">
        <v>71</v>
      </c>
      <c r="K125" s="2"/>
    </row>
    <row r="126" spans="1:11" x14ac:dyDescent="0.25">
      <c r="A126" s="2">
        <v>2</v>
      </c>
      <c r="B126" s="2" t="s">
        <v>21</v>
      </c>
      <c r="C126" s="2" t="s">
        <v>23</v>
      </c>
      <c r="D126" s="2" t="s">
        <v>542</v>
      </c>
      <c r="E126" s="2" t="b">
        <f t="shared" si="7"/>
        <v>1</v>
      </c>
      <c r="F126" s="2" t="s">
        <v>578</v>
      </c>
      <c r="G126" s="2" t="str">
        <f>IF(ISERROR(VLOOKUP(F126,MODIFICACIONES_REALIZADAS!F:H,3,)),F126,VLOOKUP(F126,MODIFICACIONES_REALIZADAS!F:H,3,))</f>
        <v>PM-E-RP1-Inspector-NumeroPolizas-001-Agentes</v>
      </c>
      <c r="H126" s="2">
        <v>20140101</v>
      </c>
      <c r="I126" s="2">
        <v>20170101</v>
      </c>
      <c r="J126" s="2" t="s">
        <v>71</v>
      </c>
      <c r="K126" s="2"/>
    </row>
    <row r="127" spans="1:11" x14ac:dyDescent="0.25">
      <c r="A127" s="2">
        <v>2</v>
      </c>
      <c r="B127" s="2" t="s">
        <v>21</v>
      </c>
      <c r="C127" s="2" t="s">
        <v>23</v>
      </c>
      <c r="D127" s="2" t="s">
        <v>579</v>
      </c>
      <c r="E127" s="2" t="b">
        <f t="shared" si="7"/>
        <v>1</v>
      </c>
      <c r="F127" s="2" t="s">
        <v>580</v>
      </c>
      <c r="G127" s="2" t="str">
        <f>IF(ISERROR(VLOOKUP(F127,MODIFICACIONES_REALIZADAS!F:H,3,)),F127,VLOOKUP(F127,MODIFICACIONES_REALIZADAS!F:H,3,))</f>
        <v>SM-E-RP1-Inspector-NumeroPolizas-001-TotalMes</v>
      </c>
      <c r="H127" s="2">
        <v>20140101</v>
      </c>
      <c r="I127" s="2">
        <v>20170101</v>
      </c>
      <c r="J127" s="2" t="s">
        <v>71</v>
      </c>
      <c r="K127" s="2"/>
    </row>
    <row r="128" spans="1:11" x14ac:dyDescent="0.25">
      <c r="A128" s="2">
        <v>2</v>
      </c>
      <c r="B128" s="2" t="s">
        <v>21</v>
      </c>
      <c r="C128" s="2" t="s">
        <v>23</v>
      </c>
      <c r="D128" s="2" t="s">
        <v>581</v>
      </c>
      <c r="E128" s="2" t="b">
        <f t="shared" si="7"/>
        <v>1</v>
      </c>
      <c r="F128" s="2" t="s">
        <v>582</v>
      </c>
      <c r="G128" s="2" t="str">
        <f>IF(ISERROR(VLOOKUP(F128,MODIFICACIONES_REALIZADAS!F:H,3,)),F128,VLOOKUP(F128,MODIFICACIONES_REALIZADAS!F:H,3,))</f>
        <v>SM-E-RP1-Inspector-PagoMensual</v>
      </c>
      <c r="H128" s="2">
        <v>20140101</v>
      </c>
      <c r="I128" s="2">
        <v>20170101</v>
      </c>
      <c r="J128" s="2" t="s">
        <v>71</v>
      </c>
      <c r="K128" s="2"/>
    </row>
    <row r="129" spans="1:11" x14ac:dyDescent="0.25">
      <c r="A129" s="2">
        <v>2</v>
      </c>
      <c r="B129" s="2" t="s">
        <v>21</v>
      </c>
      <c r="C129" s="2" t="s">
        <v>23</v>
      </c>
      <c r="D129" s="2" t="s">
        <v>583</v>
      </c>
      <c r="E129" s="2" t="b">
        <f t="shared" si="7"/>
        <v>1</v>
      </c>
      <c r="F129" s="2" t="s">
        <v>584</v>
      </c>
      <c r="G129" s="2" t="str">
        <f>IF(ISERROR(VLOOKUP(F129,MODIFICACIONES_REALIZADAS!F:H,3,)),F129,VLOOKUP(F129,MODIFICACIONES_REALIZADAS!F:H,3,))</f>
        <v>PM-E-GEN-Inspector-NumeroPolizasEspeciales</v>
      </c>
      <c r="H129" s="2">
        <v>20140101</v>
      </c>
      <c r="I129" s="2">
        <v>20170101</v>
      </c>
      <c r="J129" s="2" t="s">
        <v>71</v>
      </c>
      <c r="K129" s="2"/>
    </row>
    <row r="130" spans="1:11" x14ac:dyDescent="0.25">
      <c r="A130" s="2">
        <v>2</v>
      </c>
      <c r="B130" s="2" t="s">
        <v>21</v>
      </c>
      <c r="C130" s="2" t="s">
        <v>23</v>
      </c>
      <c r="D130" s="2" t="s">
        <v>585</v>
      </c>
      <c r="E130" s="2" t="b">
        <f t="shared" si="7"/>
        <v>1</v>
      </c>
      <c r="F130" s="2" t="s">
        <v>586</v>
      </c>
      <c r="G130" s="2" t="str">
        <f>IF(ISERROR(VLOOKUP(F130,MODIFICACIONES_REALIZADAS!F:H,3,)),F130,VLOOKUP(F130,MODIFICACIONES_REALIZADAS!F:H,3,))</f>
        <v>PM-E-GEN-Inspector-NumeroPolizasEspeciales-Agentes</v>
      </c>
      <c r="H130" s="2">
        <v>20140101</v>
      </c>
      <c r="I130" s="2">
        <v>20170101</v>
      </c>
      <c r="J130" s="2" t="s">
        <v>71</v>
      </c>
      <c r="K130" s="2"/>
    </row>
    <row r="131" spans="1:11" x14ac:dyDescent="0.25">
      <c r="A131" s="2">
        <v>2</v>
      </c>
      <c r="B131" s="2" t="s">
        <v>21</v>
      </c>
      <c r="C131" s="2" t="s">
        <v>23</v>
      </c>
      <c r="D131" s="2" t="s">
        <v>587</v>
      </c>
      <c r="E131" s="2" t="b">
        <f t="shared" si="7"/>
        <v>1</v>
      </c>
      <c r="F131" s="2" t="s">
        <v>588</v>
      </c>
      <c r="G131" s="2" t="str">
        <f>IF(ISERROR(VLOOKUP(F131,MODIFICACIONES_REALIZADAS!F:H,3,)),F131,VLOOKUP(F131,MODIFICACIONES_REALIZADAS!F:H,3,))</f>
        <v>SM-E-GEN-Inspector-NumeroPolizas-004-TotalMes-SinCorregir</v>
      </c>
      <c r="H131" s="2">
        <v>20140101</v>
      </c>
      <c r="I131" s="2">
        <v>20170101</v>
      </c>
      <c r="J131" s="2" t="s">
        <v>71</v>
      </c>
      <c r="K131" s="2"/>
    </row>
    <row r="132" spans="1:11" x14ac:dyDescent="0.25">
      <c r="A132" s="25">
        <v>2</v>
      </c>
      <c r="B132" s="25" t="s">
        <v>25</v>
      </c>
      <c r="C132" s="25" t="s">
        <v>27</v>
      </c>
      <c r="D132" s="25" t="s">
        <v>589</v>
      </c>
      <c r="E132" s="25" t="b">
        <f t="shared" si="7"/>
        <v>1</v>
      </c>
      <c r="F132" s="25" t="s">
        <v>590</v>
      </c>
      <c r="G132" s="25" t="str">
        <f>IF(ISERROR(VLOOKUP(F132,MODIFICACIONES_REALIZADAS!F:H,3,)),F132,VLOOKUP(F132,MODIFICACIONES_REALIZADAS!F:H,3,))</f>
        <v>DC-E-GEN-Inspector-PrimaCorregida-998</v>
      </c>
      <c r="H132" s="25">
        <v>20140101</v>
      </c>
      <c r="I132" s="25">
        <v>22000101</v>
      </c>
      <c r="J132" s="25" t="s">
        <v>390</v>
      </c>
      <c r="K132" s="25"/>
    </row>
    <row r="133" spans="1:11" x14ac:dyDescent="0.25">
      <c r="A133" s="25">
        <v>2</v>
      </c>
      <c r="B133" s="25" t="s">
        <v>25</v>
      </c>
      <c r="C133" s="25" t="s">
        <v>27</v>
      </c>
      <c r="D133" s="25" t="s">
        <v>591</v>
      </c>
      <c r="E133" s="25" t="b">
        <f t="shared" si="7"/>
        <v>1</v>
      </c>
      <c r="F133" s="25" t="s">
        <v>592</v>
      </c>
      <c r="G133" s="25" t="str">
        <f>IF(ISERROR(VLOOKUP(F133,MODIFICACIONES_REALIZADAS!F:H,3,)),F133,VLOOKUP(F133,MODIFICACIONES_REALIZADAS!F:H,3,))</f>
        <v>IC-E-GEN-Inspector-PrimaCorregida-998</v>
      </c>
      <c r="H133" s="25">
        <v>20140101</v>
      </c>
      <c r="I133" s="25">
        <v>22000101</v>
      </c>
      <c r="J133" s="25" t="s">
        <v>390</v>
      </c>
      <c r="K133" s="25"/>
    </row>
    <row r="134" spans="1:11" x14ac:dyDescent="0.25">
      <c r="A134" s="25">
        <v>2</v>
      </c>
      <c r="B134" s="25" t="s">
        <v>25</v>
      </c>
      <c r="C134" s="25" t="s">
        <v>27</v>
      </c>
      <c r="D134" s="25" t="s">
        <v>593</v>
      </c>
      <c r="E134" s="25" t="b">
        <f t="shared" si="7"/>
        <v>1</v>
      </c>
      <c r="F134" s="25" t="s">
        <v>594</v>
      </c>
      <c r="G134" s="25" t="str">
        <f>IF(ISERROR(VLOOKUP(F134,MODIFICACIONES_REALIZADAS!F:H,3,)),F134,VLOOKUP(F134,MODIFICACIONES_REALIZADAS!F:H,3,))</f>
        <v>DC-E-GEN-Inspector-NumeroPolizas-998</v>
      </c>
      <c r="H134" s="25">
        <v>20140101</v>
      </c>
      <c r="I134" s="25">
        <v>22000101</v>
      </c>
      <c r="J134" s="25" t="s">
        <v>390</v>
      </c>
      <c r="K134" s="25"/>
    </row>
    <row r="135" spans="1:11" x14ac:dyDescent="0.25">
      <c r="A135" s="25">
        <v>2</v>
      </c>
      <c r="B135" s="25" t="s">
        <v>25</v>
      </c>
      <c r="C135" s="25" t="s">
        <v>27</v>
      </c>
      <c r="D135" s="25" t="s">
        <v>595</v>
      </c>
      <c r="E135" s="25" t="b">
        <f t="shared" si="7"/>
        <v>1</v>
      </c>
      <c r="F135" s="25" t="s">
        <v>596</v>
      </c>
      <c r="G135" s="25" t="str">
        <f>IF(ISERROR(VLOOKUP(F135,MODIFICACIONES_REALIZADAS!F:H,3,)),F135,VLOOKUP(F135,MODIFICACIONES_REALIZADAS!F:H,3,))</f>
        <v>IC-E-GEN-Inspector-NumeroPolizas-998</v>
      </c>
      <c r="H135" s="25">
        <v>20140101</v>
      </c>
      <c r="I135" s="25">
        <v>22000101</v>
      </c>
      <c r="J135" s="25" t="s">
        <v>390</v>
      </c>
      <c r="K135" s="25"/>
    </row>
    <row r="136" spans="1:11" x14ac:dyDescent="0.25">
      <c r="A136" s="22">
        <v>0</v>
      </c>
      <c r="B136" s="22" t="s">
        <v>29</v>
      </c>
      <c r="C136" s="22" t="s">
        <v>31</v>
      </c>
      <c r="D136" s="22" t="s">
        <v>560</v>
      </c>
      <c r="E136" s="22" t="b">
        <f t="shared" ref="E136:E149" si="11">F136=G136</f>
        <v>1</v>
      </c>
      <c r="F136" s="22" t="s">
        <v>561</v>
      </c>
      <c r="G136" s="22" t="str">
        <f>IF(ISERROR(VLOOKUP(F136,MODIFICACIONES_REALIZADAS!F:H,3,)),F136,VLOOKUP(F136,MODIFICACIONES_REALIZADAS!F:H,3,))</f>
        <v>PM-E-GEN-Inspector-PrimaCorregida-ProdPrioritarios-Propia</v>
      </c>
      <c r="H136" s="22">
        <v>20190101</v>
      </c>
      <c r="I136" s="22">
        <v>22000101</v>
      </c>
      <c r="J136" s="22" t="s">
        <v>597</v>
      </c>
      <c r="K136" s="22"/>
    </row>
    <row r="137" spans="1:11" x14ac:dyDescent="0.25">
      <c r="A137" s="22">
        <v>0</v>
      </c>
      <c r="B137" s="22" t="s">
        <v>29</v>
      </c>
      <c r="C137" s="22" t="s">
        <v>31</v>
      </c>
      <c r="D137" s="22" t="s">
        <v>562</v>
      </c>
      <c r="E137" s="22" t="b">
        <f t="shared" ref="E137" si="12">F137=G137</f>
        <v>1</v>
      </c>
      <c r="F137" s="22" t="s">
        <v>563</v>
      </c>
      <c r="G137" s="22" t="str">
        <f>IF(ISERROR(VLOOKUP(F137,MODIFICACIONES_REALIZADAS!F:H,3,)),F137,VLOOKUP(F137,MODIFICACIONES_REALIZADAS!F:H,3,))</f>
        <v>PM-E-GEN-Inspector-PrimaCorregida-ProdPrioritarios-Agentes</v>
      </c>
      <c r="H137" s="22">
        <v>20190101</v>
      </c>
      <c r="I137" s="22">
        <v>22000101</v>
      </c>
      <c r="J137" s="22" t="s">
        <v>597</v>
      </c>
      <c r="K137" s="22"/>
    </row>
    <row r="138" spans="1:11" x14ac:dyDescent="0.25">
      <c r="A138" s="22">
        <v>0</v>
      </c>
      <c r="B138" s="22" t="s">
        <v>29</v>
      </c>
      <c r="C138" s="22" t="s">
        <v>31</v>
      </c>
      <c r="D138" s="22" t="s">
        <v>552</v>
      </c>
      <c r="E138" s="22" t="b">
        <f t="shared" si="11"/>
        <v>1</v>
      </c>
      <c r="F138" s="22" t="s">
        <v>553</v>
      </c>
      <c r="G138" s="22" t="str">
        <f>IF(ISERROR(VLOOKUP(F138,MODIFICACIONES_REALIZADAS!F:H,3,)),F138,VLOOKUP(F138,MODIFICACIONES_REALIZADAS!F:H,3,))</f>
        <v>PM-E-GEN-Inspector-NumeroPolizasCorregidas-ProdPrioritarios-Propia</v>
      </c>
      <c r="H138" s="22">
        <v>20190101</v>
      </c>
      <c r="I138" s="22">
        <v>22000101</v>
      </c>
      <c r="J138" s="22" t="s">
        <v>597</v>
      </c>
      <c r="K138" s="22"/>
    </row>
    <row r="139" spans="1:11" x14ac:dyDescent="0.25">
      <c r="A139" s="22">
        <v>0</v>
      </c>
      <c r="B139" s="22" t="s">
        <v>29</v>
      </c>
      <c r="C139" s="22" t="s">
        <v>31</v>
      </c>
      <c r="D139" s="22" t="s">
        <v>554</v>
      </c>
      <c r="E139" s="22" t="b">
        <f t="shared" ref="E139" si="13">F139=G139</f>
        <v>1</v>
      </c>
      <c r="F139" s="22" t="s">
        <v>555</v>
      </c>
      <c r="G139" s="22" t="str">
        <f>IF(ISERROR(VLOOKUP(F139,MODIFICACIONES_REALIZADAS!F:H,3,)),F139,VLOOKUP(F139,MODIFICACIONES_REALIZADAS!F:H,3,))</f>
        <v>PM-E-GEN-Inspector-NumeroPolizasCorregidas-ProdPrioritarios-Agentes</v>
      </c>
      <c r="H139" s="22">
        <v>20190101</v>
      </c>
      <c r="I139" s="22">
        <v>22000101</v>
      </c>
      <c r="J139" s="22" t="s">
        <v>597</v>
      </c>
      <c r="K139" s="22"/>
    </row>
    <row r="140" spans="1:11" x14ac:dyDescent="0.25">
      <c r="A140" s="22">
        <v>0</v>
      </c>
      <c r="B140" s="22" t="s">
        <v>29</v>
      </c>
      <c r="C140" s="22" t="s">
        <v>31</v>
      </c>
      <c r="D140" s="22" t="s">
        <v>598</v>
      </c>
      <c r="E140" s="22" t="b">
        <f t="shared" si="11"/>
        <v>1</v>
      </c>
      <c r="F140" s="22" t="s">
        <v>599</v>
      </c>
      <c r="G140" s="22" t="str">
        <f>IF(ISERROR(VLOOKUP(F140,MODIFICACIONES_REALIZADAS!F:H,3,)),F140,VLOOKUP(F140,MODIFICACIONES_REALIZADAS!F:H,3,))</f>
        <v>SM-E-GEN-Inspector-NumeroPolizasCorregidas-ProdPrioritarios-TotalTrimestre</v>
      </c>
      <c r="H140" s="22">
        <v>20190101</v>
      </c>
      <c r="I140" s="22">
        <v>22000101</v>
      </c>
      <c r="J140" s="22" t="s">
        <v>597</v>
      </c>
      <c r="K140" s="22"/>
    </row>
    <row r="141" spans="1:11" x14ac:dyDescent="0.25">
      <c r="A141" s="22">
        <v>0</v>
      </c>
      <c r="B141" s="22" t="s">
        <v>29</v>
      </c>
      <c r="C141" s="22" t="s">
        <v>31</v>
      </c>
      <c r="D141" s="22" t="s">
        <v>600</v>
      </c>
      <c r="E141" s="22" t="b">
        <f t="shared" si="11"/>
        <v>1</v>
      </c>
      <c r="F141" s="22" t="s">
        <v>601</v>
      </c>
      <c r="G141" s="22" t="str">
        <f>IF(ISERROR(VLOOKUP(F141,MODIFICACIONES_REALIZADAS!F:H,3,)),F141,VLOOKUP(F141,MODIFICACIONES_REALIZADAS!F:H,3,))</f>
        <v>SM-E-RP3-Inspector-PolCorr-PagoTrimestre</v>
      </c>
      <c r="H141" s="22">
        <v>20190101</v>
      </c>
      <c r="I141" s="22">
        <v>22000101</v>
      </c>
      <c r="J141" s="22" t="s">
        <v>597</v>
      </c>
      <c r="K141" s="22"/>
    </row>
    <row r="142" spans="1:11" x14ac:dyDescent="0.25">
      <c r="A142" s="2">
        <v>0</v>
      </c>
      <c r="B142" s="2" t="s">
        <v>29</v>
      </c>
      <c r="C142" s="2" t="s">
        <v>31</v>
      </c>
      <c r="D142" s="2" t="s">
        <v>602</v>
      </c>
      <c r="E142" s="2" t="b">
        <f t="shared" si="11"/>
        <v>1</v>
      </c>
      <c r="F142" s="2" t="s">
        <v>603</v>
      </c>
      <c r="G142" s="2" t="str">
        <f>IF(ISERROR(VLOOKUP(F142,MODIFICACIONES_REALIZADAS!F:H,3,)),F142,VLOOKUP(F142,MODIFICACIONES_REALIZADAS!F:H,3,))</f>
        <v>SM-E-GEN-Inspector-NumeroPolizas-ProdPrioritarios-ObjetivoAnual</v>
      </c>
      <c r="H142" s="2">
        <v>20190101</v>
      </c>
      <c r="I142" s="2">
        <v>20191201</v>
      </c>
      <c r="J142" s="2" t="s">
        <v>604</v>
      </c>
      <c r="K142" s="2"/>
    </row>
    <row r="143" spans="1:11" x14ac:dyDescent="0.25">
      <c r="A143" s="22">
        <v>0</v>
      </c>
      <c r="B143" s="22" t="s">
        <v>29</v>
      </c>
      <c r="C143" s="22" t="s">
        <v>31</v>
      </c>
      <c r="D143" s="22" t="s">
        <v>605</v>
      </c>
      <c r="E143" s="22" t="b">
        <f t="shared" si="11"/>
        <v>1</v>
      </c>
      <c r="F143" s="22" t="s">
        <v>606</v>
      </c>
      <c r="G143" s="22" t="str">
        <f>IF(ISERROR(VLOOKUP(F143,MODIFICACIONES_REALIZADAS!F:H,3,)),F143,VLOOKUP(F143,MODIFICACIONES_REALIZADAS!F:H,3,))</f>
        <v>SM-E-GEN-Inspector-PrimaCorregida-ProdPrioritarios-TotalTrimestre</v>
      </c>
      <c r="H143" s="22">
        <v>20190101</v>
      </c>
      <c r="I143" s="22">
        <v>22000101</v>
      </c>
      <c r="J143" s="22" t="s">
        <v>597</v>
      </c>
      <c r="K143" s="22"/>
    </row>
    <row r="144" spans="1:11" x14ac:dyDescent="0.25">
      <c r="A144" s="22">
        <v>0</v>
      </c>
      <c r="B144" s="22" t="s">
        <v>29</v>
      </c>
      <c r="C144" s="22" t="s">
        <v>31</v>
      </c>
      <c r="D144" s="22" t="s">
        <v>607</v>
      </c>
      <c r="E144" s="22" t="b">
        <f t="shared" si="11"/>
        <v>1</v>
      </c>
      <c r="F144" s="22" t="s">
        <v>608</v>
      </c>
      <c r="G144" s="22" t="str">
        <f>IF(ISERROR(VLOOKUP(F144,MODIFICACIONES_REALIZADAS!F:H,3,)),F144,VLOOKUP(F144,MODIFICACIONES_REALIZADAS!F:H,3,))</f>
        <v>SM-E-RP2-Inspector-PrimaCorregida-PagoTrimestre</v>
      </c>
      <c r="H144" s="22">
        <v>20190101</v>
      </c>
      <c r="I144" s="22">
        <v>22000101</v>
      </c>
      <c r="J144" s="22" t="s">
        <v>597</v>
      </c>
      <c r="K144" s="22"/>
    </row>
    <row r="145" spans="1:11" x14ac:dyDescent="0.25">
      <c r="A145" s="2">
        <v>0</v>
      </c>
      <c r="B145" s="2" t="s">
        <v>29</v>
      </c>
      <c r="C145" s="2" t="s">
        <v>31</v>
      </c>
      <c r="D145" s="2" t="s">
        <v>609</v>
      </c>
      <c r="E145" s="2" t="b">
        <f t="shared" si="11"/>
        <v>1</v>
      </c>
      <c r="F145" s="2" t="s">
        <v>609</v>
      </c>
      <c r="G145" s="2" t="str">
        <f>IF(ISERROR(VLOOKUP(F145,MODIFICACIONES_REALIZADAS!F:H,3,)),F145,VLOOKUP(F145,MODIFICACIONES_REALIZADAS!F:H,3,))</f>
        <v>SM-E-GEN-Inspector-PrimaCorregida-ProdPrioritarios-ObjetivoAnual</v>
      </c>
      <c r="H145" s="2">
        <v>20190101</v>
      </c>
      <c r="I145" s="2">
        <v>20191201</v>
      </c>
      <c r="J145" s="2" t="s">
        <v>604</v>
      </c>
      <c r="K145" s="2"/>
    </row>
    <row r="146" spans="1:11" x14ac:dyDescent="0.25">
      <c r="A146" s="22">
        <v>0</v>
      </c>
      <c r="B146" s="22" t="s">
        <v>29</v>
      </c>
      <c r="C146" s="22" t="s">
        <v>31</v>
      </c>
      <c r="D146" s="22" t="s">
        <v>610</v>
      </c>
      <c r="E146" s="22" t="b">
        <f t="shared" si="11"/>
        <v>1</v>
      </c>
      <c r="F146" s="22" t="s">
        <v>611</v>
      </c>
      <c r="G146" s="22" t="str">
        <f>IF(ISERROR(VLOOKUP(F146,MODIFICACIONES_REALIZADAS!F:H,3,)),F146,VLOOKUP(F146,MODIFICACIONES_REALIZADAS!F:H,3,))</f>
        <v>SM-E-GEN-AgenteGrupo-Consecucion-Polizas-ProdPrioritarios</v>
      </c>
      <c r="H146" s="22">
        <v>20191201</v>
      </c>
      <c r="I146" s="22">
        <v>22000101</v>
      </c>
      <c r="J146" s="22" t="s">
        <v>604</v>
      </c>
      <c r="K146" s="22"/>
    </row>
    <row r="147" spans="1:11" x14ac:dyDescent="0.25">
      <c r="A147" s="22">
        <v>0</v>
      </c>
      <c r="B147" s="22" t="s">
        <v>29</v>
      </c>
      <c r="C147" s="22" t="s">
        <v>31</v>
      </c>
      <c r="D147" s="22" t="s">
        <v>612</v>
      </c>
      <c r="E147" s="22" t="b">
        <f t="shared" ref="E147:E148" si="14">F147=G147</f>
        <v>1</v>
      </c>
      <c r="F147" s="22" t="s">
        <v>613</v>
      </c>
      <c r="G147" s="22" t="str">
        <f>IF(ISERROR(VLOOKUP(F147,MODIFICACIONES_REALIZADAS!F:H,3,)),F147,VLOOKUP(F147,MODIFICACIONES_REALIZADAS!F:H,3,))</f>
        <v>SM-E-GEN-AgenteGrupo-Consecucion-Primas</v>
      </c>
      <c r="H147" s="22">
        <v>20191201</v>
      </c>
      <c r="I147" s="22">
        <v>22000101</v>
      </c>
      <c r="J147" s="22" t="s">
        <v>604</v>
      </c>
      <c r="K147" s="22"/>
    </row>
    <row r="148" spans="1:11" x14ac:dyDescent="0.25">
      <c r="A148" s="22">
        <v>0</v>
      </c>
      <c r="B148" s="22" t="s">
        <v>29</v>
      </c>
      <c r="C148" s="22" t="s">
        <v>31</v>
      </c>
      <c r="D148" s="22" t="s">
        <v>614</v>
      </c>
      <c r="E148" s="22" t="b">
        <f t="shared" si="14"/>
        <v>0</v>
      </c>
      <c r="F148" s="22" t="s">
        <v>615</v>
      </c>
      <c r="G148" s="22" t="str">
        <f>IF(ISERROR(VLOOKUP(F148,MODIFICACIONES_REALIZADAS!F:H,3,)),F148,VLOOKUP(F148,MODIFICACIONES_REALIZADAS!F:H,3,))</f>
        <v>SM-E-GEN-Categoria-Meses</v>
      </c>
      <c r="H148" s="22">
        <v>20191201</v>
      </c>
      <c r="I148" s="22">
        <v>22000101</v>
      </c>
      <c r="J148" s="22" t="s">
        <v>604</v>
      </c>
      <c r="K148" s="22"/>
    </row>
    <row r="149" spans="1:11" x14ac:dyDescent="0.25">
      <c r="A149" s="2">
        <v>2</v>
      </c>
      <c r="B149" s="2" t="s">
        <v>33</v>
      </c>
      <c r="C149" s="2" t="s">
        <v>35</v>
      </c>
      <c r="D149" s="2" t="s">
        <v>616</v>
      </c>
      <c r="E149" s="2" t="b">
        <f t="shared" si="11"/>
        <v>1</v>
      </c>
      <c r="F149" s="2" t="s">
        <v>617</v>
      </c>
      <c r="G149" s="2" t="str">
        <f>IF(ISERROR(VLOOKUP(F149,MODIFICACIONES_REALIZADAS!F:H,3,)),F149,VLOOKUP(F149,MODIFICACIONES_REALIZADAS!F:H,3,))</f>
        <v>PM-E-GEN-Agente-NumeroPolizas-0329030</v>
      </c>
      <c r="H149" s="2">
        <v>20140101</v>
      </c>
      <c r="I149" s="2">
        <v>20180101</v>
      </c>
      <c r="J149" s="2" t="s">
        <v>618</v>
      </c>
      <c r="K149" s="2"/>
    </row>
    <row r="150" spans="1:11" x14ac:dyDescent="0.25">
      <c r="A150" s="2">
        <v>2</v>
      </c>
      <c r="B150" s="2" t="s">
        <v>33</v>
      </c>
      <c r="C150" s="2" t="s">
        <v>35</v>
      </c>
      <c r="D150" s="2" t="s">
        <v>619</v>
      </c>
      <c r="E150" s="2" t="b">
        <f t="shared" si="7"/>
        <v>1</v>
      </c>
      <c r="F150" s="2" t="s">
        <v>620</v>
      </c>
      <c r="G150" s="2" t="str">
        <f>IF(ISERROR(VLOOKUP(F150,MODIFICACIONES_REALIZADAS!F:H,3,)),F150,VLOOKUP(F150,MODIFICACIONES_REALIZADAS!F:H,3,))</f>
        <v>PM-E-GEN-Agente-NumeroPolizas-Especiales</v>
      </c>
      <c r="H150" s="2">
        <v>20140101</v>
      </c>
      <c r="I150" s="2">
        <v>20180101</v>
      </c>
      <c r="J150" s="2" t="s">
        <v>618</v>
      </c>
      <c r="K150" s="2"/>
    </row>
    <row r="151" spans="1:11" x14ac:dyDescent="0.25">
      <c r="A151" s="2">
        <v>2</v>
      </c>
      <c r="B151" s="2" t="s">
        <v>33</v>
      </c>
      <c r="C151" s="2" t="s">
        <v>35</v>
      </c>
      <c r="D151" s="2" t="s">
        <v>621</v>
      </c>
      <c r="E151" s="2" t="b">
        <f t="shared" ref="E151:E157" si="15">F151=G151</f>
        <v>1</v>
      </c>
      <c r="F151" s="2" t="s">
        <v>622</v>
      </c>
      <c r="G151" s="2" t="str">
        <f>IF(ISERROR(VLOOKUP(F151,MODIFICACIONES_REALIZADAS!F:H,3,)),F151,VLOOKUP(F151,MODIFICACIONES_REALIZADAS!F:H,3,))</f>
        <v>PM-E-GEN-Agente-NumeroPolizas-004</v>
      </c>
      <c r="H151" s="2">
        <v>20140101</v>
      </c>
      <c r="I151" s="2">
        <v>20180101</v>
      </c>
      <c r="J151" s="2" t="s">
        <v>618</v>
      </c>
      <c r="K151" s="2"/>
    </row>
    <row r="152" spans="1:11" x14ac:dyDescent="0.25">
      <c r="A152" s="2">
        <v>2</v>
      </c>
      <c r="B152" s="2" t="s">
        <v>33</v>
      </c>
      <c r="C152" s="2" t="s">
        <v>35</v>
      </c>
      <c r="D152" s="2" t="s">
        <v>623</v>
      </c>
      <c r="E152" s="2" t="b">
        <f t="shared" si="15"/>
        <v>1</v>
      </c>
      <c r="F152" s="2" t="s">
        <v>624</v>
      </c>
      <c r="G152" s="2" t="str">
        <f>IF(ISERROR(VLOOKUP(F152,MODIFICACIONES_REALIZADAS!F:H,3,)),F152,VLOOKUP(F152,MODIFICACIONES_REALIZADAS!F:H,3,))</f>
        <v>PM-E-GEN-Agente-NumeroPolizas-001</v>
      </c>
      <c r="H152" s="2">
        <v>20140101</v>
      </c>
      <c r="I152" s="2">
        <v>20170101</v>
      </c>
      <c r="J152" s="2" t="s">
        <v>71</v>
      </c>
      <c r="K152" s="2"/>
    </row>
    <row r="153" spans="1:11" x14ac:dyDescent="0.25">
      <c r="A153" s="2">
        <v>2</v>
      </c>
      <c r="B153" s="2" t="s">
        <v>33</v>
      </c>
      <c r="C153" s="2" t="s">
        <v>35</v>
      </c>
      <c r="D153" s="2" t="s">
        <v>625</v>
      </c>
      <c r="E153" s="2" t="b">
        <f t="shared" si="15"/>
        <v>1</v>
      </c>
      <c r="F153" s="2" t="s">
        <v>626</v>
      </c>
      <c r="G153" s="2" t="str">
        <f>IF(ISERROR(VLOOKUP(F153,MODIFICACIONES_REALIZADAS!F:H,3,)),F153,VLOOKUP(F153,MODIFICACIONES_REALIZADAS!F:H,3,))</f>
        <v>PM-E-GEN-Agente-NumeroPolizasCorregidas-003</v>
      </c>
      <c r="H153" s="2">
        <v>20140101</v>
      </c>
      <c r="I153" s="2">
        <v>20170101</v>
      </c>
      <c r="J153" s="2" t="s">
        <v>71</v>
      </c>
      <c r="K153" s="2"/>
    </row>
    <row r="154" spans="1:11" x14ac:dyDescent="0.25">
      <c r="A154">
        <v>2</v>
      </c>
      <c r="B154" t="s">
        <v>33</v>
      </c>
      <c r="C154" t="s">
        <v>35</v>
      </c>
      <c r="D154" t="s">
        <v>627</v>
      </c>
      <c r="E154" t="b">
        <f t="shared" si="15"/>
        <v>1</v>
      </c>
      <c r="F154" t="s">
        <v>628</v>
      </c>
      <c r="G154" t="str">
        <f>IF(ISERROR(VLOOKUP(F154,MODIFICACIONES_REALIZADAS!F:H,3,)),F154,VLOOKUP(F154,MODIFICACIONES_REALIZADAS!F:H,3,))</f>
        <v>SM-E-RS1-Agente-NumeroPolizas-TotalMes-SinCorregir</v>
      </c>
      <c r="H154">
        <v>20170101</v>
      </c>
      <c r="I154">
        <v>22000101</v>
      </c>
    </row>
    <row r="155" spans="1:11" x14ac:dyDescent="0.25">
      <c r="A155" s="2">
        <v>2</v>
      </c>
      <c r="B155" s="2" t="s">
        <v>33</v>
      </c>
      <c r="C155" s="2" t="s">
        <v>35</v>
      </c>
      <c r="D155" s="2" t="s">
        <v>629</v>
      </c>
      <c r="E155" s="2" t="b">
        <f t="shared" si="15"/>
        <v>1</v>
      </c>
      <c r="F155" s="2" t="s">
        <v>630</v>
      </c>
      <c r="G155" s="2" t="str">
        <f>IF(ISERROR(VLOOKUP(F155,MODIFICACIONES_REALIZADAS!F:H,3,)),F155,VLOOKUP(F155,MODIFICACIONES_REALIZADAS!F:H,3,))</f>
        <v>SM-E-RS1-Agente-NumeroPolizasEspeciales-TotalMes</v>
      </c>
      <c r="H155" s="2">
        <v>20170101</v>
      </c>
      <c r="I155" s="2">
        <v>20180101</v>
      </c>
      <c r="J155" s="2" t="s">
        <v>618</v>
      </c>
      <c r="K155" s="2"/>
    </row>
    <row r="156" spans="1:11" x14ac:dyDescent="0.25">
      <c r="A156">
        <v>2</v>
      </c>
      <c r="B156" t="s">
        <v>33</v>
      </c>
      <c r="C156" t="s">
        <v>35</v>
      </c>
      <c r="D156" t="s">
        <v>631</v>
      </c>
      <c r="E156" t="b">
        <f t="shared" si="15"/>
        <v>1</v>
      </c>
      <c r="F156" t="s">
        <v>632</v>
      </c>
      <c r="G156" t="str">
        <f>IF(ISERROR(VLOOKUP(F156,MODIFICACIONES_REALIZADAS!F:H,3,)),F156,VLOOKUP(F156,MODIFICACIONES_REALIZADAS!F:H,3,))</f>
        <v>SM-E-RS2-Agente-NumeroPolizas-TotalMes-SinCorregir</v>
      </c>
      <c r="H156">
        <v>20170101</v>
      </c>
      <c r="I156">
        <v>22000101</v>
      </c>
    </row>
    <row r="157" spans="1:11" x14ac:dyDescent="0.25">
      <c r="A157">
        <v>2</v>
      </c>
      <c r="B157" t="s">
        <v>33</v>
      </c>
      <c r="C157" t="s">
        <v>35</v>
      </c>
      <c r="D157" t="s">
        <v>633</v>
      </c>
      <c r="E157" t="b">
        <f t="shared" si="15"/>
        <v>1</v>
      </c>
      <c r="F157" t="s">
        <v>634</v>
      </c>
      <c r="G157" t="str">
        <f>IF(ISERROR(VLOOKUP(F157,MODIFICACIONES_REALIZADAS!F:H,3,)),F157,VLOOKUP(F157,MODIFICACIONES_REALIZADAS!F:H,3,))</f>
        <v>SM-E-RS3-Agente-NumeroPolizas-TotalMes-SinCorregir</v>
      </c>
      <c r="H157">
        <v>20170101</v>
      </c>
      <c r="I157">
        <v>22000101</v>
      </c>
    </row>
    <row r="158" spans="1:11" x14ac:dyDescent="0.25">
      <c r="A158">
        <v>2</v>
      </c>
      <c r="B158" t="s">
        <v>33</v>
      </c>
      <c r="C158" t="s">
        <v>35</v>
      </c>
      <c r="D158" t="s">
        <v>635</v>
      </c>
      <c r="E158" t="b">
        <f t="shared" si="7"/>
        <v>1</v>
      </c>
      <c r="F158" t="s">
        <v>636</v>
      </c>
      <c r="G158" t="str">
        <f>IF(ISERROR(VLOOKUP(F158,MODIFICACIONES_REALIZADAS!F:H,3,)),F158,VLOOKUP(F158,MODIFICACIONES_REALIZADAS!F:H,3,))</f>
        <v>SM-E-RS-Agente-NumeroPolizas-TotalMes</v>
      </c>
      <c r="H158">
        <v>20140101</v>
      </c>
      <c r="I158">
        <v>22000101</v>
      </c>
    </row>
    <row r="159" spans="1:11" x14ac:dyDescent="0.25">
      <c r="A159">
        <v>2</v>
      </c>
      <c r="B159" t="s">
        <v>33</v>
      </c>
      <c r="C159" t="s">
        <v>35</v>
      </c>
      <c r="D159" t="s">
        <v>637</v>
      </c>
      <c r="E159" t="b">
        <f t="shared" si="7"/>
        <v>1</v>
      </c>
      <c r="F159" t="s">
        <v>638</v>
      </c>
      <c r="G159" t="str">
        <f>IF(ISERROR(VLOOKUP(F159,MODIFICACIONES_REALIZADAS!F:H,3,)),F159,VLOOKUP(F159,MODIFICACIONES_REALIZADAS!F:H,3,))</f>
        <v>SM-E-GEN-Agente-NumeroPolizas-Accidente-TotalMes</v>
      </c>
      <c r="H159">
        <v>20180101</v>
      </c>
      <c r="I159">
        <v>22000101</v>
      </c>
      <c r="J159" t="s">
        <v>639</v>
      </c>
    </row>
    <row r="160" spans="1:11" x14ac:dyDescent="0.25">
      <c r="A160">
        <v>2</v>
      </c>
      <c r="B160" t="s">
        <v>33</v>
      </c>
      <c r="C160" t="s">
        <v>35</v>
      </c>
      <c r="D160" t="s">
        <v>640</v>
      </c>
      <c r="E160" t="b">
        <f t="shared" si="7"/>
        <v>1</v>
      </c>
      <c r="F160" t="s">
        <v>641</v>
      </c>
      <c r="G160" t="str">
        <f>IF(ISERROR(VLOOKUP(F160,MODIFICACIONES_REALIZADAS!F:H,3,)),F160,VLOOKUP(F160,MODIFICACIONES_REALIZADAS!F:H,3,))</f>
        <v>SM-E-GEN-Agente-NumeroPolizas-Hogar-TotalMes</v>
      </c>
      <c r="H160">
        <v>20180101</v>
      </c>
      <c r="I160">
        <v>22000101</v>
      </c>
      <c r="J160" t="s">
        <v>639</v>
      </c>
    </row>
    <row r="161" spans="1:11" x14ac:dyDescent="0.25">
      <c r="A161">
        <v>2</v>
      </c>
      <c r="B161" t="s">
        <v>33</v>
      </c>
      <c r="C161" t="s">
        <v>35</v>
      </c>
      <c r="D161" t="s">
        <v>642</v>
      </c>
      <c r="E161" t="b">
        <f t="shared" si="7"/>
        <v>1</v>
      </c>
      <c r="F161" t="s">
        <v>643</v>
      </c>
      <c r="G161" t="str">
        <f>IF(ISERROR(VLOOKUP(F161,MODIFICACIONES_REALIZADAS!F:H,3,)),F161,VLOOKUP(F161,MODIFICACIONES_REALIZADAS!F:H,3,))</f>
        <v>SM-E-GEN-Agente-NumeroPolizas-Comunidades-TotalMes</v>
      </c>
      <c r="H161">
        <v>20180101</v>
      </c>
      <c r="I161">
        <v>22000101</v>
      </c>
      <c r="J161" t="s">
        <v>639</v>
      </c>
    </row>
    <row r="162" spans="1:11" x14ac:dyDescent="0.25">
      <c r="A162">
        <v>2</v>
      </c>
      <c r="B162" t="s">
        <v>33</v>
      </c>
      <c r="C162" t="s">
        <v>35</v>
      </c>
      <c r="D162" t="s">
        <v>644</v>
      </c>
      <c r="E162" t="b">
        <f t="shared" si="7"/>
        <v>1</v>
      </c>
      <c r="F162" t="s">
        <v>645</v>
      </c>
      <c r="G162" t="str">
        <f>IF(ISERROR(VLOOKUP(F162,MODIFICACIONES_REALIZADAS!F:H,3,)),F162,VLOOKUP(F162,MODIFICACIONES_REALIZADAS!F:H,3,))</f>
        <v>SM-E-GEN-Agente-NumeroPolizas-Decesos-TotalMes</v>
      </c>
      <c r="H162">
        <v>20180101</v>
      </c>
      <c r="I162">
        <v>22000101</v>
      </c>
      <c r="J162" t="s">
        <v>639</v>
      </c>
    </row>
    <row r="163" spans="1:11" x14ac:dyDescent="0.25">
      <c r="A163">
        <v>2</v>
      </c>
      <c r="B163" t="s">
        <v>33</v>
      </c>
      <c r="C163" t="s">
        <v>35</v>
      </c>
      <c r="D163" t="s">
        <v>646</v>
      </c>
      <c r="E163" t="b">
        <f t="shared" si="7"/>
        <v>1</v>
      </c>
      <c r="F163" t="s">
        <v>647</v>
      </c>
      <c r="G163" t="str">
        <f>IF(ISERROR(VLOOKUP(F163,MODIFICACIONES_REALIZADAS!F:H,3,)),F163,VLOOKUP(F163,MODIFICACIONES_REALIZADAS!F:H,3,))</f>
        <v>SM-E-GEN-Agente-NumeroPolizas-ProdPrioritarios-TotalMes</v>
      </c>
      <c r="H163">
        <v>20180101</v>
      </c>
      <c r="I163">
        <v>22000101</v>
      </c>
      <c r="J163" t="s">
        <v>639</v>
      </c>
    </row>
    <row r="164" spans="1:11" s="22" customFormat="1" x14ac:dyDescent="0.25">
      <c r="A164" s="22">
        <v>2</v>
      </c>
      <c r="B164" s="22" t="s">
        <v>33</v>
      </c>
      <c r="C164" s="22" t="s">
        <v>35</v>
      </c>
      <c r="D164" s="22" t="s">
        <v>648</v>
      </c>
      <c r="E164" s="22" t="b">
        <f t="shared" si="7"/>
        <v>1</v>
      </c>
      <c r="F164" s="22" t="s">
        <v>649</v>
      </c>
      <c r="G164" s="22" t="str">
        <f>IF(ISERROR(VLOOKUP(F164,MODIFICACIONES_REALIZADAS!F:H,3,)),F164,VLOOKUP(F164,MODIFICACIONES_REALIZADAS!F:H,3,))</f>
        <v>PM-E-COM-NumeroAsistencias</v>
      </c>
      <c r="H164" s="22">
        <v>20190101</v>
      </c>
      <c r="I164" s="22">
        <v>22000101</v>
      </c>
      <c r="J164" s="22" t="s">
        <v>650</v>
      </c>
    </row>
    <row r="165" spans="1:11" x14ac:dyDescent="0.25">
      <c r="A165">
        <v>2</v>
      </c>
      <c r="B165" t="s">
        <v>33</v>
      </c>
      <c r="C165" t="s">
        <v>35</v>
      </c>
      <c r="D165" t="s">
        <v>651</v>
      </c>
      <c r="E165" t="b">
        <f>F165=G165</f>
        <v>1</v>
      </c>
      <c r="F165" t="s">
        <v>652</v>
      </c>
      <c r="G165" t="str">
        <f>IF(ISERROR(VLOOKUP(F165,MODIFICACIONES_REALIZADAS!F:H,3,)),F165,VLOOKUP(F165,MODIFICACIONES_REALIZADAS!F:H,3,))</f>
        <v>SM-E-GEN-Agente-NumAsegurados-TotalMes</v>
      </c>
      <c r="H165">
        <v>20180101</v>
      </c>
      <c r="I165">
        <v>22000101</v>
      </c>
      <c r="J165" t="s">
        <v>639</v>
      </c>
    </row>
    <row r="166" spans="1:11" x14ac:dyDescent="0.25">
      <c r="A166">
        <v>2</v>
      </c>
      <c r="B166" t="s">
        <v>33</v>
      </c>
      <c r="C166" t="s">
        <v>35</v>
      </c>
      <c r="D166" t="s">
        <v>653</v>
      </c>
      <c r="E166" t="b">
        <f>F166=G166</f>
        <v>1</v>
      </c>
      <c r="F166" t="s">
        <v>654</v>
      </c>
      <c r="G166" t="str">
        <f>IF(ISERROR(VLOOKUP(F166,MODIFICACIONES_REALIZADAS!F:H,3,)),F166,VLOOKUP(F166,MODIFICACIONES_REALIZADAS!F:H,3,))</f>
        <v>SM-E-RS-Agente-NumeroPolizas-RestoMesAnterior</v>
      </c>
      <c r="H166">
        <v>20140101</v>
      </c>
      <c r="I166">
        <v>22000101</v>
      </c>
    </row>
    <row r="167" spans="1:11" x14ac:dyDescent="0.25">
      <c r="A167">
        <v>2</v>
      </c>
      <c r="B167" t="s">
        <v>33</v>
      </c>
      <c r="C167" t="s">
        <v>35</v>
      </c>
      <c r="D167" t="s">
        <v>655</v>
      </c>
      <c r="E167" t="b">
        <f>F167=G167</f>
        <v>1</v>
      </c>
      <c r="F167" t="s">
        <v>656</v>
      </c>
      <c r="G167" t="str">
        <f>IF(ISERROR(VLOOKUP(F167,MODIFICACIONES_REALIZADAS!F:H,3,)),F167,VLOOKUP(F167,MODIFICACIONES_REALIZADAS!F:H,3,))</f>
        <v>SM-E-RS-Agente-NumeroPolizas-Resto</v>
      </c>
      <c r="H167">
        <v>20140101</v>
      </c>
      <c r="I167">
        <v>22000101</v>
      </c>
    </row>
    <row r="168" spans="1:11" x14ac:dyDescent="0.25">
      <c r="A168">
        <v>2</v>
      </c>
      <c r="B168" t="s">
        <v>33</v>
      </c>
      <c r="C168" t="s">
        <v>35</v>
      </c>
      <c r="D168" t="s">
        <v>657</v>
      </c>
      <c r="E168" t="b">
        <f>F168=G168</f>
        <v>1</v>
      </c>
      <c r="F168" t="s">
        <v>658</v>
      </c>
      <c r="G168" t="str">
        <f>IF(ISERROR(VLOOKUP(F168,MODIFICACIONES_REALIZADAS!F:H,3,)),F168,VLOOKUP(F168,MODIFICACIONES_REALIZADAS!F:H,3,))</f>
        <v>SM-E-R-Agente-PagoMensual</v>
      </c>
      <c r="H168">
        <v>20140101</v>
      </c>
      <c r="I168">
        <v>22000101</v>
      </c>
    </row>
    <row r="169" spans="1:11" x14ac:dyDescent="0.25">
      <c r="A169">
        <v>2</v>
      </c>
      <c r="B169" t="s">
        <v>33</v>
      </c>
      <c r="C169" t="s">
        <v>35</v>
      </c>
      <c r="D169" t="s">
        <v>574</v>
      </c>
      <c r="E169" t="b">
        <f t="shared" si="7"/>
        <v>1</v>
      </c>
      <c r="F169" t="s">
        <v>659</v>
      </c>
      <c r="G169" t="str">
        <f>IF(ISERROR(VLOOKUP(F169,MODIFICACIONES_REALIZADAS!F:H,3,)),F169,VLOOKUP(F169,MODIFICACIONES_REALIZADAS!F:H,3,))</f>
        <v>SM-E-S-Agente-PagoMensual</v>
      </c>
      <c r="H169">
        <v>20140101</v>
      </c>
      <c r="I169">
        <v>22000101</v>
      </c>
    </row>
    <row r="170" spans="1:11" s="22" customFormat="1" x14ac:dyDescent="0.25">
      <c r="A170" s="22">
        <v>2</v>
      </c>
      <c r="B170" s="22" t="s">
        <v>33</v>
      </c>
      <c r="C170" s="22" t="s">
        <v>35</v>
      </c>
      <c r="D170" s="22" t="s">
        <v>660</v>
      </c>
      <c r="E170" s="22" t="b">
        <f t="shared" si="7"/>
        <v>1</v>
      </c>
      <c r="F170" s="22" t="s">
        <v>661</v>
      </c>
      <c r="G170" s="22" t="s">
        <v>661</v>
      </c>
      <c r="H170" s="22">
        <v>20200101</v>
      </c>
      <c r="I170" s="22">
        <v>22000101</v>
      </c>
      <c r="J170" s="22" t="s">
        <v>662</v>
      </c>
    </row>
    <row r="171" spans="1:11" s="22" customFormat="1" x14ac:dyDescent="0.25">
      <c r="A171" s="22">
        <v>2</v>
      </c>
      <c r="B171" s="22" t="s">
        <v>33</v>
      </c>
      <c r="C171" s="22" t="s">
        <v>35</v>
      </c>
      <c r="D171" s="22" t="s">
        <v>663</v>
      </c>
      <c r="E171" s="22" t="b">
        <f t="shared" si="7"/>
        <v>1</v>
      </c>
      <c r="F171" s="22" t="s">
        <v>664</v>
      </c>
      <c r="G171" s="22" t="s">
        <v>664</v>
      </c>
      <c r="H171" s="22">
        <v>20200101</v>
      </c>
      <c r="I171" s="22">
        <v>22000101</v>
      </c>
      <c r="J171" s="22" t="s">
        <v>662</v>
      </c>
    </row>
    <row r="172" spans="1:11" x14ac:dyDescent="0.25">
      <c r="A172" s="2">
        <v>2</v>
      </c>
      <c r="B172" s="2" t="s">
        <v>33</v>
      </c>
      <c r="C172" s="2" t="s">
        <v>35</v>
      </c>
      <c r="D172" s="2" t="s">
        <v>665</v>
      </c>
      <c r="E172" s="2" t="b">
        <f t="shared" si="7"/>
        <v>1</v>
      </c>
      <c r="F172" s="2" t="s">
        <v>666</v>
      </c>
      <c r="G172" s="2" t="str">
        <f>IF(ISERROR(VLOOKUP(F172,MODIFICACIONES_REALIZADAS!F:H,3,)),F172,VLOOKUP(F172,MODIFICACIONES_REALIZADAS!F:H,3,))</f>
        <v xml:space="preserve">SM-E-SR-Agente-NumeroPolizas-TotalMes </v>
      </c>
      <c r="H172" s="2">
        <v>20140101</v>
      </c>
      <c r="I172" s="2">
        <v>20170101</v>
      </c>
      <c r="J172" s="2" t="s">
        <v>71</v>
      </c>
      <c r="K172" s="2"/>
    </row>
    <row r="173" spans="1:11" x14ac:dyDescent="0.25">
      <c r="A173" s="2">
        <v>2</v>
      </c>
      <c r="B173" s="2" t="s">
        <v>33</v>
      </c>
      <c r="C173" s="2" t="s">
        <v>35</v>
      </c>
      <c r="D173" s="2" t="s">
        <v>667</v>
      </c>
      <c r="E173" s="2" t="b">
        <f t="shared" si="7"/>
        <v>1</v>
      </c>
      <c r="F173" s="2" t="s">
        <v>668</v>
      </c>
      <c r="G173" s="2" t="str">
        <f>IF(ISERROR(VLOOKUP(F173,MODIFICACIONES_REALIZADAS!F:H,3,)),F173,VLOOKUP(F173,MODIFICACIONES_REALIZADAS!F:H,3,))</f>
        <v>SM-E-SR-Agente-NumeroPolizas-TotalMes-SinCorregir</v>
      </c>
      <c r="H173" s="2">
        <v>20140101</v>
      </c>
      <c r="I173" s="2">
        <v>20170101</v>
      </c>
      <c r="J173" s="2" t="s">
        <v>71</v>
      </c>
      <c r="K173" s="2"/>
    </row>
    <row r="174" spans="1:11" x14ac:dyDescent="0.25">
      <c r="A174" s="2">
        <v>2</v>
      </c>
      <c r="B174" s="2" t="s">
        <v>33</v>
      </c>
      <c r="C174" s="2" t="s">
        <v>35</v>
      </c>
      <c r="D174" s="2" t="s">
        <v>669</v>
      </c>
      <c r="E174" s="2" t="b">
        <f t="shared" si="7"/>
        <v>1</v>
      </c>
      <c r="F174" s="2" t="s">
        <v>670</v>
      </c>
      <c r="G174" s="2" t="str">
        <f>IF(ISERROR(VLOOKUP(F174,MODIFICACIONES_REALIZADAS!F:H,3,)),F174,VLOOKUP(F174,MODIFICACIONES_REALIZADAS!F:H,3,))</f>
        <v>SM-E-SR-Agente-PagoMensual</v>
      </c>
      <c r="H174" s="2">
        <v>20140101</v>
      </c>
      <c r="I174" s="2">
        <v>20170101</v>
      </c>
      <c r="J174" s="2" t="s">
        <v>71</v>
      </c>
      <c r="K174" s="2"/>
    </row>
    <row r="175" spans="1:11" s="22" customFormat="1" x14ac:dyDescent="0.25">
      <c r="A175" s="22">
        <v>2</v>
      </c>
      <c r="B175" s="22" t="s">
        <v>33</v>
      </c>
      <c r="C175" s="22" t="s">
        <v>35</v>
      </c>
      <c r="D175" s="22" t="s">
        <v>671</v>
      </c>
      <c r="E175" s="22" t="b">
        <f t="shared" si="7"/>
        <v>1</v>
      </c>
      <c r="F175" s="22" t="s">
        <v>672</v>
      </c>
      <c r="G175" s="22" t="str">
        <f>IF(ISERROR(VLOOKUP(F175,MODIFICACIONES_REALIZADAS!F:H,3,)),F175,VLOOKUP(F175,MODIFICACIONES_REALIZADAS!F:H,3,))</f>
        <v>SM-E-GEN-Agente-NumeroPolizasCorregidas-ProdPrioritarios-TotalTrimestre</v>
      </c>
      <c r="H175" s="22">
        <v>20190101</v>
      </c>
      <c r="I175" s="22">
        <v>22000101</v>
      </c>
      <c r="J175" s="22" t="s">
        <v>673</v>
      </c>
    </row>
    <row r="176" spans="1:11" s="22" customFormat="1" x14ac:dyDescent="0.25">
      <c r="A176" s="22">
        <v>2</v>
      </c>
      <c r="B176" s="22" t="s">
        <v>33</v>
      </c>
      <c r="C176" s="22" t="s">
        <v>35</v>
      </c>
      <c r="D176" s="22" t="s">
        <v>674</v>
      </c>
      <c r="E176" s="22" t="b">
        <f t="shared" si="7"/>
        <v>1</v>
      </c>
      <c r="F176" s="22" t="s">
        <v>675</v>
      </c>
      <c r="G176" s="22" t="str">
        <f>IF(ISERROR(VLOOKUP(F176,MODIFICACIONES_REALIZADAS!F:H,3,)),F176,VLOOKUP(F176,MODIFICACIONES_REALIZADAS!F:H,3,))</f>
        <v>SM-E-R-Agente-PagoTrimestre</v>
      </c>
      <c r="H176" s="22">
        <v>20190101</v>
      </c>
      <c r="I176" s="22">
        <v>22000101</v>
      </c>
      <c r="J176" s="22" t="s">
        <v>673</v>
      </c>
    </row>
    <row r="177" spans="1:9" x14ac:dyDescent="0.25">
      <c r="A177">
        <v>2</v>
      </c>
      <c r="B177" t="s">
        <v>37</v>
      </c>
      <c r="C177" t="s">
        <v>39</v>
      </c>
      <c r="D177" t="s">
        <v>593</v>
      </c>
      <c r="E177" t="b">
        <f>F177=G177</f>
        <v>1</v>
      </c>
      <c r="F177" t="s">
        <v>676</v>
      </c>
      <c r="G177" t="str">
        <f>IF(ISERROR(VLOOKUP(F177,MODIFICACIONES_REALIZADAS!F:H,3,)),F177,VLOOKUP(F177,MODIFICACIONES_REALIZADAS!F:H,3,))</f>
        <v>DC-E-GEN-Agente-NumeroPolizas-998</v>
      </c>
      <c r="H177">
        <v>20140101</v>
      </c>
      <c r="I177">
        <v>22000101</v>
      </c>
    </row>
    <row r="178" spans="1:9" x14ac:dyDescent="0.25">
      <c r="A178">
        <v>2</v>
      </c>
      <c r="B178" t="s">
        <v>40</v>
      </c>
      <c r="C178" t="s">
        <v>42</v>
      </c>
      <c r="D178" t="s">
        <v>677</v>
      </c>
      <c r="E178" t="b">
        <f t="shared" si="7"/>
        <v>1</v>
      </c>
      <c r="F178" t="s">
        <v>678</v>
      </c>
      <c r="G178" t="str">
        <f>IF(ISERROR(VLOOKUP(F178,MODIFICACIONES_REALIZADAS!F:H,3,)),F178,VLOOKUP(F178,MODIFICACIONES_REALIZADAS!F:H,3,))</f>
        <v>SM-E-CP-Agente-PuntosPoliza-Acumulado</v>
      </c>
      <c r="H178">
        <v>20170101</v>
      </c>
      <c r="I178">
        <v>22000101</v>
      </c>
    </row>
    <row r="179" spans="1:9" x14ac:dyDescent="0.25">
      <c r="A179">
        <v>2</v>
      </c>
      <c r="B179" t="s">
        <v>40</v>
      </c>
      <c r="C179" t="s">
        <v>42</v>
      </c>
      <c r="D179" t="s">
        <v>679</v>
      </c>
      <c r="E179" t="b">
        <f>F179=G179</f>
        <v>1</v>
      </c>
      <c r="F179" t="s">
        <v>680</v>
      </c>
      <c r="G179" t="str">
        <f>IF(ISERROR(VLOOKUP(F179,MODIFICACIONES_REALIZADAS!F:H,3,)),F179,VLOOKUP(F179,MODIFICACIONES_REALIZADAS!F:H,3,))</f>
        <v>SM-E-CP-Agente-PrimaCorregida-Acumulado</v>
      </c>
      <c r="H179">
        <v>20170101</v>
      </c>
      <c r="I179">
        <v>22000101</v>
      </c>
    </row>
    <row r="180" spans="1:9" x14ac:dyDescent="0.25">
      <c r="A180">
        <v>2</v>
      </c>
      <c r="B180" t="s">
        <v>40</v>
      </c>
      <c r="C180" t="s">
        <v>42</v>
      </c>
      <c r="D180" t="s">
        <v>681</v>
      </c>
      <c r="E180" t="b">
        <f>F180=G180</f>
        <v>1</v>
      </c>
      <c r="F180" t="s">
        <v>682</v>
      </c>
      <c r="G180" t="str">
        <f>IF(ISERROR(VLOOKUP(F180,MODIFICACIONES_REALIZADAS!F:H,3,)),F180,VLOOKUP(F180,MODIFICACIONES_REALIZADAS!F:H,3,))</f>
        <v>SM-E-CP-Inspector-PuntosPoliza-Acumulado</v>
      </c>
      <c r="H180">
        <v>20170101</v>
      </c>
      <c r="I180">
        <v>22000101</v>
      </c>
    </row>
    <row r="181" spans="1:9" x14ac:dyDescent="0.25">
      <c r="A181">
        <v>2</v>
      </c>
      <c r="B181" t="s">
        <v>40</v>
      </c>
      <c r="C181" t="s">
        <v>42</v>
      </c>
      <c r="D181" t="s">
        <v>683</v>
      </c>
      <c r="E181" t="b">
        <f>F181=G181</f>
        <v>1</v>
      </c>
      <c r="F181" t="s">
        <v>684</v>
      </c>
      <c r="G181" t="str">
        <f>IF(ISERROR(VLOOKUP(F181,MODIFICACIONES_REALIZADAS!F:H,3,)),F181,VLOOKUP(F181,MODIFICACIONES_REALIZADAS!F:H,3,))</f>
        <v>SM-E-CP-Inspector-PrimaCorregida-Acumulado</v>
      </c>
      <c r="H181">
        <v>20170101</v>
      </c>
      <c r="I181">
        <v>22000101</v>
      </c>
    </row>
    <row r="182" spans="1:9" x14ac:dyDescent="0.25">
      <c r="A182">
        <v>2</v>
      </c>
      <c r="B182" t="s">
        <v>44</v>
      </c>
      <c r="C182" t="s">
        <v>46</v>
      </c>
      <c r="D182" t="s">
        <v>685</v>
      </c>
      <c r="E182" t="b">
        <f t="shared" si="7"/>
        <v>1</v>
      </c>
      <c r="F182" t="s">
        <v>686</v>
      </c>
      <c r="G182" t="str">
        <f>IF(ISERROR(VLOOKUP(F182,MODIFICACIONES_REALIZADAS!F:H,3,)),F182,VLOOKUP(F182,MODIFICACIONES_REALIZADAS!F:H,3,))</f>
        <v>SM-E-IE-NumAsegurados</v>
      </c>
      <c r="H182">
        <v>20140101</v>
      </c>
      <c r="I182">
        <v>22000101</v>
      </c>
    </row>
    <row r="183" spans="1:9" x14ac:dyDescent="0.25">
      <c r="A183">
        <v>2</v>
      </c>
      <c r="B183" t="s">
        <v>44</v>
      </c>
      <c r="C183" t="s">
        <v>46</v>
      </c>
      <c r="D183" t="s">
        <v>685</v>
      </c>
      <c r="E183" t="b">
        <f t="shared" si="7"/>
        <v>1</v>
      </c>
      <c r="F183" t="s">
        <v>687</v>
      </c>
      <c r="G183" t="str">
        <f>IF(ISERROR(VLOOKUP(F183,MODIFICACIONES_REALIZADAS!F:H,3,)),F183,VLOOKUP(F183,MODIFICACIONES_REALIZADAS!F:H,3,))</f>
        <v>SM-E-IE-NumAsegurados-Importe</v>
      </c>
      <c r="H183">
        <v>20140101</v>
      </c>
      <c r="I183">
        <v>22000101</v>
      </c>
    </row>
    <row r="184" spans="1:9" x14ac:dyDescent="0.25">
      <c r="A184">
        <v>2</v>
      </c>
      <c r="B184" t="s">
        <v>44</v>
      </c>
      <c r="C184" t="s">
        <v>46</v>
      </c>
      <c r="D184" t="s">
        <v>685</v>
      </c>
      <c r="E184" t="b">
        <f t="shared" si="7"/>
        <v>1</v>
      </c>
      <c r="F184" t="s">
        <v>688</v>
      </c>
      <c r="G184" t="str">
        <f>IF(ISERROR(VLOOKUP(F184,MODIFICACIONES_REALIZADAS!F:H,3,)),F184,VLOOKUP(F184,MODIFICACIONES_REALIZADAS!F:H,3,))</f>
        <v>SM-E-IE-NumAsegurados-Obj</v>
      </c>
      <c r="H184">
        <v>20140101</v>
      </c>
      <c r="I184">
        <v>22000101</v>
      </c>
    </row>
    <row r="185" spans="1:9" x14ac:dyDescent="0.25">
      <c r="A185">
        <v>2</v>
      </c>
      <c r="B185" t="s">
        <v>44</v>
      </c>
      <c r="C185" t="s">
        <v>46</v>
      </c>
      <c r="D185" t="s">
        <v>685</v>
      </c>
      <c r="E185" t="b">
        <f t="shared" si="7"/>
        <v>1</v>
      </c>
      <c r="F185" t="s">
        <v>689</v>
      </c>
      <c r="G185" t="str">
        <f>IF(ISERROR(VLOOKUP(F185,MODIFICACIONES_REALIZADAS!F:H,3,)),F185,VLOOKUP(F185,MODIFICACIONES_REALIZADAS!F:H,3,))</f>
        <v>SM-E-IE-NumAsegurados-Porcentaje</v>
      </c>
      <c r="H185">
        <v>20140101</v>
      </c>
      <c r="I185">
        <v>22000101</v>
      </c>
    </row>
    <row r="186" spans="1:9" x14ac:dyDescent="0.25">
      <c r="A186">
        <v>2</v>
      </c>
      <c r="B186" t="s">
        <v>44</v>
      </c>
      <c r="C186" t="s">
        <v>46</v>
      </c>
      <c r="D186" t="s">
        <v>690</v>
      </c>
      <c r="E186" t="b">
        <f t="shared" si="7"/>
        <v>1</v>
      </c>
      <c r="F186" t="s">
        <v>691</v>
      </c>
      <c r="G186" t="str">
        <f>IF(ISERROR(VLOOKUP(F186,MODIFICACIONES_REALIZADAS!F:H,3,)),F186,VLOOKUP(F186,MODIFICACIONES_REALIZADAS!F:H,3,))</f>
        <v>SM-E-IE-NivelAnulaciones</v>
      </c>
      <c r="H186">
        <v>20140101</v>
      </c>
      <c r="I186">
        <v>22000101</v>
      </c>
    </row>
    <row r="187" spans="1:9" x14ac:dyDescent="0.25">
      <c r="A187">
        <v>2</v>
      </c>
      <c r="B187" t="s">
        <v>44</v>
      </c>
      <c r="C187" t="s">
        <v>46</v>
      </c>
      <c r="D187" t="s">
        <v>690</v>
      </c>
      <c r="E187" t="b">
        <f t="shared" ref="E187:E260" si="16">F187=G187</f>
        <v>1</v>
      </c>
      <c r="F187" t="s">
        <v>692</v>
      </c>
      <c r="G187" t="str">
        <f>IF(ISERROR(VLOOKUP(F187,MODIFICACIONES_REALIZADAS!F:H,3,)),F187,VLOOKUP(F187,MODIFICACIONES_REALIZADAS!F:H,3,))</f>
        <v>SM-E-IE-NivelAnulaciones-Importe</v>
      </c>
      <c r="H187">
        <v>20140101</v>
      </c>
      <c r="I187">
        <v>22000101</v>
      </c>
    </row>
    <row r="188" spans="1:9" x14ac:dyDescent="0.25">
      <c r="A188">
        <v>2</v>
      </c>
      <c r="B188" t="s">
        <v>44</v>
      </c>
      <c r="C188" t="s">
        <v>46</v>
      </c>
      <c r="D188" t="s">
        <v>690</v>
      </c>
      <c r="E188" t="b">
        <f t="shared" si="16"/>
        <v>1</v>
      </c>
      <c r="F188" t="s">
        <v>693</v>
      </c>
      <c r="G188" t="str">
        <f>IF(ISERROR(VLOOKUP(F188,MODIFICACIONES_REALIZADAS!F:H,3,)),F188,VLOOKUP(F188,MODIFICACIONES_REALIZADAS!F:H,3,))</f>
        <v>SM-E-IE-NivelAnulaciones-Obj</v>
      </c>
      <c r="H188">
        <v>20140101</v>
      </c>
      <c r="I188">
        <v>22000101</v>
      </c>
    </row>
    <row r="189" spans="1:9" x14ac:dyDescent="0.25">
      <c r="A189">
        <v>2</v>
      </c>
      <c r="B189" t="s">
        <v>44</v>
      </c>
      <c r="C189" t="s">
        <v>46</v>
      </c>
      <c r="D189" t="s">
        <v>690</v>
      </c>
      <c r="E189" t="b">
        <f t="shared" si="16"/>
        <v>1</v>
      </c>
      <c r="F189" t="s">
        <v>694</v>
      </c>
      <c r="G189" t="str">
        <f>IF(ISERROR(VLOOKUP(F189,MODIFICACIONES_REALIZADAS!F:H,3,)),F189,VLOOKUP(F189,MODIFICACIONES_REALIZADAS!F:H,3,))</f>
        <v>SM-E-IE-NivelAnulaciones-Porcentaje</v>
      </c>
      <c r="H189">
        <v>20140101</v>
      </c>
      <c r="I189">
        <v>22000101</v>
      </c>
    </row>
    <row r="190" spans="1:9" x14ac:dyDescent="0.25">
      <c r="A190">
        <v>2</v>
      </c>
      <c r="B190" t="s">
        <v>44</v>
      </c>
      <c r="C190" t="s">
        <v>46</v>
      </c>
      <c r="D190" t="s">
        <v>695</v>
      </c>
      <c r="E190" t="b">
        <f t="shared" si="16"/>
        <v>1</v>
      </c>
      <c r="F190" t="s">
        <v>696</v>
      </c>
      <c r="G190" t="str">
        <f>IF(ISERROR(VLOOKUP(F190,MODIFICACIONES_REALIZADAS!F:H,3,)),F190,VLOOKUP(F190,MODIFICACIONES_REALIZADAS!F:H,3,))</f>
        <v>SM-E-IE-NivelPendiente</v>
      </c>
      <c r="H190">
        <v>20140101</v>
      </c>
      <c r="I190">
        <v>22000101</v>
      </c>
    </row>
    <row r="191" spans="1:9" x14ac:dyDescent="0.25">
      <c r="A191">
        <v>2</v>
      </c>
      <c r="B191" t="s">
        <v>44</v>
      </c>
      <c r="C191" t="s">
        <v>46</v>
      </c>
      <c r="D191" t="s">
        <v>695</v>
      </c>
      <c r="E191" t="b">
        <f t="shared" si="16"/>
        <v>1</v>
      </c>
      <c r="F191" t="s">
        <v>697</v>
      </c>
      <c r="G191" t="str">
        <f>IF(ISERROR(VLOOKUP(F191,MODIFICACIONES_REALIZADAS!F:H,3,)),F191,VLOOKUP(F191,MODIFICACIONES_REALIZADAS!F:H,3,))</f>
        <v>SM-E-IE-NivelPendiente-Importe</v>
      </c>
      <c r="H191">
        <v>20140101</v>
      </c>
      <c r="I191">
        <v>22000101</v>
      </c>
    </row>
    <row r="192" spans="1:9" x14ac:dyDescent="0.25">
      <c r="A192">
        <v>2</v>
      </c>
      <c r="B192" t="s">
        <v>44</v>
      </c>
      <c r="C192" t="s">
        <v>46</v>
      </c>
      <c r="D192" t="s">
        <v>695</v>
      </c>
      <c r="E192" t="b">
        <f t="shared" si="16"/>
        <v>1</v>
      </c>
      <c r="F192" t="s">
        <v>698</v>
      </c>
      <c r="G192" t="str">
        <f>IF(ISERROR(VLOOKUP(F192,MODIFICACIONES_REALIZADAS!F:H,3,)),F192,VLOOKUP(F192,MODIFICACIONES_REALIZADAS!F:H,3,))</f>
        <v>SM-E-IE-NivelPendiente-Obj</v>
      </c>
      <c r="H192">
        <v>20140101</v>
      </c>
      <c r="I192">
        <v>22000101</v>
      </c>
    </row>
    <row r="193" spans="1:11" x14ac:dyDescent="0.25">
      <c r="A193">
        <v>2</v>
      </c>
      <c r="B193" t="s">
        <v>44</v>
      </c>
      <c r="C193" t="s">
        <v>46</v>
      </c>
      <c r="D193" t="s">
        <v>695</v>
      </c>
      <c r="E193" t="b">
        <f t="shared" si="16"/>
        <v>1</v>
      </c>
      <c r="F193" t="s">
        <v>699</v>
      </c>
      <c r="G193" t="str">
        <f>IF(ISERROR(VLOOKUP(F193,MODIFICACIONES_REALIZADAS!F:H,3,)),F193,VLOOKUP(F193,MODIFICACIONES_REALIZADAS!F:H,3,))</f>
        <v>SM-E-IE-NivelPendiente-Porcentaje</v>
      </c>
      <c r="H193">
        <v>20140101</v>
      </c>
      <c r="I193">
        <v>22000101</v>
      </c>
    </row>
    <row r="194" spans="1:11" x14ac:dyDescent="0.25">
      <c r="A194">
        <v>2</v>
      </c>
      <c r="B194" t="s">
        <v>44</v>
      </c>
      <c r="C194" t="s">
        <v>46</v>
      </c>
      <c r="D194" t="s">
        <v>700</v>
      </c>
      <c r="E194" t="b">
        <f t="shared" si="16"/>
        <v>1</v>
      </c>
      <c r="F194" t="s">
        <v>701</v>
      </c>
      <c r="G194" t="str">
        <f>IF(ISERROR(VLOOKUP(F194,MODIFICACIONES_REALIZADAS!F:H,3,)),F194,VLOOKUP(F194,MODIFICACIONES_REALIZADAS!F:H,3,))</f>
        <v>SM-E-IE-RRGG-Hogar</v>
      </c>
      <c r="H194">
        <v>20140101</v>
      </c>
      <c r="I194">
        <v>22000101</v>
      </c>
    </row>
    <row r="195" spans="1:11" x14ac:dyDescent="0.25">
      <c r="A195">
        <v>2</v>
      </c>
      <c r="B195" t="s">
        <v>44</v>
      </c>
      <c r="C195" t="s">
        <v>46</v>
      </c>
      <c r="D195" t="s">
        <v>700</v>
      </c>
      <c r="E195" t="b">
        <f t="shared" si="16"/>
        <v>1</v>
      </c>
      <c r="F195" t="s">
        <v>702</v>
      </c>
      <c r="G195" t="str">
        <f>IF(ISERROR(VLOOKUP(F195,MODIFICACIONES_REALIZADAS!F:H,3,)),F195,VLOOKUP(F195,MODIFICACIONES_REALIZADAS!F:H,3,))</f>
        <v>SM-E-IE-RRGG-Hogar-Importe</v>
      </c>
      <c r="H195">
        <v>20140101</v>
      </c>
      <c r="I195">
        <v>22000101</v>
      </c>
    </row>
    <row r="196" spans="1:11" x14ac:dyDescent="0.25">
      <c r="A196">
        <v>2</v>
      </c>
      <c r="B196" t="s">
        <v>44</v>
      </c>
      <c r="C196" t="s">
        <v>46</v>
      </c>
      <c r="D196" t="s">
        <v>700</v>
      </c>
      <c r="E196" t="b">
        <f t="shared" si="16"/>
        <v>1</v>
      </c>
      <c r="F196" t="s">
        <v>703</v>
      </c>
      <c r="G196" t="str">
        <f>IF(ISERROR(VLOOKUP(F196,MODIFICACIONES_REALIZADAS!F:H,3,)),F196,VLOOKUP(F196,MODIFICACIONES_REALIZADAS!F:H,3,))</f>
        <v>SM-E-IE-RRGG-Hogar-Obj</v>
      </c>
      <c r="H196">
        <v>20140101</v>
      </c>
      <c r="I196">
        <v>22000101</v>
      </c>
    </row>
    <row r="197" spans="1:11" x14ac:dyDescent="0.25">
      <c r="A197">
        <v>2</v>
      </c>
      <c r="B197" t="s">
        <v>44</v>
      </c>
      <c r="C197" t="s">
        <v>46</v>
      </c>
      <c r="D197" t="s">
        <v>700</v>
      </c>
      <c r="E197" t="b">
        <f t="shared" si="16"/>
        <v>1</v>
      </c>
      <c r="F197" t="s">
        <v>704</v>
      </c>
      <c r="G197" t="str">
        <f>IF(ISERROR(VLOOKUP(F197,MODIFICACIONES_REALIZADAS!F:H,3,)),F197,VLOOKUP(F197,MODIFICACIONES_REALIZADAS!F:H,3,))</f>
        <v>SM-E-IE-RRGG-Hogar-Porcentaje</v>
      </c>
      <c r="H197">
        <v>20140101</v>
      </c>
      <c r="I197">
        <v>22000101</v>
      </c>
    </row>
    <row r="198" spans="1:11" x14ac:dyDescent="0.25">
      <c r="A198">
        <v>2</v>
      </c>
      <c r="B198" t="s">
        <v>44</v>
      </c>
      <c r="C198" t="s">
        <v>46</v>
      </c>
      <c r="D198" t="s">
        <v>705</v>
      </c>
      <c r="E198" t="b">
        <f t="shared" si="16"/>
        <v>1</v>
      </c>
      <c r="F198" t="s">
        <v>706</v>
      </c>
      <c r="G198" t="str">
        <f>IF(ISERROR(VLOOKUP(F198,MODIFICACIONES_REALIZADAS!F:H,3,)),F198,VLOOKUP(F198,MODIFICACIONES_REALIZADAS!F:H,3,))</f>
        <v>SM-E-IE-RRGG-Comunidades</v>
      </c>
      <c r="H198">
        <v>20140101</v>
      </c>
      <c r="I198">
        <v>22000101</v>
      </c>
    </row>
    <row r="199" spans="1:11" x14ac:dyDescent="0.25">
      <c r="A199">
        <v>2</v>
      </c>
      <c r="B199" t="s">
        <v>44</v>
      </c>
      <c r="C199" t="s">
        <v>46</v>
      </c>
      <c r="D199" t="s">
        <v>705</v>
      </c>
      <c r="E199" t="b">
        <f t="shared" si="16"/>
        <v>1</v>
      </c>
      <c r="F199" t="s">
        <v>707</v>
      </c>
      <c r="G199" t="str">
        <f>IF(ISERROR(VLOOKUP(F199,MODIFICACIONES_REALIZADAS!F:H,3,)),F199,VLOOKUP(F199,MODIFICACIONES_REALIZADAS!F:H,3,))</f>
        <v>SM-E-IE-RRGG-Comunidades-Importe</v>
      </c>
      <c r="H199">
        <v>20140101</v>
      </c>
      <c r="I199">
        <v>22000101</v>
      </c>
    </row>
    <row r="200" spans="1:11" x14ac:dyDescent="0.25">
      <c r="A200">
        <v>2</v>
      </c>
      <c r="B200" t="s">
        <v>44</v>
      </c>
      <c r="C200" t="s">
        <v>46</v>
      </c>
      <c r="D200" t="s">
        <v>705</v>
      </c>
      <c r="E200" t="b">
        <f t="shared" si="16"/>
        <v>1</v>
      </c>
      <c r="F200" t="s">
        <v>708</v>
      </c>
      <c r="G200" t="str">
        <f>IF(ISERROR(VLOOKUP(F200,MODIFICACIONES_REALIZADAS!F:H,3,)),F200,VLOOKUP(F200,MODIFICACIONES_REALIZADAS!F:H,3,))</f>
        <v>SM-E-IE-RRGG-Comunidades-Obj</v>
      </c>
      <c r="H200">
        <v>20140101</v>
      </c>
      <c r="I200">
        <v>22000101</v>
      </c>
    </row>
    <row r="201" spans="1:11" x14ac:dyDescent="0.25">
      <c r="A201">
        <v>2</v>
      </c>
      <c r="B201" t="s">
        <v>44</v>
      </c>
      <c r="C201" t="s">
        <v>46</v>
      </c>
      <c r="D201" t="s">
        <v>705</v>
      </c>
      <c r="E201" t="b">
        <f t="shared" si="16"/>
        <v>1</v>
      </c>
      <c r="F201" t="s">
        <v>709</v>
      </c>
      <c r="G201" t="str">
        <f>IF(ISERROR(VLOOKUP(F201,MODIFICACIONES_REALIZADAS!F:H,3,)),F201,VLOOKUP(F201,MODIFICACIONES_REALIZADAS!F:H,3,))</f>
        <v>SM-E-IE-RRGG-Comunidades-Porcentaje</v>
      </c>
      <c r="H201">
        <v>20140101</v>
      </c>
      <c r="I201">
        <v>22000101</v>
      </c>
    </row>
    <row r="202" spans="1:11" x14ac:dyDescent="0.25">
      <c r="A202">
        <v>2</v>
      </c>
      <c r="B202" t="s">
        <v>44</v>
      </c>
      <c r="C202" t="s">
        <v>46</v>
      </c>
      <c r="D202" t="s">
        <v>710</v>
      </c>
      <c r="E202" t="b">
        <f t="shared" si="16"/>
        <v>1</v>
      </c>
      <c r="F202" t="s">
        <v>711</v>
      </c>
      <c r="G202" t="str">
        <f>IF(ISERROR(VLOOKUP(F202,MODIFICACIONES_REALIZADAS!F:H,3,)),F202,VLOOKUP(F202,MODIFICACIONES_REALIZADAS!F:H,3,))</f>
        <v>SM-E-IE-RRGG-Accidentes</v>
      </c>
      <c r="H202">
        <v>20140101</v>
      </c>
      <c r="I202">
        <v>22000101</v>
      </c>
    </row>
    <row r="203" spans="1:11" x14ac:dyDescent="0.25">
      <c r="A203">
        <v>2</v>
      </c>
      <c r="B203" t="s">
        <v>44</v>
      </c>
      <c r="C203" t="s">
        <v>46</v>
      </c>
      <c r="D203" t="s">
        <v>710</v>
      </c>
      <c r="E203" t="b">
        <f t="shared" si="16"/>
        <v>1</v>
      </c>
      <c r="F203" t="s">
        <v>712</v>
      </c>
      <c r="G203" t="str">
        <f>IF(ISERROR(VLOOKUP(F203,MODIFICACIONES_REALIZADAS!F:H,3,)),F203,VLOOKUP(F203,MODIFICACIONES_REALIZADAS!F:H,3,))</f>
        <v>SM-E-IE-RRGG-Accidentes-Importe</v>
      </c>
      <c r="H203">
        <v>20140101</v>
      </c>
      <c r="I203">
        <v>22000101</v>
      </c>
    </row>
    <row r="204" spans="1:11" x14ac:dyDescent="0.25">
      <c r="A204">
        <v>2</v>
      </c>
      <c r="B204" t="s">
        <v>44</v>
      </c>
      <c r="C204" t="s">
        <v>46</v>
      </c>
      <c r="D204" t="s">
        <v>710</v>
      </c>
      <c r="E204" t="b">
        <f t="shared" si="16"/>
        <v>1</v>
      </c>
      <c r="F204" t="s">
        <v>713</v>
      </c>
      <c r="G204" t="str">
        <f>IF(ISERROR(VLOOKUP(F204,MODIFICACIONES_REALIZADAS!F:H,3,)),F204,VLOOKUP(F204,MODIFICACIONES_REALIZADAS!F:H,3,))</f>
        <v>SM-E-IE-RRGG-Accidentes-Obj</v>
      </c>
      <c r="H204">
        <v>20140101</v>
      </c>
      <c r="I204">
        <v>22000101</v>
      </c>
    </row>
    <row r="205" spans="1:11" x14ac:dyDescent="0.25">
      <c r="A205">
        <v>2</v>
      </c>
      <c r="B205" t="s">
        <v>44</v>
      </c>
      <c r="C205" t="s">
        <v>46</v>
      </c>
      <c r="D205" t="s">
        <v>710</v>
      </c>
      <c r="E205" t="b">
        <f t="shared" si="16"/>
        <v>1</v>
      </c>
      <c r="F205" t="s">
        <v>714</v>
      </c>
      <c r="G205" t="str">
        <f>IF(ISERROR(VLOOKUP(F205,MODIFICACIONES_REALIZADAS!F:H,3,)),F205,VLOOKUP(F205,MODIFICACIONES_REALIZADAS!F:H,3,))</f>
        <v>SM-E-IE-RRGG-Accidentes-Porcentaje</v>
      </c>
      <c r="H205">
        <v>20140101</v>
      </c>
      <c r="I205">
        <v>22000101</v>
      </c>
    </row>
    <row r="206" spans="1:11" x14ac:dyDescent="0.25">
      <c r="A206">
        <v>2</v>
      </c>
      <c r="B206" t="s">
        <v>44</v>
      </c>
      <c r="C206" t="s">
        <v>46</v>
      </c>
      <c r="D206" t="s">
        <v>715</v>
      </c>
      <c r="E206" t="b">
        <f t="shared" si="16"/>
        <v>1</v>
      </c>
      <c r="F206" t="s">
        <v>716</v>
      </c>
      <c r="G206" t="str">
        <f>IF(ISERROR(VLOOKUP(F206,MODIFICACIONES_REALIZADAS!F:H,3,)),F206,VLOOKUP(F206,MODIFICACIONES_REALIZADAS!F:H,3,))</f>
        <v>SM E-IE-Pago-Total</v>
      </c>
      <c r="H206">
        <v>20140101</v>
      </c>
      <c r="I206">
        <v>22000101</v>
      </c>
    </row>
    <row r="207" spans="1:11" x14ac:dyDescent="0.25">
      <c r="A207" s="2">
        <v>2</v>
      </c>
      <c r="B207" s="2" t="s">
        <v>48</v>
      </c>
      <c r="C207" s="2" t="s">
        <v>50</v>
      </c>
      <c r="D207" s="2" t="s">
        <v>717</v>
      </c>
      <c r="E207" s="2" t="b">
        <f t="shared" si="16"/>
        <v>0</v>
      </c>
      <c r="F207" s="2" t="s">
        <v>718</v>
      </c>
      <c r="G207" s="2" t="str">
        <f>IF(ISERROR(VLOOKUP(F207,MODIFICACIONES_REALIZADAS!F:H,3,)),F207,VLOOKUP(F207,MODIFICACIONES_REALIZADAS!F:H,3,))</f>
        <v>PM-O-GEN-Agente-NumeroPolizas-001</v>
      </c>
      <c r="H207" s="2">
        <v>20140101</v>
      </c>
      <c r="I207" s="2">
        <v>20180101</v>
      </c>
      <c r="J207" s="2" t="s">
        <v>412</v>
      </c>
      <c r="K207" s="2"/>
    </row>
    <row r="208" spans="1:11" x14ac:dyDescent="0.25">
      <c r="A208">
        <v>2</v>
      </c>
      <c r="B208" t="s">
        <v>48</v>
      </c>
      <c r="C208" t="s">
        <v>50</v>
      </c>
      <c r="D208" t="s">
        <v>719</v>
      </c>
      <c r="E208" t="b">
        <f>F208=G208</f>
        <v>1</v>
      </c>
      <c r="F208" t="s">
        <v>392</v>
      </c>
      <c r="G208" t="str">
        <f>IF(ISERROR(VLOOKUP(F208,MODIFICACIONES_REALIZADAS!F:H,3,)),F208,VLOOKUP(F208,MODIFICACIONES_REALIZADAS!F:H,3,))</f>
        <v>PM-O-GEN-Agente-NumAsegurados</v>
      </c>
      <c r="H208">
        <v>20180101</v>
      </c>
      <c r="I208">
        <v>22000101</v>
      </c>
      <c r="J208" t="s">
        <v>412</v>
      </c>
    </row>
    <row r="209" spans="1:11" x14ac:dyDescent="0.25">
      <c r="A209">
        <v>2</v>
      </c>
      <c r="B209" t="s">
        <v>48</v>
      </c>
      <c r="C209" t="s">
        <v>50</v>
      </c>
      <c r="D209" t="s">
        <v>717</v>
      </c>
      <c r="E209" t="b">
        <f t="shared" si="16"/>
        <v>0</v>
      </c>
      <c r="F209" t="s">
        <v>720</v>
      </c>
      <c r="G209" t="str">
        <f>IF(ISERROR(VLOOKUP(F209,MODIFICACIONES_REALIZADAS!F:H,3,)),F209,VLOOKUP(F209,MODIFICACIONES_REALIZADAS!F:H,3,))</f>
        <v>PM-O-GEN-Agente-NumeroPolizas-002</v>
      </c>
      <c r="H209">
        <v>20140101</v>
      </c>
      <c r="I209">
        <v>22000101</v>
      </c>
    </row>
    <row r="210" spans="1:11" x14ac:dyDescent="0.25">
      <c r="A210">
        <v>2</v>
      </c>
      <c r="B210" t="s">
        <v>48</v>
      </c>
      <c r="C210" t="s">
        <v>50</v>
      </c>
      <c r="D210" t="s">
        <v>717</v>
      </c>
      <c r="E210" t="b">
        <f>F210=G210</f>
        <v>1</v>
      </c>
      <c r="F210" t="s">
        <v>721</v>
      </c>
      <c r="G210" t="str">
        <f>IF(ISERROR(VLOOKUP(F210,MODIFICACIONES_REALIZADAS!F:H,3,)),F210,VLOOKUP(F210,MODIFICACIONES_REALIZADAS!F:H,3,))</f>
        <v>PM-O-GEN-Agente-NumeroPolizas-906</v>
      </c>
      <c r="H210">
        <v>20170101</v>
      </c>
      <c r="I210">
        <v>22000101</v>
      </c>
    </row>
    <row r="211" spans="1:11" x14ac:dyDescent="0.25">
      <c r="A211" s="2">
        <v>2</v>
      </c>
      <c r="B211" s="2" t="s">
        <v>48</v>
      </c>
      <c r="C211" s="2" t="s">
        <v>50</v>
      </c>
      <c r="D211" s="2" t="s">
        <v>717</v>
      </c>
      <c r="E211" s="2" t="b">
        <f t="shared" si="16"/>
        <v>0</v>
      </c>
      <c r="F211" s="2" t="s">
        <v>722</v>
      </c>
      <c r="G211" s="2" t="str">
        <f>IF(ISERROR(VLOOKUP(F211,MODIFICACIONES_REALIZADAS!F:H,3,)),F211,VLOOKUP(F211,MODIFICACIONES_REALIZADAS!F:H,3,))</f>
        <v>PM-O-GEN-Agente-NumeroPolizas-003</v>
      </c>
      <c r="H211" s="2">
        <v>20140101</v>
      </c>
      <c r="I211" s="2">
        <v>20161231</v>
      </c>
      <c r="J211" s="2" t="s">
        <v>71</v>
      </c>
      <c r="K211" s="2"/>
    </row>
    <row r="212" spans="1:11" x14ac:dyDescent="0.25">
      <c r="A212" s="2">
        <v>2</v>
      </c>
      <c r="B212" s="2" t="s">
        <v>48</v>
      </c>
      <c r="C212" s="2" t="s">
        <v>50</v>
      </c>
      <c r="D212" s="2" t="s">
        <v>717</v>
      </c>
      <c r="E212" s="2" t="b">
        <f t="shared" si="16"/>
        <v>0</v>
      </c>
      <c r="F212" s="2" t="s">
        <v>723</v>
      </c>
      <c r="G212" s="2" t="str">
        <f>IF(ISERROR(VLOOKUP(F212,MODIFICACIONES_REALIZADAS!F:H,3,)),F212,VLOOKUP(F212,MODIFICACIONES_REALIZADAS!F:H,3,))</f>
        <v>PM-O-GEN-Agente-NumeroPolizas-004</v>
      </c>
      <c r="H212" s="2">
        <v>20140101</v>
      </c>
      <c r="I212" s="2">
        <v>20161231</v>
      </c>
      <c r="J212" s="2" t="s">
        <v>71</v>
      </c>
      <c r="K212" s="2"/>
    </row>
    <row r="213" spans="1:11" x14ac:dyDescent="0.25">
      <c r="A213" s="2">
        <v>2</v>
      </c>
      <c r="B213" s="2" t="s">
        <v>48</v>
      </c>
      <c r="C213" s="2" t="s">
        <v>50</v>
      </c>
      <c r="D213" s="2" t="s">
        <v>717</v>
      </c>
      <c r="E213" s="2" t="b">
        <f t="shared" si="16"/>
        <v>0</v>
      </c>
      <c r="F213" s="2" t="s">
        <v>724</v>
      </c>
      <c r="G213" s="2" t="str">
        <f>IF(ISERROR(VLOOKUP(F213,MODIFICACIONES_REALIZADAS!F:H,3,)),F213,VLOOKUP(F213,MODIFICACIONES_REALIZADAS!F:H,3,))</f>
        <v>PM-O-GEN-Agente-NumeroPolizas-005-SINCC</v>
      </c>
      <c r="H213" s="2">
        <v>20140101</v>
      </c>
      <c r="I213" s="2">
        <v>20161231</v>
      </c>
      <c r="J213" s="2" t="s">
        <v>71</v>
      </c>
      <c r="K213" s="2"/>
    </row>
    <row r="214" spans="1:11" x14ac:dyDescent="0.25">
      <c r="A214" s="2">
        <v>2</v>
      </c>
      <c r="B214" s="2" t="s">
        <v>48</v>
      </c>
      <c r="C214" s="2" t="s">
        <v>50</v>
      </c>
      <c r="D214" s="2" t="s">
        <v>717</v>
      </c>
      <c r="E214" s="2" t="b">
        <f t="shared" si="16"/>
        <v>0</v>
      </c>
      <c r="F214" s="2" t="s">
        <v>725</v>
      </c>
      <c r="G214" s="2" t="str">
        <f>IF(ISERROR(VLOOKUP(F214,MODIFICACIONES_REALIZADAS!F:H,3,)),F214,VLOOKUP(F214,MODIFICACIONES_REALIZADAS!F:H,3,))</f>
        <v>PM-O-GEN-Agente-NumeroPolizas-997</v>
      </c>
      <c r="H214" s="2">
        <v>20140101</v>
      </c>
      <c r="I214" s="2">
        <v>20161231</v>
      </c>
      <c r="J214" s="2" t="s">
        <v>71</v>
      </c>
      <c r="K214" s="2"/>
    </row>
    <row r="215" spans="1:11" x14ac:dyDescent="0.25">
      <c r="A215">
        <v>2</v>
      </c>
      <c r="B215" t="s">
        <v>48</v>
      </c>
      <c r="C215" t="s">
        <v>50</v>
      </c>
      <c r="D215" t="s">
        <v>726</v>
      </c>
      <c r="E215" t="b">
        <f t="shared" si="16"/>
        <v>1</v>
      </c>
      <c r="F215" t="s">
        <v>727</v>
      </c>
      <c r="G215" t="str">
        <f>IF(ISERROR(VLOOKUP(F215,MODIFICACIONES_REALIZADAS!F:H,3,)),F215,VLOOKUP(F215,MODIFICACIONES_REALIZADAS!F:H,3,))</f>
        <v>PM-O-RPP-Agente-NumeroPolizas-998-Otros-Productos</v>
      </c>
      <c r="H215">
        <v>20140101</v>
      </c>
      <c r="I215">
        <v>22000101</v>
      </c>
    </row>
    <row r="216" spans="1:11" x14ac:dyDescent="0.25">
      <c r="A216">
        <v>2</v>
      </c>
      <c r="B216" t="s">
        <v>48</v>
      </c>
      <c r="C216" t="s">
        <v>50</v>
      </c>
      <c r="D216" t="s">
        <v>726</v>
      </c>
      <c r="E216" t="b">
        <f t="shared" si="16"/>
        <v>1</v>
      </c>
      <c r="F216" t="s">
        <v>728</v>
      </c>
      <c r="G216" t="str">
        <f>IF(ISERROR(VLOOKUP(F216,MODIFICACIONES_REALIZADAS!F:H,3,)),F216,VLOOKUP(F216,MODIFICACIONES_REALIZADAS!F:H,3,))</f>
        <v>PM-O-RPP-Agente-NumeroPolizas-998-01501-Campania</v>
      </c>
      <c r="H216">
        <v>20140101</v>
      </c>
      <c r="I216">
        <v>22000101</v>
      </c>
    </row>
    <row r="217" spans="1:11" x14ac:dyDescent="0.25">
      <c r="A217" s="2">
        <v>2</v>
      </c>
      <c r="B217" s="2" t="s">
        <v>48</v>
      </c>
      <c r="C217" s="2" t="s">
        <v>50</v>
      </c>
      <c r="D217" s="2" t="s">
        <v>726</v>
      </c>
      <c r="E217" s="2" t="b">
        <f t="shared" si="16"/>
        <v>1</v>
      </c>
      <c r="F217" s="2" t="s">
        <v>729</v>
      </c>
      <c r="G217" s="2" t="str">
        <f>IF(ISERROR(VLOOKUP(F217,MODIFICACIONES_REALIZADAS!F:H,3,)),F217,VLOOKUP(F217,MODIFICACIONES_REALIZADAS!F:H,3,))</f>
        <v>PM-O-RPP-Agente-NumeroPolizas-998-01501-01503-Ag20</v>
      </c>
      <c r="H217" s="2">
        <v>20140101</v>
      </c>
      <c r="I217" s="2">
        <v>20180101</v>
      </c>
      <c r="J217" s="2" t="s">
        <v>71</v>
      </c>
      <c r="K217" s="2"/>
    </row>
    <row r="218" spans="1:11" x14ac:dyDescent="0.25">
      <c r="A218">
        <v>2</v>
      </c>
      <c r="B218" t="s">
        <v>48</v>
      </c>
      <c r="C218" t="s">
        <v>50</v>
      </c>
      <c r="D218" t="s">
        <v>726</v>
      </c>
      <c r="E218" t="b">
        <f t="shared" si="16"/>
        <v>1</v>
      </c>
      <c r="F218" t="s">
        <v>730</v>
      </c>
      <c r="G218" t="str">
        <f>IF(ISERROR(VLOOKUP(F218,MODIFICACIONES_REALIZADAS!F:H,3,)),F218,VLOOKUP(F218,MODIFICACIONES_REALIZADAS!F:H,3,))</f>
        <v>PM-O-RPP-Agente-NumeroPolizas-998-01501-01503-AgNO20</v>
      </c>
      <c r="H218">
        <v>20140101</v>
      </c>
      <c r="I218">
        <v>22000101</v>
      </c>
    </row>
    <row r="219" spans="1:11" x14ac:dyDescent="0.25">
      <c r="A219" s="2">
        <v>2</v>
      </c>
      <c r="B219" s="2" t="s">
        <v>48</v>
      </c>
      <c r="C219" s="2" t="s">
        <v>50</v>
      </c>
      <c r="D219" s="2" t="s">
        <v>726</v>
      </c>
      <c r="E219" s="2" t="b">
        <f t="shared" si="16"/>
        <v>0</v>
      </c>
      <c r="F219" s="2" t="s">
        <v>731</v>
      </c>
      <c r="G219" s="2" t="str">
        <f>IF(ISERROR(VLOOKUP(F219,MODIFICACIONES_REALIZADAS!F:H,3,)),F219,VLOOKUP(F219,MODIFICACIONES_REALIZADAS!F:H,3,))</f>
        <v>PM-O-GEN-Agente-NumeroPolizas-998</v>
      </c>
      <c r="H219" s="2">
        <v>20140101</v>
      </c>
      <c r="I219" s="2">
        <v>20161231</v>
      </c>
      <c r="J219" s="2" t="s">
        <v>71</v>
      </c>
      <c r="K219" s="2"/>
    </row>
    <row r="220" spans="1:11" x14ac:dyDescent="0.25">
      <c r="A220">
        <v>2</v>
      </c>
      <c r="B220" t="s">
        <v>48</v>
      </c>
      <c r="C220" t="s">
        <v>50</v>
      </c>
      <c r="D220" t="s">
        <v>726</v>
      </c>
      <c r="E220" t="b">
        <f t="shared" si="16"/>
        <v>0</v>
      </c>
      <c r="F220" t="s">
        <v>732</v>
      </c>
      <c r="G220" t="str">
        <f>IF(ISERROR(VLOOKUP(F220,MODIFICACIONES_REALIZADAS!F:H,3,)),F220,VLOOKUP(F220,MODIFICACIONES_REALIZADAS!F:H,3,))</f>
        <v>PM-O-GEN-Agente-Prima-998</v>
      </c>
      <c r="H220">
        <v>20140101</v>
      </c>
      <c r="I220">
        <v>22000101</v>
      </c>
    </row>
    <row r="221" spans="1:11" x14ac:dyDescent="0.25">
      <c r="A221">
        <v>2</v>
      </c>
      <c r="B221" t="s">
        <v>48</v>
      </c>
      <c r="C221" t="s">
        <v>50</v>
      </c>
      <c r="D221" t="s">
        <v>644</v>
      </c>
      <c r="E221" t="b">
        <f t="shared" si="16"/>
        <v>0</v>
      </c>
      <c r="F221" t="s">
        <v>733</v>
      </c>
      <c r="G221" t="str">
        <f>IF(ISERROR(VLOOKUP(F221,MODIFICACIONES_REALIZADAS!F:H,3,)),F221,VLOOKUP(F221,MODIFICACIONES_REALIZADAS!F:H,3,))</f>
        <v>SM-O-GEN-Agente-NumeroPolizas-001-TotalMes</v>
      </c>
      <c r="H221">
        <v>20140101</v>
      </c>
      <c r="I221">
        <v>22000101</v>
      </c>
      <c r="J221" t="s">
        <v>734</v>
      </c>
    </row>
    <row r="222" spans="1:11" x14ac:dyDescent="0.25">
      <c r="A222">
        <v>2</v>
      </c>
      <c r="B222" t="s">
        <v>48</v>
      </c>
      <c r="C222" t="s">
        <v>50</v>
      </c>
      <c r="D222" t="s">
        <v>651</v>
      </c>
      <c r="E222" t="b">
        <f t="shared" si="16"/>
        <v>1</v>
      </c>
      <c r="F222" t="s">
        <v>735</v>
      </c>
      <c r="G222" t="str">
        <f>IF(ISERROR(VLOOKUP(F222,MODIFICACIONES_REALIZADAS!F:H,3,)),F222,VLOOKUP(F222,MODIFICACIONES_REALIZADAS!F:H,3,))</f>
        <v>SM-O-GEN-Agente-NumAsegurados-TotalMes</v>
      </c>
      <c r="H222">
        <v>20180101</v>
      </c>
      <c r="I222">
        <v>22000101</v>
      </c>
      <c r="J222" t="s">
        <v>412</v>
      </c>
    </row>
    <row r="223" spans="1:11" x14ac:dyDescent="0.25">
      <c r="A223">
        <v>2</v>
      </c>
      <c r="B223" t="s">
        <v>48</v>
      </c>
      <c r="C223" t="s">
        <v>50</v>
      </c>
      <c r="D223" t="s">
        <v>640</v>
      </c>
      <c r="E223" t="b">
        <f>F223=G223</f>
        <v>0</v>
      </c>
      <c r="F223" t="s">
        <v>736</v>
      </c>
      <c r="G223" t="str">
        <f>IF(ISERROR(VLOOKUP(F223,MODIFICACIONES_REALIZADAS!F:H,3,)),F223,VLOOKUP(F223,MODIFICACIONES_REALIZADAS!F:H,3,))</f>
        <v>SM-O-GEN-Agente-NumeroPolizas-002-TotalMes</v>
      </c>
      <c r="H223">
        <v>20140101</v>
      </c>
      <c r="I223">
        <v>22000101</v>
      </c>
    </row>
    <row r="224" spans="1:11" x14ac:dyDescent="0.25">
      <c r="A224">
        <v>2</v>
      </c>
      <c r="B224" t="s">
        <v>48</v>
      </c>
      <c r="C224" t="s">
        <v>50</v>
      </c>
      <c r="D224" t="s">
        <v>737</v>
      </c>
      <c r="E224" t="b">
        <f t="shared" si="16"/>
        <v>1</v>
      </c>
      <c r="F224" t="s">
        <v>738</v>
      </c>
      <c r="G224" t="str">
        <f>IF(ISERROR(VLOOKUP(F224,MODIFICACIONES_REALIZADAS!F:H,3,)),F224,VLOOKUP(F224,MODIFICACIONES_REALIZADAS!F:H,3,))</f>
        <v>SM-O-GEN-Agente-NumeroPolizas-906-TotalMes</v>
      </c>
      <c r="H224">
        <v>20170101</v>
      </c>
      <c r="I224">
        <v>22000101</v>
      </c>
    </row>
    <row r="225" spans="1:11" x14ac:dyDescent="0.25">
      <c r="A225" s="22">
        <v>2</v>
      </c>
      <c r="B225" s="22" t="s">
        <v>48</v>
      </c>
      <c r="C225" s="22" t="s">
        <v>50</v>
      </c>
      <c r="D225" s="22" t="s">
        <v>739</v>
      </c>
      <c r="E225" s="22" t="b">
        <f t="shared" si="16"/>
        <v>1</v>
      </c>
      <c r="F225" s="22" t="s">
        <v>740</v>
      </c>
      <c r="G225" s="22" t="str">
        <f>IF(ISERROR(VLOOKUP(F225,MODIFICACIONES_REALIZADAS!F:H,3,)),F225,VLOOKUP(F225,MODIFICACIONES_REALIZADAS!F:H,3,))</f>
        <v>SM-O-GEN-Agente-NumeroPolizas-007-TotalMes</v>
      </c>
      <c r="H225" s="22">
        <v>20220101</v>
      </c>
      <c r="I225" s="22">
        <v>22000101</v>
      </c>
      <c r="J225" s="22" t="s">
        <v>741</v>
      </c>
      <c r="K225" s="22"/>
    </row>
    <row r="226" spans="1:11" x14ac:dyDescent="0.25">
      <c r="A226" s="2">
        <v>2</v>
      </c>
      <c r="B226" s="2" t="s">
        <v>48</v>
      </c>
      <c r="C226" s="2" t="s">
        <v>50</v>
      </c>
      <c r="D226" s="2" t="s">
        <v>742</v>
      </c>
      <c r="E226" s="2" t="b">
        <f t="shared" si="16"/>
        <v>0</v>
      </c>
      <c r="F226" s="2" t="s">
        <v>743</v>
      </c>
      <c r="G226" s="2" t="str">
        <f>IF(ISERROR(VLOOKUP(F226,MODIFICACIONES_REALIZADAS!F:H,3,)),F226,VLOOKUP(F226,MODIFICACIONES_REALIZADAS!F:H,3,))</f>
        <v>SM-O-GEN-Agente-NumeroPolizas-003-TotalMes</v>
      </c>
      <c r="H226" s="2">
        <v>20140101</v>
      </c>
      <c r="I226" s="2">
        <v>20161231</v>
      </c>
      <c r="J226" s="2" t="s">
        <v>71</v>
      </c>
      <c r="K226" s="2"/>
    </row>
    <row r="227" spans="1:11" x14ac:dyDescent="0.25">
      <c r="A227" s="2">
        <v>2</v>
      </c>
      <c r="B227" s="2" t="s">
        <v>48</v>
      </c>
      <c r="C227" s="2" t="s">
        <v>50</v>
      </c>
      <c r="D227" s="2" t="s">
        <v>742</v>
      </c>
      <c r="E227" s="2" t="b">
        <f t="shared" si="16"/>
        <v>0</v>
      </c>
      <c r="F227" s="2" t="s">
        <v>744</v>
      </c>
      <c r="G227" s="2" t="str">
        <f>IF(ISERROR(VLOOKUP(F227,MODIFICACIONES_REALIZADAS!F:H,3,)),F227,VLOOKUP(F227,MODIFICACIONES_REALIZADAS!F:H,3,))</f>
        <v>SM-O-GEN-Agente-NumeroPolizas-004-TotalMes</v>
      </c>
      <c r="H227" s="2">
        <v>20140101</v>
      </c>
      <c r="I227" s="2">
        <v>20161231</v>
      </c>
      <c r="J227" s="2" t="s">
        <v>71</v>
      </c>
      <c r="K227" s="2"/>
    </row>
    <row r="228" spans="1:11" x14ac:dyDescent="0.25">
      <c r="A228" s="2">
        <v>2</v>
      </c>
      <c r="B228" s="2" t="s">
        <v>48</v>
      </c>
      <c r="C228" s="2" t="s">
        <v>50</v>
      </c>
      <c r="D228" s="2" t="s">
        <v>742</v>
      </c>
      <c r="E228" s="2" t="b">
        <f t="shared" si="16"/>
        <v>0</v>
      </c>
      <c r="F228" s="2" t="s">
        <v>745</v>
      </c>
      <c r="G228" s="2" t="str">
        <f>IF(ISERROR(VLOOKUP(F228,MODIFICACIONES_REALIZADAS!F:H,3,)),F228,VLOOKUP(F228,MODIFICACIONES_REALIZADAS!F:H,3,))</f>
        <v>SM-O-GEN-Agente-NumeroPolizas-005-SINCC-TotalMes</v>
      </c>
      <c r="H228" s="2">
        <v>20140101</v>
      </c>
      <c r="I228" s="2">
        <v>20161231</v>
      </c>
      <c r="J228" s="2" t="s">
        <v>71</v>
      </c>
      <c r="K228" s="2"/>
    </row>
    <row r="229" spans="1:11" x14ac:dyDescent="0.25">
      <c r="A229" s="2">
        <v>2</v>
      </c>
      <c r="B229" s="2" t="s">
        <v>48</v>
      </c>
      <c r="C229" s="2" t="s">
        <v>50</v>
      </c>
      <c r="D229" s="2" t="s">
        <v>742</v>
      </c>
      <c r="E229" s="2" t="b">
        <f t="shared" si="16"/>
        <v>0</v>
      </c>
      <c r="F229" s="2" t="s">
        <v>746</v>
      </c>
      <c r="G229" s="2" t="str">
        <f>IF(ISERROR(VLOOKUP(F229,MODIFICACIONES_REALIZADAS!F:H,3,)),F229,VLOOKUP(F229,MODIFICACIONES_REALIZADAS!F:H,3,))</f>
        <v>SM-O-GEN-Agente-NumeroPolizas-997-TotalMes</v>
      </c>
      <c r="H229" s="2">
        <v>20140101</v>
      </c>
      <c r="I229" s="2">
        <v>20161231</v>
      </c>
      <c r="J229" s="2" t="s">
        <v>71</v>
      </c>
      <c r="K229" s="2"/>
    </row>
    <row r="230" spans="1:11" x14ac:dyDescent="0.25">
      <c r="A230" s="2">
        <v>2</v>
      </c>
      <c r="B230" s="2" t="s">
        <v>48</v>
      </c>
      <c r="C230" s="2" t="s">
        <v>50</v>
      </c>
      <c r="D230" s="2" t="s">
        <v>742</v>
      </c>
      <c r="E230" s="2" t="b">
        <f t="shared" si="16"/>
        <v>1</v>
      </c>
      <c r="F230" s="2" t="s">
        <v>747</v>
      </c>
      <c r="G230" s="2" t="str">
        <f>IF(ISERROR(VLOOKUP(F230,MODIFICACIONES_REALIZADAS!F:H,3,)),F230,VLOOKUP(F230,MODIFICACIONES_REALIZADAS!F:H,3,))</f>
        <v>SM-O-RPP-Agente-NumeroPolizas-998-01501-Campania</v>
      </c>
      <c r="H230" s="2">
        <v>20140101</v>
      </c>
      <c r="I230" s="2">
        <v>20151201</v>
      </c>
      <c r="J230" s="2" t="s">
        <v>71</v>
      </c>
      <c r="K230" s="2"/>
    </row>
    <row r="231" spans="1:11" x14ac:dyDescent="0.25">
      <c r="A231" s="2">
        <v>2</v>
      </c>
      <c r="B231" s="2" t="s">
        <v>48</v>
      </c>
      <c r="C231" s="2" t="s">
        <v>50</v>
      </c>
      <c r="D231" s="2" t="s">
        <v>742</v>
      </c>
      <c r="E231" s="2" t="b">
        <f t="shared" si="16"/>
        <v>1</v>
      </c>
      <c r="F231" s="2" t="s">
        <v>748</v>
      </c>
      <c r="G231" s="2" t="str">
        <f>IF(ISERROR(VLOOKUP(F231,MODIFICACIONES_REALIZADAS!F:H,3,)),F231,VLOOKUP(F231,MODIFICACIONES_REALIZADAS!F:H,3,))</f>
        <v>SM-O-RPP-Agente-NumeroPolizas-998-01501-01503-Recup-Ag20</v>
      </c>
      <c r="H231" s="2">
        <v>20140101</v>
      </c>
      <c r="I231" s="2">
        <v>20151201</v>
      </c>
      <c r="J231" s="2" t="s">
        <v>71</v>
      </c>
      <c r="K231" s="2"/>
    </row>
    <row r="232" spans="1:11" x14ac:dyDescent="0.25">
      <c r="A232" s="2">
        <v>2</v>
      </c>
      <c r="B232" s="2" t="s">
        <v>48</v>
      </c>
      <c r="C232" s="2" t="s">
        <v>50</v>
      </c>
      <c r="D232" s="2" t="s">
        <v>742</v>
      </c>
      <c r="E232" s="2" t="b">
        <f t="shared" si="16"/>
        <v>1</v>
      </c>
      <c r="F232" s="2" t="s">
        <v>749</v>
      </c>
      <c r="G232" s="2" t="str">
        <f>IF(ISERROR(VLOOKUP(F232,MODIFICACIONES_REALIZADAS!F:H,3,)),F232,VLOOKUP(F232,MODIFICACIONES_REALIZADAS!F:H,3,))</f>
        <v>SM-O-RPP-Agente-NumeroPolizas-998-01501-01503-Recup-AgNO20</v>
      </c>
      <c r="H232" s="2">
        <v>20140101</v>
      </c>
      <c r="I232" s="2">
        <v>20151201</v>
      </c>
      <c r="J232" s="2" t="s">
        <v>71</v>
      </c>
      <c r="K232" s="2"/>
    </row>
    <row r="233" spans="1:11" x14ac:dyDescent="0.25">
      <c r="A233">
        <v>2</v>
      </c>
      <c r="B233" t="s">
        <v>48</v>
      </c>
      <c r="C233" t="s">
        <v>50</v>
      </c>
      <c r="D233" t="s">
        <v>742</v>
      </c>
      <c r="E233" t="b">
        <f t="shared" si="16"/>
        <v>1</v>
      </c>
      <c r="F233" t="s">
        <v>750</v>
      </c>
      <c r="G233" t="str">
        <f>IF(ISERROR(VLOOKUP(F233,MODIFICACIONES_REALIZADAS!F:H,3,)),F233,VLOOKUP(F233,MODIFICACIONES_REALIZADAS!F:H,3,))</f>
        <v>SM-O-RPP-Agente-NumeroPolizas-998-Total-Mes</v>
      </c>
      <c r="H233">
        <v>20140101</v>
      </c>
      <c r="I233">
        <v>22000101</v>
      </c>
    </row>
    <row r="234" spans="1:11" x14ac:dyDescent="0.25">
      <c r="A234">
        <v>2</v>
      </c>
      <c r="B234" t="s">
        <v>48</v>
      </c>
      <c r="C234" t="s">
        <v>50</v>
      </c>
      <c r="D234" t="s">
        <v>742</v>
      </c>
      <c r="E234" t="b">
        <f t="shared" ref="E234:E235" si="17">F234=G234</f>
        <v>1</v>
      </c>
      <c r="F234" t="s">
        <v>751</v>
      </c>
      <c r="G234" t="str">
        <f>IF(ISERROR(VLOOKUP(F234,MODIFICACIONES_REALIZADAS!F:H,3,)),F234,VLOOKUP(F234,MODIFICACIONES_REALIZADAS!F:H,3,))</f>
        <v>SM-O-GEN-Agente-NumeroPolizas-998-TotalMes</v>
      </c>
      <c r="H234">
        <v>20180101</v>
      </c>
      <c r="I234">
        <v>22000101</v>
      </c>
      <c r="J234" t="s">
        <v>752</v>
      </c>
    </row>
    <row r="235" spans="1:11" x14ac:dyDescent="0.25">
      <c r="A235" s="22">
        <v>2</v>
      </c>
      <c r="B235" s="22" t="s">
        <v>48</v>
      </c>
      <c r="C235" s="22" t="s">
        <v>50</v>
      </c>
      <c r="D235" s="22" t="s">
        <v>753</v>
      </c>
      <c r="E235" s="22" t="b">
        <f t="shared" si="17"/>
        <v>1</v>
      </c>
      <c r="F235" s="22" t="s">
        <v>754</v>
      </c>
      <c r="G235" s="22" t="str">
        <f>IF(ISERROR(VLOOKUP(F235,MODIFICACIONES_REALIZADAS!F:H,3,)),F235,VLOOKUP(F235,MODIFICACIONES_REALIZADAS!F:H,3,))</f>
        <v>SM-O-GEN-Agente-NumeroPolizasCorregidas-998-TotalMes</v>
      </c>
      <c r="H235" s="22">
        <v>20220101</v>
      </c>
      <c r="I235" s="22">
        <v>22000101</v>
      </c>
      <c r="J235" s="22" t="s">
        <v>741</v>
      </c>
      <c r="K235" s="22"/>
    </row>
    <row r="236" spans="1:11" x14ac:dyDescent="0.25">
      <c r="A236" s="2">
        <v>2</v>
      </c>
      <c r="B236" s="2" t="s">
        <v>48</v>
      </c>
      <c r="C236" s="2" t="s">
        <v>50</v>
      </c>
      <c r="D236" s="2" t="s">
        <v>742</v>
      </c>
      <c r="E236" s="2" t="b">
        <f t="shared" si="16"/>
        <v>1</v>
      </c>
      <c r="F236" s="2" t="s">
        <v>755</v>
      </c>
      <c r="G236" s="2" t="str">
        <f>IF(ISERROR(VLOOKUP(F236,MODIFICACIONES_REALIZADAS!F:H,3,)),F236,VLOOKUP(F236,MODIFICACIONES_REALIZADAS!F:H,3,))</f>
        <v>SM-O-RPP-Agente-NumeroPolizas-998-01501-Campania-Total</v>
      </c>
      <c r="H236" s="2">
        <v>20140101</v>
      </c>
      <c r="I236" s="2">
        <v>20151201</v>
      </c>
      <c r="J236" s="2" t="s">
        <v>71</v>
      </c>
      <c r="K236" s="2"/>
    </row>
    <row r="237" spans="1:11" x14ac:dyDescent="0.25">
      <c r="A237" s="2">
        <v>2</v>
      </c>
      <c r="B237" s="2" t="s">
        <v>48</v>
      </c>
      <c r="C237" s="2" t="s">
        <v>50</v>
      </c>
      <c r="D237" s="2" t="s">
        <v>742</v>
      </c>
      <c r="E237" s="2" t="b">
        <f t="shared" si="16"/>
        <v>1</v>
      </c>
      <c r="F237" s="2" t="s">
        <v>756</v>
      </c>
      <c r="G237" s="2" t="str">
        <f>IF(ISERROR(VLOOKUP(F237,MODIFICACIONES_REALIZADAS!F:H,3,)),F237,VLOOKUP(F237,MODIFICACIONES_REALIZADAS!F:H,3,))</f>
        <v>SM-O-RPP-Agente-NumeroPolizas-998-01501-01503-Recup-Ag20-Total</v>
      </c>
      <c r="H237" s="2">
        <v>20140101</v>
      </c>
      <c r="I237" s="2">
        <v>20151201</v>
      </c>
      <c r="J237" s="2" t="s">
        <v>71</v>
      </c>
      <c r="K237" s="2"/>
    </row>
    <row r="238" spans="1:11" x14ac:dyDescent="0.25">
      <c r="A238" s="2">
        <v>2</v>
      </c>
      <c r="B238" s="2" t="s">
        <v>48</v>
      </c>
      <c r="C238" s="2" t="s">
        <v>50</v>
      </c>
      <c r="D238" s="2" t="s">
        <v>742</v>
      </c>
      <c r="E238" s="2" t="b">
        <f t="shared" si="16"/>
        <v>1</v>
      </c>
      <c r="F238" s="2" t="s">
        <v>757</v>
      </c>
      <c r="G238" s="2" t="str">
        <f>IF(ISERROR(VLOOKUP(F238,MODIFICACIONES_REALIZADAS!F:H,3,)),F238,VLOOKUP(F238,MODIFICACIONES_REALIZADAS!F:H,3,))</f>
        <v>SM-O-RPP-Agente-NumeroPolizas-998-01501-01503-Recup-AgNO20-Total</v>
      </c>
      <c r="H238" s="2">
        <v>20140101</v>
      </c>
      <c r="I238" s="2">
        <v>20151201</v>
      </c>
      <c r="J238" s="2" t="s">
        <v>71</v>
      </c>
      <c r="K238" s="2"/>
    </row>
    <row r="239" spans="1:11" x14ac:dyDescent="0.25">
      <c r="A239">
        <v>2</v>
      </c>
      <c r="B239" t="s">
        <v>48</v>
      </c>
      <c r="C239" t="s">
        <v>50</v>
      </c>
      <c r="D239" t="s">
        <v>742</v>
      </c>
      <c r="E239" t="b">
        <f t="shared" si="16"/>
        <v>1</v>
      </c>
      <c r="F239" t="s">
        <v>758</v>
      </c>
      <c r="G239" t="str">
        <f>IF(ISERROR(VLOOKUP(F239,MODIFICACIONES_REALIZADAS!F:H,3,)),F239,VLOOKUP(F239,MODIFICACIONES_REALIZADAS!F:H,3,))</f>
        <v>SM-O-RPP-Agente-NumeroPolizas-998-Total-Mes-Resto</v>
      </c>
      <c r="H239">
        <v>20140101</v>
      </c>
      <c r="I239">
        <v>22000101</v>
      </c>
    </row>
    <row r="240" spans="1:11" x14ac:dyDescent="0.25">
      <c r="A240">
        <v>2</v>
      </c>
      <c r="B240" t="s">
        <v>48</v>
      </c>
      <c r="C240" t="s">
        <v>50</v>
      </c>
      <c r="D240" t="s">
        <v>742</v>
      </c>
      <c r="E240" t="b">
        <f t="shared" si="16"/>
        <v>1</v>
      </c>
      <c r="F240" t="s">
        <v>759</v>
      </c>
      <c r="G240" t="str">
        <f>IF(ISERROR(VLOOKUP(F240,MODIFICACIONES_REALIZADAS!F:H,3,)),F240,VLOOKUP(F240,MODIFICACIONES_REALIZADAS!F:H,3,))</f>
        <v>SM-O-RPP-Agente-NumeroPolizas-998-01501-Campania-Resto</v>
      </c>
      <c r="H240">
        <v>20140101</v>
      </c>
      <c r="I240">
        <v>22000101</v>
      </c>
    </row>
    <row r="241" spans="1:11" x14ac:dyDescent="0.25">
      <c r="A241" s="2">
        <v>2</v>
      </c>
      <c r="B241" s="2" t="s">
        <v>48</v>
      </c>
      <c r="C241" s="2" t="s">
        <v>50</v>
      </c>
      <c r="D241" s="2" t="s">
        <v>742</v>
      </c>
      <c r="E241" s="2" t="b">
        <f t="shared" si="16"/>
        <v>1</v>
      </c>
      <c r="F241" s="2" t="s">
        <v>760</v>
      </c>
      <c r="G241" s="2" t="str">
        <f>IF(ISERROR(VLOOKUP(F241,MODIFICACIONES_REALIZADAS!F:H,3,)),F241,VLOOKUP(F241,MODIFICACIONES_REALIZADAS!F:H,3,))</f>
        <v>SM-O-RPP-Agente-NumeroPolizas-998-01501-01503-Recup-Ag20-Resto</v>
      </c>
      <c r="H241" s="2">
        <v>20140101</v>
      </c>
      <c r="I241" s="2">
        <v>20180101</v>
      </c>
      <c r="J241" s="2" t="s">
        <v>71</v>
      </c>
      <c r="K241" s="2"/>
    </row>
    <row r="242" spans="1:11" x14ac:dyDescent="0.25">
      <c r="A242">
        <v>2</v>
      </c>
      <c r="B242" t="s">
        <v>48</v>
      </c>
      <c r="C242" t="s">
        <v>50</v>
      </c>
      <c r="D242" t="s">
        <v>742</v>
      </c>
      <c r="E242" t="b">
        <f t="shared" si="16"/>
        <v>1</v>
      </c>
      <c r="F242" t="s">
        <v>761</v>
      </c>
      <c r="G242" t="str">
        <f>IF(ISERROR(VLOOKUP(F242,MODIFICACIONES_REALIZADAS!F:H,3,)),F242,VLOOKUP(F242,MODIFICACIONES_REALIZADAS!F:H,3,))</f>
        <v>SM-O-RPP-Agente-NumeroPolizas-998-01501-01503-Recup-AgNO20-Resto</v>
      </c>
      <c r="H242">
        <v>20140101</v>
      </c>
      <c r="I242">
        <v>22000101</v>
      </c>
    </row>
    <row r="243" spans="1:11" x14ac:dyDescent="0.25">
      <c r="A243">
        <v>2</v>
      </c>
      <c r="B243" t="s">
        <v>48</v>
      </c>
      <c r="C243" t="s">
        <v>50</v>
      </c>
      <c r="D243" t="s">
        <v>742</v>
      </c>
      <c r="E243" t="b">
        <f t="shared" si="16"/>
        <v>1</v>
      </c>
      <c r="F243" t="s">
        <v>762</v>
      </c>
      <c r="G243" t="str">
        <f>IF(ISERROR(VLOOKUP(F243,MODIFICACIONES_REALIZADAS!F:H,3,)),F243,VLOOKUP(F243,MODIFICACIONES_REALIZADAS!F:H,3,))</f>
        <v>SM-O-RPP-Agente-NumeroPolizas-998-Otros-Productos</v>
      </c>
      <c r="H243">
        <v>20140101</v>
      </c>
      <c r="I243">
        <v>22000101</v>
      </c>
    </row>
    <row r="244" spans="1:11" x14ac:dyDescent="0.25">
      <c r="A244">
        <v>2</v>
      </c>
      <c r="B244" t="s">
        <v>48</v>
      </c>
      <c r="C244" t="s">
        <v>50</v>
      </c>
      <c r="D244" t="s">
        <v>742</v>
      </c>
      <c r="E244" t="b">
        <f t="shared" si="16"/>
        <v>1</v>
      </c>
      <c r="F244" t="s">
        <v>763</v>
      </c>
      <c r="G244" t="str">
        <f>IF(ISERROR(VLOOKUP(F244,MODIFICACIONES_REALIZADAS!F:H,3,)),F244,VLOOKUP(F244,MODIFICACIONES_REALIZADAS!F:H,3,))</f>
        <v>SM-O-RPP-Agente-NumeroPolizas-998-01501-Campania-SinResto</v>
      </c>
      <c r="H244">
        <v>20140101</v>
      </c>
      <c r="I244">
        <v>22000101</v>
      </c>
    </row>
    <row r="245" spans="1:11" x14ac:dyDescent="0.25">
      <c r="A245" s="2">
        <v>2</v>
      </c>
      <c r="B245" s="2" t="s">
        <v>48</v>
      </c>
      <c r="C245" s="2" t="s">
        <v>50</v>
      </c>
      <c r="D245" s="2" t="s">
        <v>742</v>
      </c>
      <c r="E245" s="2" t="b">
        <f t="shared" si="16"/>
        <v>1</v>
      </c>
      <c r="F245" s="2" t="s">
        <v>764</v>
      </c>
      <c r="G245" s="2" t="str">
        <f>IF(ISERROR(VLOOKUP(F245,MODIFICACIONES_REALIZADAS!F:H,3,)),F245,VLOOKUP(F245,MODIFICACIONES_REALIZADAS!F:H,3,))</f>
        <v>SM-O-RPP-Agente-NumeroPolizas-998-01501-01503-Recup-Ag20-SinResto</v>
      </c>
      <c r="H245" s="2">
        <v>20140101</v>
      </c>
      <c r="I245" s="2">
        <v>20180101</v>
      </c>
      <c r="J245" s="2" t="s">
        <v>71</v>
      </c>
      <c r="K245" s="2"/>
    </row>
    <row r="246" spans="1:11" x14ac:dyDescent="0.25">
      <c r="A246">
        <v>2</v>
      </c>
      <c r="B246" t="s">
        <v>48</v>
      </c>
      <c r="C246" t="s">
        <v>50</v>
      </c>
      <c r="D246" t="s">
        <v>742</v>
      </c>
      <c r="E246" t="b">
        <f t="shared" si="16"/>
        <v>1</v>
      </c>
      <c r="F246" t="s">
        <v>765</v>
      </c>
      <c r="G246" t="str">
        <f>IF(ISERROR(VLOOKUP(F246,MODIFICACIONES_REALIZADAS!F:H,3,)),F246,VLOOKUP(F246,MODIFICACIONES_REALIZADAS!F:H,3,))</f>
        <v>SM-O-RPP-Agente-NumeroPolizas-998-01501-01503-Recup-AgNO20-SinResto</v>
      </c>
      <c r="H246">
        <v>20140101</v>
      </c>
      <c r="I246">
        <v>22000101</v>
      </c>
    </row>
    <row r="247" spans="1:11" x14ac:dyDescent="0.25">
      <c r="A247">
        <v>2</v>
      </c>
      <c r="B247" t="s">
        <v>48</v>
      </c>
      <c r="C247" t="s">
        <v>50</v>
      </c>
      <c r="D247" t="s">
        <v>742</v>
      </c>
      <c r="E247" t="b">
        <f t="shared" si="16"/>
        <v>1</v>
      </c>
      <c r="F247" t="s">
        <v>766</v>
      </c>
      <c r="G247" t="str">
        <f>IF(ISERROR(VLOOKUP(F247,MODIFICACIONES_REALIZADAS!F:H,3,)),F247,VLOOKUP(F247,MODIFICACIONES_REALIZADAS!F:H,3,))</f>
        <v>SM-O-RPP-Agente-NumeroPolizas-998-Resto-Mes-Anterior</v>
      </c>
      <c r="H247">
        <v>20140101</v>
      </c>
      <c r="I247">
        <v>22000101</v>
      </c>
    </row>
    <row r="248" spans="1:11" x14ac:dyDescent="0.25">
      <c r="A248">
        <v>2</v>
      </c>
      <c r="B248" t="s">
        <v>48</v>
      </c>
      <c r="C248" t="s">
        <v>50</v>
      </c>
      <c r="D248" t="s">
        <v>742</v>
      </c>
      <c r="E248" t="b">
        <f t="shared" si="16"/>
        <v>1</v>
      </c>
      <c r="F248" t="s">
        <v>767</v>
      </c>
      <c r="G248" t="str">
        <f>IF(ISERROR(VLOOKUP(F248,MODIFICACIONES_REALIZADAS!F:H,3,)),F248,VLOOKUP(F248,MODIFICACIONES_REALIZADAS!F:H,3,))</f>
        <v>SM-O-RPP-Agente-NumeroPolizas-998-Resto-01501-Campania-Mes-Anterior</v>
      </c>
      <c r="H248">
        <v>20140101</v>
      </c>
      <c r="I248">
        <v>22000101</v>
      </c>
    </row>
    <row r="249" spans="1:11" x14ac:dyDescent="0.25">
      <c r="A249" s="2">
        <v>2</v>
      </c>
      <c r="B249" s="2" t="s">
        <v>48</v>
      </c>
      <c r="C249" s="2" t="s">
        <v>50</v>
      </c>
      <c r="D249" s="2" t="s">
        <v>742</v>
      </c>
      <c r="E249" s="2" t="b">
        <f t="shared" si="16"/>
        <v>1</v>
      </c>
      <c r="F249" s="2" t="s">
        <v>768</v>
      </c>
      <c r="G249" s="2" t="str">
        <f>IF(ISERROR(VLOOKUP(F249,MODIFICACIONES_REALIZADAS!F:H,3,)),F249,VLOOKUP(F249,MODIFICACIONES_REALIZADAS!F:H,3,))</f>
        <v>SM-O-RPP-Agente-NumeroPolizas-998-Resto-01501-01503-Ag20-Mes-Anterior</v>
      </c>
      <c r="H249" s="2">
        <v>20140101</v>
      </c>
      <c r="I249" s="2">
        <v>20180101</v>
      </c>
      <c r="J249" s="2" t="s">
        <v>71</v>
      </c>
      <c r="K249" s="2"/>
    </row>
    <row r="250" spans="1:11" x14ac:dyDescent="0.25">
      <c r="A250">
        <v>2</v>
      </c>
      <c r="B250" t="s">
        <v>48</v>
      </c>
      <c r="C250" t="s">
        <v>50</v>
      </c>
      <c r="D250" t="s">
        <v>742</v>
      </c>
      <c r="E250" t="b">
        <f t="shared" si="16"/>
        <v>1</v>
      </c>
      <c r="F250" t="s">
        <v>769</v>
      </c>
      <c r="G250" t="str">
        <f>IF(ISERROR(VLOOKUP(F250,MODIFICACIONES_REALIZADAS!F:H,3,)),F250,VLOOKUP(F250,MODIFICACIONES_REALIZADAS!F:H,3,))</f>
        <v>SM-O-RPP-Agente-NumeroPolizas-998-Resto-01501-01503-AgNO20-Mes-Anterior</v>
      </c>
      <c r="H250">
        <v>20140101</v>
      </c>
      <c r="I250">
        <v>22000101</v>
      </c>
    </row>
    <row r="251" spans="1:11" x14ac:dyDescent="0.25">
      <c r="A251">
        <v>2</v>
      </c>
      <c r="B251" t="s">
        <v>48</v>
      </c>
      <c r="C251" t="s">
        <v>50</v>
      </c>
      <c r="D251" t="s">
        <v>770</v>
      </c>
      <c r="E251" t="b">
        <f t="shared" si="16"/>
        <v>0</v>
      </c>
      <c r="F251" t="s">
        <v>771</v>
      </c>
      <c r="G251" t="str">
        <f>IF(ISERROR(VLOOKUP(F251,MODIFICACIONES_REALIZADAS!F:H,3,)),F251,VLOOKUP(F251,MODIFICACIONES_REALIZADAS!F:H,3,))</f>
        <v>SM-O-GEN-Agente-Prima-998-TotalMes</v>
      </c>
      <c r="H251">
        <v>20140101</v>
      </c>
      <c r="I251">
        <v>22000101</v>
      </c>
    </row>
    <row r="252" spans="1:11" x14ac:dyDescent="0.25">
      <c r="A252">
        <v>2</v>
      </c>
      <c r="B252" t="s">
        <v>48</v>
      </c>
      <c r="C252" t="s">
        <v>50</v>
      </c>
      <c r="D252" t="s">
        <v>772</v>
      </c>
      <c r="E252" t="b">
        <f>F252=G252</f>
        <v>1</v>
      </c>
      <c r="F252" t="s">
        <v>773</v>
      </c>
      <c r="G252" t="str">
        <f>IF(ISERROR(VLOOKUP(F252,MODIFICACIONES_REALIZADAS!F:H,3,)),F252,VLOOKUP(F252,MODIFICACIONES_REALIZADAS!F:H,3,))</f>
        <v>SM-O-RPP-Agente-Pago-Fijo-Mensual</v>
      </c>
      <c r="H252">
        <v>20140101</v>
      </c>
      <c r="I252">
        <v>22000101</v>
      </c>
    </row>
    <row r="253" spans="1:11" x14ac:dyDescent="0.25">
      <c r="A253">
        <v>2</v>
      </c>
      <c r="B253" t="s">
        <v>48</v>
      </c>
      <c r="C253" t="s">
        <v>50</v>
      </c>
      <c r="D253" t="s">
        <v>772</v>
      </c>
      <c r="E253" t="b">
        <f>F253=G253</f>
        <v>1</v>
      </c>
      <c r="F253" t="s">
        <v>774</v>
      </c>
      <c r="G253" t="str">
        <f>IF(ISERROR(VLOOKUP(F253,MODIFICACIONES_REALIZADAS!F:H,3,)),F253,VLOOKUP(F253,MODIFICACIONES_REALIZADAS!F:H,3,))</f>
        <v>SM-O-RPP-Agente-Rappel-Pago-Mensual</v>
      </c>
      <c r="H253">
        <v>20140101</v>
      </c>
      <c r="I253">
        <v>22000101</v>
      </c>
    </row>
    <row r="254" spans="1:11" x14ac:dyDescent="0.25">
      <c r="A254">
        <v>2</v>
      </c>
      <c r="B254" t="s">
        <v>48</v>
      </c>
      <c r="C254" t="s">
        <v>50</v>
      </c>
      <c r="D254" t="s">
        <v>772</v>
      </c>
      <c r="E254" t="b">
        <f>F254=G254</f>
        <v>1</v>
      </c>
      <c r="F254" t="s">
        <v>775</v>
      </c>
      <c r="G254" t="str">
        <f>IF(ISERROR(VLOOKUP(F254,MODIFICACIONES_REALIZADAS!F:H,3,)),F254,VLOOKUP(F254,MODIFICACIONES_REALIZADAS!F:H,3,))</f>
        <v>SM-O-RPP-Agente-SuperRappel-Pago-Mensual</v>
      </c>
      <c r="H254">
        <v>20140101</v>
      </c>
      <c r="I254">
        <v>22000101</v>
      </c>
    </row>
    <row r="255" spans="1:11" x14ac:dyDescent="0.25">
      <c r="A255">
        <v>2</v>
      </c>
      <c r="B255" t="s">
        <v>48</v>
      </c>
      <c r="C255" t="s">
        <v>50</v>
      </c>
      <c r="D255" t="s">
        <v>772</v>
      </c>
      <c r="E255" t="b">
        <f t="shared" si="16"/>
        <v>1</v>
      </c>
      <c r="F255" t="s">
        <v>776</v>
      </c>
      <c r="G255" t="str">
        <f>IF(ISERROR(VLOOKUP(F255,MODIFICACIONES_REALIZADAS!F:H,3,)),F255,VLOOKUP(F255,MODIFICACIONES_REALIZADAS!F:H,3,))</f>
        <v>SM-O-RPP-Agente-N2N3-Pago-Fijo-Mensual</v>
      </c>
      <c r="H255">
        <v>20170101</v>
      </c>
      <c r="I255">
        <v>22000101</v>
      </c>
    </row>
    <row r="256" spans="1:11" x14ac:dyDescent="0.25">
      <c r="A256">
        <v>2</v>
      </c>
      <c r="B256" t="s">
        <v>48</v>
      </c>
      <c r="C256" t="s">
        <v>50</v>
      </c>
      <c r="D256" t="s">
        <v>772</v>
      </c>
      <c r="E256" t="b">
        <f t="shared" si="16"/>
        <v>1</v>
      </c>
      <c r="F256" t="s">
        <v>777</v>
      </c>
      <c r="G256" t="str">
        <f>IF(ISERROR(VLOOKUP(F256,MODIFICACIONES_REALIZADAS!F:H,3,)),F256,VLOOKUP(F256,MODIFICACIONES_REALIZADAS!F:H,3,))</f>
        <v>SM-O-RPP-Agente-N2N3-Rappel-Pago-Mensual</v>
      </c>
      <c r="H256">
        <v>20170101</v>
      </c>
      <c r="I256">
        <v>22000101</v>
      </c>
    </row>
    <row r="257" spans="1:11" x14ac:dyDescent="0.25">
      <c r="A257">
        <v>2</v>
      </c>
      <c r="B257" t="s">
        <v>48</v>
      </c>
      <c r="C257" t="s">
        <v>50</v>
      </c>
      <c r="D257" t="s">
        <v>772</v>
      </c>
      <c r="E257" t="b">
        <f t="shared" si="16"/>
        <v>1</v>
      </c>
      <c r="F257" t="s">
        <v>778</v>
      </c>
      <c r="G257" t="str">
        <f>IF(ISERROR(VLOOKUP(F257,MODIFICACIONES_REALIZADAS!F:H,3,)),F257,VLOOKUP(F257,MODIFICACIONES_REALIZADAS!F:H,3,))</f>
        <v>SM-O-RPP-Agente-N2N3-SuperRappel-Pago-Mensual</v>
      </c>
      <c r="H257">
        <v>20170101</v>
      </c>
      <c r="I257">
        <v>22000101</v>
      </c>
    </row>
    <row r="258" spans="1:11" x14ac:dyDescent="0.25">
      <c r="A258" s="2">
        <v>2</v>
      </c>
      <c r="B258" s="2" t="s">
        <v>48</v>
      </c>
      <c r="C258" s="2" t="s">
        <v>50</v>
      </c>
      <c r="D258" s="2" t="s">
        <v>779</v>
      </c>
      <c r="E258" s="2" t="b">
        <f t="shared" si="16"/>
        <v>1</v>
      </c>
      <c r="F258" s="2" t="s">
        <v>780</v>
      </c>
      <c r="G258" s="2" t="str">
        <f>IF(ISERROR(VLOOKUP(F258,MODIFICACIONES_REALIZADAS!F:H,3,)),F258,VLOOKUP(F258,MODIFICACIONES_REALIZADAS!F:H,3,))</f>
        <v>SM-O-RPP-Agente-NumeroPolizas-998-TotalTrimestral</v>
      </c>
      <c r="H258" s="2">
        <v>20140101</v>
      </c>
      <c r="I258" s="2">
        <v>20161231</v>
      </c>
      <c r="J258" s="2" t="s">
        <v>71</v>
      </c>
      <c r="K258" s="2"/>
    </row>
    <row r="259" spans="1:11" x14ac:dyDescent="0.25">
      <c r="A259" s="2">
        <v>2</v>
      </c>
      <c r="B259" s="2" t="s">
        <v>48</v>
      </c>
      <c r="C259" s="2" t="s">
        <v>50</v>
      </c>
      <c r="D259" s="2" t="s">
        <v>779</v>
      </c>
      <c r="E259" s="2" t="b">
        <f t="shared" si="16"/>
        <v>1</v>
      </c>
      <c r="F259" s="2" t="s">
        <v>781</v>
      </c>
      <c r="G259" s="2" t="str">
        <f>IF(ISERROR(VLOOKUP(F259,MODIFICACIONES_REALIZADAS!F:H,3,)),F259,VLOOKUP(F259,MODIFICACIONES_REALIZADAS!F:H,3,))</f>
        <v>SM-O-RPP-Agente-Prima-998-TotalTrimestral</v>
      </c>
      <c r="H259" s="2">
        <v>20140101</v>
      </c>
      <c r="I259" s="2">
        <v>20161231</v>
      </c>
      <c r="J259" s="2" t="s">
        <v>71</v>
      </c>
      <c r="K259" s="2"/>
    </row>
    <row r="260" spans="1:11" x14ac:dyDescent="0.25">
      <c r="A260" s="2">
        <v>2</v>
      </c>
      <c r="B260" s="2" t="s">
        <v>48</v>
      </c>
      <c r="C260" s="2" t="s">
        <v>50</v>
      </c>
      <c r="D260" s="2" t="s">
        <v>779</v>
      </c>
      <c r="E260" s="2" t="b">
        <f t="shared" si="16"/>
        <v>1</v>
      </c>
      <c r="F260" s="2" t="s">
        <v>782</v>
      </c>
      <c r="G260" s="2" t="str">
        <f>IF(ISERROR(VLOOKUP(F260,MODIFICACIONES_REALIZADAS!F:H,3,)),F260,VLOOKUP(F260,MODIFICACIONES_REALIZADAS!F:H,3,))</f>
        <v>SM-O-RPP-Agente-NumeroPolizas-902-TotalTrimestral</v>
      </c>
      <c r="H260" s="2">
        <v>20140101</v>
      </c>
      <c r="I260" s="2">
        <v>20161231</v>
      </c>
      <c r="J260" s="2" t="s">
        <v>71</v>
      </c>
      <c r="K260" s="2"/>
    </row>
    <row r="261" spans="1:11" x14ac:dyDescent="0.25">
      <c r="A261" s="2">
        <v>2</v>
      </c>
      <c r="B261" s="2" t="s">
        <v>48</v>
      </c>
      <c r="C261" s="2" t="s">
        <v>50</v>
      </c>
      <c r="D261" s="2" t="s">
        <v>779</v>
      </c>
      <c r="E261" s="2" t="b">
        <f t="shared" ref="E261:E366" si="18">F261=G261</f>
        <v>1</v>
      </c>
      <c r="F261" s="2" t="s">
        <v>783</v>
      </c>
      <c r="G261" s="2" t="str">
        <f>IF(ISERROR(VLOOKUP(F261,MODIFICACIONES_REALIZADAS!F:H,3,)),F261,VLOOKUP(F261,MODIFICACIONES_REALIZADAS!F:H,3,))</f>
        <v>SM-O-RPP-Agente-APRO-Regularizacion</v>
      </c>
      <c r="H261" s="2">
        <v>20140101</v>
      </c>
      <c r="I261" s="2">
        <v>20161231</v>
      </c>
      <c r="J261" s="2" t="s">
        <v>71</v>
      </c>
      <c r="K261" s="2"/>
    </row>
    <row r="262" spans="1:11" x14ac:dyDescent="0.25">
      <c r="A262" s="2">
        <v>2</v>
      </c>
      <c r="B262" s="2" t="s">
        <v>48</v>
      </c>
      <c r="C262" s="2" t="s">
        <v>50</v>
      </c>
      <c r="D262" s="2" t="s">
        <v>779</v>
      </c>
      <c r="E262" s="2" t="b">
        <f t="shared" si="18"/>
        <v>1</v>
      </c>
      <c r="F262" s="2" t="s">
        <v>784</v>
      </c>
      <c r="G262" s="2" t="str">
        <f>IF(ISERROR(VLOOKUP(F262,MODIFICACIONES_REALIZADAS!F:H,3,)),F262,VLOOKUP(F262,MODIFICACIONES_REALIZADAS!F:H,3,))</f>
        <v>SM-O-RPP-Agente-Prima-998-TotalAnual</v>
      </c>
      <c r="H262" s="2">
        <v>20140101</v>
      </c>
      <c r="I262" s="2">
        <v>20161231</v>
      </c>
      <c r="J262" s="2" t="s">
        <v>71</v>
      </c>
      <c r="K262" s="2"/>
    </row>
    <row r="263" spans="1:11" x14ac:dyDescent="0.25">
      <c r="A263" s="2">
        <v>2</v>
      </c>
      <c r="B263" s="2" t="s">
        <v>48</v>
      </c>
      <c r="C263" s="2" t="s">
        <v>50</v>
      </c>
      <c r="D263" s="2" t="s">
        <v>779</v>
      </c>
      <c r="E263" s="2" t="b">
        <f t="shared" si="18"/>
        <v>1</v>
      </c>
      <c r="F263" s="2" t="s">
        <v>785</v>
      </c>
      <c r="G263" s="2" t="str">
        <f>IF(ISERROR(VLOOKUP(F263,MODIFICACIONES_REALIZADAS!F:H,3,)),F263,VLOOKUP(F263,MODIFICACIONES_REALIZADAS!F:H,3,))</f>
        <v>SM-O-RPP-Agente-NumeroPolizas-001-TotalAnual</v>
      </c>
      <c r="H263" s="2">
        <v>20140101</v>
      </c>
      <c r="I263" s="2">
        <v>20161231</v>
      </c>
      <c r="J263" s="2" t="s">
        <v>71</v>
      </c>
      <c r="K263" s="2"/>
    </row>
    <row r="264" spans="1:11" x14ac:dyDescent="0.25">
      <c r="A264" s="2">
        <v>2</v>
      </c>
      <c r="B264" s="2" t="s">
        <v>48</v>
      </c>
      <c r="C264" s="2" t="s">
        <v>50</v>
      </c>
      <c r="D264" s="2" t="s">
        <v>779</v>
      </c>
      <c r="E264" s="2" t="b">
        <f>F264=G264</f>
        <v>1</v>
      </c>
      <c r="F264" s="2" t="s">
        <v>786</v>
      </c>
      <c r="G264" s="2" t="str">
        <f>IF(ISERROR(VLOOKUP(F264,MODIFICACIONES_REALIZADAS!F:H,3,)),F264,VLOOKUP(F264,MODIFICACIONES_REALIZADAS!F:H,3,))</f>
        <v>SM-O-RPP-Agente-NumeroPolizas-002-TotalAnual</v>
      </c>
      <c r="H264" s="2">
        <v>20140101</v>
      </c>
      <c r="I264" s="2">
        <v>20161231</v>
      </c>
      <c r="J264" s="2" t="s">
        <v>71</v>
      </c>
      <c r="K264" s="2"/>
    </row>
    <row r="265" spans="1:11" x14ac:dyDescent="0.25">
      <c r="A265" s="2">
        <v>2</v>
      </c>
      <c r="B265" s="2" t="s">
        <v>48</v>
      </c>
      <c r="C265" s="2" t="s">
        <v>50</v>
      </c>
      <c r="D265" s="2" t="s">
        <v>779</v>
      </c>
      <c r="E265" s="2" t="b">
        <f t="shared" si="18"/>
        <v>1</v>
      </c>
      <c r="F265" s="2" t="s">
        <v>787</v>
      </c>
      <c r="G265" s="2" t="str">
        <f>IF(ISERROR(VLOOKUP(F265,MODIFICACIONES_REALIZADAS!F:H,3,)),F265,VLOOKUP(F265,MODIFICACIONES_REALIZADAS!F:H,3,))</f>
        <v>SM-O-RPP-Agente-NumeroPolizas-906-TotalAnual</v>
      </c>
      <c r="H265" s="2">
        <v>20140101</v>
      </c>
      <c r="I265" s="2">
        <v>20161231</v>
      </c>
      <c r="J265" s="2" t="s">
        <v>71</v>
      </c>
      <c r="K265" s="2"/>
    </row>
    <row r="266" spans="1:11" x14ac:dyDescent="0.25">
      <c r="A266" s="2">
        <v>2</v>
      </c>
      <c r="B266" s="2" t="s">
        <v>48</v>
      </c>
      <c r="C266" s="2" t="s">
        <v>50</v>
      </c>
      <c r="D266" s="2" t="s">
        <v>779</v>
      </c>
      <c r="E266" s="2" t="b">
        <f t="shared" si="18"/>
        <v>1</v>
      </c>
      <c r="F266" s="2" t="s">
        <v>788</v>
      </c>
      <c r="G266" s="2" t="str">
        <f>IF(ISERROR(VLOOKUP(F266,MODIFICACIONES_REALIZADAS!F:H,3,)),F266,VLOOKUP(F266,MODIFICACIONES_REALIZADAS!F:H,3,))</f>
        <v>SM-O-RPP-Agente-NumeroPolizas-004-TotalAnual</v>
      </c>
      <c r="H266" s="2">
        <v>20140101</v>
      </c>
      <c r="I266" s="2">
        <v>20161231</v>
      </c>
      <c r="J266" s="2" t="s">
        <v>71</v>
      </c>
      <c r="K266" s="2"/>
    </row>
    <row r="267" spans="1:11" x14ac:dyDescent="0.25">
      <c r="A267" s="2">
        <v>2</v>
      </c>
      <c r="B267" s="2" t="s">
        <v>48</v>
      </c>
      <c r="C267" s="2" t="s">
        <v>50</v>
      </c>
      <c r="D267" s="2" t="s">
        <v>779</v>
      </c>
      <c r="E267" s="2" t="b">
        <f t="shared" si="18"/>
        <v>1</v>
      </c>
      <c r="F267" s="2" t="s">
        <v>789</v>
      </c>
      <c r="G267" s="2" t="str">
        <f>IF(ISERROR(VLOOKUP(F267,MODIFICACIONES_REALIZADAS!F:H,3,)),F267,VLOOKUP(F267,MODIFICACIONES_REALIZADAS!F:H,3,))</f>
        <v>SM-O-RPP-Agente-NumeroPolizas-998-TotalAnual</v>
      </c>
      <c r="H267" s="2">
        <v>20140101</v>
      </c>
      <c r="I267" s="2">
        <v>20161231</v>
      </c>
      <c r="J267" s="2" t="s">
        <v>71</v>
      </c>
      <c r="K267" s="2"/>
    </row>
    <row r="268" spans="1:11" x14ac:dyDescent="0.25">
      <c r="A268" s="2">
        <v>2</v>
      </c>
      <c r="B268" s="2" t="s">
        <v>48</v>
      </c>
      <c r="C268" s="2" t="s">
        <v>50</v>
      </c>
      <c r="D268" s="2" t="s">
        <v>779</v>
      </c>
      <c r="E268" s="2" t="b">
        <f t="shared" si="18"/>
        <v>1</v>
      </c>
      <c r="F268" s="2" t="s">
        <v>790</v>
      </c>
      <c r="G268" s="2" t="str">
        <f>IF(ISERROR(VLOOKUP(F268,MODIFICACIONES_REALIZADAS!F:H,3,)),F268,VLOOKUP(F268,MODIFICACIONES_REALIZADAS!F:H,3,))</f>
        <v>SM-O-RPP-Agente-PlanesCarrera-Regularizacion</v>
      </c>
      <c r="H268" s="2">
        <v>20140101</v>
      </c>
      <c r="I268" s="2">
        <v>20161231</v>
      </c>
      <c r="J268" s="2" t="s">
        <v>71</v>
      </c>
      <c r="K268" s="2"/>
    </row>
    <row r="269" spans="1:11" x14ac:dyDescent="0.25">
      <c r="A269" s="2">
        <v>2</v>
      </c>
      <c r="B269" s="2" t="s">
        <v>48</v>
      </c>
      <c r="C269" s="2" t="s">
        <v>50</v>
      </c>
      <c r="D269" s="2" t="s">
        <v>779</v>
      </c>
      <c r="E269" s="2" t="b">
        <f t="shared" si="18"/>
        <v>1</v>
      </c>
      <c r="F269" s="2" t="s">
        <v>791</v>
      </c>
      <c r="G269" s="2" t="str">
        <f>IF(ISERROR(VLOOKUP(F269,MODIFICACIONES_REALIZADAS!F:H,3,)),F269,VLOOKUP(F269,MODIFICACIONES_REALIZADAS!F:H,3,))</f>
        <v>SM-O-RPP-Agente-SuperRappel-Pago-Regularizacion</v>
      </c>
      <c r="H269" s="2">
        <v>20140101</v>
      </c>
      <c r="I269" s="2">
        <v>20161231</v>
      </c>
      <c r="J269" s="2" t="s">
        <v>71</v>
      </c>
      <c r="K269" s="2"/>
    </row>
    <row r="270" spans="1:11" x14ac:dyDescent="0.25">
      <c r="A270" s="2">
        <v>2</v>
      </c>
      <c r="B270" s="2" t="s">
        <v>48</v>
      </c>
      <c r="C270" s="2" t="s">
        <v>50</v>
      </c>
      <c r="D270" s="2" t="s">
        <v>792</v>
      </c>
      <c r="E270" s="2" t="b">
        <f t="shared" si="18"/>
        <v>1</v>
      </c>
      <c r="F270" s="2" t="s">
        <v>793</v>
      </c>
      <c r="G270" s="2" t="str">
        <f>IF(ISERROR(VLOOKUP(F270,MODIFICACIONES_REALIZADAS!F:H,3,)),F270,VLOOKUP(F270,MODIFICACIONES_REALIZADAS!F:H,3,))</f>
        <v>SM-O-RPP-Agente-Rappel-Pago-TotalTrimestral</v>
      </c>
      <c r="H270" s="2">
        <v>20140101</v>
      </c>
      <c r="I270" s="2">
        <v>20161231</v>
      </c>
      <c r="J270" s="2" t="s">
        <v>71</v>
      </c>
      <c r="K270" s="2"/>
    </row>
    <row r="271" spans="1:11" x14ac:dyDescent="0.25">
      <c r="A271" s="2">
        <v>2</v>
      </c>
      <c r="B271" s="2" t="s">
        <v>48</v>
      </c>
      <c r="C271" s="2" t="s">
        <v>50</v>
      </c>
      <c r="D271" s="2" t="s">
        <v>792</v>
      </c>
      <c r="E271" s="2" t="b">
        <f t="shared" si="18"/>
        <v>1</v>
      </c>
      <c r="F271" s="2" t="s">
        <v>794</v>
      </c>
      <c r="G271" s="2" t="str">
        <f>IF(ISERROR(VLOOKUP(F271,MODIFICACIONES_REALIZADAS!F:H,3,)),F271,VLOOKUP(F271,MODIFICACIONES_REALIZADAS!F:H,3,))</f>
        <v>SM-O-RPP-Agente-SuperRappel-Pago-TotalTrimestral</v>
      </c>
      <c r="H271" s="2">
        <v>20140101</v>
      </c>
      <c r="I271" s="2">
        <v>20161231</v>
      </c>
      <c r="J271" s="2" t="s">
        <v>71</v>
      </c>
      <c r="K271" s="2"/>
    </row>
    <row r="272" spans="1:11" x14ac:dyDescent="0.25">
      <c r="A272" s="2">
        <v>2</v>
      </c>
      <c r="B272" s="2" t="s">
        <v>48</v>
      </c>
      <c r="C272" s="2" t="s">
        <v>50</v>
      </c>
      <c r="D272" s="2" t="s">
        <v>792</v>
      </c>
      <c r="E272" s="2" t="b">
        <f t="shared" si="18"/>
        <v>1</v>
      </c>
      <c r="F272" s="2" t="s">
        <v>795</v>
      </c>
      <c r="G272" s="2" t="str">
        <f>IF(ISERROR(VLOOKUP(F272,MODIFICACIONES_REALIZADAS!F:H,3,)),F272,VLOOKUP(F272,MODIFICACIONES_REALIZADAS!F:H,3,))</f>
        <v>SM-O-RPP-Agente-Rappel-Pago-TotalAnual</v>
      </c>
      <c r="H272" s="2">
        <v>20140101</v>
      </c>
      <c r="I272" s="2">
        <v>20161231</v>
      </c>
      <c r="J272" s="2" t="s">
        <v>71</v>
      </c>
      <c r="K272" s="2"/>
    </row>
    <row r="273" spans="1:11" x14ac:dyDescent="0.25">
      <c r="A273" s="2">
        <v>2</v>
      </c>
      <c r="B273" s="2" t="s">
        <v>48</v>
      </c>
      <c r="C273" s="2" t="s">
        <v>50</v>
      </c>
      <c r="D273" s="2" t="s">
        <v>792</v>
      </c>
      <c r="E273" s="2" t="b">
        <f t="shared" si="18"/>
        <v>1</v>
      </c>
      <c r="F273" s="2" t="s">
        <v>796</v>
      </c>
      <c r="G273" s="2" t="str">
        <f>IF(ISERROR(VLOOKUP(F273,MODIFICACIONES_REALIZADAS!F:H,3,)),F273,VLOOKUP(F273,MODIFICACIONES_REALIZADAS!F:H,3,))</f>
        <v>SM-O-RPP-Agente-SuperRappel-Pago-TotalAnual</v>
      </c>
      <c r="H273" s="2">
        <v>20140101</v>
      </c>
      <c r="I273" s="2">
        <v>20161231</v>
      </c>
      <c r="J273" s="2" t="s">
        <v>71</v>
      </c>
      <c r="K273" s="2"/>
    </row>
    <row r="274" spans="1:11" x14ac:dyDescent="0.25">
      <c r="A274" s="2">
        <v>2</v>
      </c>
      <c r="B274" s="2" t="s">
        <v>48</v>
      </c>
      <c r="C274" s="2" t="s">
        <v>50</v>
      </c>
      <c r="D274" s="2" t="s">
        <v>792</v>
      </c>
      <c r="E274" s="2" t="b">
        <f t="shared" si="18"/>
        <v>1</v>
      </c>
      <c r="F274" s="2" t="s">
        <v>797</v>
      </c>
      <c r="G274" s="2" t="str">
        <f>IF(ISERROR(VLOOKUP(F274,MODIFICACIONES_REALIZADAS!F:H,3,)),F274,VLOOKUP(F274,MODIFICACIONES_REALIZADAS!F:H,3,))</f>
        <v>SM-O-RPP-Agente-PlanesCarrera-RegularizacionTotalAnual</v>
      </c>
      <c r="H274" s="2">
        <v>20140101</v>
      </c>
      <c r="I274" s="2">
        <v>20161231</v>
      </c>
      <c r="J274" s="2" t="s">
        <v>71</v>
      </c>
      <c r="K274" s="2"/>
    </row>
    <row r="275" spans="1:11" x14ac:dyDescent="0.25">
      <c r="A275" s="2">
        <v>2</v>
      </c>
      <c r="B275" s="2" t="s">
        <v>48</v>
      </c>
      <c r="C275" s="2" t="s">
        <v>50</v>
      </c>
      <c r="D275" s="2" t="s">
        <v>792</v>
      </c>
      <c r="E275" s="2" t="b">
        <f t="shared" si="18"/>
        <v>1</v>
      </c>
      <c r="F275" s="2" t="s">
        <v>798</v>
      </c>
      <c r="G275" s="2" t="str">
        <f>IF(ISERROR(VLOOKUP(F275,MODIFICACIONES_REALIZADAS!F:H,3,)),F275,VLOOKUP(F275,MODIFICACIONES_REALIZADAS!F:H,3,))</f>
        <v>SM-O-RPP-Agente-Regularizacion-Pago</v>
      </c>
      <c r="H275" s="2">
        <v>20140101</v>
      </c>
      <c r="I275" s="2">
        <v>20161231</v>
      </c>
      <c r="J275" s="2" t="s">
        <v>71</v>
      </c>
      <c r="K275" s="2"/>
    </row>
    <row r="276" spans="1:11" x14ac:dyDescent="0.25">
      <c r="A276" s="2">
        <v>2</v>
      </c>
      <c r="B276" s="2" t="s">
        <v>48</v>
      </c>
      <c r="C276" s="2" t="s">
        <v>50</v>
      </c>
      <c r="D276" s="2" t="s">
        <v>792</v>
      </c>
      <c r="E276" s="2" t="b">
        <f t="shared" si="18"/>
        <v>1</v>
      </c>
      <c r="F276" s="2" t="s">
        <v>799</v>
      </c>
      <c r="G276" s="2" t="str">
        <f>IF(ISERROR(VLOOKUP(F276,MODIFICACIONES_REALIZADAS!F:H,3,)),F276,VLOOKUP(F276,MODIFICACIONES_REALIZADAS!F:H,3,))</f>
        <v>SM-O-RPP-Agente-Pago-TotalMes1</v>
      </c>
      <c r="H276" s="2">
        <v>20140101</v>
      </c>
      <c r="I276" s="2">
        <v>20161231</v>
      </c>
      <c r="J276" s="2" t="s">
        <v>71</v>
      </c>
      <c r="K276" s="2"/>
    </row>
    <row r="277" spans="1:11" x14ac:dyDescent="0.25">
      <c r="A277" s="2">
        <v>2</v>
      </c>
      <c r="B277" s="2" t="s">
        <v>48</v>
      </c>
      <c r="C277" s="2" t="s">
        <v>50</v>
      </c>
      <c r="D277" s="2" t="s">
        <v>792</v>
      </c>
      <c r="E277" s="2" t="b">
        <f t="shared" si="18"/>
        <v>1</v>
      </c>
      <c r="F277" s="2" t="s">
        <v>800</v>
      </c>
      <c r="G277" s="2" t="str">
        <f>IF(ISERROR(VLOOKUP(F277,MODIFICACIONES_REALIZADAS!F:H,3,)),F277,VLOOKUP(F277,MODIFICACIONES_REALIZADAS!F:H,3,))</f>
        <v>SM-O-RPP-Agente-Pago-TotalMes2</v>
      </c>
      <c r="H277" s="2">
        <v>20140101</v>
      </c>
      <c r="I277" s="2">
        <v>20161231</v>
      </c>
      <c r="J277" s="2" t="s">
        <v>71</v>
      </c>
      <c r="K277" s="2"/>
    </row>
    <row r="278" spans="1:11" x14ac:dyDescent="0.25">
      <c r="A278" s="2">
        <v>2</v>
      </c>
      <c r="B278" s="2" t="s">
        <v>48</v>
      </c>
      <c r="C278" s="2" t="s">
        <v>50</v>
      </c>
      <c r="D278" s="2" t="s">
        <v>792</v>
      </c>
      <c r="E278" s="2" t="b">
        <f t="shared" si="18"/>
        <v>1</v>
      </c>
      <c r="F278" s="2" t="s">
        <v>801</v>
      </c>
      <c r="G278" s="2" t="str">
        <f>IF(ISERROR(VLOOKUP(F278,MODIFICACIONES_REALIZADAS!F:H,3,)),F278,VLOOKUP(F278,MODIFICACIONES_REALIZADAS!F:H,3,))</f>
        <v>SM-O-RPP-Agente-Pago-TotalMes3</v>
      </c>
      <c r="H278" s="2">
        <v>20140101</v>
      </c>
      <c r="I278" s="2">
        <v>20161231</v>
      </c>
      <c r="J278" s="2" t="s">
        <v>71</v>
      </c>
      <c r="K278" s="2"/>
    </row>
    <row r="279" spans="1:11" x14ac:dyDescent="0.25">
      <c r="A279" s="2">
        <v>2</v>
      </c>
      <c r="B279" s="2" t="s">
        <v>48</v>
      </c>
      <c r="C279" s="2" t="s">
        <v>50</v>
      </c>
      <c r="D279" s="2" t="s">
        <v>792</v>
      </c>
      <c r="E279" s="2" t="b">
        <f t="shared" si="18"/>
        <v>1</v>
      </c>
      <c r="F279" s="2" t="s">
        <v>802</v>
      </c>
      <c r="G279" s="2" t="str">
        <f>IF(ISERROR(VLOOKUP(F279,MODIFICACIONES_REALIZADAS!F:H,3,)),F279,VLOOKUP(F279,MODIFICACIONES_REALIZADAS!F:H,3,))</f>
        <v>SM-O-RPP-Agente-APRO-Regularizacion-Mes1</v>
      </c>
      <c r="H279" s="2">
        <v>20140101</v>
      </c>
      <c r="I279" s="2">
        <v>20161231</v>
      </c>
      <c r="J279" s="2" t="s">
        <v>71</v>
      </c>
      <c r="K279" s="2"/>
    </row>
    <row r="280" spans="1:11" x14ac:dyDescent="0.25">
      <c r="A280" s="2">
        <v>2</v>
      </c>
      <c r="B280" s="2" t="s">
        <v>48</v>
      </c>
      <c r="C280" s="2" t="s">
        <v>50</v>
      </c>
      <c r="D280" s="2" t="s">
        <v>792</v>
      </c>
      <c r="E280" s="2" t="b">
        <f t="shared" si="18"/>
        <v>1</v>
      </c>
      <c r="F280" s="2" t="s">
        <v>803</v>
      </c>
      <c r="G280" s="2" t="str">
        <f>IF(ISERROR(VLOOKUP(F280,MODIFICACIONES_REALIZADAS!F:H,3,)),F280,VLOOKUP(F280,MODIFICACIONES_REALIZADAS!F:H,3,))</f>
        <v>SM-O-RPP-Agente-APRO-Regularizacion-Mes2</v>
      </c>
      <c r="H280" s="2">
        <v>20140101</v>
      </c>
      <c r="I280" s="2">
        <v>20161231</v>
      </c>
      <c r="J280" s="2" t="s">
        <v>71</v>
      </c>
      <c r="K280" s="2"/>
    </row>
    <row r="281" spans="1:11" x14ac:dyDescent="0.25">
      <c r="A281" s="2">
        <v>2</v>
      </c>
      <c r="B281" s="2" t="s">
        <v>48</v>
      </c>
      <c r="C281" s="2" t="s">
        <v>50</v>
      </c>
      <c r="D281" s="2" t="s">
        <v>792</v>
      </c>
      <c r="E281" s="2" t="b">
        <f t="shared" si="18"/>
        <v>1</v>
      </c>
      <c r="F281" s="2" t="s">
        <v>804</v>
      </c>
      <c r="G281" s="2" t="str">
        <f>IF(ISERROR(VLOOKUP(F281,MODIFICACIONES_REALIZADAS!F:H,3,)),F281,VLOOKUP(F281,MODIFICACIONES_REALIZADAS!F:H,3,))</f>
        <v>SM-O-RPP-Agente-APRO-Regularizacion-Mes3</v>
      </c>
      <c r="H281" s="2">
        <v>20140101</v>
      </c>
      <c r="I281" s="2">
        <v>20161231</v>
      </c>
      <c r="J281" s="2" t="s">
        <v>71</v>
      </c>
      <c r="K281" s="2"/>
    </row>
    <row r="282" spans="1:11" x14ac:dyDescent="0.25">
      <c r="A282">
        <v>2</v>
      </c>
      <c r="B282" t="s">
        <v>48</v>
      </c>
      <c r="C282" t="s">
        <v>50</v>
      </c>
      <c r="D282" t="s">
        <v>805</v>
      </c>
      <c r="E282" t="b">
        <f t="shared" ref="E282:E298" si="19">F282=G282</f>
        <v>1</v>
      </c>
      <c r="F282" t="s">
        <v>806</v>
      </c>
      <c r="G282" t="str">
        <f>IF(ISERROR(VLOOKUP(F282,MODIFICACIONES_REALIZADAS!F:H,3,)),F282,VLOOKUP(F282,MODIFICACIONES_REALIZADAS!F:H,3,))</f>
        <v>SM-O-GEN-Agente-Prima-998-TotalAnual</v>
      </c>
      <c r="H282">
        <v>20170101</v>
      </c>
      <c r="I282">
        <v>22000101</v>
      </c>
    </row>
    <row r="283" spans="1:11" x14ac:dyDescent="0.25">
      <c r="A283" s="22">
        <v>2</v>
      </c>
      <c r="B283" s="22" t="s">
        <v>48</v>
      </c>
      <c r="C283" s="22" t="s">
        <v>50</v>
      </c>
      <c r="D283" s="22" t="s">
        <v>807</v>
      </c>
      <c r="E283" s="22" t="b">
        <f t="shared" si="19"/>
        <v>1</v>
      </c>
      <c r="F283" s="22" t="s">
        <v>808</v>
      </c>
      <c r="G283" s="22" t="str">
        <f>IF(ISERROR(VLOOKUP(F283,MODIFICACIONES_REALIZADAS!F:H,3,)),F283,VLOOKUP(F283,MODIFICACIONES_REALIZADAS!F:H,3,))</f>
        <v>SM-O-GEN-Agente-NumeroPolizas-001-TotalAnual</v>
      </c>
      <c r="H283" s="22">
        <v>20220101</v>
      </c>
      <c r="I283" s="22">
        <v>22000101</v>
      </c>
      <c r="J283" s="22" t="s">
        <v>809</v>
      </c>
      <c r="K283" s="22"/>
    </row>
    <row r="284" spans="1:11" x14ac:dyDescent="0.25">
      <c r="A284">
        <v>2</v>
      </c>
      <c r="B284" t="s">
        <v>48</v>
      </c>
      <c r="C284" t="s">
        <v>50</v>
      </c>
      <c r="D284" t="s">
        <v>810</v>
      </c>
      <c r="E284" t="b">
        <f t="shared" si="19"/>
        <v>1</v>
      </c>
      <c r="F284" t="s">
        <v>811</v>
      </c>
      <c r="G284" t="str">
        <f>IF(ISERROR(VLOOKUP(F284,MODIFICACIONES_REALIZADAS!F:H,3,)),F284,VLOOKUP(F284,MODIFICACIONES_REALIZADAS!F:H,3,))</f>
        <v>SM-O-GEN-Agente-NumAsegurados-TotalAnual</v>
      </c>
      <c r="H284">
        <v>20180101</v>
      </c>
      <c r="I284">
        <v>22000101</v>
      </c>
      <c r="J284" t="s">
        <v>412</v>
      </c>
    </row>
    <row r="285" spans="1:11" x14ac:dyDescent="0.25">
      <c r="A285" s="22">
        <v>2</v>
      </c>
      <c r="B285" s="22" t="s">
        <v>48</v>
      </c>
      <c r="C285" s="22" t="s">
        <v>50</v>
      </c>
      <c r="D285" s="22" t="s">
        <v>812</v>
      </c>
      <c r="E285" s="22" t="b">
        <f t="shared" ref="E285" si="20">F285=G285</f>
        <v>1</v>
      </c>
      <c r="F285" s="22" t="s">
        <v>813</v>
      </c>
      <c r="G285" s="22" t="str">
        <f>IF(ISERROR(VLOOKUP(F285,MODIFICACIONES_REALIZADAS!F:H,3,)),F285,VLOOKUP(F285,MODIFICACIONES_REALIZADAS!F:H,3,))</f>
        <v>SM-O-GEN-Agente-NumAsegurados-TotalTrim</v>
      </c>
      <c r="H285" s="22">
        <v>20220101</v>
      </c>
      <c r="I285" s="22">
        <v>22000101</v>
      </c>
      <c r="J285" s="22" t="s">
        <v>741</v>
      </c>
      <c r="K285" s="22"/>
    </row>
    <row r="286" spans="1:11" x14ac:dyDescent="0.25">
      <c r="A286" s="22">
        <v>2</v>
      </c>
      <c r="B286" s="22" t="s">
        <v>48</v>
      </c>
      <c r="C286" s="22" t="s">
        <v>50</v>
      </c>
      <c r="D286" s="22" t="s">
        <v>814</v>
      </c>
      <c r="E286" s="22" t="b">
        <f t="shared" ref="E286" si="21">F286=G286</f>
        <v>1</v>
      </c>
      <c r="F286" s="22" t="s">
        <v>815</v>
      </c>
      <c r="G286" s="22" t="str">
        <f>IF(ISERROR(VLOOKUP(F286,MODIFICACIONES_REALIZADAS!F:H,3,)),F286,VLOOKUP(F286,MODIFICACIONES_REALIZADAS!F:H,3,))</f>
        <v>SM-O-GEN-Agente-NumeroPolizas-001-TotalTrim</v>
      </c>
      <c r="H286" s="22">
        <v>20220101</v>
      </c>
      <c r="I286" s="22">
        <v>22000101</v>
      </c>
      <c r="J286" s="22" t="s">
        <v>741</v>
      </c>
      <c r="K286" s="22"/>
    </row>
    <row r="287" spans="1:11" x14ac:dyDescent="0.25">
      <c r="A287" s="22">
        <v>2</v>
      </c>
      <c r="B287" s="22" t="s">
        <v>48</v>
      </c>
      <c r="C287" s="22" t="s">
        <v>50</v>
      </c>
      <c r="D287" s="22" t="s">
        <v>816</v>
      </c>
      <c r="E287" s="22" t="b">
        <f t="shared" ref="E287:E290" si="22">F287=G287</f>
        <v>1</v>
      </c>
      <c r="F287" s="22" t="s">
        <v>817</v>
      </c>
      <c r="G287" s="22" t="str">
        <f>IF(ISERROR(VLOOKUP(F287,MODIFICACIONES_REALIZADAS!F:H,3,)),F287,VLOOKUP(F287,MODIFICACIONES_REALIZADAS!F:H,3,))</f>
        <v>SM-O-GEN-Agente-NumeroPolizas-002-TotalTrim</v>
      </c>
      <c r="H287" s="22">
        <v>20220101</v>
      </c>
      <c r="I287" s="22">
        <v>22000101</v>
      </c>
      <c r="J287" s="22" t="s">
        <v>741</v>
      </c>
      <c r="K287" s="22"/>
    </row>
    <row r="288" spans="1:11" x14ac:dyDescent="0.25">
      <c r="A288" s="22">
        <v>2</v>
      </c>
      <c r="B288" s="22" t="s">
        <v>48</v>
      </c>
      <c r="C288" s="22" t="s">
        <v>50</v>
      </c>
      <c r="D288" s="22" t="s">
        <v>818</v>
      </c>
      <c r="E288" s="22" t="b">
        <f t="shared" si="22"/>
        <v>1</v>
      </c>
      <c r="F288" s="22" t="s">
        <v>819</v>
      </c>
      <c r="G288" s="22" t="str">
        <f>IF(ISERROR(VLOOKUP(F288,MODIFICACIONES_REALIZADAS!F:H,3,)),F288,VLOOKUP(F288,MODIFICACIONES_REALIZADAS!F:H,3,))</f>
        <v>SM-O-GEN-Agente-NumeroPolizas-007-TotalTrim</v>
      </c>
      <c r="H288" s="22">
        <v>20220101</v>
      </c>
      <c r="I288" s="22">
        <v>22000101</v>
      </c>
      <c r="J288" s="22" t="s">
        <v>741</v>
      </c>
      <c r="K288" s="22"/>
    </row>
    <row r="289" spans="1:11" x14ac:dyDescent="0.25">
      <c r="A289" s="22">
        <v>2</v>
      </c>
      <c r="B289" s="22" t="s">
        <v>48</v>
      </c>
      <c r="C289" s="22" t="s">
        <v>50</v>
      </c>
      <c r="D289" s="22" t="s">
        <v>820</v>
      </c>
      <c r="E289" s="22" t="b">
        <f t="shared" si="22"/>
        <v>1</v>
      </c>
      <c r="F289" s="22" t="s">
        <v>821</v>
      </c>
      <c r="G289" s="22" t="str">
        <f>IF(ISERROR(VLOOKUP(F289,MODIFICACIONES_REALIZADAS!F:H,3,)),F289,VLOOKUP(F289,MODIFICACIONES_REALIZADAS!F:H,3,))</f>
        <v>SM-O-GEN-Agente-NumeroPolizas-906-TotalTrim</v>
      </c>
      <c r="H289" s="22">
        <v>20220101</v>
      </c>
      <c r="I289" s="22">
        <v>22000101</v>
      </c>
      <c r="J289" s="22" t="s">
        <v>741</v>
      </c>
      <c r="K289" s="22"/>
    </row>
    <row r="290" spans="1:11" x14ac:dyDescent="0.25">
      <c r="A290" s="22">
        <v>2</v>
      </c>
      <c r="B290" s="22" t="s">
        <v>48</v>
      </c>
      <c r="C290" s="22" t="s">
        <v>50</v>
      </c>
      <c r="D290" s="22" t="s">
        <v>822</v>
      </c>
      <c r="E290" s="22" t="b">
        <f t="shared" si="22"/>
        <v>1</v>
      </c>
      <c r="F290" s="22" t="s">
        <v>823</v>
      </c>
      <c r="G290" s="22" t="str">
        <f>IF(ISERROR(VLOOKUP(F290,MODIFICACIONES_REALIZADAS!F:H,3,)),F290,VLOOKUP(F290,MODIFICACIONES_REALIZADAS!F:H,3,))</f>
        <v>SM-O-GEN-Agente-NumeroPolizasCorregidas-998-TotalTrimestre</v>
      </c>
      <c r="H290" s="22">
        <v>20220101</v>
      </c>
      <c r="I290" s="22">
        <v>22000101</v>
      </c>
      <c r="J290" s="22" t="s">
        <v>741</v>
      </c>
      <c r="K290" s="22"/>
    </row>
    <row r="291" spans="1:11" x14ac:dyDescent="0.25">
      <c r="A291" s="22">
        <v>2</v>
      </c>
      <c r="B291" s="22" t="s">
        <v>48</v>
      </c>
      <c r="C291" s="22" t="s">
        <v>50</v>
      </c>
      <c r="D291" s="22" t="s">
        <v>822</v>
      </c>
      <c r="E291" s="22" t="b">
        <f t="shared" ref="E291" si="23">F291=G291</f>
        <v>1</v>
      </c>
      <c r="F291" s="22" t="s">
        <v>824</v>
      </c>
      <c r="G291" s="22" t="str">
        <f>IF(ISERROR(VLOOKUP(F291,MODIFICACIONES_REALIZADAS!F:H,3,)),F291,VLOOKUP(F291,MODIFICACIONES_REALIZADAS!F:H,3,))</f>
        <v>SM-O-GEN-Agente-NumeroPolizasCorregidas-998-TotalTrim</v>
      </c>
      <c r="H291" s="22">
        <v>20220101</v>
      </c>
      <c r="I291" s="22">
        <v>22000101</v>
      </c>
      <c r="J291" s="22" t="s">
        <v>825</v>
      </c>
      <c r="K291" s="22"/>
    </row>
    <row r="292" spans="1:11" x14ac:dyDescent="0.25">
      <c r="A292" s="22">
        <v>2</v>
      </c>
      <c r="B292" s="22" t="s">
        <v>48</v>
      </c>
      <c r="C292" s="22" t="s">
        <v>50</v>
      </c>
      <c r="D292" s="22" t="s">
        <v>826</v>
      </c>
      <c r="E292" s="22" t="b">
        <f t="shared" ref="E292" si="24">F292=G292</f>
        <v>1</v>
      </c>
      <c r="F292" s="22" t="s">
        <v>827</v>
      </c>
      <c r="G292" s="22" t="str">
        <f>IF(ISERROR(VLOOKUP(F292,MODIFICACIONES_REALIZADAS!F:H,3,)),F292,VLOOKUP(F292,MODIFICACIONES_REALIZADAS!F:H,3,))</f>
        <v>SM-O-GEN-Agente-Prima-998-TotalTrim</v>
      </c>
      <c r="H292" s="22">
        <v>20220101</v>
      </c>
      <c r="I292" s="22">
        <v>22000101</v>
      </c>
      <c r="J292" s="22" t="s">
        <v>741</v>
      </c>
      <c r="K292" s="22"/>
    </row>
    <row r="293" spans="1:11" x14ac:dyDescent="0.25">
      <c r="A293">
        <v>2</v>
      </c>
      <c r="B293" t="s">
        <v>48</v>
      </c>
      <c r="C293" t="s">
        <v>50</v>
      </c>
      <c r="D293" t="s">
        <v>828</v>
      </c>
      <c r="E293" t="b">
        <f t="shared" si="19"/>
        <v>1</v>
      </c>
      <c r="F293" t="s">
        <v>829</v>
      </c>
      <c r="G293" t="str">
        <f>IF(ISERROR(VLOOKUP(F293,MODIFICACIONES_REALIZADAS!F:H,3,)),F293,VLOOKUP(F293,MODIFICACIONES_REALIZADAS!F:H,3,))</f>
        <v>SM-O-GEN-Agente-NumeroPolizas-002-TotalAnual</v>
      </c>
      <c r="H293">
        <v>20170101</v>
      </c>
      <c r="I293">
        <v>22000101</v>
      </c>
    </row>
    <row r="294" spans="1:11" x14ac:dyDescent="0.25">
      <c r="A294">
        <v>2</v>
      </c>
      <c r="B294" t="s">
        <v>48</v>
      </c>
      <c r="C294" t="s">
        <v>50</v>
      </c>
      <c r="D294" t="s">
        <v>830</v>
      </c>
      <c r="E294" t="b">
        <f t="shared" si="19"/>
        <v>1</v>
      </c>
      <c r="F294" t="s">
        <v>831</v>
      </c>
      <c r="G294" t="str">
        <f>IF(ISERROR(VLOOKUP(F294,MODIFICACIONES_REALIZADAS!F:H,3,)),F294,VLOOKUP(F294,MODIFICACIONES_REALIZADAS!F:H,3,))</f>
        <v>SM-O-GEN-Agente-NumeroPolizas-906-TotalAnual</v>
      </c>
      <c r="H294">
        <v>20170101</v>
      </c>
      <c r="I294">
        <v>22000101</v>
      </c>
    </row>
    <row r="295" spans="1:11" x14ac:dyDescent="0.25">
      <c r="A295">
        <v>2</v>
      </c>
      <c r="B295" t="s">
        <v>48</v>
      </c>
      <c r="C295" t="s">
        <v>50</v>
      </c>
      <c r="D295" t="s">
        <v>832</v>
      </c>
      <c r="E295" t="b">
        <f t="shared" si="19"/>
        <v>1</v>
      </c>
      <c r="F295" t="s">
        <v>789</v>
      </c>
      <c r="G295" t="str">
        <f>IF(ISERROR(VLOOKUP(F295,MODIFICACIONES_REALIZADAS!F:H,3,)),F295,VLOOKUP(F295,MODIFICACIONES_REALIZADAS!F:H,3,))</f>
        <v>SM-O-RPP-Agente-NumeroPolizas-998-TotalAnual</v>
      </c>
      <c r="H295">
        <v>20170101</v>
      </c>
      <c r="I295">
        <v>22000101</v>
      </c>
    </row>
    <row r="296" spans="1:11" x14ac:dyDescent="0.25">
      <c r="A296">
        <v>2</v>
      </c>
      <c r="B296" t="s">
        <v>48</v>
      </c>
      <c r="C296" t="s">
        <v>50</v>
      </c>
      <c r="D296" t="s">
        <v>833</v>
      </c>
      <c r="E296" t="b">
        <f t="shared" si="19"/>
        <v>1</v>
      </c>
      <c r="F296" t="s">
        <v>790</v>
      </c>
      <c r="G296" t="str">
        <f>IF(ISERROR(VLOOKUP(F296,MODIFICACIONES_REALIZADAS!F:H,3,)),F296,VLOOKUP(F296,MODIFICACIONES_REALIZADAS!F:H,3,))</f>
        <v>SM-O-RPP-Agente-PlanesCarrera-Regularizacion</v>
      </c>
      <c r="H296">
        <v>20170101</v>
      </c>
      <c r="I296">
        <v>22000101</v>
      </c>
    </row>
    <row r="297" spans="1:11" x14ac:dyDescent="0.25">
      <c r="A297">
        <v>2</v>
      </c>
      <c r="B297" t="s">
        <v>48</v>
      </c>
      <c r="C297" t="s">
        <v>50</v>
      </c>
      <c r="D297" t="s">
        <v>834</v>
      </c>
      <c r="E297" t="b">
        <f t="shared" si="19"/>
        <v>1</v>
      </c>
      <c r="F297" t="s">
        <v>795</v>
      </c>
      <c r="G297" t="str">
        <f>IF(ISERROR(VLOOKUP(F297,MODIFICACIONES_REALIZADAS!F:H,3,)),F297,VLOOKUP(F297,MODIFICACIONES_REALIZADAS!F:H,3,))</f>
        <v>SM-O-RPP-Agente-Rappel-Pago-TotalAnual</v>
      </c>
      <c r="H297">
        <v>20170101</v>
      </c>
      <c r="I297">
        <v>22000101</v>
      </c>
    </row>
    <row r="298" spans="1:11" x14ac:dyDescent="0.25">
      <c r="A298">
        <v>2</v>
      </c>
      <c r="B298" t="s">
        <v>48</v>
      </c>
      <c r="C298" t="s">
        <v>50</v>
      </c>
      <c r="D298" t="s">
        <v>835</v>
      </c>
      <c r="E298" t="b">
        <f t="shared" si="19"/>
        <v>1</v>
      </c>
      <c r="F298" t="s">
        <v>798</v>
      </c>
      <c r="G298" t="str">
        <f>IF(ISERROR(VLOOKUP(F298,MODIFICACIONES_REALIZADAS!F:H,3,)),F298,VLOOKUP(F298,MODIFICACIONES_REALIZADAS!F:H,3,))</f>
        <v>SM-O-RPP-Agente-Regularizacion-Pago</v>
      </c>
      <c r="H298">
        <v>20170101</v>
      </c>
      <c r="I298">
        <v>22000101</v>
      </c>
    </row>
    <row r="299" spans="1:11" x14ac:dyDescent="0.25">
      <c r="A299">
        <v>2</v>
      </c>
      <c r="B299" t="s">
        <v>48</v>
      </c>
      <c r="C299" t="s">
        <v>50</v>
      </c>
      <c r="D299" t="s">
        <v>836</v>
      </c>
      <c r="E299" t="b">
        <f t="shared" ref="E299:E306" si="25">F299=G299</f>
        <v>1</v>
      </c>
      <c r="F299" t="s">
        <v>837</v>
      </c>
      <c r="G299" t="str">
        <f>IF(ISERROR(VLOOKUP(F299,MODIFICACIONES_REALIZADAS!F:H,3,)),F299,VLOOKUP(F299,MODIFICACIONES_REALIZADAS!F:H,3,))</f>
        <v>SM-O-RPP-Agente-Pago-Mes1Cuat</v>
      </c>
      <c r="H299">
        <v>20170101</v>
      </c>
      <c r="I299">
        <v>22000101</v>
      </c>
    </row>
    <row r="300" spans="1:11" x14ac:dyDescent="0.25">
      <c r="A300">
        <v>2</v>
      </c>
      <c r="B300" t="s">
        <v>48</v>
      </c>
      <c r="C300" t="s">
        <v>50</v>
      </c>
      <c r="D300" t="s">
        <v>838</v>
      </c>
      <c r="E300" t="b">
        <f t="shared" si="25"/>
        <v>1</v>
      </c>
      <c r="F300" t="s">
        <v>839</v>
      </c>
      <c r="G300" t="str">
        <f>IF(ISERROR(VLOOKUP(F300,MODIFICACIONES_REALIZADAS!F:H,3,)),F300,VLOOKUP(F300,MODIFICACIONES_REALIZADAS!F:H,3,))</f>
        <v>SM-O-RPP-Agente-Pago-Mes2Cuat</v>
      </c>
      <c r="H300">
        <v>20170101</v>
      </c>
      <c r="I300">
        <v>22000101</v>
      </c>
    </row>
    <row r="301" spans="1:11" x14ac:dyDescent="0.25">
      <c r="A301">
        <v>2</v>
      </c>
      <c r="B301" t="s">
        <v>48</v>
      </c>
      <c r="C301" t="s">
        <v>50</v>
      </c>
      <c r="D301" t="s">
        <v>840</v>
      </c>
      <c r="E301" t="b">
        <f t="shared" si="25"/>
        <v>1</v>
      </c>
      <c r="F301" t="s">
        <v>841</v>
      </c>
      <c r="G301" t="str">
        <f>IF(ISERROR(VLOOKUP(F301,MODIFICACIONES_REALIZADAS!F:H,3,)),F301,VLOOKUP(F301,MODIFICACIONES_REALIZADAS!F:H,3,))</f>
        <v>SM-O-RPP-Agente-Pago-Mes3Cuat</v>
      </c>
      <c r="H301">
        <v>20170101</v>
      </c>
      <c r="I301">
        <v>22000101</v>
      </c>
    </row>
    <row r="302" spans="1:11" x14ac:dyDescent="0.25">
      <c r="A302">
        <v>2</v>
      </c>
      <c r="B302" t="s">
        <v>48</v>
      </c>
      <c r="C302" t="s">
        <v>50</v>
      </c>
      <c r="D302" t="s">
        <v>842</v>
      </c>
      <c r="E302" t="b">
        <f t="shared" si="25"/>
        <v>1</v>
      </c>
      <c r="F302" t="s">
        <v>843</v>
      </c>
      <c r="G302" t="str">
        <f>IF(ISERROR(VLOOKUP(F302,MODIFICACIONES_REALIZADAS!F:H,3,)),F302,VLOOKUP(F302,MODIFICACIONES_REALIZADAS!F:H,3,))</f>
        <v>SM-O-RPP-Agente-Pago-Mes4Cuat</v>
      </c>
      <c r="H302">
        <v>20170101</v>
      </c>
      <c r="I302">
        <v>22000101</v>
      </c>
    </row>
    <row r="303" spans="1:11" x14ac:dyDescent="0.25">
      <c r="A303">
        <v>2</v>
      </c>
      <c r="B303" t="s">
        <v>48</v>
      </c>
      <c r="C303" t="s">
        <v>50</v>
      </c>
      <c r="D303" t="s">
        <v>844</v>
      </c>
      <c r="E303" t="b">
        <f t="shared" si="25"/>
        <v>1</v>
      </c>
      <c r="F303" t="s">
        <v>845</v>
      </c>
      <c r="G303" t="str">
        <f>IF(ISERROR(VLOOKUP(F303,MODIFICACIONES_REALIZADAS!F:H,3,)),F303,VLOOKUP(F303,MODIFICACIONES_REALIZADAS!F:H,3,))</f>
        <v>SM-O-RPP-Agente-ImporteRegNetaCuat-Mes1</v>
      </c>
      <c r="H303">
        <v>20170101</v>
      </c>
      <c r="I303">
        <v>22000101</v>
      </c>
    </row>
    <row r="304" spans="1:11" x14ac:dyDescent="0.25">
      <c r="A304">
        <v>2</v>
      </c>
      <c r="B304" t="s">
        <v>48</v>
      </c>
      <c r="C304" t="s">
        <v>50</v>
      </c>
      <c r="D304" t="s">
        <v>846</v>
      </c>
      <c r="E304" t="b">
        <f t="shared" si="25"/>
        <v>1</v>
      </c>
      <c r="F304" t="s">
        <v>847</v>
      </c>
      <c r="G304" t="str">
        <f>IF(ISERROR(VLOOKUP(F304,MODIFICACIONES_REALIZADAS!F:H,3,)),F304,VLOOKUP(F304,MODIFICACIONES_REALIZADAS!F:H,3,))</f>
        <v>SM-O-RPP-Agente-ImporteRegNetaCuat-Mes2</v>
      </c>
      <c r="H304">
        <v>20170101</v>
      </c>
      <c r="I304">
        <v>22000101</v>
      </c>
    </row>
    <row r="305" spans="1:11" x14ac:dyDescent="0.25">
      <c r="A305">
        <v>2</v>
      </c>
      <c r="B305" t="s">
        <v>48</v>
      </c>
      <c r="C305" t="s">
        <v>50</v>
      </c>
      <c r="D305" t="s">
        <v>848</v>
      </c>
      <c r="E305" t="b">
        <f t="shared" si="25"/>
        <v>1</v>
      </c>
      <c r="F305" t="s">
        <v>849</v>
      </c>
      <c r="G305" t="str">
        <f>IF(ISERROR(VLOOKUP(F305,MODIFICACIONES_REALIZADAS!F:H,3,)),F305,VLOOKUP(F305,MODIFICACIONES_REALIZADAS!F:H,3,))</f>
        <v>SM-O-RPP-Agente-ImporteRegNetaCuat-Mes3</v>
      </c>
      <c r="H305">
        <v>20170101</v>
      </c>
      <c r="I305">
        <v>22000101</v>
      </c>
    </row>
    <row r="306" spans="1:11" x14ac:dyDescent="0.25">
      <c r="A306">
        <v>2</v>
      </c>
      <c r="B306" t="s">
        <v>48</v>
      </c>
      <c r="C306" t="s">
        <v>50</v>
      </c>
      <c r="D306" t="s">
        <v>850</v>
      </c>
      <c r="E306" t="b">
        <f t="shared" si="25"/>
        <v>1</v>
      </c>
      <c r="F306" t="s">
        <v>851</v>
      </c>
      <c r="G306" t="str">
        <f>IF(ISERROR(VLOOKUP(F306,MODIFICACIONES_REALIZADAS!F:H,3,)),F306,VLOOKUP(F306,MODIFICACIONES_REALIZADAS!F:H,3,))</f>
        <v>SM-O-RPP-Agente-ImporteRegNetaCuat-Mes4</v>
      </c>
      <c r="H306">
        <v>20170101</v>
      </c>
      <c r="I306">
        <v>22000101</v>
      </c>
    </row>
    <row r="307" spans="1:11" x14ac:dyDescent="0.25">
      <c r="A307">
        <v>2</v>
      </c>
      <c r="B307" t="s">
        <v>48</v>
      </c>
      <c r="C307" t="s">
        <v>50</v>
      </c>
      <c r="D307" t="s">
        <v>852</v>
      </c>
      <c r="E307" t="b">
        <f>F307=G307</f>
        <v>1</v>
      </c>
      <c r="F307" t="s">
        <v>853</v>
      </c>
      <c r="G307" t="str">
        <f>IF(ISERROR(VLOOKUP(F307,MODIFICACIONES_REALIZADAS!F:H,3,)),F307,VLOOKUP(F307,MODIFICACIONES_REALIZADAS!F:H,3,))</f>
        <v>SM-O-RPP-Agente-ImporteRegNetaCuat</v>
      </c>
      <c r="H307">
        <v>20170101</v>
      </c>
      <c r="I307">
        <v>22000101</v>
      </c>
    </row>
    <row r="308" spans="1:11" x14ac:dyDescent="0.25">
      <c r="A308" s="22">
        <v>2</v>
      </c>
      <c r="B308" s="22" t="s">
        <v>48</v>
      </c>
      <c r="C308" s="22" t="s">
        <v>50</v>
      </c>
      <c r="D308" s="22" t="s">
        <v>854</v>
      </c>
      <c r="E308" s="22" t="b">
        <f t="shared" ref="E308" si="26">F308=G308</f>
        <v>1</v>
      </c>
      <c r="F308" s="22" t="s">
        <v>855</v>
      </c>
      <c r="G308" s="22" t="str">
        <f>IF(ISERROR(VLOOKUP(F308,MODIFICACIONES_REALIZADAS!F:H,3,)),F308,VLOOKUP(F308,MODIFICACIONES_REALIZADAS!F:H,3,))</f>
        <v>SM-O-RPP-Agente-Importe-RegTrim</v>
      </c>
      <c r="H308" s="22">
        <v>20220101</v>
      </c>
      <c r="I308" s="22">
        <v>22000101</v>
      </c>
      <c r="J308" s="22" t="s">
        <v>741</v>
      </c>
      <c r="K308" s="22"/>
    </row>
    <row r="309" spans="1:11" x14ac:dyDescent="0.25">
      <c r="A309" s="22">
        <v>2</v>
      </c>
      <c r="B309" s="22" t="s">
        <v>48</v>
      </c>
      <c r="C309" s="22" t="s">
        <v>50</v>
      </c>
      <c r="D309" s="22" t="s">
        <v>856</v>
      </c>
      <c r="E309" s="22" t="b">
        <f t="shared" ref="E309" si="27">F309=G309</f>
        <v>1</v>
      </c>
      <c r="F309" s="22" t="s">
        <v>857</v>
      </c>
      <c r="G309" s="22" t="str">
        <f>IF(ISERROR(VLOOKUP(F309,MODIFICACIONES_REALIZADAS!F:H,3,)),F309,VLOOKUP(F309,MODIFICACIONES_REALIZADAS!F:H,3,))</f>
        <v>SM-O-RPP-Agente-TotalPagoRappel-RegTrim</v>
      </c>
      <c r="H309" s="22">
        <v>20220101</v>
      </c>
      <c r="I309" s="22">
        <v>22000101</v>
      </c>
      <c r="J309" s="22" t="s">
        <v>741</v>
      </c>
      <c r="K309" s="22"/>
    </row>
    <row r="310" spans="1:11" x14ac:dyDescent="0.25">
      <c r="A310" s="22">
        <v>2</v>
      </c>
      <c r="B310" s="22" t="s">
        <v>48</v>
      </c>
      <c r="C310" s="22" t="s">
        <v>50</v>
      </c>
      <c r="D310" s="22" t="s">
        <v>858</v>
      </c>
      <c r="E310" s="22" t="b">
        <f t="shared" ref="E310" si="28">F310=G310</f>
        <v>1</v>
      </c>
      <c r="F310" s="22" t="s">
        <v>859</v>
      </c>
      <c r="G310" s="22" t="str">
        <f>IF(ISERROR(VLOOKUP(F310,MODIFICACIONES_REALIZADAS!F:H,3,)),F310,VLOOKUP(F310,MODIFICACIONES_REALIZADAS!F:H,3,))</f>
        <v>SM-O-RPP-Agente-ImporteNeto-RegTrim</v>
      </c>
      <c r="H310" s="22">
        <v>20220101</v>
      </c>
      <c r="I310" s="22">
        <v>22000101</v>
      </c>
      <c r="J310" s="22" t="s">
        <v>741</v>
      </c>
      <c r="K310" s="22"/>
    </row>
    <row r="311" spans="1:11" x14ac:dyDescent="0.25">
      <c r="A311">
        <v>2</v>
      </c>
      <c r="B311" t="s">
        <v>48</v>
      </c>
      <c r="C311" t="s">
        <v>50</v>
      </c>
      <c r="D311" t="s">
        <v>860</v>
      </c>
      <c r="E311" t="b">
        <f t="shared" ref="E311:E315" si="29">F311=G311</f>
        <v>1</v>
      </c>
      <c r="F311" t="s">
        <v>861</v>
      </c>
      <c r="G311" t="str">
        <f>IF(ISERROR(VLOOKUP(F311,MODIFICACIONES_REALIZADAS!F:H,3,)),F311,VLOOKUP(F311,MODIFICACIONES_REALIZADAS!F:H,3,))</f>
        <v>SM-O-RPP-AgenteGeneral-Cumple-Objetivos</v>
      </c>
      <c r="H311">
        <v>20210101</v>
      </c>
      <c r="I311">
        <v>22000101</v>
      </c>
      <c r="J311" t="s">
        <v>862</v>
      </c>
    </row>
    <row r="312" spans="1:11" x14ac:dyDescent="0.25">
      <c r="A312">
        <v>2</v>
      </c>
      <c r="B312" t="s">
        <v>48</v>
      </c>
      <c r="C312" t="s">
        <v>50</v>
      </c>
      <c r="D312" t="s">
        <v>863</v>
      </c>
      <c r="E312" t="b">
        <f t="shared" si="29"/>
        <v>1</v>
      </c>
      <c r="F312" t="s">
        <v>864</v>
      </c>
      <c r="G312" t="str">
        <f>IF(ISERROR(VLOOKUP(F312,MODIFICACIONES_REALIZADAS!F:H,3,)),F312,VLOOKUP(F312,MODIFICACIONES_REALIZADAS!F:H,3,))</f>
        <v>SM-O-RPP-Agente-Cumple-Objetivos</v>
      </c>
      <c r="H312">
        <v>20210101</v>
      </c>
      <c r="I312">
        <v>22000101</v>
      </c>
      <c r="J312" t="s">
        <v>862</v>
      </c>
    </row>
    <row r="313" spans="1:11" x14ac:dyDescent="0.25">
      <c r="A313" s="22">
        <v>2</v>
      </c>
      <c r="B313" s="22" t="s">
        <v>48</v>
      </c>
      <c r="C313" s="22" t="s">
        <v>50</v>
      </c>
      <c r="D313" s="22" t="s">
        <v>865</v>
      </c>
      <c r="E313" s="22" t="b">
        <f t="shared" ref="E313" si="30">F313=G313</f>
        <v>1</v>
      </c>
      <c r="F313" s="22" t="s">
        <v>866</v>
      </c>
      <c r="G313" s="22" t="str">
        <f>IF(ISERROR(VLOOKUP(F313,MODIFICACIONES_REALIZADAS!F:H,3,)),F313,VLOOKUP(F313,MODIFICACIONES_REALIZADAS!F:H,3,))</f>
        <v>SM-O-RPP-Agente-CumpleObjetivos-RegulTrimestral</v>
      </c>
      <c r="H313" s="22">
        <v>20220101</v>
      </c>
      <c r="I313" s="22">
        <v>22000101</v>
      </c>
      <c r="J313" s="22" t="s">
        <v>741</v>
      </c>
      <c r="K313" s="22"/>
    </row>
    <row r="314" spans="1:11" x14ac:dyDescent="0.25">
      <c r="A314">
        <v>2</v>
      </c>
      <c r="B314" t="s">
        <v>48</v>
      </c>
      <c r="C314" t="s">
        <v>50</v>
      </c>
      <c r="D314" t="s">
        <v>867</v>
      </c>
      <c r="E314" t="b">
        <f t="shared" si="29"/>
        <v>1</v>
      </c>
      <c r="F314" t="s">
        <v>868</v>
      </c>
      <c r="G314" t="str">
        <f>IF(ISERROR(VLOOKUP(F314,MODIFICACIONES_REALIZADAS!F:H,3,)),F314,VLOOKUP(F314,MODIFICACIONES_REALIZADAS!F:H,3,))</f>
        <v>SM-O-RPP-Agente-Cumple-Llave</v>
      </c>
      <c r="H314">
        <v>20210101</v>
      </c>
      <c r="I314">
        <v>22000101</v>
      </c>
      <c r="J314" t="s">
        <v>862</v>
      </c>
    </row>
    <row r="315" spans="1:11" x14ac:dyDescent="0.25">
      <c r="A315">
        <v>2</v>
      </c>
      <c r="B315" t="s">
        <v>48</v>
      </c>
      <c r="C315" t="s">
        <v>50</v>
      </c>
      <c r="D315" t="s">
        <v>869</v>
      </c>
      <c r="E315" t="b">
        <f t="shared" si="29"/>
        <v>1</v>
      </c>
      <c r="F315" t="s">
        <v>870</v>
      </c>
      <c r="G315" t="str">
        <f>IF(ISERROR(VLOOKUP(F315,MODIFICACIONES_REALIZADAS!F:H,3,)),F315,VLOOKUP(F315,MODIFICACIONES_REALIZADAS!F:H,3,))</f>
        <v>SM-O-GEN-Categoria-MesesTotal</v>
      </c>
      <c r="H315">
        <v>20210101</v>
      </c>
      <c r="I315">
        <v>22000101</v>
      </c>
      <c r="J315" t="s">
        <v>862</v>
      </c>
    </row>
    <row r="316" spans="1:11" x14ac:dyDescent="0.25">
      <c r="A316" s="22">
        <v>2</v>
      </c>
      <c r="B316" s="22" t="s">
        <v>48</v>
      </c>
      <c r="C316" s="22" t="s">
        <v>50</v>
      </c>
      <c r="D316" s="22" t="s">
        <v>871</v>
      </c>
      <c r="E316" s="22" t="b">
        <f t="shared" ref="E316" si="31">F316=G316</f>
        <v>1</v>
      </c>
      <c r="F316" s="22" t="s">
        <v>872</v>
      </c>
      <c r="G316" s="22" t="str">
        <f>IF(ISERROR(VLOOKUP(F316,MODIFICACIONES_REALIZADAS!F:H,3,)),F316,VLOOKUP(F316,MODIFICACIONES_REALIZADAS!F:H,3,))</f>
        <v>SM-O-RPP-BolsaFinanciacion-Cumple-Criterios-General</v>
      </c>
      <c r="H316" s="22">
        <v>20220101</v>
      </c>
      <c r="I316" s="22">
        <v>22000101</v>
      </c>
      <c r="J316" s="22" t="s">
        <v>873</v>
      </c>
      <c r="K316" s="22"/>
    </row>
    <row r="317" spans="1:11" x14ac:dyDescent="0.25">
      <c r="A317" s="22">
        <v>2</v>
      </c>
      <c r="B317" s="22" t="s">
        <v>48</v>
      </c>
      <c r="C317" s="22" t="s">
        <v>50</v>
      </c>
      <c r="D317" s="22" t="s">
        <v>874</v>
      </c>
      <c r="E317" s="22" t="b">
        <f t="shared" ref="E317" si="32">F317=G317</f>
        <v>1</v>
      </c>
      <c r="F317" s="22" t="s">
        <v>875</v>
      </c>
      <c r="G317" s="22" t="str">
        <f>IF(ISERROR(VLOOKUP(F317,MODIFICACIONES_REALIZADAS!F:H,3,)),F317,VLOOKUP(F317,MODIFICACIONES_REALIZADAS!F:H,3,))</f>
        <v>SM-O-RPP-BolsaFinanciacionN1-Cumple-Criterios</v>
      </c>
      <c r="H317" s="22">
        <v>20220101</v>
      </c>
      <c r="I317" s="22">
        <v>22000101</v>
      </c>
      <c r="J317" s="22" t="s">
        <v>873</v>
      </c>
      <c r="K317" s="22"/>
    </row>
    <row r="318" spans="1:11" x14ac:dyDescent="0.25">
      <c r="A318" s="22">
        <v>2</v>
      </c>
      <c r="B318" s="22" t="s">
        <v>48</v>
      </c>
      <c r="C318" s="22" t="s">
        <v>50</v>
      </c>
      <c r="D318" s="22" t="s">
        <v>876</v>
      </c>
      <c r="E318" s="22" t="b">
        <f t="shared" ref="E318" si="33">F318=G318</f>
        <v>1</v>
      </c>
      <c r="F318" s="22" t="s">
        <v>877</v>
      </c>
      <c r="G318" s="22" t="str">
        <f>IF(ISERROR(VLOOKUP(F318,MODIFICACIONES_REALIZADAS!F:H,3,)),F318,VLOOKUP(F318,MODIFICACIONES_REALIZADAS!F:H,3,))</f>
        <v>SM-O-RPP-BolsaFinanciacion-Estado-Comodin-Hogar</v>
      </c>
      <c r="H318" s="22">
        <v>20220101</v>
      </c>
      <c r="I318" s="22">
        <v>22000101</v>
      </c>
      <c r="J318" s="22" t="s">
        <v>873</v>
      </c>
      <c r="K318" s="22"/>
    </row>
    <row r="319" spans="1:11" x14ac:dyDescent="0.25">
      <c r="A319" s="22">
        <v>2</v>
      </c>
      <c r="B319" s="22" t="s">
        <v>48</v>
      </c>
      <c r="C319" s="22" t="s">
        <v>50</v>
      </c>
      <c r="D319" s="22" t="s">
        <v>878</v>
      </c>
      <c r="E319" s="22" t="b">
        <f t="shared" ref="E319:E320" si="34">F319=G319</f>
        <v>1</v>
      </c>
      <c r="F319" s="22" t="s">
        <v>879</v>
      </c>
      <c r="G319" s="22" t="str">
        <f>IF(ISERROR(VLOOKUP(F319,MODIFICACIONES_REALIZADAS!F:H,3,)),F319,VLOOKUP(F319,MODIFICACIONES_REALIZADAS!F:H,3,))</f>
        <v>SM-O-RPP-BolsaFinanciacionN1-Estado-Comodin-Hogar</v>
      </c>
      <c r="H319" s="22">
        <v>20220101</v>
      </c>
      <c r="I319" s="22">
        <v>22000101</v>
      </c>
      <c r="J319" s="22" t="s">
        <v>873</v>
      </c>
      <c r="K319" s="22"/>
    </row>
    <row r="320" spans="1:11" x14ac:dyDescent="0.25">
      <c r="A320" s="22">
        <v>2</v>
      </c>
      <c r="B320" s="22" t="s">
        <v>48</v>
      </c>
      <c r="C320" s="22" t="s">
        <v>50</v>
      </c>
      <c r="D320" s="22" t="s">
        <v>880</v>
      </c>
      <c r="E320" s="22" t="b">
        <f t="shared" si="34"/>
        <v>1</v>
      </c>
      <c r="F320" s="22" t="s">
        <v>881</v>
      </c>
      <c r="G320" s="22" t="str">
        <f>IF(ISERROR(VLOOKUP(F320,MODIFICACIONES_REALIZADAS!F:H,3,)),F320,VLOOKUP(F320,MODIFICACIONES_REALIZADAS!F:H,3,))</f>
        <v>SM-O-BolsaFinanciacion-N2-Devolucion-Hogar</v>
      </c>
      <c r="H320" s="22">
        <v>20220101</v>
      </c>
      <c r="I320" s="22">
        <v>22000101</v>
      </c>
      <c r="J320" s="22" t="s">
        <v>873</v>
      </c>
      <c r="K320" s="22"/>
    </row>
    <row r="321" spans="1:11" x14ac:dyDescent="0.25">
      <c r="A321" s="22">
        <v>2</v>
      </c>
      <c r="B321" s="22" t="s">
        <v>48</v>
      </c>
      <c r="C321" s="22" t="s">
        <v>50</v>
      </c>
      <c r="D321" s="22" t="s">
        <v>882</v>
      </c>
      <c r="E321" s="22" t="b">
        <f t="shared" ref="E321:E324" si="35">F321=G321</f>
        <v>1</v>
      </c>
      <c r="F321" s="22" t="s">
        <v>883</v>
      </c>
      <c r="G321" s="22" t="str">
        <f>IF(ISERROR(VLOOKUP(F321,MODIFICACIONES_REALIZADAS!F:H,3,)),F321,VLOOKUP(F321,MODIFICACIONES_REALIZADAS!F:H,3,))</f>
        <v>SM-O-RPP-BolsaFinanciacionN1-Devolucion-Hogar</v>
      </c>
      <c r="H321" s="22">
        <v>20220101</v>
      </c>
      <c r="I321" s="22">
        <v>22000101</v>
      </c>
      <c r="J321" s="22" t="s">
        <v>873</v>
      </c>
      <c r="K321" s="22"/>
    </row>
    <row r="322" spans="1:11" x14ac:dyDescent="0.25">
      <c r="A322" s="22">
        <v>2</v>
      </c>
      <c r="B322" s="22" t="s">
        <v>48</v>
      </c>
      <c r="C322" s="22" t="s">
        <v>50</v>
      </c>
      <c r="D322" s="22" t="s">
        <v>884</v>
      </c>
      <c r="E322" s="22" t="b">
        <f t="shared" si="35"/>
        <v>1</v>
      </c>
      <c r="F322" s="22" t="s">
        <v>885</v>
      </c>
      <c r="G322" s="22" t="str">
        <f>IF(ISERROR(VLOOKUP(F322,MODIFICACIONES_REALIZADAS!F:H,3,)),F322,VLOOKUP(F322,MODIFICACIONES_REALIZADAS!F:H,3,))</f>
        <v>SM-O-RPP-BolsaFinanciacion-Estado-Comodin-RRTT-Combinado</v>
      </c>
      <c r="H322" s="22">
        <v>20220101</v>
      </c>
      <c r="I322" s="22">
        <v>22000101</v>
      </c>
      <c r="J322" s="22" t="s">
        <v>873</v>
      </c>
      <c r="K322" s="22"/>
    </row>
    <row r="323" spans="1:11" x14ac:dyDescent="0.25">
      <c r="A323" s="22">
        <v>2</v>
      </c>
      <c r="B323" s="22" t="s">
        <v>48</v>
      </c>
      <c r="C323" s="22" t="s">
        <v>50</v>
      </c>
      <c r="D323" s="22" t="s">
        <v>886</v>
      </c>
      <c r="E323" s="22" t="b">
        <f t="shared" si="35"/>
        <v>1</v>
      </c>
      <c r="F323" s="22" t="s">
        <v>887</v>
      </c>
      <c r="G323" s="22" t="str">
        <f>IF(ISERROR(VLOOKUP(F323,MODIFICACIONES_REALIZADAS!F:H,3,)),F323,VLOOKUP(F323,MODIFICACIONES_REALIZADAS!F:H,3,))</f>
        <v>SM-O-RPP-BolsaFinanciacionN1-Estado-Comodin-Asegurados</v>
      </c>
      <c r="H323" s="22">
        <v>20220101</v>
      </c>
      <c r="I323" s="22">
        <v>22000101</v>
      </c>
      <c r="J323" s="22" t="s">
        <v>873</v>
      </c>
      <c r="K323" s="22"/>
    </row>
    <row r="324" spans="1:11" x14ac:dyDescent="0.25">
      <c r="A324" s="22">
        <v>2</v>
      </c>
      <c r="B324" s="22" t="s">
        <v>48</v>
      </c>
      <c r="C324" s="22" t="s">
        <v>50</v>
      </c>
      <c r="D324" s="22" t="s">
        <v>888</v>
      </c>
      <c r="E324" s="22" t="b">
        <f t="shared" si="35"/>
        <v>1</v>
      </c>
      <c r="F324" s="22" t="s">
        <v>889</v>
      </c>
      <c r="G324" s="22" t="str">
        <f>IF(ISERROR(VLOOKUP(F324,MODIFICACIONES_REALIZADAS!F:H,3,)),F324,VLOOKUP(F324,MODIFICACIONES_REALIZADAS!F:H,3,))</f>
        <v>SM-O-BolsaFinanciacion-N2-Devolucion-RRTT-Combinado</v>
      </c>
      <c r="H324" s="22">
        <v>20220101</v>
      </c>
      <c r="I324" s="22">
        <v>22000101</v>
      </c>
      <c r="J324" s="22" t="s">
        <v>873</v>
      </c>
      <c r="K324" s="22"/>
    </row>
    <row r="325" spans="1:11" x14ac:dyDescent="0.25">
      <c r="A325" s="22">
        <v>2</v>
      </c>
      <c r="B325" s="22" t="s">
        <v>48</v>
      </c>
      <c r="C325" s="22" t="s">
        <v>50</v>
      </c>
      <c r="D325" s="22" t="s">
        <v>890</v>
      </c>
      <c r="E325" s="22" t="b">
        <f t="shared" ref="E325" si="36">F325=G325</f>
        <v>1</v>
      </c>
      <c r="F325" s="22" t="s">
        <v>891</v>
      </c>
      <c r="G325" s="22" t="str">
        <f>IF(ISERROR(VLOOKUP(F325,MODIFICACIONES_REALIZADAS!F:H,3,)),F325,VLOOKUP(F325,MODIFICACIONES_REALIZADAS!F:H,3,))</f>
        <v>SM-O-RPP-BolsaFinanciacionN1-Devolucion-Asegurados</v>
      </c>
      <c r="H325" s="22">
        <v>20220101</v>
      </c>
      <c r="I325" s="22">
        <v>22000101</v>
      </c>
      <c r="J325" s="22" t="s">
        <v>873</v>
      </c>
      <c r="K325" s="22"/>
    </row>
    <row r="326" spans="1:11" x14ac:dyDescent="0.25">
      <c r="A326">
        <v>2</v>
      </c>
      <c r="B326" t="s">
        <v>52</v>
      </c>
      <c r="C326" t="s">
        <v>54</v>
      </c>
      <c r="D326" t="s">
        <v>892</v>
      </c>
      <c r="E326" t="b">
        <f t="shared" si="18"/>
        <v>1</v>
      </c>
      <c r="F326" t="s">
        <v>893</v>
      </c>
      <c r="G326" t="str">
        <f>IF(ISERROR(VLOOKUP(F326,MODIFICACIONES_REALIZADAS!F:H,3,)),F326,VLOOKUP(F326,MODIFICACIONES_REALIZADAS!F:H,3,))</f>
        <v>DC-O-GEN-Agente-Prima-998</v>
      </c>
      <c r="H326">
        <v>20140101</v>
      </c>
      <c r="I326">
        <v>22000101</v>
      </c>
    </row>
    <row r="327" spans="1:11" x14ac:dyDescent="0.25">
      <c r="A327">
        <v>2</v>
      </c>
      <c r="B327" t="s">
        <v>52</v>
      </c>
      <c r="C327" t="s">
        <v>54</v>
      </c>
      <c r="D327" t="s">
        <v>894</v>
      </c>
      <c r="E327" t="b">
        <f t="shared" si="18"/>
        <v>1</v>
      </c>
      <c r="F327" t="s">
        <v>895</v>
      </c>
      <c r="G327" t="str">
        <f>IF(ISERROR(VLOOKUP(F327,MODIFICACIONES_REALIZADAS!F:H,3,)),F327,VLOOKUP(F327,MODIFICACIONES_REALIZADAS!F:H,3,))</f>
        <v>DC-O-GEN-Agente-NumeroPolizas-998</v>
      </c>
      <c r="H327">
        <v>20140101</v>
      </c>
      <c r="I327">
        <v>22000101</v>
      </c>
    </row>
    <row r="328" spans="1:11" x14ac:dyDescent="0.25">
      <c r="A328">
        <v>2</v>
      </c>
      <c r="B328" t="s">
        <v>52</v>
      </c>
      <c r="C328" t="s">
        <v>54</v>
      </c>
      <c r="D328" t="s">
        <v>896</v>
      </c>
      <c r="E328" t="b">
        <f>F328=G328</f>
        <v>1</v>
      </c>
      <c r="F328" t="s">
        <v>897</v>
      </c>
      <c r="G328" t="str">
        <f>IF(ISERROR(VLOOKUP(F328,MODIFICACIONES_REALIZADAS!F:H,3,)),F328,VLOOKUP(F328,MODIFICACIONES_REALIZADAS!F:H,3,))</f>
        <v>DC-O-GEN-Agente-NumeroPolizas-998-Recup</v>
      </c>
      <c r="H328">
        <v>20140101</v>
      </c>
      <c r="I328">
        <v>22000101</v>
      </c>
    </row>
    <row r="329" spans="1:11" x14ac:dyDescent="0.25">
      <c r="A329">
        <v>2</v>
      </c>
      <c r="B329" t="s">
        <v>52</v>
      </c>
      <c r="C329" t="s">
        <v>54</v>
      </c>
      <c r="D329" t="s">
        <v>898</v>
      </c>
      <c r="E329" t="b">
        <f>F329=G329</f>
        <v>1</v>
      </c>
      <c r="F329" t="s">
        <v>899</v>
      </c>
      <c r="G329" t="str">
        <f>IF(ISERROR(VLOOKUP(F329,MODIFICACIONES_REALIZADAS!F:H,3,)),F329,VLOOKUP(F329,MODIFICACIONES_REALIZADAS!F:H,3,))</f>
        <v>DC-O-GEN-Agente-NumeroPolizas-998-Renov</v>
      </c>
      <c r="H329">
        <v>20140101</v>
      </c>
      <c r="I329">
        <v>22000101</v>
      </c>
    </row>
    <row r="330" spans="1:11" x14ac:dyDescent="0.25">
      <c r="A330" s="22">
        <v>2</v>
      </c>
      <c r="B330" s="22" t="s">
        <v>52</v>
      </c>
      <c r="C330" s="22" t="s">
        <v>54</v>
      </c>
      <c r="D330" s="22" t="s">
        <v>900</v>
      </c>
      <c r="E330" s="22" t="b">
        <f>F330=G330</f>
        <v>1</v>
      </c>
      <c r="F330" s="22" t="s">
        <v>901</v>
      </c>
      <c r="G330" s="22" t="str">
        <f>IF(ISERROR(VLOOKUP(F330,MODIFICACIONES_REALIZADAS!F:H,3,)),F330,VLOOKUP(F330,MODIFICACIONES_REALIZADAS!F:H,3,))</f>
        <v>DC-O-GEN-Agente-NumAsegurados</v>
      </c>
      <c r="H330" s="22">
        <v>20180101</v>
      </c>
      <c r="I330" s="22">
        <v>22000101</v>
      </c>
      <c r="J330" s="22" t="s">
        <v>412</v>
      </c>
      <c r="K330" s="22"/>
    </row>
    <row r="331" spans="1:11" x14ac:dyDescent="0.25">
      <c r="A331">
        <v>3</v>
      </c>
      <c r="B331" t="s">
        <v>55</v>
      </c>
      <c r="C331" t="s">
        <v>57</v>
      </c>
      <c r="D331" s="4" t="s">
        <v>902</v>
      </c>
      <c r="E331" t="b">
        <f t="shared" si="18"/>
        <v>0</v>
      </c>
      <c r="F331" t="s">
        <v>387</v>
      </c>
      <c r="G331" t="str">
        <f>IF(ISERROR(VLOOKUP(F331,MODIFICACIONES_REALIZADAS!F:H,3,)),F331,VLOOKUP(F331,MODIFICACIONES_REALIZADAS!F:H,3,))</f>
        <v>PM-O-GEN-Inspector-PrimaCorregida-998</v>
      </c>
      <c r="H331">
        <v>20140101</v>
      </c>
      <c r="I331">
        <v>22000101</v>
      </c>
    </row>
    <row r="332" spans="1:11" x14ac:dyDescent="0.25">
      <c r="A332">
        <v>3</v>
      </c>
      <c r="B332" t="s">
        <v>55</v>
      </c>
      <c r="C332" t="s">
        <v>57</v>
      </c>
      <c r="D332" s="4" t="s">
        <v>902</v>
      </c>
      <c r="E332" t="b">
        <f t="shared" si="18"/>
        <v>0</v>
      </c>
      <c r="F332" t="s">
        <v>400</v>
      </c>
      <c r="G332" t="str">
        <f>IF(ISERROR(VLOOKUP(F332,MODIFICACIONES_REALIZADAS!F:H,3,)),F332,VLOOKUP(F332,MODIFICACIONES_REALIZADAS!F:H,3,))</f>
        <v>PM-O-GEN-Inspector-NumeroPolizas-998-Agentes</v>
      </c>
      <c r="H332">
        <v>20140101</v>
      </c>
      <c r="I332">
        <v>22000101</v>
      </c>
    </row>
    <row r="333" spans="1:11" x14ac:dyDescent="0.25">
      <c r="A333">
        <v>3</v>
      </c>
      <c r="B333" t="s">
        <v>55</v>
      </c>
      <c r="C333" t="s">
        <v>57</v>
      </c>
      <c r="D333" s="4" t="s">
        <v>902</v>
      </c>
      <c r="E333" t="b">
        <f t="shared" si="18"/>
        <v>0</v>
      </c>
      <c r="F333" t="s">
        <v>408</v>
      </c>
      <c r="G333" t="str">
        <f>IF(ISERROR(VLOOKUP(F333,MODIFICACIONES_REALIZADAS!F:H,3,)),F333,VLOOKUP(F333,MODIFICACIONES_REALIZADAS!F:H,3,))</f>
        <v>PM-O-GEN-Inspector-PrimaCorregida-998-Agentes</v>
      </c>
      <c r="H333">
        <v>20140101</v>
      </c>
      <c r="I333">
        <v>22000101</v>
      </c>
    </row>
    <row r="334" spans="1:11" x14ac:dyDescent="0.25">
      <c r="A334">
        <v>3</v>
      </c>
      <c r="B334" t="s">
        <v>55</v>
      </c>
      <c r="C334" t="s">
        <v>57</v>
      </c>
      <c r="D334" s="4" t="s">
        <v>903</v>
      </c>
      <c r="E334" t="b">
        <f t="shared" si="18"/>
        <v>1</v>
      </c>
      <c r="F334" s="4" t="s">
        <v>904</v>
      </c>
      <c r="G334" t="str">
        <f>IF(ISERROR(VLOOKUP(F334,MODIFICACIONES_REALIZADAS!F:H,3,)),F334,VLOOKUP(F334,MODIFICACIONES_REALIZADAS!F:H,3,))</f>
        <v>PM-O-DIF-Inspector-PrimaCorregida-004-y-NoPrioritarios</v>
      </c>
      <c r="H334">
        <v>20140101</v>
      </c>
      <c r="I334">
        <v>22000101</v>
      </c>
    </row>
    <row r="335" spans="1:11" x14ac:dyDescent="0.25">
      <c r="A335">
        <v>3</v>
      </c>
      <c r="B335" t="s">
        <v>55</v>
      </c>
      <c r="C335" t="s">
        <v>57</v>
      </c>
      <c r="D335" s="4" t="s">
        <v>903</v>
      </c>
      <c r="E335" t="b">
        <f t="shared" si="18"/>
        <v>1</v>
      </c>
      <c r="F335" s="4" t="s">
        <v>905</v>
      </c>
      <c r="G335" t="str">
        <f>IF(ISERROR(VLOOKUP(F335,MODIFICACIONES_REALIZADAS!F:H,3,)),F335,VLOOKUP(F335,MODIFICACIONES_REALIZADAS!F:H,3,))</f>
        <v>PM-O-DIF-Inspector-PrimaCorregida-Prioritarios-Sin-VidaAhorro</v>
      </c>
      <c r="H335">
        <v>20140101</v>
      </c>
      <c r="I335">
        <v>22000101</v>
      </c>
    </row>
    <row r="336" spans="1:11" x14ac:dyDescent="0.25">
      <c r="A336">
        <v>3</v>
      </c>
      <c r="B336" t="s">
        <v>55</v>
      </c>
      <c r="C336" t="s">
        <v>57</v>
      </c>
      <c r="D336" s="4" t="s">
        <v>903</v>
      </c>
      <c r="E336" t="b">
        <f t="shared" si="18"/>
        <v>1</v>
      </c>
      <c r="F336" s="4" t="s">
        <v>906</v>
      </c>
      <c r="G336" t="str">
        <f>IF(ISERROR(VLOOKUP(F336,MODIFICACIONES_REALIZADAS!F:H,3,)),F336,VLOOKUP(F336,MODIFICACIONES_REALIZADAS!F:H,3,))</f>
        <v>SM-O-DIF-Inspector-NumeroPolizas-998-TotalMes</v>
      </c>
      <c r="H336">
        <v>20140101</v>
      </c>
      <c r="I336">
        <v>22000101</v>
      </c>
    </row>
    <row r="337" spans="1:9" x14ac:dyDescent="0.25">
      <c r="A337">
        <v>3</v>
      </c>
      <c r="B337" t="s">
        <v>55</v>
      </c>
      <c r="C337" t="s">
        <v>57</v>
      </c>
      <c r="D337" s="4" t="s">
        <v>903</v>
      </c>
      <c r="E337" t="b">
        <f t="shared" si="18"/>
        <v>1</v>
      </c>
      <c r="F337" s="4" t="s">
        <v>907</v>
      </c>
      <c r="G337" t="str">
        <f>IF(ISERROR(VLOOKUP(F337,MODIFICACIONES_REALIZADAS!F:H,3,)),F337,VLOOKUP(F337,MODIFICACIONES_REALIZADAS!F:H,3,))</f>
        <v>SM-O-DIF-Inspector-PrimaCorregida-998-TotalMes</v>
      </c>
      <c r="H337">
        <v>20140101</v>
      </c>
      <c r="I337">
        <v>22000101</v>
      </c>
    </row>
    <row r="338" spans="1:9" x14ac:dyDescent="0.25">
      <c r="A338">
        <v>3</v>
      </c>
      <c r="B338" t="s">
        <v>55</v>
      </c>
      <c r="C338" t="s">
        <v>57</v>
      </c>
      <c r="D338" s="4" t="s">
        <v>903</v>
      </c>
      <c r="E338" t="b">
        <f t="shared" si="18"/>
        <v>1</v>
      </c>
      <c r="F338" s="4" t="s">
        <v>908</v>
      </c>
      <c r="G338" t="str">
        <f>IF(ISERROR(VLOOKUP(F338,MODIFICACIONES_REALIZADAS!F:H,3,)),F338,VLOOKUP(F338,MODIFICACIONES_REALIZADAS!F:H,3,))</f>
        <v>SM-O-DIF-Inspector-PrimaCorregida-004-y-NoPrioritarios-TotalMes</v>
      </c>
      <c r="H338">
        <v>20140101</v>
      </c>
      <c r="I338">
        <v>22000101</v>
      </c>
    </row>
    <row r="339" spans="1:9" x14ac:dyDescent="0.25">
      <c r="A339">
        <v>3</v>
      </c>
      <c r="B339" t="s">
        <v>55</v>
      </c>
      <c r="C339" t="s">
        <v>57</v>
      </c>
      <c r="D339" s="4" t="s">
        <v>903</v>
      </c>
      <c r="E339" t="b">
        <f t="shared" si="18"/>
        <v>1</v>
      </c>
      <c r="F339" s="4" t="s">
        <v>909</v>
      </c>
      <c r="G339" t="str">
        <f>IF(ISERROR(VLOOKUP(F339,MODIFICACIONES_REALIZADAS!F:H,3,)),F339,VLOOKUP(F339,MODIFICACIONES_REALIZADAS!F:H,3,))</f>
        <v>SM-O-DIF-Inspector-PrimaCorregida-Prioritarios-Sin-VidaAhorro-TotalMes</v>
      </c>
      <c r="H339">
        <v>20140101</v>
      </c>
      <c r="I339">
        <v>22000101</v>
      </c>
    </row>
    <row r="340" spans="1:9" x14ac:dyDescent="0.25">
      <c r="A340">
        <v>3</v>
      </c>
      <c r="B340" t="s">
        <v>55</v>
      </c>
      <c r="C340" t="s">
        <v>57</v>
      </c>
      <c r="D340" s="4" t="s">
        <v>910</v>
      </c>
      <c r="E340" t="b">
        <f t="shared" si="18"/>
        <v>1</v>
      </c>
      <c r="F340" t="s">
        <v>911</v>
      </c>
      <c r="G340" t="str">
        <f>IF(ISERROR(VLOOKUP(F340,MODIFICACIONES_REALIZADAS!F:H,3,)),F340,VLOOKUP(F340,MODIFICACIONES_REALIZADAS!F:H,3,))</f>
        <v>SM-O-CT-Inspector-PagoMensual</v>
      </c>
      <c r="H340">
        <v>20140101</v>
      </c>
      <c r="I340">
        <v>22000101</v>
      </c>
    </row>
    <row r="341" spans="1:9" x14ac:dyDescent="0.25">
      <c r="A341">
        <v>3</v>
      </c>
      <c r="B341" t="s">
        <v>55</v>
      </c>
      <c r="C341" t="s">
        <v>57</v>
      </c>
      <c r="D341" s="4" t="s">
        <v>772</v>
      </c>
      <c r="E341" t="b">
        <f t="shared" si="18"/>
        <v>1</v>
      </c>
      <c r="F341" t="s">
        <v>912</v>
      </c>
      <c r="G341" t="str">
        <f>IF(ISERROR(VLOOKUP(F341,MODIFICACIONES_REALIZADAS!F:H,3,)),F341,VLOOKUP(F341,MODIFICACIONES_REALIZADAS!F:H,3,))</f>
        <v>I-O-DIF-Inspector-ImporteMensual-004-y-NoPrioritarios-RRTT</v>
      </c>
      <c r="H341">
        <v>20140101</v>
      </c>
      <c r="I341">
        <v>22000101</v>
      </c>
    </row>
    <row r="342" spans="1:9" x14ac:dyDescent="0.25">
      <c r="A342">
        <v>3</v>
      </c>
      <c r="B342" t="s">
        <v>55</v>
      </c>
      <c r="C342" t="s">
        <v>57</v>
      </c>
      <c r="D342" s="4" t="s">
        <v>772</v>
      </c>
      <c r="E342" t="b">
        <f>F342=G342</f>
        <v>1</v>
      </c>
      <c r="F342" t="s">
        <v>913</v>
      </c>
      <c r="G342" t="str">
        <f>IF(ISERROR(VLOOKUP(F342,MODIFICACIONES_REALIZADAS!F:H,3,)),F342,VLOOKUP(F342,MODIFICACIONES_REALIZADAS!F:H,3,))</f>
        <v>I-O-DIF-Inspector-ImporteMensual-004-y-NoPrioritarios-RRGG</v>
      </c>
      <c r="H342">
        <v>20140101</v>
      </c>
      <c r="I342">
        <v>22000101</v>
      </c>
    </row>
    <row r="343" spans="1:9" x14ac:dyDescent="0.25">
      <c r="A343">
        <v>3</v>
      </c>
      <c r="B343" t="s">
        <v>55</v>
      </c>
      <c r="C343" t="s">
        <v>57</v>
      </c>
      <c r="D343" s="4" t="s">
        <v>772</v>
      </c>
      <c r="E343" t="b">
        <f>F343=G343</f>
        <v>1</v>
      </c>
      <c r="F343" t="s">
        <v>914</v>
      </c>
      <c r="G343" t="str">
        <f>IF(ISERROR(VLOOKUP(F343,MODIFICACIONES_REALIZADAS!F:H,3,)),F343,VLOOKUP(F343,MODIFICACIONES_REALIZADAS!F:H,3,))</f>
        <v>I-O-DIF-Inspector-ImporteMensual-Prioritarios-Sin-VidaAhorro-RRTT</v>
      </c>
      <c r="H343">
        <v>20140101</v>
      </c>
      <c r="I343">
        <v>22000101</v>
      </c>
    </row>
    <row r="344" spans="1:9" x14ac:dyDescent="0.25">
      <c r="A344">
        <v>3</v>
      </c>
      <c r="B344" t="s">
        <v>55</v>
      </c>
      <c r="C344" t="s">
        <v>57</v>
      </c>
      <c r="D344" s="4" t="s">
        <v>772</v>
      </c>
      <c r="E344" t="b">
        <f t="shared" si="18"/>
        <v>1</v>
      </c>
      <c r="F344" t="s">
        <v>915</v>
      </c>
      <c r="G344" t="str">
        <f>IF(ISERROR(VLOOKUP(F344,MODIFICACIONES_REALIZADAS!F:H,3,)),F344,VLOOKUP(F344,MODIFICACIONES_REALIZADAS!F:H,3,))</f>
        <v>I-O-DIF-Inspector-ImporteMensual-Prioritarios-Sin-VidaAhorro-RRGG</v>
      </c>
      <c r="H344">
        <v>20140101</v>
      </c>
      <c r="I344">
        <v>22000101</v>
      </c>
    </row>
    <row r="345" spans="1:9" x14ac:dyDescent="0.25">
      <c r="A345">
        <v>3</v>
      </c>
      <c r="B345" t="s">
        <v>55</v>
      </c>
      <c r="C345" t="s">
        <v>57</v>
      </c>
      <c r="D345" s="4" t="s">
        <v>916</v>
      </c>
      <c r="E345" t="b">
        <f>F345=G345</f>
        <v>1</v>
      </c>
      <c r="F345" s="4" t="s">
        <v>917</v>
      </c>
      <c r="G345" t="str">
        <f>IF(ISERROR(VLOOKUP(F345,MODIFICACIONES_REALIZADAS!F:H,3,)),F345,VLOOKUP(F345,MODIFICACIONES_REALIZADAS!F:H,3,))</f>
        <v>SM-O-DIF-Inspector-Regularizacion-Objetivos-Polizas</v>
      </c>
      <c r="H345">
        <v>20140101</v>
      </c>
      <c r="I345">
        <v>22000101</v>
      </c>
    </row>
    <row r="346" spans="1:9" x14ac:dyDescent="0.25">
      <c r="A346">
        <v>3</v>
      </c>
      <c r="B346" t="s">
        <v>55</v>
      </c>
      <c r="C346" t="s">
        <v>57</v>
      </c>
      <c r="D346" s="4" t="s">
        <v>916</v>
      </c>
      <c r="E346" t="b">
        <f>F346=G346</f>
        <v>1</v>
      </c>
      <c r="F346" s="4" t="s">
        <v>918</v>
      </c>
      <c r="G346" t="str">
        <f>IF(ISERROR(VLOOKUP(F346,MODIFICACIONES_REALIZADAS!F:H,3,)),F346,VLOOKUP(F346,MODIFICACIONES_REALIZADAS!F:H,3,))</f>
        <v>SM-O-DIF-Inspector-Regularizacion-Objetivos-Primas</v>
      </c>
      <c r="H346">
        <v>20140101</v>
      </c>
      <c r="I346">
        <v>22000101</v>
      </c>
    </row>
    <row r="347" spans="1:9" x14ac:dyDescent="0.25">
      <c r="A347">
        <v>3</v>
      </c>
      <c r="B347" t="s">
        <v>55</v>
      </c>
      <c r="C347" t="s">
        <v>57</v>
      </c>
      <c r="D347" s="4" t="s">
        <v>919</v>
      </c>
      <c r="E347" t="b">
        <f t="shared" si="18"/>
        <v>1</v>
      </c>
      <c r="F347" s="4" t="s">
        <v>920</v>
      </c>
      <c r="G347" t="str">
        <f>IF(ISERROR(VLOOKUP(F347,MODIFICACIONES_REALIZADAS!F:H,3,)),F347,VLOOKUP(F347,MODIFICACIONES_REALIZADAS!F:H,3,))</f>
        <v>SM-O-DIF-Inspector-NumeroPolizas-998-TotalAnual</v>
      </c>
      <c r="H347">
        <v>20140101</v>
      </c>
      <c r="I347">
        <v>22000101</v>
      </c>
    </row>
    <row r="348" spans="1:9" x14ac:dyDescent="0.25">
      <c r="A348">
        <v>3</v>
      </c>
      <c r="B348" t="s">
        <v>55</v>
      </c>
      <c r="C348" t="s">
        <v>57</v>
      </c>
      <c r="D348" s="4" t="s">
        <v>919</v>
      </c>
      <c r="E348" t="b">
        <f t="shared" si="18"/>
        <v>1</v>
      </c>
      <c r="F348" s="4" t="s">
        <v>921</v>
      </c>
      <c r="G348" t="str">
        <f>IF(ISERROR(VLOOKUP(F348,MODIFICACIONES_REALIZADAS!F:H,3,)),F348,VLOOKUP(F348,MODIFICACIONES_REALIZADAS!F:H,3,))</f>
        <v>SM-O-DIF-Inspector-PrimaCorregida-998-TotalAnual</v>
      </c>
      <c r="H348">
        <v>20140101</v>
      </c>
      <c r="I348">
        <v>22000101</v>
      </c>
    </row>
    <row r="349" spans="1:9" x14ac:dyDescent="0.25">
      <c r="A349">
        <v>3</v>
      </c>
      <c r="B349" t="s">
        <v>55</v>
      </c>
      <c r="C349" t="s">
        <v>57</v>
      </c>
      <c r="D349" s="4" t="s">
        <v>922</v>
      </c>
      <c r="E349" t="b">
        <f>F349=G349</f>
        <v>1</v>
      </c>
      <c r="F349" s="4" t="s">
        <v>923</v>
      </c>
      <c r="G349" t="str">
        <f>IF(ISERROR(VLOOKUP(F349,MODIFICACIONES_REALIZADAS!F:H,3,)),F349,VLOOKUP(F349,MODIFICACIONES_REALIZADAS!F:H,3,))</f>
        <v>I-O-DIF-Inspector-Pago-004-y-NoPrioritarios-RRTT-TotalAnual</v>
      </c>
      <c r="H349">
        <v>20140101</v>
      </c>
      <c r="I349">
        <v>22000101</v>
      </c>
    </row>
    <row r="350" spans="1:9" x14ac:dyDescent="0.25">
      <c r="A350">
        <v>3</v>
      </c>
      <c r="B350" t="s">
        <v>55</v>
      </c>
      <c r="C350" t="s">
        <v>57</v>
      </c>
      <c r="D350" s="4" t="s">
        <v>922</v>
      </c>
      <c r="E350" t="b">
        <f>F350=G350</f>
        <v>1</v>
      </c>
      <c r="F350" s="4" t="s">
        <v>924</v>
      </c>
      <c r="G350" t="str">
        <f>IF(ISERROR(VLOOKUP(F350,MODIFICACIONES_REALIZADAS!F:H,3,)),F350,VLOOKUP(F350,MODIFICACIONES_REALIZADAS!F:H,3,))</f>
        <v>I-O-DIF-Inspector-Pago-004-y-NoPrioritarios-RRGG-TotalAnual</v>
      </c>
      <c r="H350">
        <v>20140101</v>
      </c>
      <c r="I350">
        <v>22000101</v>
      </c>
    </row>
    <row r="351" spans="1:9" x14ac:dyDescent="0.25">
      <c r="A351">
        <v>3</v>
      </c>
      <c r="B351" t="s">
        <v>55</v>
      </c>
      <c r="C351" t="s">
        <v>57</v>
      </c>
      <c r="D351" s="4" t="s">
        <v>922</v>
      </c>
      <c r="E351" t="b">
        <f>F351=G351</f>
        <v>1</v>
      </c>
      <c r="F351" s="4" t="s">
        <v>925</v>
      </c>
      <c r="G351" t="str">
        <f>IF(ISERROR(VLOOKUP(F351,MODIFICACIONES_REALIZADAS!F:H,3,)),F351,VLOOKUP(F351,MODIFICACIONES_REALIZADAS!F:H,3,))</f>
        <v>I-O-DIF-Inspector-Pago-Prioritarios-Sin-VidaAhorro-RRTT-TotalAnual</v>
      </c>
      <c r="H351">
        <v>20140101</v>
      </c>
      <c r="I351">
        <v>22000101</v>
      </c>
    </row>
    <row r="352" spans="1:9" x14ac:dyDescent="0.25">
      <c r="A352">
        <v>3</v>
      </c>
      <c r="B352" t="s">
        <v>55</v>
      </c>
      <c r="C352" t="s">
        <v>57</v>
      </c>
      <c r="D352" s="4" t="s">
        <v>922</v>
      </c>
      <c r="E352" t="b">
        <f>F352=G352</f>
        <v>1</v>
      </c>
      <c r="F352" s="4" t="s">
        <v>926</v>
      </c>
      <c r="G352" t="str">
        <f>IF(ISERROR(VLOOKUP(F352,MODIFICACIONES_REALIZADAS!F:H,3,)),F352,VLOOKUP(F352,MODIFICACIONES_REALIZADAS!F:H,3,))</f>
        <v>I-O-DIF-Inspector-Pago-Prioritarios-Sin-VidaAhorro-RRGG-TotalAnual</v>
      </c>
      <c r="H352">
        <v>20140101</v>
      </c>
      <c r="I352">
        <v>22000101</v>
      </c>
    </row>
    <row r="353" spans="1:11" x14ac:dyDescent="0.25">
      <c r="A353">
        <v>3</v>
      </c>
      <c r="B353" t="s">
        <v>55</v>
      </c>
      <c r="C353" t="s">
        <v>57</v>
      </c>
      <c r="D353" s="4" t="s">
        <v>927</v>
      </c>
      <c r="E353" t="b">
        <f t="shared" si="18"/>
        <v>1</v>
      </c>
      <c r="F353" s="4" t="s">
        <v>928</v>
      </c>
      <c r="G353" t="str">
        <f>IF(ISERROR(VLOOKUP(F353,MODIFICACIONES_REALIZADAS!F:H,3,)),F353,VLOOKUP(F353,MODIFICACIONES_REALIZADAS!F:H,3,))</f>
        <v>I-O-DIF-Inspector-Reg-004-y-NoPrioritarios-RRTT</v>
      </c>
      <c r="H353">
        <v>20140101</v>
      </c>
      <c r="I353">
        <v>22000101</v>
      </c>
    </row>
    <row r="354" spans="1:11" x14ac:dyDescent="0.25">
      <c r="A354">
        <v>3</v>
      </c>
      <c r="B354" t="s">
        <v>55</v>
      </c>
      <c r="C354" t="s">
        <v>57</v>
      </c>
      <c r="D354" s="4" t="s">
        <v>927</v>
      </c>
      <c r="E354" t="b">
        <f t="shared" si="18"/>
        <v>1</v>
      </c>
      <c r="F354" s="4" t="s">
        <v>929</v>
      </c>
      <c r="G354" t="str">
        <f>IF(ISERROR(VLOOKUP(F354,MODIFICACIONES_REALIZADAS!F:H,3,)),F354,VLOOKUP(F354,MODIFICACIONES_REALIZADAS!F:H,3,))</f>
        <v>I-O-DIF-Inspector-Reg-004-y-NoPrioritarios-RRGG</v>
      </c>
      <c r="H354">
        <v>20140101</v>
      </c>
      <c r="I354">
        <v>22000101</v>
      </c>
    </row>
    <row r="355" spans="1:11" x14ac:dyDescent="0.25">
      <c r="A355">
        <v>3</v>
      </c>
      <c r="B355" t="s">
        <v>55</v>
      </c>
      <c r="C355" t="s">
        <v>57</v>
      </c>
      <c r="D355" s="4" t="s">
        <v>927</v>
      </c>
      <c r="E355" t="b">
        <f t="shared" si="18"/>
        <v>1</v>
      </c>
      <c r="F355" s="4" t="s">
        <v>930</v>
      </c>
      <c r="G355" t="str">
        <f>IF(ISERROR(VLOOKUP(F355,MODIFICACIONES_REALIZADAS!F:H,3,)),F355,VLOOKUP(F355,MODIFICACIONES_REALIZADAS!F:H,3,))</f>
        <v>I-O-DIF-Inspector-Reg-Prioritarios-Sin-VidaAhorro-RRTT</v>
      </c>
      <c r="H355">
        <v>20140101</v>
      </c>
      <c r="I355">
        <v>22000101</v>
      </c>
    </row>
    <row r="356" spans="1:11" x14ac:dyDescent="0.25">
      <c r="A356">
        <v>3</v>
      </c>
      <c r="B356" t="s">
        <v>55</v>
      </c>
      <c r="C356" t="s">
        <v>57</v>
      </c>
      <c r="D356" s="4" t="s">
        <v>927</v>
      </c>
      <c r="E356" t="b">
        <f t="shared" si="18"/>
        <v>1</v>
      </c>
      <c r="F356" s="4" t="s">
        <v>931</v>
      </c>
      <c r="G356" t="str">
        <f>IF(ISERROR(VLOOKUP(F356,MODIFICACIONES_REALIZADAS!F:H,3,)),F356,VLOOKUP(F356,MODIFICACIONES_REALIZADAS!F:H,3,))</f>
        <v>I-O-DIF-Inspector-Reg-Prioritarios-Sin-VidaAhorro-RRGG</v>
      </c>
      <c r="H356">
        <v>20140101</v>
      </c>
      <c r="I356">
        <v>22000101</v>
      </c>
    </row>
    <row r="357" spans="1:11" x14ac:dyDescent="0.25">
      <c r="A357">
        <v>3</v>
      </c>
      <c r="B357" t="s">
        <v>55</v>
      </c>
      <c r="C357" t="s">
        <v>57</v>
      </c>
      <c r="D357" s="4" t="s">
        <v>932</v>
      </c>
      <c r="E357" t="b">
        <f t="shared" si="18"/>
        <v>1</v>
      </c>
      <c r="F357" s="4" t="s">
        <v>933</v>
      </c>
      <c r="G357" t="str">
        <f>IF(ISERROR(VLOOKUP(F357,MODIFICACIONES_REALIZADAS!F:H,3,)),F357,VLOOKUP(F357,MODIFICACIONES_REALIZADAS!F:H,3,))</f>
        <v>I-O-DIF-Inspector-PagoReg-004-y-NoPrioritarios-RRGG</v>
      </c>
      <c r="H357">
        <v>20140101</v>
      </c>
      <c r="I357">
        <v>22000101</v>
      </c>
    </row>
    <row r="358" spans="1:11" x14ac:dyDescent="0.25">
      <c r="A358">
        <v>3</v>
      </c>
      <c r="B358" t="s">
        <v>55</v>
      </c>
      <c r="C358" t="s">
        <v>57</v>
      </c>
      <c r="D358" s="4" t="s">
        <v>932</v>
      </c>
      <c r="E358" t="b">
        <f t="shared" si="18"/>
        <v>1</v>
      </c>
      <c r="F358" s="4" t="s">
        <v>934</v>
      </c>
      <c r="G358" t="str">
        <f>IF(ISERROR(VLOOKUP(F358,MODIFICACIONES_REALIZADAS!F:H,3,)),F358,VLOOKUP(F358,MODIFICACIONES_REALIZADAS!F:H,3,))</f>
        <v>I-O-DIF-Inspector-PagoReg-004-y-NoPrioritarios-RRTT</v>
      </c>
      <c r="H358">
        <v>20140101</v>
      </c>
      <c r="I358">
        <v>22000101</v>
      </c>
    </row>
    <row r="359" spans="1:11" x14ac:dyDescent="0.25">
      <c r="A359">
        <v>3</v>
      </c>
      <c r="B359" t="s">
        <v>55</v>
      </c>
      <c r="C359" t="s">
        <v>57</v>
      </c>
      <c r="D359" s="4" t="s">
        <v>932</v>
      </c>
      <c r="E359" t="b">
        <f t="shared" si="18"/>
        <v>1</v>
      </c>
      <c r="F359" s="4" t="s">
        <v>935</v>
      </c>
      <c r="G359" t="str">
        <f>IF(ISERROR(VLOOKUP(F359,MODIFICACIONES_REALIZADAS!F:H,3,)),F359,VLOOKUP(F359,MODIFICACIONES_REALIZADAS!F:H,3,))</f>
        <v>I-O-DIF-Inspector-PagoReg-Prioritarios-Sin-VidaAhorro-RRGG</v>
      </c>
      <c r="H359">
        <v>20140101</v>
      </c>
      <c r="I359">
        <v>22000101</v>
      </c>
    </row>
    <row r="360" spans="1:11" x14ac:dyDescent="0.25">
      <c r="A360">
        <v>3</v>
      </c>
      <c r="B360" t="s">
        <v>55</v>
      </c>
      <c r="C360" t="s">
        <v>57</v>
      </c>
      <c r="D360" s="4" t="s">
        <v>932</v>
      </c>
      <c r="E360" t="b">
        <f t="shared" si="18"/>
        <v>1</v>
      </c>
      <c r="F360" s="4" t="s">
        <v>936</v>
      </c>
      <c r="G360" t="str">
        <f>IF(ISERROR(VLOOKUP(F360,MODIFICACIONES_REALIZADAS!F:H,3,)),F360,VLOOKUP(F360,MODIFICACIONES_REALIZADAS!F:H,3,))</f>
        <v>I-O-DIF-Inspector-PagoReg-Prioritarios-Sin-VidaAhorro-RRTT</v>
      </c>
      <c r="H360">
        <v>20140101</v>
      </c>
      <c r="I360">
        <v>22000101</v>
      </c>
    </row>
    <row r="361" spans="1:11" x14ac:dyDescent="0.25">
      <c r="A361" s="25">
        <v>3</v>
      </c>
      <c r="B361" s="25" t="s">
        <v>59</v>
      </c>
      <c r="C361" s="25" t="s">
        <v>61</v>
      </c>
      <c r="D361" s="25" t="s">
        <v>937</v>
      </c>
      <c r="E361" s="25" t="b">
        <f>F361=G361</f>
        <v>1</v>
      </c>
      <c r="F361" s="25" t="s">
        <v>938</v>
      </c>
      <c r="G361" s="25" t="str">
        <f>IF(ISERROR(VLOOKUP(F361,MODIFICACIONES_REALIZADAS!F:H,3,)),F361,VLOOKUP(F361,MODIFICACIONES_REALIZADAS!F:H,3,))</f>
        <v>DC-O-GEN-Inspector-PrimaCorregida-004</v>
      </c>
      <c r="H361" s="25">
        <v>20140101</v>
      </c>
      <c r="I361" s="25">
        <v>22000101</v>
      </c>
      <c r="J361" s="25" t="s">
        <v>390</v>
      </c>
      <c r="K361" s="25"/>
    </row>
    <row r="362" spans="1:11" x14ac:dyDescent="0.25">
      <c r="A362" s="25">
        <v>3</v>
      </c>
      <c r="B362" s="25" t="s">
        <v>59</v>
      </c>
      <c r="C362" s="25" t="s">
        <v>61</v>
      </c>
      <c r="D362" s="25" t="s">
        <v>937</v>
      </c>
      <c r="E362" s="25" t="b">
        <f>F362=G362</f>
        <v>1</v>
      </c>
      <c r="F362" s="25" t="s">
        <v>939</v>
      </c>
      <c r="G362" s="25" t="str">
        <f>IF(ISERROR(VLOOKUP(F362,MODIFICACIONES_REALIZADAS!F:H,3,)),F362,VLOOKUP(F362,MODIFICACIONES_REALIZADAS!F:H,3,))</f>
        <v>IC-O-GEN-Inspector-PrimaCorregida-004</v>
      </c>
      <c r="H362" s="25">
        <v>20140101</v>
      </c>
      <c r="I362" s="25">
        <v>22000101</v>
      </c>
      <c r="J362" s="25" t="s">
        <v>390</v>
      </c>
      <c r="K362" s="25"/>
    </row>
    <row r="363" spans="1:11" x14ac:dyDescent="0.25">
      <c r="A363" s="25">
        <v>3</v>
      </c>
      <c r="B363" s="25" t="s">
        <v>59</v>
      </c>
      <c r="C363" s="25" t="s">
        <v>61</v>
      </c>
      <c r="D363" s="25" t="s">
        <v>937</v>
      </c>
      <c r="E363" s="25" t="b">
        <f t="shared" si="18"/>
        <v>0</v>
      </c>
      <c r="F363" s="25" t="s">
        <v>533</v>
      </c>
      <c r="G363" s="25" t="str">
        <f>IF(ISERROR(VLOOKUP(F363,MODIFICACIONES_REALIZADAS!F:H,3,)),F363,VLOOKUP(F363,MODIFICACIONES_REALIZADAS!F:H,3,))</f>
        <v>DC-O-GEN-Inspector-PrimaCorregida-998</v>
      </c>
      <c r="H363" s="25">
        <v>20140101</v>
      </c>
      <c r="I363" s="25">
        <v>22000101</v>
      </c>
      <c r="J363" s="25" t="s">
        <v>390</v>
      </c>
      <c r="K363" s="25"/>
    </row>
    <row r="364" spans="1:11" x14ac:dyDescent="0.25">
      <c r="A364" s="25">
        <v>3</v>
      </c>
      <c r="B364" s="25" t="s">
        <v>59</v>
      </c>
      <c r="C364" s="25" t="s">
        <v>61</v>
      </c>
      <c r="D364" s="25" t="s">
        <v>937</v>
      </c>
      <c r="E364" s="25" t="b">
        <f t="shared" si="18"/>
        <v>0</v>
      </c>
      <c r="F364" s="25" t="s">
        <v>535</v>
      </c>
      <c r="G364" s="25" t="str">
        <f>IF(ISERROR(VLOOKUP(F364,MODIFICACIONES_REALIZADAS!F:H,3,)),F364,VLOOKUP(F364,MODIFICACIONES_REALIZADAS!F:H,3,))</f>
        <v>IC-O-GEN-Inspector-PrimaCorregida-998</v>
      </c>
      <c r="H364" s="25">
        <v>20140101</v>
      </c>
      <c r="I364" s="25">
        <v>22000101</v>
      </c>
      <c r="J364" s="25" t="s">
        <v>390</v>
      </c>
      <c r="K364" s="25"/>
    </row>
    <row r="365" spans="1:11" x14ac:dyDescent="0.25">
      <c r="A365" s="25">
        <v>3</v>
      </c>
      <c r="B365" s="25" t="s">
        <v>59</v>
      </c>
      <c r="C365" s="25" t="s">
        <v>61</v>
      </c>
      <c r="D365" s="25" t="s">
        <v>940</v>
      </c>
      <c r="E365" s="25" t="b">
        <f t="shared" si="18"/>
        <v>0</v>
      </c>
      <c r="F365" s="25" t="s">
        <v>537</v>
      </c>
      <c r="G365" s="25" t="str">
        <f>IF(ISERROR(VLOOKUP(F365,MODIFICACIONES_REALIZADAS!F:H,3,)),F365,VLOOKUP(F365,MODIFICACIONES_REALIZADAS!F:H,3,))</f>
        <v>DC-O-GEN-Inspector-NumeroPolizas-998</v>
      </c>
      <c r="H365" s="25">
        <v>20140101</v>
      </c>
      <c r="I365" s="25">
        <v>22000101</v>
      </c>
      <c r="J365" s="25" t="s">
        <v>390</v>
      </c>
      <c r="K365" s="25"/>
    </row>
    <row r="366" spans="1:11" x14ac:dyDescent="0.25">
      <c r="A366" s="25">
        <v>3</v>
      </c>
      <c r="B366" s="25" t="s">
        <v>59</v>
      </c>
      <c r="C366" s="25" t="s">
        <v>61</v>
      </c>
      <c r="D366" s="25" t="s">
        <v>940</v>
      </c>
      <c r="E366" s="25" t="b">
        <f t="shared" si="18"/>
        <v>0</v>
      </c>
      <c r="F366" s="25" t="s">
        <v>539</v>
      </c>
      <c r="G366" s="25" t="str">
        <f>IF(ISERROR(VLOOKUP(F366,MODIFICACIONES_REALIZADAS!F:H,3,)),F366,VLOOKUP(F366,MODIFICACIONES_REALIZADAS!F:H,3,))</f>
        <v>IC-O-GEN-Inspector-NumeroPolizas-998</v>
      </c>
      <c r="H366" s="25">
        <v>20140101</v>
      </c>
      <c r="I366" s="25">
        <v>22000101</v>
      </c>
      <c r="J366" s="25" t="s">
        <v>390</v>
      </c>
      <c r="K366" s="25"/>
    </row>
    <row r="367" spans="1:11" x14ac:dyDescent="0.25">
      <c r="A367" s="2">
        <v>3</v>
      </c>
      <c r="B367" s="2" t="s">
        <v>63</v>
      </c>
      <c r="C367" s="2" t="s">
        <v>65</v>
      </c>
      <c r="D367" s="2" t="s">
        <v>717</v>
      </c>
      <c r="E367" s="2" t="b">
        <f t="shared" ref="E367:E438" si="37">F367=G367</f>
        <v>0</v>
      </c>
      <c r="F367" s="2" t="s">
        <v>379</v>
      </c>
      <c r="G367" s="2" t="str">
        <f>IF(ISERROR(VLOOKUP(F367,MODIFICACIONES_REALIZADAS!F:H,3,)),F367,VLOOKUP(F367,MODIFICACIONES_REALIZADAS!F:H,3,))</f>
        <v>PM-O-GEN-Inspector-NumeroPolizas-998</v>
      </c>
      <c r="H367" s="2">
        <v>20140101</v>
      </c>
      <c r="I367" s="2">
        <v>20170101</v>
      </c>
      <c r="J367" s="2" t="s">
        <v>71</v>
      </c>
      <c r="K367" s="2"/>
    </row>
    <row r="368" spans="1:11" x14ac:dyDescent="0.25">
      <c r="A368" s="2">
        <v>3</v>
      </c>
      <c r="B368" s="2" t="s">
        <v>63</v>
      </c>
      <c r="C368" s="2" t="s">
        <v>65</v>
      </c>
      <c r="D368" s="2" t="s">
        <v>717</v>
      </c>
      <c r="E368" s="2" t="b">
        <f t="shared" si="37"/>
        <v>0</v>
      </c>
      <c r="F368" s="2" t="s">
        <v>400</v>
      </c>
      <c r="G368" s="2" t="str">
        <f>IF(ISERROR(VLOOKUP(F368,MODIFICACIONES_REALIZADAS!F:H,3,)),F368,VLOOKUP(F368,MODIFICACIONES_REALIZADAS!F:H,3,))</f>
        <v>PM-O-GEN-Inspector-NumeroPolizas-998-Agentes</v>
      </c>
      <c r="H368" s="2">
        <v>20140101</v>
      </c>
      <c r="I368" s="2">
        <v>20170101</v>
      </c>
      <c r="J368" s="2" t="s">
        <v>71</v>
      </c>
      <c r="K368" s="2"/>
    </row>
    <row r="369" spans="1:11" x14ac:dyDescent="0.25">
      <c r="A369" s="2">
        <v>3</v>
      </c>
      <c r="B369" s="2" t="s">
        <v>63</v>
      </c>
      <c r="C369" s="2" t="s">
        <v>65</v>
      </c>
      <c r="D369" s="2" t="s">
        <v>717</v>
      </c>
      <c r="E369" s="2" t="b">
        <f t="shared" si="37"/>
        <v>0</v>
      </c>
      <c r="F369" s="2" t="s">
        <v>387</v>
      </c>
      <c r="G369" s="2" t="str">
        <f>IF(ISERROR(VLOOKUP(F369,MODIFICACIONES_REALIZADAS!F:H,3,)),F369,VLOOKUP(F369,MODIFICACIONES_REALIZADAS!F:H,3,))</f>
        <v>PM-O-GEN-Inspector-PrimaCorregida-998</v>
      </c>
      <c r="H369" s="2">
        <v>20140101</v>
      </c>
      <c r="I369" s="2">
        <v>20170101</v>
      </c>
      <c r="J369" s="2" t="s">
        <v>71</v>
      </c>
      <c r="K369" s="2"/>
    </row>
    <row r="370" spans="1:11" x14ac:dyDescent="0.25">
      <c r="A370" s="2">
        <v>3</v>
      </c>
      <c r="B370" s="2" t="s">
        <v>63</v>
      </c>
      <c r="C370" s="2" t="s">
        <v>65</v>
      </c>
      <c r="D370" s="2" t="s">
        <v>717</v>
      </c>
      <c r="E370" s="2" t="b">
        <f t="shared" si="37"/>
        <v>0</v>
      </c>
      <c r="F370" s="2" t="s">
        <v>408</v>
      </c>
      <c r="G370" s="2" t="str">
        <f>IF(ISERROR(VLOOKUP(F370,MODIFICACIONES_REALIZADAS!F:H,3,)),F370,VLOOKUP(F370,MODIFICACIONES_REALIZADAS!F:H,3,))</f>
        <v>PM-O-GEN-Inspector-PrimaCorregida-998-Agentes</v>
      </c>
      <c r="H370" s="2">
        <v>20140101</v>
      </c>
      <c r="I370" s="2">
        <v>20170101</v>
      </c>
      <c r="J370" s="2" t="s">
        <v>71</v>
      </c>
      <c r="K370" s="2"/>
    </row>
    <row r="371" spans="1:11" x14ac:dyDescent="0.25">
      <c r="A371" s="2">
        <v>3</v>
      </c>
      <c r="B371" s="2" t="s">
        <v>63</v>
      </c>
      <c r="C371" s="2" t="s">
        <v>65</v>
      </c>
      <c r="D371" s="2" t="s">
        <v>717</v>
      </c>
      <c r="E371" s="2" t="b">
        <f t="shared" si="37"/>
        <v>0</v>
      </c>
      <c r="F371" s="2" t="s">
        <v>377</v>
      </c>
      <c r="G371" s="2" t="str">
        <f>IF(ISERROR(VLOOKUP(F371,MODIFICACIONES_REALIZADAS!F:H,3,)),F371,VLOOKUP(F371,MODIFICACIONES_REALIZADAS!F:H,3,))</f>
        <v>PM-O-GEN-Inspector-NumeroPolizas-906</v>
      </c>
      <c r="H371" s="2">
        <v>20140101</v>
      </c>
      <c r="I371" s="2">
        <v>20170101</v>
      </c>
      <c r="J371" s="2" t="s">
        <v>71</v>
      </c>
      <c r="K371" s="2"/>
    </row>
    <row r="372" spans="1:11" x14ac:dyDescent="0.25">
      <c r="A372" s="2">
        <v>3</v>
      </c>
      <c r="B372" s="2" t="s">
        <v>63</v>
      </c>
      <c r="C372" s="2" t="s">
        <v>65</v>
      </c>
      <c r="D372" s="2" t="s">
        <v>717</v>
      </c>
      <c r="E372" s="2" t="b">
        <f t="shared" si="37"/>
        <v>0</v>
      </c>
      <c r="F372" s="2" t="s">
        <v>398</v>
      </c>
      <c r="G372" s="2" t="str">
        <f>IF(ISERROR(VLOOKUP(F372,MODIFICACIONES_REALIZADAS!F:H,3,)),F372,VLOOKUP(F372,MODIFICACIONES_REALIZADAS!F:H,3,))</f>
        <v>PM-O-GEN-Inspector-NumeroPolizas-906-Agentes</v>
      </c>
      <c r="H372" s="2">
        <v>20140101</v>
      </c>
      <c r="I372" s="2">
        <v>20170101</v>
      </c>
      <c r="J372" s="2" t="s">
        <v>71</v>
      </c>
      <c r="K372" s="2"/>
    </row>
    <row r="373" spans="1:11" x14ac:dyDescent="0.25">
      <c r="A373" s="2">
        <v>3</v>
      </c>
      <c r="B373" s="2" t="s">
        <v>63</v>
      </c>
      <c r="C373" s="2" t="s">
        <v>65</v>
      </c>
      <c r="D373" s="2" t="s">
        <v>717</v>
      </c>
      <c r="E373" s="2" t="b">
        <f t="shared" si="37"/>
        <v>0</v>
      </c>
      <c r="F373" s="2" t="s">
        <v>375</v>
      </c>
      <c r="G373" s="2" t="str">
        <f>IF(ISERROR(VLOOKUP(F373,MODIFICACIONES_REALIZADAS!F:H,3,)),F373,VLOOKUP(F373,MODIFICACIONES_REALIZADAS!F:H,3,))</f>
        <v>PM-O-GEN-Inspector-NumeroPolizas-002</v>
      </c>
      <c r="H373" s="2">
        <v>20140101</v>
      </c>
      <c r="I373" s="2">
        <v>20170101</v>
      </c>
      <c r="J373" s="2" t="s">
        <v>71</v>
      </c>
      <c r="K373" s="2"/>
    </row>
    <row r="374" spans="1:11" x14ac:dyDescent="0.25">
      <c r="A374" s="2">
        <v>3</v>
      </c>
      <c r="B374" s="2" t="s">
        <v>63</v>
      </c>
      <c r="C374" s="2" t="s">
        <v>65</v>
      </c>
      <c r="D374" s="2" t="s">
        <v>717</v>
      </c>
      <c r="E374" s="2" t="b">
        <f t="shared" si="37"/>
        <v>0</v>
      </c>
      <c r="F374" s="2" t="s">
        <v>396</v>
      </c>
      <c r="G374" s="2" t="str">
        <f>IF(ISERROR(VLOOKUP(F374,MODIFICACIONES_REALIZADAS!F:H,3,)),F374,VLOOKUP(F374,MODIFICACIONES_REALIZADAS!F:H,3,))</f>
        <v>PM-O-GEN-Inspector-NumeroPolizas-002-Agentes</v>
      </c>
      <c r="H374" s="2">
        <v>20140101</v>
      </c>
      <c r="I374" s="2">
        <v>20170101</v>
      </c>
      <c r="J374" s="2" t="s">
        <v>71</v>
      </c>
      <c r="K374" s="2"/>
    </row>
    <row r="375" spans="1:11" x14ac:dyDescent="0.25">
      <c r="A375" s="2">
        <v>3</v>
      </c>
      <c r="B375" s="2" t="s">
        <v>63</v>
      </c>
      <c r="C375" s="2" t="s">
        <v>65</v>
      </c>
      <c r="D375" s="2" t="s">
        <v>717</v>
      </c>
      <c r="E375" s="2" t="b">
        <f t="shared" si="37"/>
        <v>1</v>
      </c>
      <c r="F375" s="2" t="s">
        <v>941</v>
      </c>
      <c r="G375" s="2" t="str">
        <f>IF(ISERROR(VLOOKUP(F375,MODIFICACIONES_REALIZADAS!F:H,3,)),F375,VLOOKUP(F375,MODIFICACIONES_REALIZADAS!F:H,3,))</f>
        <v>PM-O-GEN-Inspector-NumeroPolizas-997</v>
      </c>
      <c r="H375" s="2">
        <v>20140101</v>
      </c>
      <c r="I375" s="2">
        <v>20170101</v>
      </c>
      <c r="J375" s="2" t="s">
        <v>71</v>
      </c>
      <c r="K375" s="2"/>
    </row>
    <row r="376" spans="1:11" x14ac:dyDescent="0.25">
      <c r="A376" s="2">
        <v>3</v>
      </c>
      <c r="B376" s="2" t="s">
        <v>63</v>
      </c>
      <c r="C376" s="2" t="s">
        <v>65</v>
      </c>
      <c r="D376" s="2" t="s">
        <v>717</v>
      </c>
      <c r="E376" s="2" t="b">
        <f t="shared" si="37"/>
        <v>1</v>
      </c>
      <c r="F376" s="2" t="s">
        <v>942</v>
      </c>
      <c r="G376" s="2" t="str">
        <f>IF(ISERROR(VLOOKUP(F376,MODIFICACIONES_REALIZADAS!F:H,3,)),F376,VLOOKUP(F376,MODIFICACIONES_REALIZADAS!F:H,3,))</f>
        <v>PM-O-GEN-Inspector-NumeroPolizas-997-Agentes</v>
      </c>
      <c r="H376" s="2">
        <v>20140101</v>
      </c>
      <c r="I376" s="2">
        <v>20170101</v>
      </c>
      <c r="J376" s="2" t="s">
        <v>71</v>
      </c>
      <c r="K376" s="2"/>
    </row>
    <row r="377" spans="1:11" x14ac:dyDescent="0.25">
      <c r="A377" s="2">
        <v>3</v>
      </c>
      <c r="B377" s="2" t="s">
        <v>63</v>
      </c>
      <c r="C377" s="2" t="s">
        <v>65</v>
      </c>
      <c r="D377" s="2" t="s">
        <v>717</v>
      </c>
      <c r="E377" s="2" t="b">
        <f t="shared" si="37"/>
        <v>1</v>
      </c>
      <c r="F377" s="2" t="s">
        <v>943</v>
      </c>
      <c r="G377" s="2" t="str">
        <f>IF(ISERROR(VLOOKUP(F377,MODIFICACIONES_REALIZADAS!F:H,3,)),F377,VLOOKUP(F377,MODIFICACIONES_REALIZADAS!F:H,3,))</f>
        <v>PM-O-GEN-Inspector-NumeroPolizas-008</v>
      </c>
      <c r="H377" s="2">
        <v>20140101</v>
      </c>
      <c r="I377" s="2">
        <v>20170101</v>
      </c>
      <c r="J377" s="2" t="s">
        <v>71</v>
      </c>
      <c r="K377" s="2"/>
    </row>
    <row r="378" spans="1:11" x14ac:dyDescent="0.25">
      <c r="A378" s="2">
        <v>3</v>
      </c>
      <c r="B378" s="2" t="s">
        <v>63</v>
      </c>
      <c r="C378" s="2" t="s">
        <v>65</v>
      </c>
      <c r="D378" s="2" t="s">
        <v>717</v>
      </c>
      <c r="E378" s="2" t="b">
        <f t="shared" si="37"/>
        <v>1</v>
      </c>
      <c r="F378" s="2" t="s">
        <v>944</v>
      </c>
      <c r="G378" s="2" t="str">
        <f>IF(ISERROR(VLOOKUP(F378,MODIFICACIONES_REALIZADAS!F:H,3,)),F378,VLOOKUP(F378,MODIFICACIONES_REALIZADAS!F:H,3,))</f>
        <v>PM-O-GEN-Inspector-NumeroPolizas-008-Agentes</v>
      </c>
      <c r="H378" s="2">
        <v>20140101</v>
      </c>
      <c r="I378" s="2">
        <v>20170101</v>
      </c>
      <c r="J378" s="2" t="s">
        <v>71</v>
      </c>
      <c r="K378" s="2"/>
    </row>
    <row r="379" spans="1:11" x14ac:dyDescent="0.25">
      <c r="A379" s="2">
        <v>3</v>
      </c>
      <c r="B379" s="2" t="s">
        <v>63</v>
      </c>
      <c r="C379" s="2" t="s">
        <v>65</v>
      </c>
      <c r="D379" s="2" t="s">
        <v>717</v>
      </c>
      <c r="E379" s="2" t="b">
        <f t="shared" si="37"/>
        <v>1</v>
      </c>
      <c r="F379" s="2" t="s">
        <v>945</v>
      </c>
      <c r="G379" s="2" t="str">
        <f>IF(ISERROR(VLOOKUP(F379,MODIFICACIONES_REALIZADAS!F:H,3,)),F379,VLOOKUP(F379,MODIFICACIONES_REALIZADAS!F:H,3,))</f>
        <v>PM-O-GEN-Inspector-PrimaCorregida-997</v>
      </c>
      <c r="H379" s="2">
        <v>20140101</v>
      </c>
      <c r="I379" s="2">
        <v>20170101</v>
      </c>
      <c r="J379" s="2" t="s">
        <v>71</v>
      </c>
      <c r="K379" s="2"/>
    </row>
    <row r="380" spans="1:11" x14ac:dyDescent="0.25">
      <c r="A380" s="2">
        <v>3</v>
      </c>
      <c r="B380" s="2" t="s">
        <v>63</v>
      </c>
      <c r="C380" s="2" t="s">
        <v>65</v>
      </c>
      <c r="D380" s="2" t="s">
        <v>717</v>
      </c>
      <c r="E380" s="2" t="b">
        <f t="shared" si="37"/>
        <v>1</v>
      </c>
      <c r="F380" s="2" t="s">
        <v>946</v>
      </c>
      <c r="G380" s="2" t="str">
        <f>IF(ISERROR(VLOOKUP(F380,MODIFICACIONES_REALIZADAS!F:H,3,)),F380,VLOOKUP(F380,MODIFICACIONES_REALIZADAS!F:H,3,))</f>
        <v>PM-O-GEN-Inspector-PrimaCorregida-997-Agentes</v>
      </c>
      <c r="H380" s="2">
        <v>20140101</v>
      </c>
      <c r="I380" s="2">
        <v>20170101</v>
      </c>
      <c r="J380" s="2" t="s">
        <v>71</v>
      </c>
      <c r="K380" s="2"/>
    </row>
    <row r="381" spans="1:11" x14ac:dyDescent="0.25">
      <c r="A381" s="2">
        <v>3</v>
      </c>
      <c r="B381" s="2" t="s">
        <v>63</v>
      </c>
      <c r="C381" s="2" t="s">
        <v>65</v>
      </c>
      <c r="D381" s="2" t="s">
        <v>717</v>
      </c>
      <c r="E381" s="2" t="b">
        <f t="shared" si="37"/>
        <v>1</v>
      </c>
      <c r="F381" s="2" t="s">
        <v>947</v>
      </c>
      <c r="G381" s="2" t="str">
        <f>IF(ISERROR(VLOOKUP(F381,MODIFICACIONES_REALIZADAS!F:H,3,)),F381,VLOOKUP(F381,MODIFICACIONES_REALIZADAS!F:H,3,))</f>
        <v>PM-O-GEN-Inspector-PrimaCorregida-001</v>
      </c>
      <c r="H381" s="2">
        <v>20140101</v>
      </c>
      <c r="I381" s="2">
        <v>20170101</v>
      </c>
      <c r="J381" s="2" t="s">
        <v>71</v>
      </c>
      <c r="K381" s="2"/>
    </row>
    <row r="382" spans="1:11" x14ac:dyDescent="0.25">
      <c r="A382" s="2">
        <v>3</v>
      </c>
      <c r="B382" s="2" t="s">
        <v>63</v>
      </c>
      <c r="C382" s="2" t="s">
        <v>65</v>
      </c>
      <c r="D382" s="2" t="s">
        <v>717</v>
      </c>
      <c r="E382" s="2" t="b">
        <f t="shared" si="37"/>
        <v>1</v>
      </c>
      <c r="F382" s="2" t="s">
        <v>948</v>
      </c>
      <c r="G382" s="2" t="str">
        <f>IF(ISERROR(VLOOKUP(F382,MODIFICACIONES_REALIZADAS!F:H,3,)),F382,VLOOKUP(F382,MODIFICACIONES_REALIZADAS!F:H,3,))</f>
        <v>PM-O-GEN-Inspector-PrimaCorregida-001-Agentes</v>
      </c>
      <c r="H382" s="2">
        <v>20140101</v>
      </c>
      <c r="I382" s="2">
        <v>20170101</v>
      </c>
      <c r="J382" s="2" t="s">
        <v>71</v>
      </c>
      <c r="K382" s="2"/>
    </row>
    <row r="383" spans="1:11" x14ac:dyDescent="0.25">
      <c r="A383" s="2">
        <v>3</v>
      </c>
      <c r="B383" s="2" t="s">
        <v>63</v>
      </c>
      <c r="C383" s="2" t="s">
        <v>65</v>
      </c>
      <c r="D383" s="2" t="s">
        <v>717</v>
      </c>
      <c r="E383" s="2" t="b">
        <f t="shared" si="37"/>
        <v>1</v>
      </c>
      <c r="F383" s="2" t="s">
        <v>949</v>
      </c>
      <c r="G383" s="2" t="str">
        <f>IF(ISERROR(VLOOKUP(F383,MODIFICACIONES_REALIZADAS!F:H,3,)),F383,VLOOKUP(F383,MODIFICACIONES_REALIZADAS!F:H,3,))</f>
        <v>PM-O-GEN-Inspector-PrimaCorregida-002</v>
      </c>
      <c r="H383" s="2">
        <v>20140101</v>
      </c>
      <c r="I383" s="2">
        <v>20170101</v>
      </c>
      <c r="J383" s="2" t="s">
        <v>71</v>
      </c>
      <c r="K383" s="2"/>
    </row>
    <row r="384" spans="1:11" x14ac:dyDescent="0.25">
      <c r="A384" s="2">
        <v>3</v>
      </c>
      <c r="B384" s="2" t="s">
        <v>63</v>
      </c>
      <c r="C384" s="2" t="s">
        <v>65</v>
      </c>
      <c r="D384" s="2" t="s">
        <v>717</v>
      </c>
      <c r="E384" s="2" t="b">
        <f t="shared" si="37"/>
        <v>1</v>
      </c>
      <c r="F384" s="2" t="s">
        <v>950</v>
      </c>
      <c r="G384" s="2" t="str">
        <f>IF(ISERROR(VLOOKUP(F384,MODIFICACIONES_REALIZADAS!F:H,3,)),F384,VLOOKUP(F384,MODIFICACIONES_REALIZADAS!F:H,3,))</f>
        <v>PM-O-GEN-Inspector-PrimaCorregida-002-Agentes</v>
      </c>
      <c r="H384" s="2">
        <v>20140101</v>
      </c>
      <c r="I384" s="2">
        <v>20170101</v>
      </c>
      <c r="J384" s="2" t="s">
        <v>71</v>
      </c>
      <c r="K384" s="2"/>
    </row>
    <row r="385" spans="1:11" x14ac:dyDescent="0.25">
      <c r="A385" s="2">
        <v>3</v>
      </c>
      <c r="B385" s="2" t="s">
        <v>63</v>
      </c>
      <c r="C385" s="2" t="s">
        <v>65</v>
      </c>
      <c r="D385" s="2" t="s">
        <v>717</v>
      </c>
      <c r="E385" s="2" t="b">
        <f t="shared" si="37"/>
        <v>1</v>
      </c>
      <c r="F385" s="2" t="s">
        <v>951</v>
      </c>
      <c r="G385" s="2" t="str">
        <f>IF(ISERROR(VLOOKUP(F385,MODIFICACIONES_REALIZADAS!F:H,3,)),F385,VLOOKUP(F385,MODIFICACIONES_REALIZADAS!F:H,3,))</f>
        <v>PM-O-GEN-Inspector-PrimaCorregida-003</v>
      </c>
      <c r="H385" s="2">
        <v>20140101</v>
      </c>
      <c r="I385" s="2">
        <v>20170101</v>
      </c>
      <c r="J385" s="2" t="s">
        <v>71</v>
      </c>
      <c r="K385" s="2"/>
    </row>
    <row r="386" spans="1:11" x14ac:dyDescent="0.25">
      <c r="A386" s="2">
        <v>3</v>
      </c>
      <c r="B386" s="2" t="s">
        <v>63</v>
      </c>
      <c r="C386" s="2" t="s">
        <v>65</v>
      </c>
      <c r="D386" s="2" t="s">
        <v>717</v>
      </c>
      <c r="E386" s="2" t="b">
        <f t="shared" si="37"/>
        <v>1</v>
      </c>
      <c r="F386" s="2" t="s">
        <v>952</v>
      </c>
      <c r="G386" s="2" t="str">
        <f>IF(ISERROR(VLOOKUP(F386,MODIFICACIONES_REALIZADAS!F:H,3,)),F386,VLOOKUP(F386,MODIFICACIONES_REALIZADAS!F:H,3,))</f>
        <v>PM-O-GEN-Inspector-PrimaCorregida-003-Agentes</v>
      </c>
      <c r="H386" s="2">
        <v>20140101</v>
      </c>
      <c r="I386" s="2">
        <v>20170101</v>
      </c>
      <c r="J386" s="2" t="s">
        <v>71</v>
      </c>
      <c r="K386" s="2"/>
    </row>
    <row r="387" spans="1:11" x14ac:dyDescent="0.25">
      <c r="A387" s="2">
        <v>3</v>
      </c>
      <c r="B387" s="2" t="s">
        <v>63</v>
      </c>
      <c r="C387" s="2" t="s">
        <v>65</v>
      </c>
      <c r="D387" s="2" t="s">
        <v>717</v>
      </c>
      <c r="E387" s="2" t="b">
        <f t="shared" si="37"/>
        <v>1</v>
      </c>
      <c r="F387" s="2" t="s">
        <v>953</v>
      </c>
      <c r="G387" s="2" t="str">
        <f>IF(ISERROR(VLOOKUP(F387,MODIFICACIONES_REALIZADAS!F:H,3,)),F387,VLOOKUP(F387,MODIFICACIONES_REALIZADAS!F:H,3,))</f>
        <v>PM-O-GEN-Inspector-PrimaCorregida-004</v>
      </c>
      <c r="H387" s="2">
        <v>20140101</v>
      </c>
      <c r="I387" s="2">
        <v>20170101</v>
      </c>
      <c r="J387" s="2" t="s">
        <v>71</v>
      </c>
      <c r="K387" s="2"/>
    </row>
    <row r="388" spans="1:11" x14ac:dyDescent="0.25">
      <c r="A388" s="2">
        <v>3</v>
      </c>
      <c r="B388" s="2" t="s">
        <v>63</v>
      </c>
      <c r="C388" s="2" t="s">
        <v>65</v>
      </c>
      <c r="D388" s="2" t="s">
        <v>717</v>
      </c>
      <c r="E388" s="2" t="b">
        <f t="shared" si="37"/>
        <v>1</v>
      </c>
      <c r="F388" s="2" t="s">
        <v>954</v>
      </c>
      <c r="G388" s="2" t="str">
        <f>IF(ISERROR(VLOOKUP(F388,MODIFICACIONES_REALIZADAS!F:H,3,)),F388,VLOOKUP(F388,MODIFICACIONES_REALIZADAS!F:H,3,))</f>
        <v>PM-O-GEN-Inspector-PrimaCorregida-004-Agentes</v>
      </c>
      <c r="H388" s="2">
        <v>20140101</v>
      </c>
      <c r="I388" s="2">
        <v>20170101</v>
      </c>
      <c r="J388" s="2" t="s">
        <v>71</v>
      </c>
      <c r="K388" s="2"/>
    </row>
    <row r="389" spans="1:11" x14ac:dyDescent="0.25">
      <c r="A389" s="2">
        <v>3</v>
      </c>
      <c r="B389" s="2" t="s">
        <v>63</v>
      </c>
      <c r="C389" s="2" t="s">
        <v>65</v>
      </c>
      <c r="D389" s="2" t="s">
        <v>717</v>
      </c>
      <c r="E389" s="2" t="b">
        <f t="shared" si="37"/>
        <v>1</v>
      </c>
      <c r="F389" s="2" t="s">
        <v>955</v>
      </c>
      <c r="G389" s="2" t="str">
        <f>IF(ISERROR(VLOOKUP(F389,MODIFICACIONES_REALIZADAS!F:H,3,)),F389,VLOOKUP(F389,MODIFICACIONES_REALIZADAS!F:H,3,))</f>
        <v>PM-O-GEN-Inspector-PrimaCorregida-005</v>
      </c>
      <c r="H389" s="2">
        <v>20140101</v>
      </c>
      <c r="I389" s="2">
        <v>20170101</v>
      </c>
      <c r="J389" s="2" t="s">
        <v>71</v>
      </c>
      <c r="K389" s="2"/>
    </row>
    <row r="390" spans="1:11" x14ac:dyDescent="0.25">
      <c r="A390" s="2">
        <v>3</v>
      </c>
      <c r="B390" s="2" t="s">
        <v>63</v>
      </c>
      <c r="C390" s="2" t="s">
        <v>65</v>
      </c>
      <c r="D390" s="2" t="s">
        <v>717</v>
      </c>
      <c r="E390" s="2" t="b">
        <f t="shared" si="37"/>
        <v>1</v>
      </c>
      <c r="F390" s="2" t="s">
        <v>956</v>
      </c>
      <c r="G390" s="2" t="str">
        <f>IF(ISERROR(VLOOKUP(F390,MODIFICACIONES_REALIZADAS!F:H,3,)),F390,VLOOKUP(F390,MODIFICACIONES_REALIZADAS!F:H,3,))</f>
        <v>PM-O-GEN-Inspector-PrimaCorregida-005-Agentes</v>
      </c>
      <c r="H390" s="2">
        <v>20140101</v>
      </c>
      <c r="I390" s="2">
        <v>20170101</v>
      </c>
      <c r="J390" s="2" t="s">
        <v>71</v>
      </c>
      <c r="K390" s="2"/>
    </row>
    <row r="391" spans="1:11" x14ac:dyDescent="0.25">
      <c r="A391" s="2">
        <v>3</v>
      </c>
      <c r="B391" s="2" t="s">
        <v>63</v>
      </c>
      <c r="C391" s="2" t="s">
        <v>65</v>
      </c>
      <c r="D391" s="2" t="s">
        <v>717</v>
      </c>
      <c r="E391" s="2" t="b">
        <f t="shared" si="37"/>
        <v>1</v>
      </c>
      <c r="F391" s="2" t="s">
        <v>957</v>
      </c>
      <c r="G391" s="2" t="str">
        <f>IF(ISERROR(VLOOKUP(F391,MODIFICACIONES_REALIZADAS!F:H,3,)),F391,VLOOKUP(F391,MODIFICACIONES_REALIZADAS!F:H,3,))</f>
        <v>PM-O-GEN-Inspector-PrimaCorregida-006</v>
      </c>
      <c r="H391" s="2">
        <v>20140101</v>
      </c>
      <c r="I391" s="2">
        <v>20170101</v>
      </c>
      <c r="J391" s="2" t="s">
        <v>71</v>
      </c>
      <c r="K391" s="2"/>
    </row>
    <row r="392" spans="1:11" x14ac:dyDescent="0.25">
      <c r="A392" s="2">
        <v>3</v>
      </c>
      <c r="B392" s="2" t="s">
        <v>63</v>
      </c>
      <c r="C392" s="2" t="s">
        <v>65</v>
      </c>
      <c r="D392" s="2" t="s">
        <v>717</v>
      </c>
      <c r="E392" s="2" t="b">
        <f t="shared" si="37"/>
        <v>1</v>
      </c>
      <c r="F392" s="2" t="s">
        <v>958</v>
      </c>
      <c r="G392" s="2" t="str">
        <f>IF(ISERROR(VLOOKUP(F392,MODIFICACIONES_REALIZADAS!F:H,3,)),F392,VLOOKUP(F392,MODIFICACIONES_REALIZADAS!F:H,3,))</f>
        <v>PM-O-GEN-Inspector-PrimaCorregida-006-Agentes</v>
      </c>
      <c r="H392" s="2">
        <v>20140101</v>
      </c>
      <c r="I392" s="2">
        <v>20170101</v>
      </c>
      <c r="J392" s="2" t="s">
        <v>71</v>
      </c>
      <c r="K392" s="2"/>
    </row>
    <row r="393" spans="1:11" x14ac:dyDescent="0.25">
      <c r="A393" s="2">
        <v>3</v>
      </c>
      <c r="B393" s="2" t="s">
        <v>63</v>
      </c>
      <c r="C393" s="2" t="s">
        <v>65</v>
      </c>
      <c r="D393" s="2" t="s">
        <v>717</v>
      </c>
      <c r="E393" s="2" t="b">
        <f t="shared" si="37"/>
        <v>1</v>
      </c>
      <c r="F393" s="2" t="s">
        <v>959</v>
      </c>
      <c r="G393" s="2" t="str">
        <f>IF(ISERROR(VLOOKUP(F393,MODIFICACIONES_REALIZADAS!F:H,3,)),F393,VLOOKUP(F393,MODIFICACIONES_REALIZADAS!F:H,3,))</f>
        <v>PM-O-GEN-Inspector-PrimaCorregida-007</v>
      </c>
      <c r="H393" s="2">
        <v>20140101</v>
      </c>
      <c r="I393" s="2">
        <v>20170101</v>
      </c>
      <c r="J393" s="2" t="s">
        <v>71</v>
      </c>
      <c r="K393" s="2"/>
    </row>
    <row r="394" spans="1:11" x14ac:dyDescent="0.25">
      <c r="A394" s="2">
        <v>3</v>
      </c>
      <c r="B394" s="2" t="s">
        <v>63</v>
      </c>
      <c r="C394" s="2" t="s">
        <v>65</v>
      </c>
      <c r="D394" s="2" t="s">
        <v>717</v>
      </c>
      <c r="E394" s="2" t="b">
        <f t="shared" si="37"/>
        <v>1</v>
      </c>
      <c r="F394" s="2" t="s">
        <v>960</v>
      </c>
      <c r="G394" s="2" t="str">
        <f>IF(ISERROR(VLOOKUP(F394,MODIFICACIONES_REALIZADAS!F:H,3,)),F394,VLOOKUP(F394,MODIFICACIONES_REALIZADAS!F:H,3,))</f>
        <v>PM-O-GEN-Inspector-PrimaCorregida-007-Agentes</v>
      </c>
      <c r="H394" s="2">
        <v>20140101</v>
      </c>
      <c r="I394" s="2">
        <v>20170101</v>
      </c>
      <c r="J394" s="2" t="s">
        <v>71</v>
      </c>
      <c r="K394" s="2"/>
    </row>
    <row r="395" spans="1:11" x14ac:dyDescent="0.25">
      <c r="A395" s="2">
        <v>3</v>
      </c>
      <c r="B395" s="2" t="s">
        <v>63</v>
      </c>
      <c r="C395" s="2" t="s">
        <v>65</v>
      </c>
      <c r="D395" s="2" t="s">
        <v>717</v>
      </c>
      <c r="E395" s="2" t="b">
        <f t="shared" si="37"/>
        <v>1</v>
      </c>
      <c r="F395" s="2" t="s">
        <v>961</v>
      </c>
      <c r="G395" s="2" t="str">
        <f>IF(ISERROR(VLOOKUP(F395,MODIFICACIONES_REALIZADAS!F:H,3,)),F395,VLOOKUP(F395,MODIFICACIONES_REALIZADAS!F:H,3,))</f>
        <v>PM-O-GEN-Inspector-PrimaCorregida-008</v>
      </c>
      <c r="H395" s="2">
        <v>20140101</v>
      </c>
      <c r="I395" s="2">
        <v>20170101</v>
      </c>
      <c r="J395" s="2" t="s">
        <v>71</v>
      </c>
      <c r="K395" s="2"/>
    </row>
    <row r="396" spans="1:11" x14ac:dyDescent="0.25">
      <c r="A396" s="2">
        <v>3</v>
      </c>
      <c r="B396" s="2" t="s">
        <v>63</v>
      </c>
      <c r="C396" s="2" t="s">
        <v>65</v>
      </c>
      <c r="D396" s="2" t="s">
        <v>717</v>
      </c>
      <c r="E396" s="2" t="b">
        <f t="shared" si="37"/>
        <v>1</v>
      </c>
      <c r="F396" s="2" t="s">
        <v>962</v>
      </c>
      <c r="G396" s="2" t="str">
        <f>IF(ISERROR(VLOOKUP(F396,MODIFICACIONES_REALIZADAS!F:H,3,)),F396,VLOOKUP(F396,MODIFICACIONES_REALIZADAS!F:H,3,))</f>
        <v>PM-O-GEN-Inspector-PrimaCorregida-008-Agentes</v>
      </c>
      <c r="H396" s="2">
        <v>20140101</v>
      </c>
      <c r="I396" s="2">
        <v>20170101</v>
      </c>
      <c r="J396" s="2" t="s">
        <v>71</v>
      </c>
      <c r="K396" s="2"/>
    </row>
    <row r="397" spans="1:11" x14ac:dyDescent="0.25">
      <c r="A397" s="2">
        <v>3</v>
      </c>
      <c r="B397" s="2" t="s">
        <v>63</v>
      </c>
      <c r="C397" s="2" t="s">
        <v>65</v>
      </c>
      <c r="D397" s="2" t="s">
        <v>717</v>
      </c>
      <c r="E397" s="2" t="b">
        <f t="shared" si="37"/>
        <v>1</v>
      </c>
      <c r="F397" s="2" t="s">
        <v>963</v>
      </c>
      <c r="G397" s="2" t="str">
        <f>IF(ISERROR(VLOOKUP(F397,MODIFICACIONES_REALIZADAS!F:H,3,)),F397,VLOOKUP(F397,MODIFICACIONES_REALIZADAS!F:H,3,))</f>
        <v>PM-O-GEN-Inspector-PrimaCorregida-009</v>
      </c>
      <c r="H397" s="2">
        <v>20140101</v>
      </c>
      <c r="I397" s="2">
        <v>20170101</v>
      </c>
      <c r="J397" s="2" t="s">
        <v>71</v>
      </c>
      <c r="K397" s="2"/>
    </row>
    <row r="398" spans="1:11" x14ac:dyDescent="0.25">
      <c r="A398" s="2">
        <v>3</v>
      </c>
      <c r="B398" s="2" t="s">
        <v>63</v>
      </c>
      <c r="C398" s="2" t="s">
        <v>65</v>
      </c>
      <c r="D398" s="2" t="s">
        <v>717</v>
      </c>
      <c r="E398" s="2" t="b">
        <f t="shared" si="37"/>
        <v>1</v>
      </c>
      <c r="F398" s="2" t="s">
        <v>964</v>
      </c>
      <c r="G398" s="2" t="str">
        <f>IF(ISERROR(VLOOKUP(F398,MODIFICACIONES_REALIZADAS!F:H,3,)),F398,VLOOKUP(F398,MODIFICACIONES_REALIZADAS!F:H,3,))</f>
        <v>PM-O-GEN-Inspector-PrimaCorregida-009-Agentes</v>
      </c>
      <c r="H398" s="2">
        <v>20140101</v>
      </c>
      <c r="I398" s="2">
        <v>20170101</v>
      </c>
      <c r="J398" s="2" t="s">
        <v>71</v>
      </c>
      <c r="K398" s="2"/>
    </row>
    <row r="399" spans="1:11" x14ac:dyDescent="0.25">
      <c r="A399">
        <v>3</v>
      </c>
      <c r="B399" t="s">
        <v>63</v>
      </c>
      <c r="C399" t="s">
        <v>65</v>
      </c>
      <c r="D399" t="s">
        <v>478</v>
      </c>
      <c r="E399" t="b">
        <f t="shared" si="37"/>
        <v>1</v>
      </c>
      <c r="F399" t="s">
        <v>965</v>
      </c>
      <c r="G399" t="str">
        <f>IF(ISERROR(VLOOKUP(F399,MODIFICACIONES_REALIZADAS!F:H,3,)),F399,VLOOKUP(F399,MODIFICACIONES_REALIZADAS!F:H,3,))</f>
        <v>SM-O-GEN-Inspector-NumeroPolizas-001-TotalAnual</v>
      </c>
      <c r="H399">
        <v>20140101</v>
      </c>
      <c r="I399">
        <v>22000101</v>
      </c>
    </row>
    <row r="400" spans="1:11" x14ac:dyDescent="0.25">
      <c r="A400">
        <v>3</v>
      </c>
      <c r="B400" t="s">
        <v>63</v>
      </c>
      <c r="C400" t="s">
        <v>65</v>
      </c>
      <c r="D400" t="s">
        <v>481</v>
      </c>
      <c r="E400" t="b">
        <f t="shared" si="37"/>
        <v>1</v>
      </c>
      <c r="F400" t="s">
        <v>966</v>
      </c>
      <c r="G400" t="str">
        <f>IF(ISERROR(VLOOKUP(F400,MODIFICACIONES_REALIZADAS!F:H,3,)),F400,VLOOKUP(F400,MODIFICACIONES_REALIZADAS!F:H,3,))</f>
        <v>SM-O-GEN-Inspector-NumeroPolizas-002-TotalAnual</v>
      </c>
      <c r="H400">
        <v>20140101</v>
      </c>
      <c r="I400">
        <v>22000101</v>
      </c>
    </row>
    <row r="401" spans="1:11" x14ac:dyDescent="0.25">
      <c r="A401">
        <v>3</v>
      </c>
      <c r="B401" t="s">
        <v>63</v>
      </c>
      <c r="C401" t="s">
        <v>65</v>
      </c>
      <c r="D401" t="s">
        <v>967</v>
      </c>
      <c r="E401" t="b">
        <f t="shared" si="37"/>
        <v>1</v>
      </c>
      <c r="F401" t="s">
        <v>968</v>
      </c>
      <c r="G401" t="str">
        <f>IF(ISERROR(VLOOKUP(F401,MODIFICACIONES_REALIZADAS!F:H,3,)),F401,VLOOKUP(F401,MODIFICACIONES_REALIZADAS!F:H,3,))</f>
        <v>SM-O-GEN-Inspector-NumeroPolizas-003-TotalAnual</v>
      </c>
      <c r="H401">
        <v>20140101</v>
      </c>
      <c r="I401">
        <v>22000101</v>
      </c>
    </row>
    <row r="402" spans="1:11" x14ac:dyDescent="0.25">
      <c r="A402">
        <v>3</v>
      </c>
      <c r="B402" t="s">
        <v>63</v>
      </c>
      <c r="C402" t="s">
        <v>65</v>
      </c>
      <c r="D402" t="s">
        <v>969</v>
      </c>
      <c r="E402" t="b">
        <f t="shared" si="37"/>
        <v>1</v>
      </c>
      <c r="F402" t="s">
        <v>970</v>
      </c>
      <c r="G402" t="str">
        <f>IF(ISERROR(VLOOKUP(F402,MODIFICACIONES_REALIZADAS!F:H,3,)),F402,VLOOKUP(F402,MODIFICACIONES_REALIZADAS!F:H,3,))</f>
        <v>SM-O-GEN-Inspector-NumeroPolizas-004-TotalAnual</v>
      </c>
      <c r="H402">
        <v>20140101</v>
      </c>
      <c r="I402">
        <v>22000101</v>
      </c>
    </row>
    <row r="403" spans="1:11" x14ac:dyDescent="0.25">
      <c r="A403">
        <v>3</v>
      </c>
      <c r="B403" t="s">
        <v>63</v>
      </c>
      <c r="C403" t="s">
        <v>65</v>
      </c>
      <c r="D403" t="s">
        <v>971</v>
      </c>
      <c r="E403" t="b">
        <f t="shared" si="37"/>
        <v>1</v>
      </c>
      <c r="F403" t="s">
        <v>972</v>
      </c>
      <c r="G403" t="str">
        <f>IF(ISERROR(VLOOKUP(F403,MODIFICACIONES_REALIZADAS!F:H,3,)),F403,VLOOKUP(F403,MODIFICACIONES_REALIZADAS!F:H,3,))</f>
        <v>SM-O-GEN-Inspector-NumeroPolizas-005-TotalAnual</v>
      </c>
      <c r="H403">
        <v>20140101</v>
      </c>
      <c r="I403">
        <v>22000101</v>
      </c>
    </row>
    <row r="404" spans="1:11" x14ac:dyDescent="0.25">
      <c r="A404">
        <v>3</v>
      </c>
      <c r="B404" t="s">
        <v>63</v>
      </c>
      <c r="C404" t="s">
        <v>65</v>
      </c>
      <c r="D404" t="s">
        <v>973</v>
      </c>
      <c r="E404" t="b">
        <f t="shared" ref="E404:E409" si="38">F404=G404</f>
        <v>1</v>
      </c>
      <c r="F404" t="s">
        <v>974</v>
      </c>
      <c r="G404" t="str">
        <f>IF(ISERROR(VLOOKUP(F404,MODIFICACIONES_REALIZADAS!F:H,3,)),F404,VLOOKUP(F404,MODIFICACIONES_REALIZADAS!F:H,3,))</f>
        <v>SM-O-GEN-Inspector-NumeroPolizas-006-TotalAnual</v>
      </c>
      <c r="H404">
        <v>20140101</v>
      </c>
      <c r="I404">
        <v>22000101</v>
      </c>
    </row>
    <row r="405" spans="1:11" x14ac:dyDescent="0.25">
      <c r="A405">
        <v>3</v>
      </c>
      <c r="B405" t="s">
        <v>63</v>
      </c>
      <c r="C405" t="s">
        <v>65</v>
      </c>
      <c r="D405" t="s">
        <v>975</v>
      </c>
      <c r="E405" t="b">
        <f t="shared" si="38"/>
        <v>1</v>
      </c>
      <c r="F405" t="s">
        <v>976</v>
      </c>
      <c r="G405" t="str">
        <f>IF(ISERROR(VLOOKUP(F405,MODIFICACIONES_REALIZADAS!F:H,3,)),F405,VLOOKUP(F405,MODIFICACIONES_REALIZADAS!F:H,3,))</f>
        <v>SM-O-GEN-Inspector-NumeroPolizas-008-TotalAnual</v>
      </c>
      <c r="H405">
        <v>20140101</v>
      </c>
      <c r="I405">
        <v>22000101</v>
      </c>
    </row>
    <row r="406" spans="1:11" x14ac:dyDescent="0.25">
      <c r="A406">
        <v>3</v>
      </c>
      <c r="B406" t="s">
        <v>63</v>
      </c>
      <c r="C406" t="s">
        <v>65</v>
      </c>
      <c r="D406" t="s">
        <v>977</v>
      </c>
      <c r="E406" t="b">
        <f t="shared" si="38"/>
        <v>1</v>
      </c>
      <c r="F406" t="s">
        <v>978</v>
      </c>
      <c r="G406" t="str">
        <f>IF(ISERROR(VLOOKUP(F406,MODIFICACIONES_REALIZADAS!F:H,3,)),F406,VLOOKUP(F406,MODIFICACIONES_REALIZADAS!F:H,3,))</f>
        <v>SM-O-GEN-Inspector-NumeroPolizas-009-TotalAnual</v>
      </c>
      <c r="H406">
        <v>20140101</v>
      </c>
      <c r="I406">
        <v>22000101</v>
      </c>
    </row>
    <row r="407" spans="1:11" x14ac:dyDescent="0.25">
      <c r="A407">
        <v>3</v>
      </c>
      <c r="B407" t="s">
        <v>63</v>
      </c>
      <c r="C407" t="s">
        <v>65</v>
      </c>
      <c r="D407" t="s">
        <v>483</v>
      </c>
      <c r="E407" t="b">
        <f t="shared" si="38"/>
        <v>1</v>
      </c>
      <c r="F407" t="s">
        <v>979</v>
      </c>
      <c r="G407" t="str">
        <f>IF(ISERROR(VLOOKUP(F407,MODIFICACIONES_REALIZADAS!F:H,3,)),F407,VLOOKUP(F407,MODIFICACIONES_REALIZADAS!F:H,3,))</f>
        <v>SM-O-GEN-Inspector-NumeroPolizas-906-TotalAnual</v>
      </c>
      <c r="H407">
        <v>20140101</v>
      </c>
      <c r="I407">
        <v>22000101</v>
      </c>
    </row>
    <row r="408" spans="1:11" x14ac:dyDescent="0.25">
      <c r="A408">
        <v>3</v>
      </c>
      <c r="B408" t="s">
        <v>63</v>
      </c>
      <c r="C408" t="s">
        <v>65</v>
      </c>
      <c r="D408" t="s">
        <v>980</v>
      </c>
      <c r="E408" t="b">
        <f t="shared" si="38"/>
        <v>1</v>
      </c>
      <c r="F408" t="s">
        <v>981</v>
      </c>
      <c r="G408" t="str">
        <f>IF(ISERROR(VLOOKUP(F408,MODIFICACIONES_REALIZADAS!F:H,3,)),F408,VLOOKUP(F408,MODIFICACIONES_REALIZADAS!F:H,3,))</f>
        <v>SM-O-GEN-Inspector-NumeroPolizas-997-TotalAnual</v>
      </c>
      <c r="H408">
        <v>20140101</v>
      </c>
      <c r="I408">
        <v>22000101</v>
      </c>
    </row>
    <row r="409" spans="1:11" x14ac:dyDescent="0.25">
      <c r="A409">
        <v>3</v>
      </c>
      <c r="B409" t="s">
        <v>63</v>
      </c>
      <c r="C409" t="s">
        <v>65</v>
      </c>
      <c r="D409" t="s">
        <v>487</v>
      </c>
      <c r="E409" t="b">
        <f t="shared" si="38"/>
        <v>1</v>
      </c>
      <c r="F409" t="s">
        <v>982</v>
      </c>
      <c r="G409" t="str">
        <f>IF(ISERROR(VLOOKUP(F409,MODIFICACIONES_REALIZADAS!F:H,3,)),F409,VLOOKUP(F409,MODIFICACIONES_REALIZADAS!F:H,3,))</f>
        <v>SM-O-GEN-Inspector-NumeroPolizas-998-TotalAnual</v>
      </c>
      <c r="H409">
        <v>20140101</v>
      </c>
      <c r="I409">
        <v>22000101</v>
      </c>
    </row>
    <row r="410" spans="1:11" x14ac:dyDescent="0.25">
      <c r="A410">
        <v>3</v>
      </c>
      <c r="B410" t="s">
        <v>63</v>
      </c>
      <c r="C410" t="s">
        <v>65</v>
      </c>
      <c r="D410" t="s">
        <v>983</v>
      </c>
      <c r="E410" t="b">
        <f t="shared" si="37"/>
        <v>1</v>
      </c>
      <c r="F410" t="s">
        <v>984</v>
      </c>
      <c r="G410" t="str">
        <f>IF(ISERROR(VLOOKUP(F410,MODIFICACIONES_REALIZADAS!F:H,3,)),F410,VLOOKUP(F410,MODIFICACIONES_REALIZADAS!F:H,3,))</f>
        <v>SM-O-GEN-Inspector-PrimaCorregida-001-TotalAnual</v>
      </c>
      <c r="H410">
        <v>20140101</v>
      </c>
      <c r="I410">
        <v>22000101</v>
      </c>
    </row>
    <row r="411" spans="1:11" x14ac:dyDescent="0.25">
      <c r="A411">
        <v>3</v>
      </c>
      <c r="B411" t="s">
        <v>63</v>
      </c>
      <c r="C411" t="s">
        <v>65</v>
      </c>
      <c r="D411" t="s">
        <v>985</v>
      </c>
      <c r="E411" t="b">
        <f t="shared" si="37"/>
        <v>1</v>
      </c>
      <c r="F411" t="s">
        <v>986</v>
      </c>
      <c r="G411" t="str">
        <f>IF(ISERROR(VLOOKUP(F411,MODIFICACIONES_REALIZADAS!F:H,3,)),F411,VLOOKUP(F411,MODIFICACIONES_REALIZADAS!F:H,3,))</f>
        <v>SM-O-GEN-Inspector-PrimaCorregida-002-TotalAnual</v>
      </c>
      <c r="H411">
        <v>20140101</v>
      </c>
      <c r="I411">
        <v>22000101</v>
      </c>
    </row>
    <row r="412" spans="1:11" x14ac:dyDescent="0.25">
      <c r="A412">
        <v>3</v>
      </c>
      <c r="B412" t="s">
        <v>63</v>
      </c>
      <c r="C412" t="s">
        <v>65</v>
      </c>
      <c r="D412" t="s">
        <v>987</v>
      </c>
      <c r="E412" t="b">
        <f t="shared" si="37"/>
        <v>1</v>
      </c>
      <c r="F412" t="s">
        <v>988</v>
      </c>
      <c r="G412" t="str">
        <f>IF(ISERROR(VLOOKUP(F412,MODIFICACIONES_REALIZADAS!F:H,3,)),F412,VLOOKUP(F412,MODIFICACIONES_REALIZADAS!F:H,3,))</f>
        <v>SM-O-GEN-Inspector-PrimaCorregida-003-TotalAnual</v>
      </c>
      <c r="H412">
        <v>20140101</v>
      </c>
      <c r="I412">
        <v>22000101</v>
      </c>
    </row>
    <row r="413" spans="1:11" x14ac:dyDescent="0.25">
      <c r="A413">
        <v>3</v>
      </c>
      <c r="B413" t="s">
        <v>63</v>
      </c>
      <c r="C413" t="s">
        <v>65</v>
      </c>
      <c r="D413" t="s">
        <v>989</v>
      </c>
      <c r="E413" t="b">
        <f t="shared" si="37"/>
        <v>1</v>
      </c>
      <c r="F413" t="s">
        <v>990</v>
      </c>
      <c r="G413" t="str">
        <f>IF(ISERROR(VLOOKUP(F413,MODIFICACIONES_REALIZADAS!F:H,3,)),F413,VLOOKUP(F413,MODIFICACIONES_REALIZADAS!F:H,3,))</f>
        <v>SM-O-GEN-Inspector-PrimaCorregida-004-TotalAnual</v>
      </c>
      <c r="H413">
        <v>20140101</v>
      </c>
      <c r="I413">
        <v>22000101</v>
      </c>
    </row>
    <row r="414" spans="1:11" x14ac:dyDescent="0.25">
      <c r="A414">
        <v>3</v>
      </c>
      <c r="B414" t="s">
        <v>63</v>
      </c>
      <c r="C414" t="s">
        <v>65</v>
      </c>
      <c r="D414" t="s">
        <v>991</v>
      </c>
      <c r="E414" t="b">
        <f t="shared" si="37"/>
        <v>1</v>
      </c>
      <c r="F414" t="s">
        <v>992</v>
      </c>
      <c r="G414" t="str">
        <f>IF(ISERROR(VLOOKUP(F414,MODIFICACIONES_REALIZADAS!F:H,3,)),F414,VLOOKUP(F414,MODIFICACIONES_REALIZADAS!F:H,3,))</f>
        <v>SM-O-GEN-Inspector-PrimaCorregida-005-TotalAnual</v>
      </c>
      <c r="H414">
        <v>20140101</v>
      </c>
      <c r="I414">
        <v>22000101</v>
      </c>
    </row>
    <row r="415" spans="1:11" x14ac:dyDescent="0.25">
      <c r="A415">
        <v>3</v>
      </c>
      <c r="B415" t="s">
        <v>63</v>
      </c>
      <c r="C415" t="s">
        <v>65</v>
      </c>
      <c r="D415" t="s">
        <v>993</v>
      </c>
      <c r="E415" t="b">
        <f t="shared" si="37"/>
        <v>1</v>
      </c>
      <c r="F415" t="s">
        <v>994</v>
      </c>
      <c r="G415" t="str">
        <f>IF(ISERROR(VLOOKUP(F415,MODIFICACIONES_REALIZADAS!F:H,3,)),F415,VLOOKUP(F415,MODIFICACIONES_REALIZADAS!F:H,3,))</f>
        <v>SM-O-GEN-Inspector-PrimaCorregida-006-TotalAnual</v>
      </c>
      <c r="H415">
        <v>20140101</v>
      </c>
      <c r="I415">
        <v>22000101</v>
      </c>
    </row>
    <row r="416" spans="1:11" x14ac:dyDescent="0.25">
      <c r="A416" s="2">
        <v>3</v>
      </c>
      <c r="B416" s="2" t="s">
        <v>63</v>
      </c>
      <c r="C416" s="2" t="s">
        <v>65</v>
      </c>
      <c r="D416" s="2" t="s">
        <v>995</v>
      </c>
      <c r="E416" s="2" t="b">
        <f t="shared" si="37"/>
        <v>1</v>
      </c>
      <c r="F416" s="2" t="s">
        <v>996</v>
      </c>
      <c r="G416" s="2" t="str">
        <f>IF(ISERROR(VLOOKUP(F416,MODIFICACIONES_REALIZADAS!F:H,3,)),F416,VLOOKUP(F416,MODIFICACIONES_REALIZADAS!F:H,3,))</f>
        <v>SM-O-GEN-Inspector-PrimaCorregida-007-TotalAnual</v>
      </c>
      <c r="H416" s="2">
        <v>20140101</v>
      </c>
      <c r="I416" s="2">
        <v>20140101</v>
      </c>
      <c r="J416" s="2" t="s">
        <v>71</v>
      </c>
      <c r="K416" s="2"/>
    </row>
    <row r="417" spans="1:11" x14ac:dyDescent="0.25">
      <c r="A417">
        <v>3</v>
      </c>
      <c r="B417" t="s">
        <v>63</v>
      </c>
      <c r="C417" t="s">
        <v>65</v>
      </c>
      <c r="D417" t="s">
        <v>997</v>
      </c>
      <c r="E417" t="b">
        <f t="shared" si="37"/>
        <v>1</v>
      </c>
      <c r="F417" t="s">
        <v>998</v>
      </c>
      <c r="G417" t="str">
        <f>IF(ISERROR(VLOOKUP(F417,MODIFICACIONES_REALIZADAS!F:H,3,)),F417,VLOOKUP(F417,MODIFICACIONES_REALIZADAS!F:H,3,))</f>
        <v>SM-O-GEN-Inspector-PrimaCorregida-008-TotalAnual</v>
      </c>
      <c r="H417">
        <v>20140101</v>
      </c>
      <c r="I417">
        <v>22000101</v>
      </c>
    </row>
    <row r="418" spans="1:11" x14ac:dyDescent="0.25">
      <c r="A418">
        <v>3</v>
      </c>
      <c r="B418" t="s">
        <v>63</v>
      </c>
      <c r="C418" t="s">
        <v>65</v>
      </c>
      <c r="D418" t="s">
        <v>999</v>
      </c>
      <c r="E418" t="b">
        <f t="shared" si="37"/>
        <v>1</v>
      </c>
      <c r="F418" t="s">
        <v>1000</v>
      </c>
      <c r="G418" t="str">
        <f>IF(ISERROR(VLOOKUP(F418,MODIFICACIONES_REALIZADAS!F:H,3,)),F418,VLOOKUP(F418,MODIFICACIONES_REALIZADAS!F:H,3,))</f>
        <v>SM-O-GEN-Inspector-PrimaCorregida-009-TotalAnual</v>
      </c>
      <c r="H418">
        <v>20140101</v>
      </c>
      <c r="I418">
        <v>22000101</v>
      </c>
    </row>
    <row r="419" spans="1:11" x14ac:dyDescent="0.25">
      <c r="A419">
        <v>3</v>
      </c>
      <c r="B419" t="s">
        <v>63</v>
      </c>
      <c r="C419" t="s">
        <v>65</v>
      </c>
      <c r="D419" t="s">
        <v>1001</v>
      </c>
      <c r="E419" t="b">
        <f t="shared" si="37"/>
        <v>1</v>
      </c>
      <c r="F419" t="s">
        <v>1002</v>
      </c>
      <c r="G419" t="str">
        <f>IF(ISERROR(VLOOKUP(F419,MODIFICACIONES_REALIZADAS!F:H,3,)),F419,VLOOKUP(F419,MODIFICACIONES_REALIZADAS!F:H,3,))</f>
        <v>SM-O-GEN-Inspector-PrimaCorregida-906-TotalAnual</v>
      </c>
      <c r="H419">
        <v>20140101</v>
      </c>
      <c r="I419">
        <v>22000101</v>
      </c>
    </row>
    <row r="420" spans="1:11" x14ac:dyDescent="0.25">
      <c r="A420">
        <v>3</v>
      </c>
      <c r="B420" t="s">
        <v>63</v>
      </c>
      <c r="C420" t="s">
        <v>65</v>
      </c>
      <c r="D420" t="s">
        <v>1003</v>
      </c>
      <c r="E420" t="b">
        <f>F420=G420</f>
        <v>1</v>
      </c>
      <c r="F420" t="s">
        <v>1004</v>
      </c>
      <c r="G420" t="str">
        <f>IF(ISERROR(VLOOKUP(F420,MODIFICACIONES_REALIZADAS!F:H,3,)),F420,VLOOKUP(F420,MODIFICACIONES_REALIZADAS!F:H,3,))</f>
        <v>SM-O-GEN-Inspector-PrimaCorregida-997-TotalAnual</v>
      </c>
      <c r="H420">
        <v>20140101</v>
      </c>
      <c r="I420">
        <v>22000101</v>
      </c>
    </row>
    <row r="421" spans="1:11" x14ac:dyDescent="0.25">
      <c r="A421">
        <v>3</v>
      </c>
      <c r="B421" t="s">
        <v>63</v>
      </c>
      <c r="C421" t="s">
        <v>65</v>
      </c>
      <c r="D421" t="s">
        <v>501</v>
      </c>
      <c r="E421" t="b">
        <f>F421=G421</f>
        <v>1</v>
      </c>
      <c r="F421" t="s">
        <v>1005</v>
      </c>
      <c r="G421" t="str">
        <f>IF(ISERROR(VLOOKUP(F421,MODIFICACIONES_REALIZADAS!F:H,3,)),F421,VLOOKUP(F421,MODIFICACIONES_REALIZADAS!F:H,3,))</f>
        <v>SM-O-GEN-Inspector-PrimaCorregida-998-TotalAnual</v>
      </c>
      <c r="H421">
        <v>20140101</v>
      </c>
      <c r="I421">
        <v>22000101</v>
      </c>
    </row>
    <row r="422" spans="1:11" x14ac:dyDescent="0.25">
      <c r="A422" s="22">
        <v>3</v>
      </c>
      <c r="B422" s="22" t="s">
        <v>63</v>
      </c>
      <c r="C422" s="22" t="s">
        <v>65</v>
      </c>
      <c r="D422" s="22" t="s">
        <v>501</v>
      </c>
      <c r="E422" s="22" t="b">
        <f>F422=G422</f>
        <v>1</v>
      </c>
      <c r="F422" s="22" t="s">
        <v>1006</v>
      </c>
      <c r="G422" s="22" t="str">
        <f>IF(ISERROR(VLOOKUP(F422,MODIFICACIONES_REALIZADAS!F:H,3,)),F422,VLOOKUP(F422,MODIFICACIONES_REALIZADAS!F:H,3,))</f>
        <v>SM-O-GEN-Inspector-PrimaCorregida-998-TotalAnual-Incr</v>
      </c>
      <c r="H422" s="22">
        <v>20201201</v>
      </c>
      <c r="I422" s="22">
        <v>22000101</v>
      </c>
      <c r="J422" s="22" t="s">
        <v>1007</v>
      </c>
      <c r="K422" s="22"/>
    </row>
    <row r="423" spans="1:11" x14ac:dyDescent="0.25">
      <c r="A423">
        <v>3</v>
      </c>
      <c r="B423" t="s">
        <v>63</v>
      </c>
      <c r="C423" t="s">
        <v>65</v>
      </c>
      <c r="D423" t="s">
        <v>1008</v>
      </c>
      <c r="E423" t="b">
        <f t="shared" si="37"/>
        <v>1</v>
      </c>
      <c r="F423" t="s">
        <v>1009</v>
      </c>
      <c r="G423" t="str">
        <f>IF(ISERROR(VLOOKUP(F423,MODIFICACIONES_REALIZADAS!F:H,3,)),F423,VLOOKUP(F423,MODIFICACIONES_REALIZADAS!F:H,3,))</f>
        <v>SM-O-COLC-Inspector-Objetivo-998-Polizas</v>
      </c>
      <c r="H423">
        <v>20140101</v>
      </c>
      <c r="I423">
        <v>22000101</v>
      </c>
    </row>
    <row r="424" spans="1:11" x14ac:dyDescent="0.25">
      <c r="A424">
        <v>3</v>
      </c>
      <c r="B424" t="s">
        <v>63</v>
      </c>
      <c r="C424" t="s">
        <v>65</v>
      </c>
      <c r="D424" t="s">
        <v>1008</v>
      </c>
      <c r="E424" t="b">
        <f t="shared" si="37"/>
        <v>1</v>
      </c>
      <c r="F424" t="s">
        <v>1010</v>
      </c>
      <c r="G424" t="str">
        <f>IF(ISERROR(VLOOKUP(F424,MODIFICACIONES_REALIZADAS!F:H,3,)),F424,VLOOKUP(F424,MODIFICACIONES_REALIZADAS!F:H,3,))</f>
        <v>SM-O-COLC-Inspector-Objetivo-998-Prima</v>
      </c>
      <c r="H424">
        <v>20140101</v>
      </c>
      <c r="I424">
        <v>22000101</v>
      </c>
    </row>
    <row r="425" spans="1:11" x14ac:dyDescent="0.25">
      <c r="A425">
        <v>3</v>
      </c>
      <c r="B425" t="s">
        <v>63</v>
      </c>
      <c r="C425" t="s">
        <v>65</v>
      </c>
      <c r="D425" t="s">
        <v>1008</v>
      </c>
      <c r="E425" t="b">
        <f t="shared" si="37"/>
        <v>1</v>
      </c>
      <c r="F425" t="s">
        <v>1011</v>
      </c>
      <c r="G425" t="str">
        <f>IF(ISERROR(VLOOKUP(F425,MODIFICACIONES_REALIZADAS!F:H,3,)),F425,VLOOKUP(F425,MODIFICACIONES_REALIZADAS!F:H,3,))</f>
        <v>SM-O-COLC-Inspector-Objetivo-997-Polizas</v>
      </c>
      <c r="H425">
        <v>20140101</v>
      </c>
      <c r="I425">
        <v>22000101</v>
      </c>
    </row>
    <row r="426" spans="1:11" x14ac:dyDescent="0.25">
      <c r="A426">
        <v>3</v>
      </c>
      <c r="B426" t="s">
        <v>63</v>
      </c>
      <c r="C426" t="s">
        <v>65</v>
      </c>
      <c r="D426" t="s">
        <v>1008</v>
      </c>
      <c r="E426" t="b">
        <f t="shared" si="37"/>
        <v>1</v>
      </c>
      <c r="F426" t="s">
        <v>1012</v>
      </c>
      <c r="G426" t="str">
        <f>IF(ISERROR(VLOOKUP(F426,MODIFICACIONES_REALIZADAS!F:H,3,)),F426,VLOOKUP(F426,MODIFICACIONES_REALIZADAS!F:H,3,))</f>
        <v>SM-O-COLC-Inspector-Objetivo-997-Prima</v>
      </c>
      <c r="H426">
        <v>20140101</v>
      </c>
      <c r="I426">
        <v>22000101</v>
      </c>
    </row>
    <row r="427" spans="1:11" x14ac:dyDescent="0.25">
      <c r="A427">
        <v>3</v>
      </c>
      <c r="B427" t="s">
        <v>63</v>
      </c>
      <c r="C427" t="s">
        <v>65</v>
      </c>
      <c r="D427" t="s">
        <v>1013</v>
      </c>
      <c r="E427" t="b">
        <f t="shared" si="37"/>
        <v>1</v>
      </c>
      <c r="F427" t="s">
        <v>1014</v>
      </c>
      <c r="G427" t="str">
        <f>IF(ISERROR(VLOOKUP(F427,MODIFICACIONES_REALIZADAS!F:H,3,)),F427,VLOOKUP(F427,MODIFICACIONES_REALIZADAS!F:H,3,))</f>
        <v>SM-O-COLC-Inspector-Minimo-Polizas-002</v>
      </c>
      <c r="H427">
        <v>20140101</v>
      </c>
      <c r="I427">
        <v>22000101</v>
      </c>
    </row>
    <row r="428" spans="1:11" x14ac:dyDescent="0.25">
      <c r="A428">
        <v>3</v>
      </c>
      <c r="B428" t="s">
        <v>63</v>
      </c>
      <c r="C428" t="s">
        <v>65</v>
      </c>
      <c r="D428" t="s">
        <v>1013</v>
      </c>
      <c r="E428" t="b">
        <f t="shared" si="37"/>
        <v>1</v>
      </c>
      <c r="F428" t="s">
        <v>1015</v>
      </c>
      <c r="G428" t="str">
        <f>IF(ISERROR(VLOOKUP(F428,MODIFICACIONES_REALIZADAS!F:H,3,)),F428,VLOOKUP(F428,MODIFICACIONES_REALIZADAS!F:H,3,))</f>
        <v>SM-O-COLC-Inspector-Minimo-Polizas-008</v>
      </c>
      <c r="H428">
        <v>20140101</v>
      </c>
      <c r="I428">
        <v>22000101</v>
      </c>
    </row>
    <row r="429" spans="1:11" x14ac:dyDescent="0.25">
      <c r="A429">
        <v>3</v>
      </c>
      <c r="B429" t="s">
        <v>63</v>
      </c>
      <c r="C429" t="s">
        <v>65</v>
      </c>
      <c r="D429" t="s">
        <v>1013</v>
      </c>
      <c r="E429" t="b">
        <f t="shared" si="37"/>
        <v>1</v>
      </c>
      <c r="F429" t="s">
        <v>1016</v>
      </c>
      <c r="G429" t="str">
        <f>IF(ISERROR(VLOOKUP(F429,MODIFICACIONES_REALIZADAS!F:H,3,)),F429,VLOOKUP(F429,MODIFICACIONES_REALIZADAS!F:H,3,))</f>
        <v>SM-O-COLC-Inspector-Minimo-Polizas-906</v>
      </c>
      <c r="H429">
        <v>20140101</v>
      </c>
      <c r="I429">
        <v>22000101</v>
      </c>
    </row>
    <row r="430" spans="1:11" x14ac:dyDescent="0.25">
      <c r="A430">
        <v>3</v>
      </c>
      <c r="B430" t="s">
        <v>63</v>
      </c>
      <c r="C430" t="s">
        <v>65</v>
      </c>
      <c r="D430" t="s">
        <v>1017</v>
      </c>
      <c r="E430" t="b">
        <f t="shared" si="37"/>
        <v>1</v>
      </c>
      <c r="F430" t="s">
        <v>1018</v>
      </c>
      <c r="G430" t="str">
        <f>IF(ISERROR(VLOOKUP(F430,MODIFICACIONES_REALIZADAS!F:H,3,)),F430,VLOOKUP(F430,MODIFICACIONES_REALIZADAS!F:H,3,))</f>
        <v>SM-O-COLC-Inspector-Objetivos-Captacion-Agentes</v>
      </c>
      <c r="H430">
        <v>20140101</v>
      </c>
      <c r="I430">
        <v>22000101</v>
      </c>
    </row>
    <row r="431" spans="1:11" x14ac:dyDescent="0.25">
      <c r="A431">
        <v>3</v>
      </c>
      <c r="B431" t="s">
        <v>63</v>
      </c>
      <c r="C431" t="s">
        <v>65</v>
      </c>
      <c r="D431" t="s">
        <v>1017</v>
      </c>
      <c r="E431" t="b">
        <f t="shared" si="37"/>
        <v>1</v>
      </c>
      <c r="F431" t="s">
        <v>1019</v>
      </c>
      <c r="G431" t="str">
        <f>IF(ISERROR(VLOOKUP(F431,MODIFICACIONES_REALIZADAS!F:H,3,)),F431,VLOOKUP(F431,MODIFICACIONES_REALIZADAS!F:H,3,))</f>
        <v>SM-O-COLC-Inspector-Objetivos-Captacion-Agentes-Polizas-998</v>
      </c>
      <c r="H431">
        <v>20140101</v>
      </c>
      <c r="I431">
        <v>22000101</v>
      </c>
    </row>
    <row r="432" spans="1:11" x14ac:dyDescent="0.25">
      <c r="A432">
        <v>3</v>
      </c>
      <c r="B432" t="s">
        <v>63</v>
      </c>
      <c r="C432" t="s">
        <v>65</v>
      </c>
      <c r="D432" t="s">
        <v>1017</v>
      </c>
      <c r="E432" t="b">
        <f t="shared" si="37"/>
        <v>1</v>
      </c>
      <c r="F432" t="s">
        <v>1020</v>
      </c>
      <c r="G432" t="str">
        <f>IF(ISERROR(VLOOKUP(F432,MODIFICACIONES_REALIZADAS!F:H,3,)),F432,VLOOKUP(F432,MODIFICACIONES_REALIZADAS!F:H,3,))</f>
        <v>SM-O-COLC-Inspector-Objetivos-Captacion-Agentes-PrimaNeta-998</v>
      </c>
      <c r="H432">
        <v>20140101</v>
      </c>
      <c r="I432">
        <v>22000101</v>
      </c>
    </row>
    <row r="433" spans="1:11" x14ac:dyDescent="0.25">
      <c r="A433">
        <v>3</v>
      </c>
      <c r="B433" t="s">
        <v>63</v>
      </c>
      <c r="C433" t="s">
        <v>65</v>
      </c>
      <c r="D433" t="s">
        <v>1017</v>
      </c>
      <c r="E433" t="b">
        <f t="shared" si="37"/>
        <v>1</v>
      </c>
      <c r="F433" t="s">
        <v>1021</v>
      </c>
      <c r="G433" t="str">
        <f>IF(ISERROR(VLOOKUP(F433,MODIFICACIONES_REALIZADAS!F:H,3,)),F433,VLOOKUP(F433,MODIFICACIONES_REALIZADAS!F:H,3,))</f>
        <v>SM-O-COLC-Inspector-Objetivos-Captacion-Penalizacion</v>
      </c>
      <c r="H433">
        <v>20140101</v>
      </c>
      <c r="I433">
        <v>22000101</v>
      </c>
    </row>
    <row r="434" spans="1:11" x14ac:dyDescent="0.25">
      <c r="A434">
        <v>3</v>
      </c>
      <c r="B434" t="s">
        <v>63</v>
      </c>
      <c r="C434" t="s">
        <v>65</v>
      </c>
      <c r="D434" t="s">
        <v>1022</v>
      </c>
      <c r="E434" t="b">
        <f t="shared" si="37"/>
        <v>1</v>
      </c>
      <c r="F434" t="s">
        <v>1023</v>
      </c>
      <c r="G434" t="str">
        <f>IF(ISERROR(VLOOKUP(F434,MODIFICACIONES_REALIZADAS!F:H,3,)),F434,VLOOKUP(F434,MODIFICACIONES_REALIZADAS!F:H,3,))</f>
        <v>SM-O-COLC-Inspector-Quota-AgentesCaptados</v>
      </c>
      <c r="H434">
        <v>20140101</v>
      </c>
      <c r="I434">
        <v>22000101</v>
      </c>
    </row>
    <row r="435" spans="1:11" x14ac:dyDescent="0.25">
      <c r="A435">
        <v>3</v>
      </c>
      <c r="B435" t="s">
        <v>63</v>
      </c>
      <c r="C435" t="s">
        <v>65</v>
      </c>
      <c r="D435" t="s">
        <v>1022</v>
      </c>
      <c r="E435" t="b">
        <f t="shared" si="37"/>
        <v>1</v>
      </c>
      <c r="F435" t="s">
        <v>1024</v>
      </c>
      <c r="G435" t="str">
        <f>IF(ISERROR(VLOOKUP(F435,MODIFICACIONES_REALIZADAS!F:H,3,)),F435,VLOOKUP(F435,MODIFICACIONES_REALIZADAS!F:H,3,))</f>
        <v>SM-O-COLC-Inspector-NumeroPolizas-998-AgentesCaptados-TotalAnual</v>
      </c>
      <c r="H435">
        <v>20140101</v>
      </c>
      <c r="I435">
        <v>22000101</v>
      </c>
    </row>
    <row r="436" spans="1:11" x14ac:dyDescent="0.25">
      <c r="A436">
        <v>3</v>
      </c>
      <c r="B436" t="s">
        <v>63</v>
      </c>
      <c r="C436" t="s">
        <v>65</v>
      </c>
      <c r="D436" t="s">
        <v>1022</v>
      </c>
      <c r="E436" t="b">
        <f t="shared" si="37"/>
        <v>1</v>
      </c>
      <c r="F436" t="s">
        <v>1025</v>
      </c>
      <c r="G436" t="str">
        <f>IF(ISERROR(VLOOKUP(F436,MODIFICACIONES_REALIZADAS!F:H,3,)),F436,VLOOKUP(F436,MODIFICACIONES_REALIZADAS!F:H,3,))</f>
        <v>SM-O-COLC-Inspector-PrimaNeta-998-AgentesCaptados-TotalAnual</v>
      </c>
      <c r="H436">
        <v>20140101</v>
      </c>
      <c r="I436">
        <v>22000101</v>
      </c>
    </row>
    <row r="437" spans="1:11" x14ac:dyDescent="0.25">
      <c r="A437">
        <v>3</v>
      </c>
      <c r="B437" t="s">
        <v>63</v>
      </c>
      <c r="C437" t="s">
        <v>65</v>
      </c>
      <c r="D437" t="s">
        <v>1026</v>
      </c>
      <c r="E437" t="b">
        <f t="shared" si="37"/>
        <v>1</v>
      </c>
      <c r="F437" t="s">
        <v>1027</v>
      </c>
      <c r="G437" t="str">
        <f>IF(ISERROR(VLOOKUP(F437,MODIFICACIONES_REALIZADAS!F:H,3,)),F437,VLOOKUP(F437,MODIFICACIONES_REALIZADAS!F:H,3,))</f>
        <v>SM-O-COLC-Inspector-Porcentaje-Autofinanciacion-Prima-001</v>
      </c>
      <c r="H437">
        <v>20140101</v>
      </c>
      <c r="I437">
        <v>22000101</v>
      </c>
    </row>
    <row r="438" spans="1:11" x14ac:dyDescent="0.25">
      <c r="A438">
        <v>3</v>
      </c>
      <c r="B438" t="s">
        <v>63</v>
      </c>
      <c r="C438" t="s">
        <v>65</v>
      </c>
      <c r="D438" t="s">
        <v>1026</v>
      </c>
      <c r="E438" t="b">
        <f t="shared" si="37"/>
        <v>1</v>
      </c>
      <c r="F438" t="s">
        <v>1028</v>
      </c>
      <c r="G438" t="str">
        <f>IF(ISERROR(VLOOKUP(F438,MODIFICACIONES_REALIZADAS!F:H,3,)),F438,VLOOKUP(F438,MODIFICACIONES_REALIZADAS!F:H,3,))</f>
        <v>SM-O-COLC-Inspector-Porcentaje-Autofinanciacion-Prima-002</v>
      </c>
      <c r="H438">
        <v>20140101</v>
      </c>
      <c r="I438">
        <v>22000101</v>
      </c>
    </row>
    <row r="439" spans="1:11" x14ac:dyDescent="0.25">
      <c r="A439">
        <v>3</v>
      </c>
      <c r="B439" t="s">
        <v>63</v>
      </c>
      <c r="C439" t="s">
        <v>65</v>
      </c>
      <c r="D439" t="s">
        <v>1026</v>
      </c>
      <c r="E439" t="b">
        <f t="shared" ref="E439:E472" si="39">F439=G439</f>
        <v>1</v>
      </c>
      <c r="F439" t="s">
        <v>1029</v>
      </c>
      <c r="G439" t="str">
        <f>IF(ISERROR(VLOOKUP(F439,MODIFICACIONES_REALIZADAS!F:H,3,)),F439,VLOOKUP(F439,MODIFICACIONES_REALIZADAS!F:H,3,))</f>
        <v>SM-O-COLC-Inspector-Porcentaje-Autofinanciacion-Prima-003</v>
      </c>
      <c r="H439">
        <v>20140101</v>
      </c>
      <c r="I439">
        <v>22000101</v>
      </c>
    </row>
    <row r="440" spans="1:11" x14ac:dyDescent="0.25">
      <c r="A440">
        <v>3</v>
      </c>
      <c r="B440" t="s">
        <v>63</v>
      </c>
      <c r="C440" t="s">
        <v>65</v>
      </c>
      <c r="D440" t="s">
        <v>1026</v>
      </c>
      <c r="E440" t="b">
        <f t="shared" si="39"/>
        <v>1</v>
      </c>
      <c r="F440" t="s">
        <v>1030</v>
      </c>
      <c r="G440" t="str">
        <f>IF(ISERROR(VLOOKUP(F440,MODIFICACIONES_REALIZADAS!F:H,3,)),F440,VLOOKUP(F440,MODIFICACIONES_REALIZADAS!F:H,3,))</f>
        <v>SM-O-COLC-Inspector-Porcentaje-Autofinanciacion-Prima-004</v>
      </c>
      <c r="H440">
        <v>20140101</v>
      </c>
      <c r="I440">
        <v>22000101</v>
      </c>
    </row>
    <row r="441" spans="1:11" x14ac:dyDescent="0.25">
      <c r="A441">
        <v>3</v>
      </c>
      <c r="B441" t="s">
        <v>63</v>
      </c>
      <c r="C441" t="s">
        <v>65</v>
      </c>
      <c r="D441" t="s">
        <v>1026</v>
      </c>
      <c r="E441" t="b">
        <f t="shared" si="39"/>
        <v>1</v>
      </c>
      <c r="F441" t="s">
        <v>1031</v>
      </c>
      <c r="G441" t="str">
        <f>IF(ISERROR(VLOOKUP(F441,MODIFICACIONES_REALIZADAS!F:H,3,)),F441,VLOOKUP(F441,MODIFICACIONES_REALIZADAS!F:H,3,))</f>
        <v>SM-O-COLC-Inspector-Porcentaje-Autofinanciacion-Prima-005</v>
      </c>
      <c r="H441">
        <v>20140101</v>
      </c>
      <c r="I441">
        <v>22000101</v>
      </c>
    </row>
    <row r="442" spans="1:11" x14ac:dyDescent="0.25">
      <c r="A442">
        <v>3</v>
      </c>
      <c r="B442" t="s">
        <v>63</v>
      </c>
      <c r="C442" t="s">
        <v>65</v>
      </c>
      <c r="D442" t="s">
        <v>1026</v>
      </c>
      <c r="E442" t="b">
        <f t="shared" si="39"/>
        <v>1</v>
      </c>
      <c r="F442" t="s">
        <v>1032</v>
      </c>
      <c r="G442" t="str">
        <f>IF(ISERROR(VLOOKUP(F442,MODIFICACIONES_REALIZADAS!F:H,3,)),F442,VLOOKUP(F442,MODIFICACIONES_REALIZADAS!F:H,3,))</f>
        <v>SM-O-COLC-Inspector-Porcentaje-Autofinanciacion-Prima-006</v>
      </c>
      <c r="H442">
        <v>20140101</v>
      </c>
      <c r="I442">
        <v>22000101</v>
      </c>
    </row>
    <row r="443" spans="1:11" x14ac:dyDescent="0.25">
      <c r="A443" s="2">
        <v>3</v>
      </c>
      <c r="B443" s="2" t="s">
        <v>63</v>
      </c>
      <c r="C443" s="2" t="s">
        <v>65</v>
      </c>
      <c r="D443" s="2" t="s">
        <v>1026</v>
      </c>
      <c r="E443" s="2" t="b">
        <f t="shared" si="39"/>
        <v>1</v>
      </c>
      <c r="F443" s="2" t="s">
        <v>1033</v>
      </c>
      <c r="G443" s="2" t="str">
        <f>IF(ISERROR(VLOOKUP(F443,MODIFICACIONES_REALIZADAS!F:H,3,)),F443,VLOOKUP(F443,MODIFICACIONES_REALIZADAS!F:H,3,))</f>
        <v>SM-O-COLC-Inspector-Porcentaje-Autofinanciacion-Prima-007</v>
      </c>
      <c r="H443" s="2">
        <v>20140101</v>
      </c>
      <c r="I443" s="2">
        <v>20140101</v>
      </c>
      <c r="J443" s="2" t="s">
        <v>71</v>
      </c>
      <c r="K443" s="2"/>
    </row>
    <row r="444" spans="1:11" x14ac:dyDescent="0.25">
      <c r="A444">
        <v>3</v>
      </c>
      <c r="B444" t="s">
        <v>63</v>
      </c>
      <c r="C444" t="s">
        <v>65</v>
      </c>
      <c r="D444" t="s">
        <v>1026</v>
      </c>
      <c r="E444" t="b">
        <f t="shared" si="39"/>
        <v>1</v>
      </c>
      <c r="F444" t="s">
        <v>1034</v>
      </c>
      <c r="G444" t="str">
        <f>IF(ISERROR(VLOOKUP(F444,MODIFICACIONES_REALIZADAS!F:H,3,)),F444,VLOOKUP(F444,MODIFICACIONES_REALIZADAS!F:H,3,))</f>
        <v>SM-O-COLC-Inspector-Porcentaje-Autofinanciacion-Prima-008</v>
      </c>
      <c r="H444">
        <v>20140101</v>
      </c>
      <c r="I444">
        <v>22000101</v>
      </c>
    </row>
    <row r="445" spans="1:11" x14ac:dyDescent="0.25">
      <c r="A445">
        <v>3</v>
      </c>
      <c r="B445" t="s">
        <v>63</v>
      </c>
      <c r="C445" t="s">
        <v>65</v>
      </c>
      <c r="D445" t="s">
        <v>1026</v>
      </c>
      <c r="E445" t="b">
        <f t="shared" si="39"/>
        <v>1</v>
      </c>
      <c r="F445" t="s">
        <v>1035</v>
      </c>
      <c r="G445" t="str">
        <f>IF(ISERROR(VLOOKUP(F445,MODIFICACIONES_REALIZADAS!F:H,3,)),F445,VLOOKUP(F445,MODIFICACIONES_REALIZADAS!F:H,3,))</f>
        <v>SM-O-COLC-Inspector-Porcentaje-Autofinanciacion-Prima-009</v>
      </c>
      <c r="H445">
        <v>20140101</v>
      </c>
      <c r="I445">
        <v>22000101</v>
      </c>
    </row>
    <row r="446" spans="1:11" x14ac:dyDescent="0.25">
      <c r="A446">
        <v>3</v>
      </c>
      <c r="B446" t="s">
        <v>63</v>
      </c>
      <c r="C446" t="s">
        <v>65</v>
      </c>
      <c r="D446" t="s">
        <v>1026</v>
      </c>
      <c r="E446" t="b">
        <f t="shared" si="39"/>
        <v>1</v>
      </c>
      <c r="F446" t="s">
        <v>1036</v>
      </c>
      <c r="G446" t="str">
        <f>IF(ISERROR(VLOOKUP(F446,MODIFICACIONES_REALIZADAS!F:H,3,)),F446,VLOOKUP(F446,MODIFICACIONES_REALIZADAS!F:H,3,))</f>
        <v>SM-O-COLC-Inspector-Porcentaje-Autofinanciacion-Polizas-001</v>
      </c>
      <c r="H446">
        <v>20140101</v>
      </c>
      <c r="I446">
        <v>22000101</v>
      </c>
    </row>
    <row r="447" spans="1:11" x14ac:dyDescent="0.25">
      <c r="A447">
        <v>3</v>
      </c>
      <c r="B447" t="s">
        <v>63</v>
      </c>
      <c r="C447" t="s">
        <v>65</v>
      </c>
      <c r="D447" t="s">
        <v>1026</v>
      </c>
      <c r="E447" t="b">
        <f t="shared" si="39"/>
        <v>1</v>
      </c>
      <c r="F447" t="s">
        <v>1037</v>
      </c>
      <c r="G447" t="str">
        <f>IF(ISERROR(VLOOKUP(F447,MODIFICACIONES_REALIZADAS!F:H,3,)),F447,VLOOKUP(F447,MODIFICACIONES_REALIZADAS!F:H,3,))</f>
        <v>SM-O-COLC-Inspector-Porcentaje-Autofinanciacion-Polizas-002</v>
      </c>
      <c r="H447">
        <v>20140101</v>
      </c>
      <c r="I447">
        <v>22000101</v>
      </c>
    </row>
    <row r="448" spans="1:11" x14ac:dyDescent="0.25">
      <c r="A448">
        <v>3</v>
      </c>
      <c r="B448" t="s">
        <v>63</v>
      </c>
      <c r="C448" t="s">
        <v>65</v>
      </c>
      <c r="D448" t="s">
        <v>1026</v>
      </c>
      <c r="E448" t="b">
        <f t="shared" si="39"/>
        <v>1</v>
      </c>
      <c r="F448" t="s">
        <v>1038</v>
      </c>
      <c r="G448" t="str">
        <f>IF(ISERROR(VLOOKUP(F448,MODIFICACIONES_REALIZADAS!F:H,3,)),F448,VLOOKUP(F448,MODIFICACIONES_REALIZADAS!F:H,3,))</f>
        <v>SM-O-COLC-Inspector-Porcentaje-Autofinanciacion-Polizas-003</v>
      </c>
      <c r="H448">
        <v>20140101</v>
      </c>
      <c r="I448">
        <v>22000101</v>
      </c>
    </row>
    <row r="449" spans="1:11" x14ac:dyDescent="0.25">
      <c r="A449">
        <v>3</v>
      </c>
      <c r="B449" t="s">
        <v>63</v>
      </c>
      <c r="C449" t="s">
        <v>65</v>
      </c>
      <c r="D449" t="s">
        <v>1026</v>
      </c>
      <c r="E449" t="b">
        <f t="shared" si="39"/>
        <v>1</v>
      </c>
      <c r="F449" t="s">
        <v>1039</v>
      </c>
      <c r="G449" t="str">
        <f>IF(ISERROR(VLOOKUP(F449,MODIFICACIONES_REALIZADAS!F:H,3,)),F449,VLOOKUP(F449,MODIFICACIONES_REALIZADAS!F:H,3,))</f>
        <v>SM-O-COLC-Inspector-Porcentaje-Autofinanciacion-Polizas-004</v>
      </c>
      <c r="H449">
        <v>20140101</v>
      </c>
      <c r="I449">
        <v>22000101</v>
      </c>
    </row>
    <row r="450" spans="1:11" x14ac:dyDescent="0.25">
      <c r="A450">
        <v>3</v>
      </c>
      <c r="B450" t="s">
        <v>63</v>
      </c>
      <c r="C450" t="s">
        <v>65</v>
      </c>
      <c r="D450" t="s">
        <v>1026</v>
      </c>
      <c r="E450" t="b">
        <f t="shared" si="39"/>
        <v>1</v>
      </c>
      <c r="F450" t="s">
        <v>1040</v>
      </c>
      <c r="G450" t="str">
        <f>IF(ISERROR(VLOOKUP(F450,MODIFICACIONES_REALIZADAS!F:H,3,)),F450,VLOOKUP(F450,MODIFICACIONES_REALIZADAS!F:H,3,))</f>
        <v>SM-O-COLC-Inspector-Porcentaje-Autofinanciacion-Polizas-005</v>
      </c>
      <c r="H450">
        <v>20140101</v>
      </c>
      <c r="I450">
        <v>22000101</v>
      </c>
    </row>
    <row r="451" spans="1:11" x14ac:dyDescent="0.25">
      <c r="A451">
        <v>3</v>
      </c>
      <c r="B451" t="s">
        <v>63</v>
      </c>
      <c r="C451" t="s">
        <v>65</v>
      </c>
      <c r="D451" t="s">
        <v>1026</v>
      </c>
      <c r="E451" t="b">
        <f t="shared" si="39"/>
        <v>1</v>
      </c>
      <c r="F451" t="s">
        <v>1041</v>
      </c>
      <c r="G451" t="str">
        <f>IF(ISERROR(VLOOKUP(F451,MODIFICACIONES_REALIZADAS!F:H,3,)),F451,VLOOKUP(F451,MODIFICACIONES_REALIZADAS!F:H,3,))</f>
        <v>SM-O-COLC-Inspector-Porcentaje-Autofinanciacion-Polizas-006</v>
      </c>
      <c r="H451">
        <v>20140101</v>
      </c>
      <c r="I451">
        <v>22000101</v>
      </c>
    </row>
    <row r="452" spans="1:11" x14ac:dyDescent="0.25">
      <c r="A452" s="2">
        <v>3</v>
      </c>
      <c r="B452" s="2" t="s">
        <v>63</v>
      </c>
      <c r="C452" s="2" t="s">
        <v>65</v>
      </c>
      <c r="D452" s="2" t="s">
        <v>1026</v>
      </c>
      <c r="E452" s="2" t="b">
        <f t="shared" si="39"/>
        <v>1</v>
      </c>
      <c r="F452" s="2" t="s">
        <v>1042</v>
      </c>
      <c r="G452" s="2" t="str">
        <f>IF(ISERROR(VLOOKUP(F452,MODIFICACIONES_REALIZADAS!F:H,3,)),F452,VLOOKUP(F452,MODIFICACIONES_REALIZADAS!F:H,3,))</f>
        <v>SM-O-COLC-Inspector-Porcentaje-Autofinanciacion-Polizas-007</v>
      </c>
      <c r="H452" s="2">
        <v>20140101</v>
      </c>
      <c r="I452" s="2">
        <v>20140101</v>
      </c>
      <c r="J452" s="2" t="s">
        <v>71</v>
      </c>
      <c r="K452" s="2"/>
    </row>
    <row r="453" spans="1:11" x14ac:dyDescent="0.25">
      <c r="A453">
        <v>3</v>
      </c>
      <c r="B453" t="s">
        <v>63</v>
      </c>
      <c r="C453" t="s">
        <v>65</v>
      </c>
      <c r="D453" t="s">
        <v>1026</v>
      </c>
      <c r="E453" t="b">
        <f t="shared" si="39"/>
        <v>1</v>
      </c>
      <c r="F453" t="s">
        <v>1043</v>
      </c>
      <c r="G453" t="str">
        <f>IF(ISERROR(VLOOKUP(F453,MODIFICACIONES_REALIZADAS!F:H,3,)),F453,VLOOKUP(F453,MODIFICACIONES_REALIZADAS!F:H,3,))</f>
        <v>SM-O-COLC-Inspector-Porcentaje-Autofinanciacion-Polizas-008</v>
      </c>
      <c r="H453">
        <v>20140101</v>
      </c>
      <c r="I453">
        <v>22000101</v>
      </c>
    </row>
    <row r="454" spans="1:11" x14ac:dyDescent="0.25">
      <c r="A454">
        <v>3</v>
      </c>
      <c r="B454" t="s">
        <v>63</v>
      </c>
      <c r="C454" t="s">
        <v>65</v>
      </c>
      <c r="D454" t="s">
        <v>1026</v>
      </c>
      <c r="E454" t="b">
        <f t="shared" si="39"/>
        <v>1</v>
      </c>
      <c r="F454" t="s">
        <v>1044</v>
      </c>
      <c r="G454" t="str">
        <f>IF(ISERROR(VLOOKUP(F454,MODIFICACIONES_REALIZADAS!F:H,3,)),F454,VLOOKUP(F454,MODIFICACIONES_REALIZADAS!F:H,3,))</f>
        <v>SM-O-COLC-Inspector-Porcentaje-Autofinanciacion-Polizas-009</v>
      </c>
      <c r="H454">
        <v>20140101</v>
      </c>
      <c r="I454">
        <v>22000101</v>
      </c>
    </row>
    <row r="455" spans="1:11" x14ac:dyDescent="0.25">
      <c r="A455">
        <v>3</v>
      </c>
      <c r="B455" t="s">
        <v>63</v>
      </c>
      <c r="C455" t="s">
        <v>65</v>
      </c>
      <c r="D455" t="s">
        <v>1026</v>
      </c>
      <c r="E455" t="b">
        <f t="shared" si="39"/>
        <v>1</v>
      </c>
      <c r="F455" t="s">
        <v>1045</v>
      </c>
      <c r="G455" t="str">
        <f>IF(ISERROR(VLOOKUP(F455,MODIFICACIONES_REALIZADAS!F:H,3,)),F455,VLOOKUP(F455,MODIFICACIONES_REALIZADAS!F:H,3,))</f>
        <v>SM-O-COLC-Inspector-Porcentaje-Autofinanciacion-PrimasPolizas-001</v>
      </c>
      <c r="H455">
        <v>20140101</v>
      </c>
      <c r="I455">
        <v>22000101</v>
      </c>
    </row>
    <row r="456" spans="1:11" x14ac:dyDescent="0.25">
      <c r="A456">
        <v>3</v>
      </c>
      <c r="B456" t="s">
        <v>63</v>
      </c>
      <c r="C456" t="s">
        <v>65</v>
      </c>
      <c r="D456" t="s">
        <v>1026</v>
      </c>
      <c r="E456" t="b">
        <f t="shared" si="39"/>
        <v>1</v>
      </c>
      <c r="F456" t="s">
        <v>1046</v>
      </c>
      <c r="G456" t="str">
        <f>IF(ISERROR(VLOOKUP(F456,MODIFICACIONES_REALIZADAS!F:H,3,)),F456,VLOOKUP(F456,MODIFICACIONES_REALIZADAS!F:H,3,))</f>
        <v>SM-O-COLC-Inspector-Porcentaje-Autofinanciacion-PrimasPolizas-002</v>
      </c>
      <c r="H456">
        <v>20140101</v>
      </c>
      <c r="I456">
        <v>22000101</v>
      </c>
    </row>
    <row r="457" spans="1:11" x14ac:dyDescent="0.25">
      <c r="A457">
        <v>3</v>
      </c>
      <c r="B457" t="s">
        <v>63</v>
      </c>
      <c r="C457" t="s">
        <v>65</v>
      </c>
      <c r="D457" t="s">
        <v>1026</v>
      </c>
      <c r="E457" t="b">
        <f t="shared" si="39"/>
        <v>1</v>
      </c>
      <c r="F457" t="s">
        <v>1047</v>
      </c>
      <c r="G457" t="str">
        <f>IF(ISERROR(VLOOKUP(F457,MODIFICACIONES_REALIZADAS!F:H,3,)),F457,VLOOKUP(F457,MODIFICACIONES_REALIZADAS!F:H,3,))</f>
        <v>SM-O-COLC-Inspector-Porcentaje-Autofinanciacion-PrimasPolizas-003</v>
      </c>
      <c r="H457">
        <v>20140101</v>
      </c>
      <c r="I457">
        <v>22000101</v>
      </c>
    </row>
    <row r="458" spans="1:11" x14ac:dyDescent="0.25">
      <c r="A458">
        <v>3</v>
      </c>
      <c r="B458" t="s">
        <v>63</v>
      </c>
      <c r="C458" t="s">
        <v>65</v>
      </c>
      <c r="D458" t="s">
        <v>1026</v>
      </c>
      <c r="E458" t="b">
        <f t="shared" si="39"/>
        <v>1</v>
      </c>
      <c r="F458" t="s">
        <v>1048</v>
      </c>
      <c r="G458" t="str">
        <f>IF(ISERROR(VLOOKUP(F458,MODIFICACIONES_REALIZADAS!F:H,3,)),F458,VLOOKUP(F458,MODIFICACIONES_REALIZADAS!F:H,3,))</f>
        <v>SM-O-COLC-Inspector-Porcentaje-Autofinanciacion-PrimasPolizas-004</v>
      </c>
      <c r="H458">
        <v>20140101</v>
      </c>
      <c r="I458">
        <v>22000101</v>
      </c>
    </row>
    <row r="459" spans="1:11" x14ac:dyDescent="0.25">
      <c r="A459">
        <v>3</v>
      </c>
      <c r="B459" t="s">
        <v>63</v>
      </c>
      <c r="C459" t="s">
        <v>65</v>
      </c>
      <c r="D459" t="s">
        <v>1026</v>
      </c>
      <c r="E459" t="b">
        <f t="shared" si="39"/>
        <v>1</v>
      </c>
      <c r="F459" t="s">
        <v>1049</v>
      </c>
      <c r="G459" t="str">
        <f>IF(ISERROR(VLOOKUP(F459,MODIFICACIONES_REALIZADAS!F:H,3,)),F459,VLOOKUP(F459,MODIFICACIONES_REALIZADAS!F:H,3,))</f>
        <v>SM-O-COLC-Inspector-Porcentaje-Autofinanciacion-PrimasPolizas-005</v>
      </c>
      <c r="H459">
        <v>20140101</v>
      </c>
      <c r="I459">
        <v>22000101</v>
      </c>
    </row>
    <row r="460" spans="1:11" x14ac:dyDescent="0.25">
      <c r="A460">
        <v>3</v>
      </c>
      <c r="B460" t="s">
        <v>63</v>
      </c>
      <c r="C460" t="s">
        <v>65</v>
      </c>
      <c r="D460" t="s">
        <v>1026</v>
      </c>
      <c r="E460" t="b">
        <f t="shared" si="39"/>
        <v>1</v>
      </c>
      <c r="F460" t="s">
        <v>1050</v>
      </c>
      <c r="G460" t="str">
        <f>IF(ISERROR(VLOOKUP(F460,MODIFICACIONES_REALIZADAS!F:H,3,)),F460,VLOOKUP(F460,MODIFICACIONES_REALIZADAS!F:H,3,))</f>
        <v>SM-O-COLC-Inspector-Porcentaje-Autofinanciacion-PrimasPolizas-006</v>
      </c>
      <c r="H460">
        <v>20140101</v>
      </c>
      <c r="I460">
        <v>22000101</v>
      </c>
    </row>
    <row r="461" spans="1:11" x14ac:dyDescent="0.25">
      <c r="A461" s="2">
        <v>3</v>
      </c>
      <c r="B461" s="2" t="s">
        <v>63</v>
      </c>
      <c r="C461" s="2" t="s">
        <v>65</v>
      </c>
      <c r="D461" s="2" t="s">
        <v>1026</v>
      </c>
      <c r="E461" s="2" t="b">
        <f t="shared" si="39"/>
        <v>1</v>
      </c>
      <c r="F461" s="2" t="s">
        <v>1051</v>
      </c>
      <c r="G461" s="2" t="str">
        <f>IF(ISERROR(VLOOKUP(F461,MODIFICACIONES_REALIZADAS!F:H,3,)),F461,VLOOKUP(F461,MODIFICACIONES_REALIZADAS!F:H,3,))</f>
        <v>SM-O-COLC-Inspector-Porcentaje-Autofinanciacion-PrimasPolizas-007</v>
      </c>
      <c r="H461" s="2">
        <v>20140101</v>
      </c>
      <c r="I461" s="2">
        <v>20140101</v>
      </c>
      <c r="J461" s="2" t="s">
        <v>71</v>
      </c>
      <c r="K461" s="2"/>
    </row>
    <row r="462" spans="1:11" x14ac:dyDescent="0.25">
      <c r="A462">
        <v>3</v>
      </c>
      <c r="B462" t="s">
        <v>63</v>
      </c>
      <c r="C462" t="s">
        <v>65</v>
      </c>
      <c r="D462" t="s">
        <v>1026</v>
      </c>
      <c r="E462" t="b">
        <f t="shared" si="39"/>
        <v>1</v>
      </c>
      <c r="F462" t="s">
        <v>1052</v>
      </c>
      <c r="G462" t="str">
        <f>IF(ISERROR(VLOOKUP(F462,MODIFICACIONES_REALIZADAS!F:H,3,)),F462,VLOOKUP(F462,MODIFICACIONES_REALIZADAS!F:H,3,))</f>
        <v>SM-O-COLC-Inspector-Porcentaje-Autofinanciacion-PrimasPolizas-008</v>
      </c>
      <c r="H462">
        <v>20140101</v>
      </c>
      <c r="I462">
        <v>22000101</v>
      </c>
    </row>
    <row r="463" spans="1:11" x14ac:dyDescent="0.25">
      <c r="A463">
        <v>3</v>
      </c>
      <c r="B463" t="s">
        <v>63</v>
      </c>
      <c r="C463" t="s">
        <v>65</v>
      </c>
      <c r="D463" t="s">
        <v>1026</v>
      </c>
      <c r="E463" t="b">
        <f t="shared" si="39"/>
        <v>1</v>
      </c>
      <c r="F463" t="s">
        <v>1053</v>
      </c>
      <c r="G463" t="str">
        <f>IF(ISERROR(VLOOKUP(F463,MODIFICACIONES_REALIZADAS!F:H,3,)),F463,VLOOKUP(F463,MODIFICACIONES_REALIZADAS!F:H,3,))</f>
        <v>SM-O-COLC-Inspector-Porcentaje-Autofinanciacion-PrimasPolizas-009</v>
      </c>
      <c r="H463">
        <v>20140101</v>
      </c>
      <c r="I463">
        <v>22000101</v>
      </c>
    </row>
    <row r="464" spans="1:11" x14ac:dyDescent="0.25">
      <c r="A464">
        <v>3</v>
      </c>
      <c r="B464" t="s">
        <v>63</v>
      </c>
      <c r="C464" t="s">
        <v>65</v>
      </c>
      <c r="D464" t="s">
        <v>715</v>
      </c>
      <c r="E464" t="b">
        <f t="shared" si="39"/>
        <v>1</v>
      </c>
      <c r="F464" t="s">
        <v>1054</v>
      </c>
      <c r="G464" t="str">
        <f>IF(ISERROR(VLOOKUP(F464,MODIFICACIONES_REALIZADAS!F:H,3,)),F464,VLOOKUP(F464,MODIFICACIONES_REALIZADAS!F:H,3,))</f>
        <v>SM-O-COLC-Inspector-Pago-001</v>
      </c>
      <c r="H464">
        <v>20140101</v>
      </c>
      <c r="I464">
        <v>22000101</v>
      </c>
    </row>
    <row r="465" spans="1:11" x14ac:dyDescent="0.25">
      <c r="A465">
        <v>3</v>
      </c>
      <c r="B465" t="s">
        <v>63</v>
      </c>
      <c r="C465" t="s">
        <v>65</v>
      </c>
      <c r="D465" t="s">
        <v>715</v>
      </c>
      <c r="E465" t="b">
        <f t="shared" si="39"/>
        <v>1</v>
      </c>
      <c r="F465" t="s">
        <v>1055</v>
      </c>
      <c r="G465" t="str">
        <f>IF(ISERROR(VLOOKUP(F465,MODIFICACIONES_REALIZADAS!F:H,3,)),F465,VLOOKUP(F465,MODIFICACIONES_REALIZADAS!F:H,3,))</f>
        <v>SM-O-COLC-Inspector-Pago-002</v>
      </c>
      <c r="H465">
        <v>20140101</v>
      </c>
      <c r="I465">
        <v>22000101</v>
      </c>
    </row>
    <row r="466" spans="1:11" x14ac:dyDescent="0.25">
      <c r="A466">
        <v>3</v>
      </c>
      <c r="B466" t="s">
        <v>63</v>
      </c>
      <c r="C466" t="s">
        <v>65</v>
      </c>
      <c r="D466" t="s">
        <v>715</v>
      </c>
      <c r="E466" t="b">
        <f t="shared" si="39"/>
        <v>1</v>
      </c>
      <c r="F466" t="s">
        <v>1056</v>
      </c>
      <c r="G466" t="str">
        <f>IF(ISERROR(VLOOKUP(F466,MODIFICACIONES_REALIZADAS!F:H,3,)),F466,VLOOKUP(F466,MODIFICACIONES_REALIZADAS!F:H,3,))</f>
        <v>SM-O-COLC-Inspector-Pago-003</v>
      </c>
      <c r="H466">
        <v>20140101</v>
      </c>
      <c r="I466">
        <v>22000101</v>
      </c>
    </row>
    <row r="467" spans="1:11" x14ac:dyDescent="0.25">
      <c r="A467">
        <v>3</v>
      </c>
      <c r="B467" t="s">
        <v>63</v>
      </c>
      <c r="C467" t="s">
        <v>65</v>
      </c>
      <c r="D467" t="s">
        <v>715</v>
      </c>
      <c r="E467" t="b">
        <f t="shared" si="39"/>
        <v>1</v>
      </c>
      <c r="F467" t="s">
        <v>1057</v>
      </c>
      <c r="G467" t="str">
        <f>IF(ISERROR(VLOOKUP(F467,MODIFICACIONES_REALIZADAS!F:H,3,)),F467,VLOOKUP(F467,MODIFICACIONES_REALIZADAS!F:H,3,))</f>
        <v>SM-O-COLC-Inspector-Pago-004</v>
      </c>
      <c r="H467">
        <v>20140101</v>
      </c>
      <c r="I467">
        <v>22000101</v>
      </c>
    </row>
    <row r="468" spans="1:11" x14ac:dyDescent="0.25">
      <c r="A468">
        <v>3</v>
      </c>
      <c r="B468" t="s">
        <v>63</v>
      </c>
      <c r="C468" t="s">
        <v>65</v>
      </c>
      <c r="D468" t="s">
        <v>715</v>
      </c>
      <c r="E468" t="b">
        <f t="shared" si="39"/>
        <v>1</v>
      </c>
      <c r="F468" t="s">
        <v>1058</v>
      </c>
      <c r="G468" t="str">
        <f>IF(ISERROR(VLOOKUP(F468,MODIFICACIONES_REALIZADAS!F:H,3,)),F468,VLOOKUP(F468,MODIFICACIONES_REALIZADAS!F:H,3,))</f>
        <v>SM-O-COLC-Inspector-Pago-005</v>
      </c>
      <c r="H468">
        <v>20140101</v>
      </c>
      <c r="I468">
        <v>22000101</v>
      </c>
    </row>
    <row r="469" spans="1:11" x14ac:dyDescent="0.25">
      <c r="A469">
        <v>3</v>
      </c>
      <c r="B469" t="s">
        <v>63</v>
      </c>
      <c r="C469" t="s">
        <v>65</v>
      </c>
      <c r="D469" t="s">
        <v>715</v>
      </c>
      <c r="E469" t="b">
        <f t="shared" si="39"/>
        <v>1</v>
      </c>
      <c r="F469" t="s">
        <v>1059</v>
      </c>
      <c r="G469" t="str">
        <f>IF(ISERROR(VLOOKUP(F469,MODIFICACIONES_REALIZADAS!F:H,3,)),F469,VLOOKUP(F469,MODIFICACIONES_REALIZADAS!F:H,3,))</f>
        <v>SM-O-COLC-Inspector-Pago-006</v>
      </c>
      <c r="H469">
        <v>20140101</v>
      </c>
      <c r="I469">
        <v>22000101</v>
      </c>
    </row>
    <row r="470" spans="1:11" x14ac:dyDescent="0.25">
      <c r="A470" s="2">
        <v>3</v>
      </c>
      <c r="B470" s="2" t="s">
        <v>63</v>
      </c>
      <c r="C470" s="2" t="s">
        <v>65</v>
      </c>
      <c r="D470" s="2" t="s">
        <v>715</v>
      </c>
      <c r="E470" s="2" t="b">
        <f t="shared" si="39"/>
        <v>1</v>
      </c>
      <c r="F470" s="2" t="s">
        <v>1060</v>
      </c>
      <c r="G470" s="2" t="str">
        <f>IF(ISERROR(VLOOKUP(F470,MODIFICACIONES_REALIZADAS!F:H,3,)),F470,VLOOKUP(F470,MODIFICACIONES_REALIZADAS!F:H,3,))</f>
        <v>SM-O-COLC-Inspector-Pago-007</v>
      </c>
      <c r="H470" s="2">
        <v>20140101</v>
      </c>
      <c r="I470" s="2">
        <v>20140101</v>
      </c>
      <c r="J470" s="2" t="s">
        <v>71</v>
      </c>
      <c r="K470" s="2"/>
    </row>
    <row r="471" spans="1:11" x14ac:dyDescent="0.25">
      <c r="A471">
        <v>3</v>
      </c>
      <c r="B471" t="s">
        <v>63</v>
      </c>
      <c r="C471" t="s">
        <v>65</v>
      </c>
      <c r="D471" t="s">
        <v>715</v>
      </c>
      <c r="E471" t="b">
        <f t="shared" si="39"/>
        <v>1</v>
      </c>
      <c r="F471" t="s">
        <v>1061</v>
      </c>
      <c r="G471" t="str">
        <f>IF(ISERROR(VLOOKUP(F471,MODIFICACIONES_REALIZADAS!F:H,3,)),F471,VLOOKUP(F471,MODIFICACIONES_REALIZADAS!F:H,3,))</f>
        <v>SM-O-COLC-Inspector-Pago-008</v>
      </c>
      <c r="H471">
        <v>20140101</v>
      </c>
      <c r="I471">
        <v>22000101</v>
      </c>
    </row>
    <row r="472" spans="1:11" x14ac:dyDescent="0.25">
      <c r="A472">
        <v>3</v>
      </c>
      <c r="B472" t="s">
        <v>63</v>
      </c>
      <c r="C472" t="s">
        <v>65</v>
      </c>
      <c r="D472" t="s">
        <v>715</v>
      </c>
      <c r="E472" t="b">
        <f t="shared" si="39"/>
        <v>1</v>
      </c>
      <c r="F472" t="s">
        <v>1062</v>
      </c>
      <c r="G472" t="str">
        <f>IF(ISERROR(VLOOKUP(F472,MODIFICACIONES_REALIZADAS!F:H,3,)),F472,VLOOKUP(F472,MODIFICACIONES_REALIZADAS!F:H,3,))</f>
        <v>SM-O-COLC-Inspector-Pago-009</v>
      </c>
      <c r="H472">
        <v>20140101</v>
      </c>
      <c r="I472">
        <v>22000101</v>
      </c>
    </row>
    <row r="473" spans="1:11" x14ac:dyDescent="0.25">
      <c r="A473">
        <v>3</v>
      </c>
      <c r="B473" t="s">
        <v>63</v>
      </c>
      <c r="C473" t="s">
        <v>65</v>
      </c>
      <c r="D473" t="s">
        <v>715</v>
      </c>
      <c r="E473" t="b">
        <f>F473=G473</f>
        <v>1</v>
      </c>
      <c r="F473" t="s">
        <v>1063</v>
      </c>
      <c r="G473" t="str">
        <f>IF(ISERROR(VLOOKUP(F473,MODIFICACIONES_REALIZADAS!F:H,3,)),F473,VLOOKUP(F473,MODIFICACIONES_REALIZADAS!F:H,3,))</f>
        <v>SM-O-COLC-Inspector-Pago-Total</v>
      </c>
      <c r="H473">
        <v>20140101</v>
      </c>
      <c r="I473">
        <v>22000101</v>
      </c>
    </row>
    <row r="474" spans="1:11" x14ac:dyDescent="0.25">
      <c r="A474" s="2">
        <v>3</v>
      </c>
      <c r="B474" s="2" t="s">
        <v>68</v>
      </c>
      <c r="C474" s="2" t="s">
        <v>70</v>
      </c>
      <c r="D474" s="2" t="s">
        <v>937</v>
      </c>
      <c r="E474" s="2" t="b">
        <f t="shared" ref="E474:E562" si="40">F474=G474</f>
        <v>0</v>
      </c>
      <c r="F474" s="2" t="s">
        <v>533</v>
      </c>
      <c r="G474" s="2" t="str">
        <f>IF(ISERROR(VLOOKUP(F474,MODIFICACIONES_REALIZADAS!F:H,3,)),F474,VLOOKUP(F474,MODIFICACIONES_REALIZADAS!F:H,3,))</f>
        <v>DC-O-GEN-Inspector-PrimaCorregida-998</v>
      </c>
      <c r="H474" s="2">
        <v>20140101</v>
      </c>
      <c r="I474" s="2">
        <v>20150101</v>
      </c>
      <c r="J474" s="2" t="s">
        <v>71</v>
      </c>
      <c r="K474" s="2"/>
    </row>
    <row r="475" spans="1:11" x14ac:dyDescent="0.25">
      <c r="A475" s="2">
        <v>3</v>
      </c>
      <c r="B475" s="2" t="s">
        <v>68</v>
      </c>
      <c r="C475" s="2" t="s">
        <v>70</v>
      </c>
      <c r="D475" s="2" t="s">
        <v>937</v>
      </c>
      <c r="E475" s="2" t="b">
        <f t="shared" si="40"/>
        <v>0</v>
      </c>
      <c r="F475" s="2" t="s">
        <v>535</v>
      </c>
      <c r="G475" s="2" t="str">
        <f>IF(ISERROR(VLOOKUP(F475,MODIFICACIONES_REALIZADAS!F:H,3,)),F475,VLOOKUP(F475,MODIFICACIONES_REALIZADAS!F:H,3,))</f>
        <v>IC-O-GEN-Inspector-PrimaCorregida-998</v>
      </c>
      <c r="H475" s="2">
        <v>20140101</v>
      </c>
      <c r="I475" s="2">
        <v>20150101</v>
      </c>
      <c r="J475" s="2" t="s">
        <v>71</v>
      </c>
      <c r="K475" s="2"/>
    </row>
    <row r="476" spans="1:11" x14ac:dyDescent="0.25">
      <c r="A476" s="2">
        <v>3</v>
      </c>
      <c r="B476" s="2" t="s">
        <v>68</v>
      </c>
      <c r="C476" s="2" t="s">
        <v>70</v>
      </c>
      <c r="D476" s="2" t="s">
        <v>940</v>
      </c>
      <c r="E476" s="2" t="b">
        <f t="shared" si="40"/>
        <v>0</v>
      </c>
      <c r="F476" s="2" t="s">
        <v>537</v>
      </c>
      <c r="G476" s="2" t="str">
        <f>IF(ISERROR(VLOOKUP(F476,MODIFICACIONES_REALIZADAS!F:H,3,)),F476,VLOOKUP(F476,MODIFICACIONES_REALIZADAS!F:H,3,))</f>
        <v>DC-O-GEN-Inspector-NumeroPolizas-998</v>
      </c>
      <c r="H476" s="2">
        <v>20140101</v>
      </c>
      <c r="I476" s="2">
        <v>20150101</v>
      </c>
      <c r="J476" s="2" t="s">
        <v>71</v>
      </c>
      <c r="K476" s="2"/>
    </row>
    <row r="477" spans="1:11" x14ac:dyDescent="0.25">
      <c r="A477" s="2">
        <v>3</v>
      </c>
      <c r="B477" s="2" t="s">
        <v>68</v>
      </c>
      <c r="C477" s="2" t="s">
        <v>70</v>
      </c>
      <c r="D477" s="2" t="s">
        <v>940</v>
      </c>
      <c r="E477" s="2" t="b">
        <f t="shared" si="40"/>
        <v>0</v>
      </c>
      <c r="F477" s="2" t="s">
        <v>539</v>
      </c>
      <c r="G477" s="2" t="str">
        <f>IF(ISERROR(VLOOKUP(F477,MODIFICACIONES_REALIZADAS!F:H,3,)),F477,VLOOKUP(F477,MODIFICACIONES_REALIZADAS!F:H,3,))</f>
        <v>IC-O-GEN-Inspector-NumeroPolizas-998</v>
      </c>
      <c r="H477" s="2">
        <v>20140101</v>
      </c>
      <c r="I477" s="2">
        <v>20150101</v>
      </c>
      <c r="J477" s="2" t="s">
        <v>71</v>
      </c>
      <c r="K477" s="2"/>
    </row>
    <row r="478" spans="1:11" x14ac:dyDescent="0.25">
      <c r="A478" s="2">
        <v>3</v>
      </c>
      <c r="B478" s="2" t="s">
        <v>68</v>
      </c>
      <c r="C478" s="2" t="s">
        <v>70</v>
      </c>
      <c r="D478" s="2" t="s">
        <v>1064</v>
      </c>
      <c r="E478" s="2" t="b">
        <f t="shared" si="40"/>
        <v>0</v>
      </c>
      <c r="F478" s="2" t="s">
        <v>1065</v>
      </c>
      <c r="G478" s="2" t="str">
        <f>IF(ISERROR(VLOOKUP(F478,MODIFICACIONES_REALIZADAS!F:H,3,)),F478,VLOOKUP(F478,MODIFICACIONES_REALIZADAS!F:H,3,))</f>
        <v>DC-O-GEN-Inspector-NumeroPolizas-906</v>
      </c>
      <c r="H478" s="2">
        <v>20140101</v>
      </c>
      <c r="I478" s="2">
        <v>20150101</v>
      </c>
      <c r="J478" s="2" t="s">
        <v>71</v>
      </c>
      <c r="K478" s="2"/>
    </row>
    <row r="479" spans="1:11" x14ac:dyDescent="0.25">
      <c r="A479" s="2">
        <v>3</v>
      </c>
      <c r="B479" s="2" t="s">
        <v>68</v>
      </c>
      <c r="C479" s="2" t="s">
        <v>70</v>
      </c>
      <c r="D479" s="2" t="s">
        <v>1064</v>
      </c>
      <c r="E479" s="2" t="b">
        <f t="shared" si="40"/>
        <v>0</v>
      </c>
      <c r="F479" s="2" t="s">
        <v>1066</v>
      </c>
      <c r="G479" s="2" t="str">
        <f>IF(ISERROR(VLOOKUP(F479,MODIFICACIONES_REALIZADAS!F:H,3,)),F479,VLOOKUP(F479,MODIFICACIONES_REALIZADAS!F:H,3,))</f>
        <v>IC-O-GEN-Inspector-NumeroPolizas-906</v>
      </c>
      <c r="H479" s="2">
        <v>20140101</v>
      </c>
      <c r="I479" s="2">
        <v>20150101</v>
      </c>
      <c r="J479" s="2" t="s">
        <v>71</v>
      </c>
      <c r="K479" s="2"/>
    </row>
    <row r="480" spans="1:11" x14ac:dyDescent="0.25">
      <c r="A480" s="2">
        <v>3</v>
      </c>
      <c r="B480" s="2" t="s">
        <v>68</v>
      </c>
      <c r="C480" s="2" t="s">
        <v>70</v>
      </c>
      <c r="D480" s="2" t="s">
        <v>1067</v>
      </c>
      <c r="E480" s="2" t="b">
        <f t="shared" si="40"/>
        <v>0</v>
      </c>
      <c r="F480" s="2" t="s">
        <v>1068</v>
      </c>
      <c r="G480" s="2" t="str">
        <f>IF(ISERROR(VLOOKUP(F480,MODIFICACIONES_REALIZADAS!F:H,3,)),F480,VLOOKUP(F480,MODIFICACIONES_REALIZADAS!F:H,3,))</f>
        <v>DC-O-GEN-Inspector-NumeroPolizas-002</v>
      </c>
      <c r="H480" s="2">
        <v>20140101</v>
      </c>
      <c r="I480" s="2">
        <v>20150101</v>
      </c>
      <c r="J480" s="2" t="s">
        <v>71</v>
      </c>
      <c r="K480" s="2"/>
    </row>
    <row r="481" spans="1:11" x14ac:dyDescent="0.25">
      <c r="A481" s="2">
        <v>3</v>
      </c>
      <c r="B481" s="2" t="s">
        <v>68</v>
      </c>
      <c r="C481" s="2" t="s">
        <v>70</v>
      </c>
      <c r="D481" s="2" t="s">
        <v>1067</v>
      </c>
      <c r="E481" s="2" t="b">
        <f t="shared" si="40"/>
        <v>0</v>
      </c>
      <c r="F481" s="2" t="s">
        <v>1069</v>
      </c>
      <c r="G481" s="2" t="str">
        <f>IF(ISERROR(VLOOKUP(F481,MODIFICACIONES_REALIZADAS!F:H,3,)),F481,VLOOKUP(F481,MODIFICACIONES_REALIZADAS!F:H,3,))</f>
        <v>IC-O-GEN-Inspector-NumeroPolizas-002</v>
      </c>
      <c r="H481" s="2">
        <v>20140101</v>
      </c>
      <c r="I481" s="2">
        <v>20150101</v>
      </c>
      <c r="J481" s="2" t="s">
        <v>71</v>
      </c>
      <c r="K481" s="2"/>
    </row>
    <row r="482" spans="1:11" x14ac:dyDescent="0.25">
      <c r="A482" s="2">
        <v>3</v>
      </c>
      <c r="B482" s="2" t="s">
        <v>68</v>
      </c>
      <c r="C482" s="2" t="s">
        <v>70</v>
      </c>
      <c r="D482" s="2" t="s">
        <v>1070</v>
      </c>
      <c r="E482" s="2" t="b">
        <f t="shared" si="40"/>
        <v>1</v>
      </c>
      <c r="F482" s="2" t="s">
        <v>938</v>
      </c>
      <c r="G482" s="2" t="str">
        <f>IF(ISERROR(VLOOKUP(F482,MODIFICACIONES_REALIZADAS!F:H,3,)),F482,VLOOKUP(F482,MODIFICACIONES_REALIZADAS!F:H,3,))</f>
        <v>DC-O-GEN-Inspector-PrimaCorregida-004</v>
      </c>
      <c r="H482" s="2">
        <v>20140101</v>
      </c>
      <c r="I482" s="2">
        <v>20150101</v>
      </c>
      <c r="J482" s="2" t="s">
        <v>71</v>
      </c>
      <c r="K482" s="2"/>
    </row>
    <row r="483" spans="1:11" x14ac:dyDescent="0.25">
      <c r="A483" s="2">
        <v>3</v>
      </c>
      <c r="B483" s="2" t="s">
        <v>68</v>
      </c>
      <c r="C483" s="2" t="s">
        <v>70</v>
      </c>
      <c r="D483" s="2" t="s">
        <v>1070</v>
      </c>
      <c r="E483" s="2" t="b">
        <f t="shared" si="40"/>
        <v>1</v>
      </c>
      <c r="F483" s="2" t="s">
        <v>939</v>
      </c>
      <c r="G483" s="2" t="str">
        <f>IF(ISERROR(VLOOKUP(F483,MODIFICACIONES_REALIZADAS!F:H,3,)),F483,VLOOKUP(F483,MODIFICACIONES_REALIZADAS!F:H,3,))</f>
        <v>IC-O-GEN-Inspector-PrimaCorregida-004</v>
      </c>
      <c r="H483" s="2">
        <v>20140101</v>
      </c>
      <c r="I483" s="2">
        <v>20150101</v>
      </c>
      <c r="J483" s="2" t="s">
        <v>71</v>
      </c>
      <c r="K483" s="2"/>
    </row>
    <row r="484" spans="1:11" x14ac:dyDescent="0.25">
      <c r="A484" s="2">
        <v>3</v>
      </c>
      <c r="B484" s="2" t="s">
        <v>68</v>
      </c>
      <c r="C484" s="2" t="s">
        <v>70</v>
      </c>
      <c r="D484" s="2" t="s">
        <v>1071</v>
      </c>
      <c r="E484" s="2" t="b">
        <f t="shared" si="40"/>
        <v>1</v>
      </c>
      <c r="F484" s="2" t="s">
        <v>1072</v>
      </c>
      <c r="G484" s="2" t="str">
        <f>IF(ISERROR(VLOOKUP(F484,MODIFICACIONES_REALIZADAS!F:H,3,)),F484,VLOOKUP(F484,MODIFICACIONES_REALIZADAS!F:H,3,))</f>
        <v>DC-O-GEN-Inspector-NumeroPolizas-008</v>
      </c>
      <c r="H484" s="2">
        <v>20140101</v>
      </c>
      <c r="I484" s="2">
        <v>20150101</v>
      </c>
      <c r="J484" s="2" t="s">
        <v>71</v>
      </c>
      <c r="K484" s="2"/>
    </row>
    <row r="485" spans="1:11" x14ac:dyDescent="0.25">
      <c r="A485" s="2">
        <v>3</v>
      </c>
      <c r="B485" s="2" t="s">
        <v>68</v>
      </c>
      <c r="C485" s="2" t="s">
        <v>70</v>
      </c>
      <c r="D485" s="2" t="s">
        <v>1071</v>
      </c>
      <c r="E485" s="2" t="b">
        <f t="shared" si="40"/>
        <v>1</v>
      </c>
      <c r="F485" s="2" t="s">
        <v>1073</v>
      </c>
      <c r="G485" s="2" t="str">
        <f>IF(ISERROR(VLOOKUP(F485,MODIFICACIONES_REALIZADAS!F:H,3,)),F485,VLOOKUP(F485,MODIFICACIONES_REALIZADAS!F:H,3,))</f>
        <v>IC-O-GEN-Inspector-NumeroPolizas-008</v>
      </c>
      <c r="H485" s="2">
        <v>20140101</v>
      </c>
      <c r="I485" s="2">
        <v>20150101</v>
      </c>
      <c r="J485" s="2" t="s">
        <v>71</v>
      </c>
      <c r="K485" s="2"/>
    </row>
    <row r="486" spans="1:11" x14ac:dyDescent="0.25">
      <c r="A486" s="2">
        <v>3</v>
      </c>
      <c r="B486" s="2" t="s">
        <v>68</v>
      </c>
      <c r="C486" s="2" t="s">
        <v>70</v>
      </c>
      <c r="D486" s="2" t="s">
        <v>1074</v>
      </c>
      <c r="E486" s="2" t="b">
        <f t="shared" si="40"/>
        <v>1</v>
      </c>
      <c r="F486" s="2" t="s">
        <v>1075</v>
      </c>
      <c r="G486" s="2" t="str">
        <f>IF(ISERROR(VLOOKUP(F486,MODIFICACIONES_REALIZADAS!F:H,3,)),F486,VLOOKUP(F486,MODIFICACIONES_REALIZADAS!F:H,3,))</f>
        <v>DC-O-GEN-Inspector-PrimaCorregida-001</v>
      </c>
      <c r="H486" s="2">
        <v>20140101</v>
      </c>
      <c r="I486" s="2">
        <v>20150101</v>
      </c>
      <c r="J486" s="2" t="s">
        <v>71</v>
      </c>
      <c r="K486" s="2"/>
    </row>
    <row r="487" spans="1:11" x14ac:dyDescent="0.25">
      <c r="A487" s="2">
        <v>3</v>
      </c>
      <c r="B487" s="2" t="s">
        <v>68</v>
      </c>
      <c r="C487" s="2" t="s">
        <v>70</v>
      </c>
      <c r="D487" s="2" t="s">
        <v>1074</v>
      </c>
      <c r="E487" s="2" t="b">
        <f t="shared" si="40"/>
        <v>1</v>
      </c>
      <c r="F487" s="2" t="s">
        <v>1076</v>
      </c>
      <c r="G487" s="2" t="str">
        <f>IF(ISERROR(VLOOKUP(F487,MODIFICACIONES_REALIZADAS!F:H,3,)),F487,VLOOKUP(F487,MODIFICACIONES_REALIZADAS!F:H,3,))</f>
        <v>IC-O-GEN-Inspector-PrimaCorregida-001</v>
      </c>
      <c r="H487" s="2">
        <v>20140101</v>
      </c>
      <c r="I487" s="2">
        <v>20150101</v>
      </c>
      <c r="J487" s="2" t="s">
        <v>71</v>
      </c>
      <c r="K487" s="2"/>
    </row>
    <row r="488" spans="1:11" x14ac:dyDescent="0.25">
      <c r="A488" s="2">
        <v>3</v>
      </c>
      <c r="B488" s="2" t="s">
        <v>68</v>
      </c>
      <c r="C488" s="2" t="s">
        <v>70</v>
      </c>
      <c r="D488" s="2" t="s">
        <v>1077</v>
      </c>
      <c r="E488" s="2" t="b">
        <f t="shared" si="40"/>
        <v>1</v>
      </c>
      <c r="F488" s="2" t="s">
        <v>1078</v>
      </c>
      <c r="G488" s="2" t="str">
        <f>IF(ISERROR(VLOOKUP(F488,MODIFICACIONES_REALIZADAS!F:H,3,)),F488,VLOOKUP(F488,MODIFICACIONES_REALIZADAS!F:H,3,))</f>
        <v>DC-O-GEN-Inspector-PrimaCorregida-002</v>
      </c>
      <c r="H488" s="2">
        <v>20140101</v>
      </c>
      <c r="I488" s="2">
        <v>20150101</v>
      </c>
      <c r="J488" s="2" t="s">
        <v>71</v>
      </c>
      <c r="K488" s="2"/>
    </row>
    <row r="489" spans="1:11" x14ac:dyDescent="0.25">
      <c r="A489" s="2">
        <v>3</v>
      </c>
      <c r="B489" s="2" t="s">
        <v>68</v>
      </c>
      <c r="C489" s="2" t="s">
        <v>70</v>
      </c>
      <c r="D489" s="2" t="s">
        <v>1077</v>
      </c>
      <c r="E489" s="2" t="b">
        <f t="shared" si="40"/>
        <v>1</v>
      </c>
      <c r="F489" s="2" t="s">
        <v>1079</v>
      </c>
      <c r="G489" s="2" t="str">
        <f>IF(ISERROR(VLOOKUP(F489,MODIFICACIONES_REALIZADAS!F:H,3,)),F489,VLOOKUP(F489,MODIFICACIONES_REALIZADAS!F:H,3,))</f>
        <v>IC-O-GEN-Inspector-PrimaCorregida-002</v>
      </c>
      <c r="H489" s="2">
        <v>20140101</v>
      </c>
      <c r="I489" s="2">
        <v>20150101</v>
      </c>
      <c r="J489" s="2" t="s">
        <v>71</v>
      </c>
      <c r="K489" s="2"/>
    </row>
    <row r="490" spans="1:11" x14ac:dyDescent="0.25">
      <c r="A490" s="2">
        <v>3</v>
      </c>
      <c r="B490" s="2" t="s">
        <v>68</v>
      </c>
      <c r="C490" s="2" t="s">
        <v>70</v>
      </c>
      <c r="D490" s="2" t="s">
        <v>1080</v>
      </c>
      <c r="E490" s="2" t="b">
        <f t="shared" si="40"/>
        <v>1</v>
      </c>
      <c r="F490" s="2" t="s">
        <v>1081</v>
      </c>
      <c r="G490" s="2" t="str">
        <f>IF(ISERROR(VLOOKUP(F490,MODIFICACIONES_REALIZADAS!F:H,3,)),F490,VLOOKUP(F490,MODIFICACIONES_REALIZADAS!F:H,3,))</f>
        <v>DC-O-GEN-Inspector-PrimaCorregida-003</v>
      </c>
      <c r="H490" s="2">
        <v>20140101</v>
      </c>
      <c r="I490" s="2">
        <v>20150101</v>
      </c>
      <c r="J490" s="2" t="s">
        <v>71</v>
      </c>
      <c r="K490" s="2"/>
    </row>
    <row r="491" spans="1:11" x14ac:dyDescent="0.25">
      <c r="A491" s="2">
        <v>3</v>
      </c>
      <c r="B491" s="2" t="s">
        <v>68</v>
      </c>
      <c r="C491" s="2" t="s">
        <v>70</v>
      </c>
      <c r="D491" s="2" t="s">
        <v>1080</v>
      </c>
      <c r="E491" s="2" t="b">
        <f t="shared" si="40"/>
        <v>1</v>
      </c>
      <c r="F491" s="2" t="s">
        <v>1082</v>
      </c>
      <c r="G491" s="2" t="str">
        <f>IF(ISERROR(VLOOKUP(F491,MODIFICACIONES_REALIZADAS!F:H,3,)),F491,VLOOKUP(F491,MODIFICACIONES_REALIZADAS!F:H,3,))</f>
        <v>IC-O-GEN-Inspector-PrimaCorregida-003</v>
      </c>
      <c r="H491" s="2">
        <v>20140101</v>
      </c>
      <c r="I491" s="2">
        <v>20150101</v>
      </c>
      <c r="J491" s="2" t="s">
        <v>71</v>
      </c>
      <c r="K491" s="2"/>
    </row>
    <row r="492" spans="1:11" x14ac:dyDescent="0.25">
      <c r="A492" s="2">
        <v>3</v>
      </c>
      <c r="B492" s="2" t="s">
        <v>68</v>
      </c>
      <c r="C492" s="2" t="s">
        <v>70</v>
      </c>
      <c r="D492" s="2" t="s">
        <v>1083</v>
      </c>
      <c r="E492" s="2" t="b">
        <f t="shared" si="40"/>
        <v>1</v>
      </c>
      <c r="F492" s="2" t="s">
        <v>1084</v>
      </c>
      <c r="G492" s="2" t="str">
        <f>IF(ISERROR(VLOOKUP(F492,MODIFICACIONES_REALIZADAS!F:H,3,)),F492,VLOOKUP(F492,MODIFICACIONES_REALIZADAS!F:H,3,))</f>
        <v>DC-O-GEN-Inspector-PrimaCorregida-005</v>
      </c>
      <c r="H492" s="2">
        <v>20140101</v>
      </c>
      <c r="I492" s="2">
        <v>20150101</v>
      </c>
      <c r="J492" s="2" t="s">
        <v>71</v>
      </c>
      <c r="K492" s="2"/>
    </row>
    <row r="493" spans="1:11" x14ac:dyDescent="0.25">
      <c r="A493" s="2">
        <v>3</v>
      </c>
      <c r="B493" s="2" t="s">
        <v>68</v>
      </c>
      <c r="C493" s="2" t="s">
        <v>70</v>
      </c>
      <c r="D493" s="2" t="s">
        <v>1083</v>
      </c>
      <c r="E493" s="2" t="b">
        <f t="shared" si="40"/>
        <v>1</v>
      </c>
      <c r="F493" s="2" t="s">
        <v>1085</v>
      </c>
      <c r="G493" s="2" t="str">
        <f>IF(ISERROR(VLOOKUP(F493,MODIFICACIONES_REALIZADAS!F:H,3,)),F493,VLOOKUP(F493,MODIFICACIONES_REALIZADAS!F:H,3,))</f>
        <v>IC-O-GEN-Inspector-PrimaCorregida-005</v>
      </c>
      <c r="H493" s="2">
        <v>20140101</v>
      </c>
      <c r="I493" s="2">
        <v>20150101</v>
      </c>
      <c r="J493" s="2" t="s">
        <v>71</v>
      </c>
      <c r="K493" s="2"/>
    </row>
    <row r="494" spans="1:11" x14ac:dyDescent="0.25">
      <c r="A494" s="2">
        <v>3</v>
      </c>
      <c r="B494" s="2" t="s">
        <v>68</v>
      </c>
      <c r="C494" s="2" t="s">
        <v>70</v>
      </c>
      <c r="D494" s="2" t="s">
        <v>1086</v>
      </c>
      <c r="E494" s="2" t="b">
        <f t="shared" si="40"/>
        <v>1</v>
      </c>
      <c r="F494" s="2" t="s">
        <v>1087</v>
      </c>
      <c r="G494" s="2" t="str">
        <f>IF(ISERROR(VLOOKUP(F494,MODIFICACIONES_REALIZADAS!F:H,3,)),F494,VLOOKUP(F494,MODIFICACIONES_REALIZADAS!F:H,3,))</f>
        <v>DC-O-GEN-Inspector-PrimaCorregida-006</v>
      </c>
      <c r="H494" s="2">
        <v>20140101</v>
      </c>
      <c r="I494" s="2">
        <v>20150101</v>
      </c>
      <c r="J494" s="2" t="s">
        <v>71</v>
      </c>
      <c r="K494" s="2"/>
    </row>
    <row r="495" spans="1:11" x14ac:dyDescent="0.25">
      <c r="A495" s="2">
        <v>3</v>
      </c>
      <c r="B495" s="2" t="s">
        <v>68</v>
      </c>
      <c r="C495" s="2" t="s">
        <v>70</v>
      </c>
      <c r="D495" s="2" t="s">
        <v>1086</v>
      </c>
      <c r="E495" s="2" t="b">
        <f t="shared" si="40"/>
        <v>1</v>
      </c>
      <c r="F495" s="2" t="s">
        <v>1088</v>
      </c>
      <c r="G495" s="2" t="str">
        <f>IF(ISERROR(VLOOKUP(F495,MODIFICACIONES_REALIZADAS!F:H,3,)),F495,VLOOKUP(F495,MODIFICACIONES_REALIZADAS!F:H,3,))</f>
        <v>IC-O-GEN-Inspector-PrimaCorregida-006</v>
      </c>
      <c r="H495" s="2">
        <v>20140101</v>
      </c>
      <c r="I495" s="2">
        <v>20150101</v>
      </c>
      <c r="J495" s="2" t="s">
        <v>71</v>
      </c>
      <c r="K495" s="2"/>
    </row>
    <row r="496" spans="1:11" x14ac:dyDescent="0.25">
      <c r="A496" s="2">
        <v>3</v>
      </c>
      <c r="B496" s="2" t="s">
        <v>68</v>
      </c>
      <c r="C496" s="2" t="s">
        <v>70</v>
      </c>
      <c r="D496" s="2" t="s">
        <v>1089</v>
      </c>
      <c r="E496" s="2" t="b">
        <f t="shared" si="40"/>
        <v>1</v>
      </c>
      <c r="F496" s="2" t="s">
        <v>1090</v>
      </c>
      <c r="G496" s="2" t="str">
        <f>IF(ISERROR(VLOOKUP(F496,MODIFICACIONES_REALIZADAS!F:H,3,)),F496,VLOOKUP(F496,MODIFICACIONES_REALIZADAS!F:H,3,))</f>
        <v>DC-O-GEN-Inspector-PrimaCorregida-007</v>
      </c>
      <c r="H496" s="2">
        <v>20140101</v>
      </c>
      <c r="I496" s="2">
        <v>20150101</v>
      </c>
      <c r="J496" s="2" t="s">
        <v>71</v>
      </c>
      <c r="K496" s="2"/>
    </row>
    <row r="497" spans="1:11" x14ac:dyDescent="0.25">
      <c r="A497" s="2">
        <v>3</v>
      </c>
      <c r="B497" s="2" t="s">
        <v>68</v>
      </c>
      <c r="C497" s="2" t="s">
        <v>70</v>
      </c>
      <c r="D497" s="2" t="s">
        <v>1089</v>
      </c>
      <c r="E497" s="2" t="b">
        <f t="shared" si="40"/>
        <v>1</v>
      </c>
      <c r="F497" s="2" t="s">
        <v>1091</v>
      </c>
      <c r="G497" s="2" t="str">
        <f>IF(ISERROR(VLOOKUP(F497,MODIFICACIONES_REALIZADAS!F:H,3,)),F497,VLOOKUP(F497,MODIFICACIONES_REALIZADAS!F:H,3,))</f>
        <v>IC-O-GEN-Inspector-PrimaCorregida-007</v>
      </c>
      <c r="H497" s="2">
        <v>20140101</v>
      </c>
      <c r="I497" s="2">
        <v>20150101</v>
      </c>
      <c r="J497" s="2" t="s">
        <v>71</v>
      </c>
      <c r="K497" s="2"/>
    </row>
    <row r="498" spans="1:11" x14ac:dyDescent="0.25">
      <c r="A498" s="2">
        <v>3</v>
      </c>
      <c r="B498" s="2" t="s">
        <v>68</v>
      </c>
      <c r="C498" s="2" t="s">
        <v>70</v>
      </c>
      <c r="D498" s="2" t="s">
        <v>1092</v>
      </c>
      <c r="E498" s="2" t="b">
        <f t="shared" si="40"/>
        <v>1</v>
      </c>
      <c r="F498" s="2" t="s">
        <v>1093</v>
      </c>
      <c r="G498" s="2" t="str">
        <f>IF(ISERROR(VLOOKUP(F498,MODIFICACIONES_REALIZADAS!F:H,3,)),F498,VLOOKUP(F498,MODIFICACIONES_REALIZADAS!F:H,3,))</f>
        <v>DC-O-GEN-Inspector-PrimaCorregida-008</v>
      </c>
      <c r="H498" s="2">
        <v>20140101</v>
      </c>
      <c r="I498" s="2">
        <v>20150101</v>
      </c>
      <c r="J498" s="2" t="s">
        <v>71</v>
      </c>
      <c r="K498" s="2"/>
    </row>
    <row r="499" spans="1:11" x14ac:dyDescent="0.25">
      <c r="A499" s="2">
        <v>3</v>
      </c>
      <c r="B499" s="2" t="s">
        <v>68</v>
      </c>
      <c r="C499" s="2" t="s">
        <v>70</v>
      </c>
      <c r="D499" s="2" t="s">
        <v>1092</v>
      </c>
      <c r="E499" s="2" t="b">
        <f t="shared" si="40"/>
        <v>1</v>
      </c>
      <c r="F499" s="2" t="s">
        <v>1094</v>
      </c>
      <c r="G499" s="2" t="str">
        <f>IF(ISERROR(VLOOKUP(F499,MODIFICACIONES_REALIZADAS!F:H,3,)),F499,VLOOKUP(F499,MODIFICACIONES_REALIZADAS!F:H,3,))</f>
        <v>IC-O-GEN-Inspector-PrimaCorregida-008</v>
      </c>
      <c r="H499" s="2">
        <v>20140101</v>
      </c>
      <c r="I499" s="2">
        <v>20150101</v>
      </c>
      <c r="J499" s="2" t="s">
        <v>71</v>
      </c>
      <c r="K499" s="2"/>
    </row>
    <row r="500" spans="1:11" x14ac:dyDescent="0.25">
      <c r="A500" s="2">
        <v>3</v>
      </c>
      <c r="B500" s="2" t="s">
        <v>68</v>
      </c>
      <c r="C500" s="2" t="s">
        <v>70</v>
      </c>
      <c r="D500" s="2" t="s">
        <v>1095</v>
      </c>
      <c r="E500" s="2" t="b">
        <f t="shared" si="40"/>
        <v>1</v>
      </c>
      <c r="F500" s="2" t="s">
        <v>1096</v>
      </c>
      <c r="G500" s="2" t="str">
        <f>IF(ISERROR(VLOOKUP(F500,MODIFICACIONES_REALIZADAS!F:H,3,)),F500,VLOOKUP(F500,MODIFICACIONES_REALIZADAS!F:H,3,))</f>
        <v>DC-O-GEN-Inspector-PrimaCorregida-009</v>
      </c>
      <c r="H500" s="2">
        <v>20140101</v>
      </c>
      <c r="I500" s="2">
        <v>20150101</v>
      </c>
      <c r="J500" s="2" t="s">
        <v>71</v>
      </c>
      <c r="K500" s="2"/>
    </row>
    <row r="501" spans="1:11" x14ac:dyDescent="0.25">
      <c r="A501" s="2">
        <v>3</v>
      </c>
      <c r="B501" s="2" t="s">
        <v>68</v>
      </c>
      <c r="C501" s="2" t="s">
        <v>70</v>
      </c>
      <c r="D501" s="2" t="s">
        <v>1095</v>
      </c>
      <c r="E501" s="2" t="b">
        <f t="shared" si="40"/>
        <v>1</v>
      </c>
      <c r="F501" s="2" t="s">
        <v>1097</v>
      </c>
      <c r="G501" s="2" t="str">
        <f>IF(ISERROR(VLOOKUP(F501,MODIFICACIONES_REALIZADAS!F:H,3,)),F501,VLOOKUP(F501,MODIFICACIONES_REALIZADAS!F:H,3,))</f>
        <v>IC-O-GEN-Inspector-PrimaCorregida-009</v>
      </c>
      <c r="H501" s="2">
        <v>20140101</v>
      </c>
      <c r="I501" s="2">
        <v>20150101</v>
      </c>
      <c r="J501" s="2" t="s">
        <v>71</v>
      </c>
      <c r="K501" s="2"/>
    </row>
    <row r="502" spans="1:11" x14ac:dyDescent="0.25">
      <c r="A502" s="2">
        <v>3</v>
      </c>
      <c r="B502" s="2" t="s">
        <v>72</v>
      </c>
      <c r="C502" s="2" t="s">
        <v>74</v>
      </c>
      <c r="D502" s="2" t="s">
        <v>742</v>
      </c>
      <c r="E502" s="2" t="b">
        <f t="shared" si="40"/>
        <v>0</v>
      </c>
      <c r="F502" s="2" t="s">
        <v>387</v>
      </c>
      <c r="G502" s="2" t="str">
        <f>IF(ISERROR(VLOOKUP(F502,MODIFICACIONES_REALIZADAS!F:H,3,)),F502,VLOOKUP(F502,MODIFICACIONES_REALIZADAS!F:H,3,))</f>
        <v>PM-O-GEN-Inspector-PrimaCorregida-998</v>
      </c>
      <c r="H502" s="2">
        <v>20140101</v>
      </c>
      <c r="I502" s="2">
        <v>20150101</v>
      </c>
      <c r="J502" s="2" t="s">
        <v>71</v>
      </c>
      <c r="K502" s="2"/>
    </row>
    <row r="503" spans="1:11" x14ac:dyDescent="0.25">
      <c r="A503" s="2">
        <v>3</v>
      </c>
      <c r="B503" s="2" t="s">
        <v>72</v>
      </c>
      <c r="C503" s="2" t="s">
        <v>74</v>
      </c>
      <c r="D503" s="2" t="s">
        <v>742</v>
      </c>
      <c r="E503" s="2" t="b">
        <f t="shared" si="40"/>
        <v>0</v>
      </c>
      <c r="F503" s="2" t="s">
        <v>408</v>
      </c>
      <c r="G503" s="2" t="str">
        <f>IF(ISERROR(VLOOKUP(F503,MODIFICACIONES_REALIZADAS!F:H,3,)),F503,VLOOKUP(F503,MODIFICACIONES_REALIZADAS!F:H,3,))</f>
        <v>PM-O-GEN-Inspector-PrimaCorregida-998-Agentes</v>
      </c>
      <c r="H503" s="2">
        <v>20140101</v>
      </c>
      <c r="I503" s="2">
        <v>20150101</v>
      </c>
      <c r="J503" s="2" t="s">
        <v>71</v>
      </c>
      <c r="K503" s="2"/>
    </row>
    <row r="504" spans="1:11" x14ac:dyDescent="0.25">
      <c r="A504" s="2">
        <v>3</v>
      </c>
      <c r="B504" s="2" t="s">
        <v>72</v>
      </c>
      <c r="C504" s="2" t="s">
        <v>74</v>
      </c>
      <c r="D504" s="2" t="s">
        <v>742</v>
      </c>
      <c r="E504" s="2" t="b">
        <f t="shared" si="40"/>
        <v>1</v>
      </c>
      <c r="F504" s="2" t="s">
        <v>1098</v>
      </c>
      <c r="G504" s="2" t="str">
        <f>IF(ISERROR(VLOOKUP(F504,MODIFICACIONES_REALIZADAS!F:H,3,)),F504,VLOOKUP(F504,MODIFICACIONES_REALIZADAS!F:H,3,))</f>
        <v>SM-O-GEN-Inspector-PrimaCorregida-998-TotalMes</v>
      </c>
      <c r="H504" s="2">
        <v>20140101</v>
      </c>
      <c r="I504" s="2">
        <v>20150101</v>
      </c>
      <c r="J504" s="2" t="s">
        <v>71</v>
      </c>
      <c r="K504" s="2"/>
    </row>
    <row r="505" spans="1:11" x14ac:dyDescent="0.25">
      <c r="A505" s="2">
        <v>3</v>
      </c>
      <c r="B505" s="2" t="s">
        <v>72</v>
      </c>
      <c r="C505" s="2" t="s">
        <v>74</v>
      </c>
      <c r="D505" s="2" t="s">
        <v>742</v>
      </c>
      <c r="E505" s="2" t="b">
        <f t="shared" si="40"/>
        <v>1</v>
      </c>
      <c r="F505" s="2" t="s">
        <v>911</v>
      </c>
      <c r="G505" s="2" t="str">
        <f>IF(ISERROR(VLOOKUP(F505,MODIFICACIONES_REALIZADAS!F:H,3,)),F505,VLOOKUP(F505,MODIFICACIONES_REALIZADAS!F:H,3,))</f>
        <v>SM-O-CT-Inspector-PagoMensual</v>
      </c>
      <c r="H505" s="2">
        <v>20140101</v>
      </c>
      <c r="I505" s="2">
        <v>20150101</v>
      </c>
      <c r="J505" s="2" t="s">
        <v>71</v>
      </c>
      <c r="K505" s="2"/>
    </row>
    <row r="506" spans="1:11" x14ac:dyDescent="0.25">
      <c r="A506" s="2">
        <v>3</v>
      </c>
      <c r="B506" s="2" t="s">
        <v>75</v>
      </c>
      <c r="C506" s="2" t="s">
        <v>77</v>
      </c>
      <c r="D506" s="2" t="s">
        <v>940</v>
      </c>
      <c r="E506" s="2" t="b">
        <f t="shared" si="40"/>
        <v>0</v>
      </c>
      <c r="F506" s="2" t="s">
        <v>533</v>
      </c>
      <c r="G506" s="2" t="str">
        <f>IF(ISERROR(VLOOKUP(F506,MODIFICACIONES_REALIZADAS!F:H,3,)),F506,VLOOKUP(F506,MODIFICACIONES_REALIZADAS!F:H,3,))</f>
        <v>DC-O-GEN-Inspector-PrimaCorregida-998</v>
      </c>
      <c r="H506" s="2">
        <v>20140101</v>
      </c>
      <c r="I506" s="2">
        <v>20150101</v>
      </c>
      <c r="J506" s="2" t="s">
        <v>71</v>
      </c>
      <c r="K506" s="2"/>
    </row>
    <row r="507" spans="1:11" x14ac:dyDescent="0.25">
      <c r="A507" s="2">
        <v>3</v>
      </c>
      <c r="B507" s="2" t="s">
        <v>75</v>
      </c>
      <c r="C507" s="2" t="s">
        <v>77</v>
      </c>
      <c r="D507" s="2" t="s">
        <v>940</v>
      </c>
      <c r="E507" s="2" t="b">
        <f t="shared" si="40"/>
        <v>0</v>
      </c>
      <c r="F507" s="2" t="s">
        <v>535</v>
      </c>
      <c r="G507" s="2" t="str">
        <f>IF(ISERROR(VLOOKUP(F507,MODIFICACIONES_REALIZADAS!F:H,3,)),F507,VLOOKUP(F507,MODIFICACIONES_REALIZADAS!F:H,3,))</f>
        <v>IC-O-GEN-Inspector-PrimaCorregida-998</v>
      </c>
      <c r="H507" s="2">
        <v>20140101</v>
      </c>
      <c r="I507" s="2">
        <v>20150101</v>
      </c>
      <c r="J507" s="2" t="s">
        <v>71</v>
      </c>
      <c r="K507" s="2"/>
    </row>
    <row r="508" spans="1:11" x14ac:dyDescent="0.25">
      <c r="A508">
        <v>3</v>
      </c>
      <c r="B508" t="s">
        <v>78</v>
      </c>
      <c r="C508" t="s">
        <v>80</v>
      </c>
      <c r="D508" t="s">
        <v>717</v>
      </c>
      <c r="E508" t="b">
        <f t="shared" si="40"/>
        <v>0</v>
      </c>
      <c r="F508" t="s">
        <v>1099</v>
      </c>
      <c r="G508" t="str">
        <f>IF(ISERROR(VLOOKUP(F508,MODIFICACIONES_REALIZADAS!F:H,3,)),F508,VLOOKUP(F508,MODIFICACIONES_REALIZADAS!F:H,3,))</f>
        <v>PM-O-RDC-Agente-PrimaCorregida</v>
      </c>
      <c r="H508">
        <v>20140101</v>
      </c>
      <c r="I508">
        <v>22000101</v>
      </c>
    </row>
    <row r="509" spans="1:11" x14ac:dyDescent="0.25">
      <c r="A509">
        <v>3</v>
      </c>
      <c r="B509" t="s">
        <v>78</v>
      </c>
      <c r="C509" t="s">
        <v>80</v>
      </c>
      <c r="D509" t="s">
        <v>717</v>
      </c>
      <c r="E509" t="b">
        <f t="shared" si="40"/>
        <v>0</v>
      </c>
      <c r="F509" t="s">
        <v>1100</v>
      </c>
      <c r="G509" t="str">
        <f>IF(ISERROR(VLOOKUP(F509,MODIFICACIONES_REALIZADAS!F:H,3,)),F509,VLOOKUP(F509,MODIFICACIONES_REALIZADAS!F:H,3,))</f>
        <v>PM-O-RDC-Agente-Polizas</v>
      </c>
      <c r="H509">
        <v>20140101</v>
      </c>
      <c r="I509">
        <v>22000101</v>
      </c>
    </row>
    <row r="510" spans="1:11" x14ac:dyDescent="0.25">
      <c r="A510">
        <v>3</v>
      </c>
      <c r="B510" t="s">
        <v>78</v>
      </c>
      <c r="C510" t="s">
        <v>80</v>
      </c>
      <c r="D510" t="s">
        <v>717</v>
      </c>
      <c r="E510" t="b">
        <f t="shared" si="40"/>
        <v>0</v>
      </c>
      <c r="F510" t="s">
        <v>1101</v>
      </c>
      <c r="G510" t="str">
        <f>IF(ISERROR(VLOOKUP(F510,MODIFICACIONES_REALIZADAS!F:H,3,)),F510,VLOOKUP(F510,MODIFICACIONES_REALIZADAS!F:H,3,))</f>
        <v>PM-O-RDC-Agente-PolizasCorregidas</v>
      </c>
      <c r="H510">
        <v>20140101</v>
      </c>
      <c r="I510">
        <v>22000101</v>
      </c>
    </row>
    <row r="511" spans="1:11" x14ac:dyDescent="0.25">
      <c r="A511">
        <v>3</v>
      </c>
      <c r="B511" t="s">
        <v>78</v>
      </c>
      <c r="C511" t="s">
        <v>80</v>
      </c>
      <c r="D511" t="s">
        <v>1102</v>
      </c>
      <c r="E511" t="b">
        <f t="shared" si="40"/>
        <v>0</v>
      </c>
      <c r="F511" t="s">
        <v>1103</v>
      </c>
      <c r="G511" t="str">
        <f>IF(ISERROR(VLOOKUP(F511,MODIFICACIONES_REALIZADAS!F:H,3,)),F511,VLOOKUP(F511,MODIFICACIONES_REALIZADAS!F:H,3,))</f>
        <v>SM-O-RDC-Agente-PrimaCorregida</v>
      </c>
      <c r="H511">
        <v>20140101</v>
      </c>
      <c r="I511">
        <v>22000101</v>
      </c>
    </row>
    <row r="512" spans="1:11" x14ac:dyDescent="0.25">
      <c r="A512">
        <v>3</v>
      </c>
      <c r="B512" t="s">
        <v>78</v>
      </c>
      <c r="C512" t="s">
        <v>80</v>
      </c>
      <c r="D512" t="s">
        <v>1104</v>
      </c>
      <c r="E512" t="b">
        <f t="shared" si="40"/>
        <v>0</v>
      </c>
      <c r="F512" t="s">
        <v>1105</v>
      </c>
      <c r="G512" t="str">
        <f>IF(ISERROR(VLOOKUP(F512,MODIFICACIONES_REALIZADAS!F:H,3,)),F512,VLOOKUP(F512,MODIFICACIONES_REALIZADAS!F:H,3,))</f>
        <v>SM-O-RDC-Agente-Polizas</v>
      </c>
      <c r="H512">
        <v>20140101</v>
      </c>
      <c r="I512">
        <v>22000101</v>
      </c>
    </row>
    <row r="513" spans="1:11" x14ac:dyDescent="0.25">
      <c r="A513">
        <v>3</v>
      </c>
      <c r="B513" t="s">
        <v>78</v>
      </c>
      <c r="C513" t="s">
        <v>80</v>
      </c>
      <c r="D513" t="s">
        <v>1106</v>
      </c>
      <c r="E513" t="b">
        <f t="shared" si="40"/>
        <v>0</v>
      </c>
      <c r="F513" t="s">
        <v>1107</v>
      </c>
      <c r="G513" t="str">
        <f>IF(ISERROR(VLOOKUP(F513,MODIFICACIONES_REALIZADAS!F:H,3,)),F513,VLOOKUP(F513,MODIFICACIONES_REALIZADAS!F:H,3,))</f>
        <v>SM-O-RDC-Agente-PolizasCorregidas</v>
      </c>
      <c r="H513">
        <v>20140101</v>
      </c>
      <c r="I513">
        <v>22000101</v>
      </c>
    </row>
    <row r="514" spans="1:11" x14ac:dyDescent="0.25">
      <c r="A514">
        <v>3</v>
      </c>
      <c r="B514" t="s">
        <v>78</v>
      </c>
      <c r="C514" t="s">
        <v>80</v>
      </c>
      <c r="D514" t="s">
        <v>1108</v>
      </c>
      <c r="E514" t="b">
        <f t="shared" si="40"/>
        <v>1</v>
      </c>
      <c r="F514" t="s">
        <v>1109</v>
      </c>
      <c r="G514" t="str">
        <f>IF(ISERROR(VLOOKUP(F514,MODIFICACIONES_REALIZADAS!F:H,3,)),F514,VLOOKUP(F514,MODIFICACIONES_REALIZADAS!F:H,3,))</f>
        <v>SM-O-RDC-Agente-Pago</v>
      </c>
      <c r="H514">
        <v>20140101</v>
      </c>
      <c r="I514">
        <v>22000101</v>
      </c>
    </row>
    <row r="515" spans="1:11" x14ac:dyDescent="0.25">
      <c r="A515" s="22">
        <v>3</v>
      </c>
      <c r="B515" s="22" t="s">
        <v>78</v>
      </c>
      <c r="C515" s="22" t="s">
        <v>80</v>
      </c>
      <c r="D515" s="22" t="s">
        <v>1110</v>
      </c>
      <c r="E515" s="22" t="b">
        <f t="shared" ref="E515:E518" si="41">F515=G515</f>
        <v>1</v>
      </c>
      <c r="F515" s="22" t="s">
        <v>1111</v>
      </c>
      <c r="G515" s="22" t="str">
        <f>IF(ISERROR(VLOOKUP(F515,MODIFICACIONES_REALIZADAS!F:H,3,)),F515,VLOOKUP(F515,MODIFICACIONES_REALIZADAS!F:H,3,))</f>
        <v>SM-O-RDC-Agente-PolizasCorregidas-TotalCuatrimestre</v>
      </c>
      <c r="H515" s="22">
        <v>20180101</v>
      </c>
      <c r="I515" s="22">
        <v>22000101</v>
      </c>
      <c r="J515" s="22" t="s">
        <v>1112</v>
      </c>
      <c r="K515" s="22"/>
    </row>
    <row r="516" spans="1:11" x14ac:dyDescent="0.25">
      <c r="A516" s="22">
        <v>3</v>
      </c>
      <c r="B516" s="22" t="s">
        <v>78</v>
      </c>
      <c r="C516" s="22" t="s">
        <v>80</v>
      </c>
      <c r="D516" s="22" t="s">
        <v>1113</v>
      </c>
      <c r="E516" s="22" t="b">
        <f t="shared" si="41"/>
        <v>1</v>
      </c>
      <c r="F516" s="22" t="s">
        <v>1114</v>
      </c>
      <c r="G516" s="22" t="str">
        <f>IF(ISERROR(VLOOKUP(F516,MODIFICACIONES_REALIZADAS!F:H,3,)),F516,VLOOKUP(F516,MODIFICACIONES_REALIZADAS!F:H,3,))</f>
        <v>SM-O-RDC-ImportePagadoCuatrim</v>
      </c>
      <c r="H516" s="22">
        <v>20180101</v>
      </c>
      <c r="I516" s="22">
        <v>22000101</v>
      </c>
      <c r="J516" s="22" t="s">
        <v>1112</v>
      </c>
      <c r="K516" s="22"/>
    </row>
    <row r="517" spans="1:11" x14ac:dyDescent="0.25">
      <c r="A517" s="22">
        <v>3</v>
      </c>
      <c r="B517" s="22" t="s">
        <v>78</v>
      </c>
      <c r="C517" s="22" t="s">
        <v>80</v>
      </c>
      <c r="D517" s="22" t="s">
        <v>1115</v>
      </c>
      <c r="E517" s="22" t="b">
        <f t="shared" si="41"/>
        <v>1</v>
      </c>
      <c r="F517" s="22" t="s">
        <v>1116</v>
      </c>
      <c r="G517" s="22" t="str">
        <f>IF(ISERROR(VLOOKUP(F517,MODIFICACIONES_REALIZADAS!F:H,3,)),F517,VLOOKUP(F517,MODIFICACIONES_REALIZADAS!F:H,3,))</f>
        <v>SM-O-RDC-ImportePagoCuatrim</v>
      </c>
      <c r="H517" s="22">
        <v>20180101</v>
      </c>
      <c r="I517" s="22">
        <v>22000101</v>
      </c>
      <c r="J517" s="22" t="s">
        <v>1112</v>
      </c>
      <c r="K517" s="22"/>
    </row>
    <row r="518" spans="1:11" x14ac:dyDescent="0.25">
      <c r="A518" s="22">
        <v>3</v>
      </c>
      <c r="B518" s="22" t="s">
        <v>78</v>
      </c>
      <c r="C518" s="22" t="s">
        <v>80</v>
      </c>
      <c r="D518" s="22" t="s">
        <v>1117</v>
      </c>
      <c r="E518" s="22" t="b">
        <f t="shared" si="41"/>
        <v>1</v>
      </c>
      <c r="F518" s="22" t="s">
        <v>1118</v>
      </c>
      <c r="G518" s="22" t="str">
        <f>IF(ISERROR(VLOOKUP(F518,MODIFICACIONES_REALIZADAS!F:H,3,)),F518,VLOOKUP(F518,MODIFICACIONES_REALIZADAS!F:H,3,))</f>
        <v>SM-O-RDC-ImportePagoCuatrim-Final</v>
      </c>
      <c r="H518" s="22">
        <v>20180101</v>
      </c>
      <c r="I518" s="22">
        <v>22000101</v>
      </c>
      <c r="J518" s="22" t="s">
        <v>1112</v>
      </c>
      <c r="K518" s="22"/>
    </row>
    <row r="519" spans="1:11" x14ac:dyDescent="0.25">
      <c r="A519">
        <v>3</v>
      </c>
      <c r="B519" t="s">
        <v>82</v>
      </c>
      <c r="C519" t="s">
        <v>84</v>
      </c>
      <c r="D519" t="s">
        <v>1077</v>
      </c>
      <c r="E519" t="b">
        <f t="shared" si="40"/>
        <v>0</v>
      </c>
      <c r="F519" t="s">
        <v>1119</v>
      </c>
      <c r="G519" t="str">
        <f>IF(ISERROR(VLOOKUP(F519,MODIFICACIONES_REALIZADAS!F:H,3,)),F519,VLOOKUP(F519,MODIFICACIONES_REALIZADAS!F:H,3,))</f>
        <v>DC-O-RDC-Agente-PrimaCorregida</v>
      </c>
      <c r="H519">
        <v>20140101</v>
      </c>
      <c r="I519">
        <v>22000101</v>
      </c>
    </row>
    <row r="520" spans="1:11" x14ac:dyDescent="0.25">
      <c r="A520">
        <v>3</v>
      </c>
      <c r="B520" t="s">
        <v>82</v>
      </c>
      <c r="C520" t="s">
        <v>84</v>
      </c>
      <c r="D520" t="s">
        <v>1120</v>
      </c>
      <c r="E520" t="b">
        <f t="shared" si="40"/>
        <v>0</v>
      </c>
      <c r="F520" t="s">
        <v>1121</v>
      </c>
      <c r="G520" t="str">
        <f>IF(ISERROR(VLOOKUP(F520,MODIFICACIONES_REALIZADAS!F:H,3,)),F520,VLOOKUP(F520,MODIFICACIONES_REALIZADAS!F:H,3,))</f>
        <v>DC-O-RDC-Agente-Polizas</v>
      </c>
      <c r="H520">
        <v>20140101</v>
      </c>
      <c r="I520">
        <v>22000101</v>
      </c>
    </row>
    <row r="521" spans="1:11" x14ac:dyDescent="0.25">
      <c r="A521">
        <v>3</v>
      </c>
      <c r="B521" t="s">
        <v>82</v>
      </c>
      <c r="C521" t="s">
        <v>84</v>
      </c>
      <c r="D521" t="s">
        <v>1122</v>
      </c>
      <c r="E521" t="b">
        <f t="shared" si="40"/>
        <v>0</v>
      </c>
      <c r="F521" t="s">
        <v>1123</v>
      </c>
      <c r="G521" t="str">
        <f>IF(ISERROR(VLOOKUP(F521,MODIFICACIONES_REALIZADAS!F:H,3,)),F521,VLOOKUP(F521,MODIFICACIONES_REALIZADAS!F:H,3,))</f>
        <v>DC-O-RDC-Agente-PolizasCorregidas</v>
      </c>
      <c r="H521">
        <v>20140101</v>
      </c>
      <c r="I521">
        <v>22000101</v>
      </c>
    </row>
    <row r="522" spans="1:11" x14ac:dyDescent="0.25">
      <c r="A522" s="2">
        <v>3</v>
      </c>
      <c r="B522" s="2" t="s">
        <v>85</v>
      </c>
      <c r="C522" s="2" t="s">
        <v>87</v>
      </c>
      <c r="D522" s="2" t="s">
        <v>1124</v>
      </c>
      <c r="E522" s="2" t="b">
        <f t="shared" si="40"/>
        <v>1</v>
      </c>
      <c r="F522" s="2" t="s">
        <v>1125</v>
      </c>
      <c r="G522" s="2" t="str">
        <f>IF(ISERROR(VLOOKUP(F522,MODIFICACIONES_REALIZADAS!F:H,3,)),F522,VLOOKUP(F522,MODIFICACIONES_REALIZADAS!F:H,3,))</f>
        <v>SM-O-IPP-Agente-NumeroPolizas-998-Preplan-AcumuladoAnual</v>
      </c>
      <c r="H522" s="2">
        <v>20140101</v>
      </c>
      <c r="I522" s="2">
        <v>20170101</v>
      </c>
      <c r="J522" s="2" t="s">
        <v>71</v>
      </c>
      <c r="K522" s="2"/>
    </row>
    <row r="523" spans="1:11" x14ac:dyDescent="0.25">
      <c r="A523" s="2">
        <v>3</v>
      </c>
      <c r="B523" s="2" t="s">
        <v>85</v>
      </c>
      <c r="C523" s="2" t="s">
        <v>87</v>
      </c>
      <c r="D523" s="2" t="s">
        <v>1124</v>
      </c>
      <c r="E523" s="2" t="b">
        <f t="shared" si="40"/>
        <v>1</v>
      </c>
      <c r="F523" s="2" t="s">
        <v>1126</v>
      </c>
      <c r="G523" s="2" t="str">
        <f>IF(ISERROR(VLOOKUP(F523,MODIFICACIONES_REALIZADAS!F:H,3,)),F523,VLOOKUP(F523,MODIFICACIONES_REALIZADAS!F:H,3,))</f>
        <v>SM-O-IPP-Agente-NumeroPolizas-002-Preplan-AcumuladoAnual</v>
      </c>
      <c r="H523" s="2">
        <v>20140101</v>
      </c>
      <c r="I523" s="2">
        <v>20170101</v>
      </c>
      <c r="J523" s="2" t="s">
        <v>71</v>
      </c>
      <c r="K523" s="2"/>
    </row>
    <row r="524" spans="1:11" x14ac:dyDescent="0.25">
      <c r="A524" s="2">
        <v>3</v>
      </c>
      <c r="B524" s="2" t="s">
        <v>85</v>
      </c>
      <c r="C524" s="2" t="s">
        <v>87</v>
      </c>
      <c r="D524" s="2" t="s">
        <v>715</v>
      </c>
      <c r="E524" s="2" t="b">
        <f t="shared" si="40"/>
        <v>1</v>
      </c>
      <c r="F524" s="2" t="s">
        <v>1127</v>
      </c>
      <c r="G524" s="2" t="str">
        <f>IF(ISERROR(VLOOKUP(F524,MODIFICACIONES_REALIZADAS!F:H,3,)),F524,VLOOKUP(F524,MODIFICACIONES_REALIZADAS!F:H,3,))</f>
        <v>SM-O-IPP-Agente-ImportePago</v>
      </c>
      <c r="H524" s="2">
        <v>20140101</v>
      </c>
      <c r="I524" s="2">
        <v>20170101</v>
      </c>
      <c r="J524" s="2" t="s">
        <v>71</v>
      </c>
      <c r="K524" s="2"/>
    </row>
    <row r="525" spans="1:11" ht="15" customHeight="1" x14ac:dyDescent="0.25">
      <c r="A525">
        <v>3</v>
      </c>
      <c r="B525" t="s">
        <v>88</v>
      </c>
      <c r="C525" t="s">
        <v>1128</v>
      </c>
      <c r="D525" t="s">
        <v>487</v>
      </c>
      <c r="E525" t="b">
        <f>F525=G525</f>
        <v>1</v>
      </c>
      <c r="F525" t="s">
        <v>982</v>
      </c>
      <c r="G525" t="str">
        <f>IF(ISERROR(VLOOKUP(F525,MODIFICACIONES_REALIZADAS!F:H,3,)),F525,VLOOKUP(F525,MODIFICACIONES_REALIZADAS!F:H,3,))</f>
        <v>SM-O-GEN-Inspector-NumeroPolizas-998-TotalAnual</v>
      </c>
      <c r="H525">
        <v>20171201</v>
      </c>
      <c r="I525">
        <v>22000101</v>
      </c>
      <c r="J525" t="s">
        <v>1129</v>
      </c>
    </row>
    <row r="526" spans="1:11" ht="15" customHeight="1" x14ac:dyDescent="0.25">
      <c r="A526">
        <v>3</v>
      </c>
      <c r="B526" t="s">
        <v>88</v>
      </c>
      <c r="C526" t="s">
        <v>1128</v>
      </c>
      <c r="D526" t="s">
        <v>501</v>
      </c>
      <c r="E526" t="b">
        <f>F526=G526</f>
        <v>1</v>
      </c>
      <c r="F526" t="s">
        <v>1005</v>
      </c>
      <c r="G526" t="str">
        <f>IF(ISERROR(VLOOKUP(F526,MODIFICACIONES_REALIZADAS!F:H,3,)),F526,VLOOKUP(F526,MODIFICACIONES_REALIZADAS!F:H,3,))</f>
        <v>SM-O-GEN-Inspector-PrimaCorregida-998-TotalAnual</v>
      </c>
      <c r="H526">
        <v>20171201</v>
      </c>
      <c r="I526">
        <v>22000101</v>
      </c>
      <c r="J526" t="s">
        <v>1129</v>
      </c>
    </row>
    <row r="527" spans="1:11" ht="15" customHeight="1" x14ac:dyDescent="0.25">
      <c r="A527">
        <v>3</v>
      </c>
      <c r="B527" t="s">
        <v>88</v>
      </c>
      <c r="C527" t="s">
        <v>1128</v>
      </c>
      <c r="D527" t="s">
        <v>1130</v>
      </c>
      <c r="E527" t="b">
        <f>F527=G527</f>
        <v>1</v>
      </c>
      <c r="F527" t="s">
        <v>332</v>
      </c>
      <c r="G527" t="str">
        <f>IF(ISERROR(VLOOKUP(F527,MODIFICACIONES_REALIZADAS!F:H,3,)),F527,VLOOKUP(F527,MODIFICACIONES_REALIZADAS!F:H,3,))</f>
        <v>SM-O-RPP-Inspector-ObjetivoAnual-NumPolizas-998</v>
      </c>
      <c r="H527">
        <v>20171201</v>
      </c>
      <c r="I527">
        <v>22000101</v>
      </c>
      <c r="J527" t="s">
        <v>1129</v>
      </c>
    </row>
    <row r="528" spans="1:11" ht="15" customHeight="1" x14ac:dyDescent="0.25">
      <c r="A528">
        <v>3</v>
      </c>
      <c r="B528" t="s">
        <v>88</v>
      </c>
      <c r="C528" t="s">
        <v>1128</v>
      </c>
      <c r="D528" t="s">
        <v>1131</v>
      </c>
      <c r="E528" t="b">
        <f>F528=G528</f>
        <v>1</v>
      </c>
      <c r="F528" t="s">
        <v>334</v>
      </c>
      <c r="G528" t="str">
        <f>IF(ISERROR(VLOOKUP(F528,MODIFICACIONES_REALIZADAS!F:H,3,)),F528,VLOOKUP(F528,MODIFICACIONES_REALIZADAS!F:H,3,))</f>
        <v>SM-O-RPP-Inspector-ObjetivoUnicoAnual-PrimaCorregida</v>
      </c>
      <c r="H528">
        <v>20171201</v>
      </c>
      <c r="I528">
        <v>22000101</v>
      </c>
      <c r="J528" t="s">
        <v>1129</v>
      </c>
    </row>
    <row r="529" spans="1:11" ht="15" customHeight="1" x14ac:dyDescent="0.25">
      <c r="A529" s="2">
        <v>3</v>
      </c>
      <c r="B529" s="2" t="s">
        <v>88</v>
      </c>
      <c r="C529" s="2" t="s">
        <v>1128</v>
      </c>
      <c r="D529" s="2" t="s">
        <v>1132</v>
      </c>
      <c r="E529" s="2" t="b">
        <f t="shared" si="40"/>
        <v>1</v>
      </c>
      <c r="F529" s="2" t="s">
        <v>1133</v>
      </c>
      <c r="G529" s="2" t="str">
        <f>IF(ISERROR(VLOOKUP(F529,MODIFICACIONES_REALIZADAS!F:H,3,)),F529,VLOOKUP(F529,MODIFICACIONES_REALIZADAS!F:H,3,))</f>
        <v>SM-O-AN1-Inspector-NumeroPolizas-998-NoPrimerRecibo-TotalMes</v>
      </c>
      <c r="H529" s="2">
        <v>20171001</v>
      </c>
      <c r="I529" s="2">
        <v>20190101</v>
      </c>
      <c r="J529" s="2" t="s">
        <v>1134</v>
      </c>
      <c r="K529" s="2"/>
    </row>
    <row r="530" spans="1:11" ht="15" customHeight="1" x14ac:dyDescent="0.25">
      <c r="A530" s="2">
        <v>3</v>
      </c>
      <c r="B530" s="2" t="s">
        <v>88</v>
      </c>
      <c r="C530" s="2" t="s">
        <v>1128</v>
      </c>
      <c r="D530" s="2" t="s">
        <v>1135</v>
      </c>
      <c r="E530" s="2" t="b">
        <f>F530=G530</f>
        <v>1</v>
      </c>
      <c r="F530" s="2" t="s">
        <v>1136</v>
      </c>
      <c r="G530" s="2" t="str">
        <f>IF(ISERROR(VLOOKUP(F530,MODIFICACIONES_REALIZADAS!F:H,3,)),F530,VLOOKUP(F530,MODIFICACIONES_REALIZADAS!F:H,3,))</f>
        <v>SM-O-AN1-Inspector-NumeroPolizas-998-PrimerRecibo-TotalMes</v>
      </c>
      <c r="H530" s="2">
        <v>20171001</v>
      </c>
      <c r="I530" s="2">
        <v>20190101</v>
      </c>
      <c r="J530" s="2" t="s">
        <v>1134</v>
      </c>
      <c r="K530" s="2"/>
    </row>
    <row r="531" spans="1:11" ht="15" customHeight="1" x14ac:dyDescent="0.25">
      <c r="A531" s="22">
        <v>3</v>
      </c>
      <c r="B531" s="22" t="s">
        <v>88</v>
      </c>
      <c r="C531" s="22" t="s">
        <v>1128</v>
      </c>
      <c r="D531" s="22" t="s">
        <v>1137</v>
      </c>
      <c r="E531" s="22" t="b">
        <f>F531=G531</f>
        <v>1</v>
      </c>
      <c r="F531" s="22" t="s">
        <v>1138</v>
      </c>
      <c r="G531" s="22" t="str">
        <f>IF(ISERROR(VLOOKUP(F531,MODIFICACIONES_REALIZADAS!F:H,3,)),F531,VLOOKUP(F531,MODIFICACIONES_REALIZADAS!F:H,3,))</f>
        <v>SM-O-AN1-Inspector-NumeroPolizas-998-Produccion-TotalMes</v>
      </c>
      <c r="H531" s="22">
        <v>20190101</v>
      </c>
      <c r="I531" s="22">
        <v>22000101</v>
      </c>
      <c r="J531" s="22" t="s">
        <v>1134</v>
      </c>
      <c r="K531" s="22"/>
    </row>
    <row r="532" spans="1:11" ht="15" customHeight="1" x14ac:dyDescent="0.25">
      <c r="A532">
        <v>3</v>
      </c>
      <c r="B532" t="s">
        <v>88</v>
      </c>
      <c r="C532" t="s">
        <v>1128</v>
      </c>
      <c r="D532" t="s">
        <v>1139</v>
      </c>
      <c r="E532" t="b">
        <f t="shared" si="40"/>
        <v>1</v>
      </c>
      <c r="F532" t="s">
        <v>1140</v>
      </c>
      <c r="G532" t="str">
        <f>IF(ISERROR(VLOOKUP(F532,MODIFICACIONES_REALIZADAS!F:H,3,)),F532,VLOOKUP(F532,MODIFICACIONES_REALIZADAS!F:H,3,))</f>
        <v>SM-O-AN1-Inspector-NumeroPolizas-998-Anulaciones-TotalMes</v>
      </c>
      <c r="H532">
        <v>20170901</v>
      </c>
      <c r="I532">
        <v>22000101</v>
      </c>
    </row>
    <row r="533" spans="1:11" ht="15" customHeight="1" x14ac:dyDescent="0.25">
      <c r="A533" s="2">
        <v>3</v>
      </c>
      <c r="B533" s="2" t="s">
        <v>88</v>
      </c>
      <c r="C533" s="2" t="s">
        <v>1128</v>
      </c>
      <c r="D533" s="2" t="s">
        <v>1141</v>
      </c>
      <c r="E533" s="2" t="b">
        <f>F533=G533</f>
        <v>1</v>
      </c>
      <c r="F533" s="2" t="s">
        <v>1142</v>
      </c>
      <c r="G533" s="2" t="str">
        <f>IF(ISERROR(VLOOKUP(F533,MODIFICACIONES_REALIZADAS!F:H,3,)),F533,VLOOKUP(F533,MODIFICACIONES_REALIZADAS!F:H,3,))</f>
        <v>SM-O-AN1-Inspector-NumeroPolizas-998-NoPrimerRecibo-Acumulado</v>
      </c>
      <c r="H533" s="2">
        <v>20140101</v>
      </c>
      <c r="I533" s="2">
        <v>20170101</v>
      </c>
      <c r="J533" s="2" t="s">
        <v>71</v>
      </c>
      <c r="K533" s="2"/>
    </row>
    <row r="534" spans="1:11" ht="15" customHeight="1" x14ac:dyDescent="0.25">
      <c r="A534" s="2">
        <v>3</v>
      </c>
      <c r="B534" s="2" t="s">
        <v>88</v>
      </c>
      <c r="C534" s="2" t="s">
        <v>1128</v>
      </c>
      <c r="D534" s="2" t="s">
        <v>1143</v>
      </c>
      <c r="E534" s="2" t="b">
        <f>F534=G534</f>
        <v>1</v>
      </c>
      <c r="F534" s="2" t="s">
        <v>1144</v>
      </c>
      <c r="G534" s="2" t="str">
        <f>IF(ISERROR(VLOOKUP(F534,MODIFICACIONES_REALIZADAS!F:H,3,)),F534,VLOOKUP(F534,MODIFICACIONES_REALIZADAS!F:H,3,))</f>
        <v>SM-O-AN1-Inspector-NumeroPolizas-998-PrimerRecibo-Acumulado</v>
      </c>
      <c r="H534" s="2">
        <v>20140101</v>
      </c>
      <c r="I534" s="2">
        <v>20170101</v>
      </c>
      <c r="J534" s="2" t="s">
        <v>71</v>
      </c>
      <c r="K534" s="2"/>
    </row>
    <row r="535" spans="1:11" ht="15" customHeight="1" x14ac:dyDescent="0.25">
      <c r="A535" s="2">
        <v>3</v>
      </c>
      <c r="B535" s="2" t="s">
        <v>88</v>
      </c>
      <c r="C535" s="2" t="s">
        <v>1128</v>
      </c>
      <c r="D535" s="2" t="s">
        <v>1145</v>
      </c>
      <c r="E535" s="2" t="b">
        <f t="shared" si="40"/>
        <v>1</v>
      </c>
      <c r="F535" s="2" t="s">
        <v>1146</v>
      </c>
      <c r="G535" s="2" t="str">
        <f>IF(ISERROR(VLOOKUP(F535,MODIFICACIONES_REALIZADAS!F:H,3,)),F535,VLOOKUP(F535,MODIFICACIONES_REALIZADAS!F:H,3,))</f>
        <v>SM-O-AN1-Inspector-NumeroPolizas-998-Anulaciones-Acumulado</v>
      </c>
      <c r="H535" s="2">
        <v>20140101</v>
      </c>
      <c r="I535" s="2">
        <v>20170101</v>
      </c>
      <c r="J535" s="2" t="s">
        <v>71</v>
      </c>
      <c r="K535" s="2"/>
    </row>
    <row r="536" spans="1:11" x14ac:dyDescent="0.25">
      <c r="A536">
        <v>3</v>
      </c>
      <c r="B536" t="s">
        <v>88</v>
      </c>
      <c r="C536" t="s">
        <v>1128</v>
      </c>
      <c r="D536" t="s">
        <v>1147</v>
      </c>
      <c r="E536" t="b">
        <f>F536=G536</f>
        <v>1</v>
      </c>
      <c r="F536" t="s">
        <v>1148</v>
      </c>
      <c r="G536" t="str">
        <f>IF(ISERROR(VLOOKUP(F536,MODIFICACIONES_REALIZADAS!F:H,3,)),F536,VLOOKUP(F536,MODIFICACIONES_REALIZADAS!F:H,3,))</f>
        <v>I-O-AN1-Inspector-Pago-Anulaciones</v>
      </c>
      <c r="H536">
        <v>20171201</v>
      </c>
      <c r="I536">
        <v>22000101</v>
      </c>
      <c r="J536" t="s">
        <v>1129</v>
      </c>
    </row>
    <row r="537" spans="1:11" x14ac:dyDescent="0.25">
      <c r="A537" s="2">
        <v>3</v>
      </c>
      <c r="B537" s="2" t="s">
        <v>88</v>
      </c>
      <c r="C537" s="2" t="s">
        <v>1128</v>
      </c>
      <c r="D537" s="2" t="s">
        <v>1149</v>
      </c>
      <c r="E537" s="2" t="b">
        <f t="shared" si="40"/>
        <v>1</v>
      </c>
      <c r="F537" s="2" t="s">
        <v>1150</v>
      </c>
      <c r="G537" s="2" t="str">
        <f>IF(ISERROR(VLOOKUP(F537,MODIFICACIONES_REALIZADAS!F:H,3,)),F537,VLOOKUP(F537,MODIFICACIONES_REALIZADAS!F:H,3,))</f>
        <v>SM-O-AN2-Inspector-NumPol-BLOQUE1-Anulacion-Acumulado</v>
      </c>
      <c r="H537" s="2">
        <v>20171201</v>
      </c>
      <c r="I537" s="2">
        <v>20180101</v>
      </c>
      <c r="J537" s="2" t="s">
        <v>1129</v>
      </c>
      <c r="K537" s="2"/>
    </row>
    <row r="538" spans="1:11" x14ac:dyDescent="0.25">
      <c r="A538" s="2">
        <v>3</v>
      </c>
      <c r="B538" s="2" t="s">
        <v>88</v>
      </c>
      <c r="C538" s="2" t="s">
        <v>1128</v>
      </c>
      <c r="D538" s="2" t="s">
        <v>1151</v>
      </c>
      <c r="E538" s="2" t="b">
        <f t="shared" si="40"/>
        <v>1</v>
      </c>
      <c r="F538" s="2" t="s">
        <v>1152</v>
      </c>
      <c r="G538" s="2" t="str">
        <f>IF(ISERROR(VLOOKUP(F538,MODIFICACIONES_REALIZADAS!F:H,3,)),F538,VLOOKUP(F538,MODIFICACIONES_REALIZADAS!F:H,3,))</f>
        <v>SM-O-AN2-Inspector-NumPol-BLOQUE2-Anulacion-Acumulado</v>
      </c>
      <c r="H538" s="2">
        <v>20171201</v>
      </c>
      <c r="I538" s="2">
        <v>20180101</v>
      </c>
      <c r="J538" s="2" t="s">
        <v>1129</v>
      </c>
      <c r="K538" s="2"/>
    </row>
    <row r="539" spans="1:11" x14ac:dyDescent="0.25">
      <c r="A539" s="2">
        <v>3</v>
      </c>
      <c r="B539" s="2" t="s">
        <v>88</v>
      </c>
      <c r="C539" s="2" t="s">
        <v>1128</v>
      </c>
      <c r="D539" s="2" t="s">
        <v>1153</v>
      </c>
      <c r="E539" s="2" t="b">
        <f t="shared" si="40"/>
        <v>1</v>
      </c>
      <c r="F539" s="2" t="s">
        <v>1154</v>
      </c>
      <c r="G539" s="2" t="str">
        <f>IF(ISERROR(VLOOKUP(F539,MODIFICACIONES_REALIZADAS!F:H,3,)),F539,VLOOKUP(F539,MODIFICACIONES_REALIZADAS!F:H,3,))</f>
        <v>SM-O-AN2-Inspector-BLOQUE1-NumeroPolizasAnioAnterior</v>
      </c>
      <c r="H539" s="2">
        <v>20171201</v>
      </c>
      <c r="I539" s="2">
        <v>20180101</v>
      </c>
      <c r="J539" s="2" t="s">
        <v>1129</v>
      </c>
      <c r="K539" s="2"/>
    </row>
    <row r="540" spans="1:11" ht="15" customHeight="1" x14ac:dyDescent="0.25">
      <c r="A540" s="2">
        <v>3</v>
      </c>
      <c r="B540" s="2" t="s">
        <v>88</v>
      </c>
      <c r="C540" s="2" t="s">
        <v>1128</v>
      </c>
      <c r="D540" s="2" t="s">
        <v>1155</v>
      </c>
      <c r="E540" s="2" t="b">
        <f t="shared" si="40"/>
        <v>1</v>
      </c>
      <c r="F540" s="2" t="s">
        <v>1156</v>
      </c>
      <c r="G540" s="2" t="str">
        <f>IF(ISERROR(VLOOKUP(F540,MODIFICACIONES_REALIZADAS!F:H,3,)),F540,VLOOKUP(F540,MODIFICACIONES_REALIZADAS!F:H,3,))</f>
        <v>SM-O-AN2-Inspector-BLOQUE2-NumeroPolizasAnioAnterior</v>
      </c>
      <c r="H540" s="2">
        <v>20171201</v>
      </c>
      <c r="I540" s="2">
        <v>20180101</v>
      </c>
      <c r="J540" s="2" t="s">
        <v>1129</v>
      </c>
      <c r="K540" s="2"/>
    </row>
    <row r="541" spans="1:11" x14ac:dyDescent="0.25">
      <c r="A541" s="2">
        <v>3</v>
      </c>
      <c r="B541" s="2" t="s">
        <v>88</v>
      </c>
      <c r="C541" s="2" t="s">
        <v>1128</v>
      </c>
      <c r="D541" s="2" t="s">
        <v>1157</v>
      </c>
      <c r="E541" s="2" t="b">
        <f t="shared" ref="E541:E546" si="42">F541=G541</f>
        <v>1</v>
      </c>
      <c r="F541" s="2" t="s">
        <v>1158</v>
      </c>
      <c r="G541" s="2" t="str">
        <f>IF(ISERROR(VLOOKUP(F541,MODIFICACIONES_REALIZADAS!F:H,3,)),F541,VLOOKUP(F541,MODIFICACIONES_REALIZADAS!F:H,3,))</f>
        <v>SM-O-AN2-Inspector-NumPol-BLOQUE1-Anulaciones2-Acumulado</v>
      </c>
      <c r="H541" s="2">
        <v>20171201</v>
      </c>
      <c r="I541" s="2">
        <v>20180101</v>
      </c>
      <c r="J541" s="2" t="s">
        <v>1129</v>
      </c>
      <c r="K541" s="2"/>
    </row>
    <row r="542" spans="1:11" x14ac:dyDescent="0.25">
      <c r="A542" s="2">
        <v>3</v>
      </c>
      <c r="B542" s="2" t="s">
        <v>88</v>
      </c>
      <c r="C542" s="2" t="s">
        <v>1128</v>
      </c>
      <c r="D542" s="2" t="s">
        <v>1159</v>
      </c>
      <c r="E542" s="2" t="b">
        <f t="shared" si="42"/>
        <v>1</v>
      </c>
      <c r="F542" s="2" t="s">
        <v>1160</v>
      </c>
      <c r="G542" s="2" t="str">
        <f>IF(ISERROR(VLOOKUP(F542,MODIFICACIONES_REALIZADAS!F:H,3,)),F542,VLOOKUP(F542,MODIFICACIONES_REALIZADAS!F:H,3,))</f>
        <v>SM-O-AN2-Inspector-NumPol-BLOQUE2-Anulaciones2-Acumulado</v>
      </c>
      <c r="H542" s="2">
        <v>20171201</v>
      </c>
      <c r="I542" s="2">
        <v>20180101</v>
      </c>
      <c r="J542" s="2" t="s">
        <v>1129</v>
      </c>
      <c r="K542" s="2"/>
    </row>
    <row r="543" spans="1:11" x14ac:dyDescent="0.25">
      <c r="A543" s="2">
        <v>3</v>
      </c>
      <c r="B543" s="2" t="s">
        <v>88</v>
      </c>
      <c r="C543" s="2" t="s">
        <v>1128</v>
      </c>
      <c r="D543" s="2" t="s">
        <v>1161</v>
      </c>
      <c r="E543" s="2" t="b">
        <f t="shared" si="42"/>
        <v>1</v>
      </c>
      <c r="F543" s="2" t="s">
        <v>1162</v>
      </c>
      <c r="G543" s="2" t="str">
        <f>IF(ISERROR(VLOOKUP(F543,MODIFICACIONES_REALIZADAS!F:H,3,)),F543,VLOOKUP(F543,MODIFICACIONES_REALIZADAS!F:H,3,))</f>
        <v>SM-O-AN2-Inspector-NumPol-BLOQUE1-NoPrimerRecibo2-Acumulado</v>
      </c>
      <c r="H543" s="2">
        <v>20171201</v>
      </c>
      <c r="I543" s="2">
        <v>20180101</v>
      </c>
      <c r="J543" s="2" t="s">
        <v>1129</v>
      </c>
      <c r="K543" s="2"/>
    </row>
    <row r="544" spans="1:11" x14ac:dyDescent="0.25">
      <c r="A544" s="2">
        <v>3</v>
      </c>
      <c r="B544" s="2" t="s">
        <v>88</v>
      </c>
      <c r="C544" s="2" t="s">
        <v>1128</v>
      </c>
      <c r="D544" s="2" t="s">
        <v>1163</v>
      </c>
      <c r="E544" s="2" t="b">
        <f t="shared" si="42"/>
        <v>1</v>
      </c>
      <c r="F544" s="2" t="s">
        <v>1164</v>
      </c>
      <c r="G544" s="2" t="str">
        <f>IF(ISERROR(VLOOKUP(F544,MODIFICACIONES_REALIZADAS!F:H,3,)),F544,VLOOKUP(F544,MODIFICACIONES_REALIZADAS!F:H,3,))</f>
        <v>SM-O-AN2-Inspector-NumPol-BLOQUE2-NoPrimerRecibo2-Acumulado</v>
      </c>
      <c r="H544" s="2">
        <v>20171201</v>
      </c>
      <c r="I544" s="2">
        <v>20180101</v>
      </c>
      <c r="J544" s="2" t="s">
        <v>1129</v>
      </c>
      <c r="K544" s="2"/>
    </row>
    <row r="545" spans="1:11" x14ac:dyDescent="0.25">
      <c r="A545">
        <v>3</v>
      </c>
      <c r="B545" t="s">
        <v>88</v>
      </c>
      <c r="C545" t="s">
        <v>1128</v>
      </c>
      <c r="D545" t="s">
        <v>1165</v>
      </c>
      <c r="E545" t="b">
        <f t="shared" si="42"/>
        <v>1</v>
      </c>
      <c r="F545" t="s">
        <v>1166</v>
      </c>
      <c r="G545" t="str">
        <f>IF(ISERROR(VLOOKUP(F545,MODIFICACIONES_REALIZADAS!F:H,3,)),F545,VLOOKUP(F545,MODIFICACIONES_REALIZADAS!F:H,3,))</f>
        <v>SM-O-AN2-Inspector-NumPol-BLOQUE1-Anulacion-TotalMes</v>
      </c>
      <c r="H545">
        <v>20180101</v>
      </c>
      <c r="I545">
        <v>22000101</v>
      </c>
      <c r="J545" t="s">
        <v>1129</v>
      </c>
    </row>
    <row r="546" spans="1:11" x14ac:dyDescent="0.25">
      <c r="A546">
        <v>3</v>
      </c>
      <c r="B546" t="s">
        <v>88</v>
      </c>
      <c r="C546" t="s">
        <v>1128</v>
      </c>
      <c r="D546" t="s">
        <v>1167</v>
      </c>
      <c r="E546" t="b">
        <f t="shared" si="42"/>
        <v>1</v>
      </c>
      <c r="F546" t="s">
        <v>1168</v>
      </c>
      <c r="G546" t="str">
        <f>IF(ISERROR(VLOOKUP(F546,MODIFICACIONES_REALIZADAS!F:H,3,)),F546,VLOOKUP(F546,MODIFICACIONES_REALIZADAS!F:H,3,))</f>
        <v>SM-O-AN2-Inspector-NumPol-BLOQUE2-Anulacion-TotalMes</v>
      </c>
      <c r="H546">
        <v>20180101</v>
      </c>
      <c r="I546">
        <v>22000101</v>
      </c>
      <c r="J546" t="s">
        <v>1129</v>
      </c>
    </row>
    <row r="547" spans="1:11" x14ac:dyDescent="0.25">
      <c r="A547" s="2">
        <v>3</v>
      </c>
      <c r="B547" s="2" t="s">
        <v>88</v>
      </c>
      <c r="C547" s="2" t="s">
        <v>1128</v>
      </c>
      <c r="D547" s="2" t="s">
        <v>1169</v>
      </c>
      <c r="E547" s="2" t="b">
        <f t="shared" si="40"/>
        <v>1</v>
      </c>
      <c r="F547" s="2" t="s">
        <v>1170</v>
      </c>
      <c r="G547" s="2" t="str">
        <f>IF(ISERROR(VLOOKUP(F547,MODIFICACIONES_REALIZADAS!F:H,3,)),F547,VLOOKUP(F547,MODIFICACIONES_REALIZADAS!F:H,3,))</f>
        <v>SM-O-AN2-Inspector-NumPol-BLOQUE1-Anulaciones-TotalMes-AnioAnterior</v>
      </c>
      <c r="H547" s="2">
        <v>20180101</v>
      </c>
      <c r="I547" s="2">
        <v>20190101</v>
      </c>
      <c r="J547" s="2" t="s">
        <v>1134</v>
      </c>
      <c r="K547" s="2"/>
    </row>
    <row r="548" spans="1:11" x14ac:dyDescent="0.25">
      <c r="A548" s="2">
        <v>3</v>
      </c>
      <c r="B548" s="2" t="s">
        <v>88</v>
      </c>
      <c r="C548" s="2" t="s">
        <v>1128</v>
      </c>
      <c r="D548" s="2" t="s">
        <v>1171</v>
      </c>
      <c r="E548" s="2" t="b">
        <f t="shared" ref="E548:E560" si="43">F548=G548</f>
        <v>1</v>
      </c>
      <c r="F548" s="2" t="s">
        <v>1172</v>
      </c>
      <c r="G548" s="2" t="str">
        <f>IF(ISERROR(VLOOKUP(F548,MODIFICACIONES_REALIZADAS!F:H,3,)),F548,VLOOKUP(F548,MODIFICACIONES_REALIZADAS!F:H,3,))</f>
        <v>SM-O-AN2-Inspector-NumPol-BLOQUE2-Anulaciones-TotalMes-AnioAnterior</v>
      </c>
      <c r="H548" s="2">
        <v>20180101</v>
      </c>
      <c r="I548" s="2">
        <v>20190101</v>
      </c>
      <c r="J548" s="2" t="s">
        <v>1134</v>
      </c>
      <c r="K548" s="2"/>
    </row>
    <row r="549" spans="1:11" x14ac:dyDescent="0.25">
      <c r="A549" s="22">
        <v>3</v>
      </c>
      <c r="B549" s="22" t="s">
        <v>88</v>
      </c>
      <c r="C549" s="22" t="s">
        <v>1128</v>
      </c>
      <c r="D549" s="22" t="s">
        <v>1173</v>
      </c>
      <c r="E549" s="22" t="b">
        <f t="shared" si="43"/>
        <v>1</v>
      </c>
      <c r="F549" s="22" t="s">
        <v>1174</v>
      </c>
      <c r="G549" s="22" t="str">
        <f>IF(ISERROR(VLOOKUP(F549,MODIFICACIONES_REALIZADAS!F:H,3,)),F549,VLOOKUP(F549,MODIFICACIONES_REALIZADAS!F:H,3,))</f>
        <v>SM-O-AN2-Inspector-NumPol-BLOQUE1-Anulaciones-TotalMes</v>
      </c>
      <c r="H549" s="22">
        <v>20190101</v>
      </c>
      <c r="I549" s="22">
        <v>22000101</v>
      </c>
      <c r="J549" s="22" t="s">
        <v>1134</v>
      </c>
      <c r="K549" s="22"/>
    </row>
    <row r="550" spans="1:11" x14ac:dyDescent="0.25">
      <c r="A550" s="22">
        <v>3</v>
      </c>
      <c r="B550" s="22" t="s">
        <v>88</v>
      </c>
      <c r="C550" s="22" t="s">
        <v>1128</v>
      </c>
      <c r="D550" s="22" t="s">
        <v>1175</v>
      </c>
      <c r="E550" s="22" t="b">
        <f t="shared" ref="E550" si="44">F550=G550</f>
        <v>1</v>
      </c>
      <c r="F550" s="22" t="s">
        <v>1176</v>
      </c>
      <c r="G550" s="22" t="str">
        <f>IF(ISERROR(VLOOKUP(F550,MODIFICACIONES_REALIZADAS!F:H,3,)),F550,VLOOKUP(F550,MODIFICACIONES_REALIZADAS!F:H,3,))</f>
        <v>SM-O-AN2-Inspector-NumPol-BLOQUE2-Anulaciones-TotalMes</v>
      </c>
      <c r="H550" s="22">
        <v>20190101</v>
      </c>
      <c r="I550" s="22">
        <v>22000101</v>
      </c>
      <c r="J550" s="22" t="s">
        <v>1134</v>
      </c>
      <c r="K550" s="22"/>
    </row>
    <row r="551" spans="1:11" x14ac:dyDescent="0.25">
      <c r="A551" s="2">
        <v>3</v>
      </c>
      <c r="B551" s="2" t="s">
        <v>88</v>
      </c>
      <c r="C551" s="2" t="s">
        <v>1128</v>
      </c>
      <c r="D551" s="2" t="s">
        <v>1177</v>
      </c>
      <c r="E551" s="2" t="b">
        <f t="shared" si="43"/>
        <v>1</v>
      </c>
      <c r="F551" s="2" t="s">
        <v>1178</v>
      </c>
      <c r="G551" s="2" t="str">
        <f>IF(ISERROR(VLOOKUP(F551,MODIFICACIONES_REALIZADAS!F:H,3,)),F551,VLOOKUP(F551,MODIFICACIONES_REALIZADAS!F:H,3,))</f>
        <v>SM-O-AN2-Inspector-NumPol-BLOQUE1-NoPrimerRecibo-TotalMes-AnioAnterior</v>
      </c>
      <c r="H551" s="2">
        <v>20180101</v>
      </c>
      <c r="I551" s="2">
        <v>20190101</v>
      </c>
      <c r="J551" s="2" t="s">
        <v>1134</v>
      </c>
      <c r="K551" s="2"/>
    </row>
    <row r="552" spans="1:11" x14ac:dyDescent="0.25">
      <c r="A552" s="2">
        <v>3</v>
      </c>
      <c r="B552" s="2" t="s">
        <v>88</v>
      </c>
      <c r="C552" s="2" t="s">
        <v>1128</v>
      </c>
      <c r="D552" s="2" t="s">
        <v>1179</v>
      </c>
      <c r="E552" s="2" t="b">
        <f t="shared" si="43"/>
        <v>1</v>
      </c>
      <c r="F552" s="2" t="s">
        <v>1180</v>
      </c>
      <c r="G552" s="2" t="str">
        <f>IF(ISERROR(VLOOKUP(F552,MODIFICACIONES_REALIZADAS!F:H,3,)),F552,VLOOKUP(F552,MODIFICACIONES_REALIZADAS!F:H,3,))</f>
        <v>SM-O-AN2-Inspector-NumPol-BLOQUE2-NoPrimerRecibo-TotalMes-AnioAnterior</v>
      </c>
      <c r="H552" s="2">
        <v>20180101</v>
      </c>
      <c r="I552" s="2">
        <v>20190101</v>
      </c>
      <c r="J552" s="2" t="s">
        <v>1134</v>
      </c>
      <c r="K552" s="2"/>
    </row>
    <row r="553" spans="1:11" x14ac:dyDescent="0.25">
      <c r="A553" s="2">
        <v>3</v>
      </c>
      <c r="B553" s="2" t="s">
        <v>88</v>
      </c>
      <c r="C553" s="2" t="s">
        <v>1128</v>
      </c>
      <c r="D553" s="2" t="s">
        <v>1181</v>
      </c>
      <c r="E553" s="2" t="b">
        <f t="shared" si="43"/>
        <v>1</v>
      </c>
      <c r="F553" s="2" t="s">
        <v>1182</v>
      </c>
      <c r="G553" s="2" t="str">
        <f>IF(ISERROR(VLOOKUP(F553,MODIFICACIONES_REALIZADAS!F:H,3,)),F553,VLOOKUP(F553,MODIFICACIONES_REALIZADAS!F:H,3,))</f>
        <v>SM-O-AN2-Inspector-NumPol-BLOQUE1-PrimerRecibo-TotalMes-AnioAnterior</v>
      </c>
      <c r="H553" s="2">
        <v>20180101</v>
      </c>
      <c r="I553" s="2">
        <v>20190101</v>
      </c>
      <c r="J553" s="2" t="s">
        <v>1134</v>
      </c>
      <c r="K553" s="2"/>
    </row>
    <row r="554" spans="1:11" x14ac:dyDescent="0.25">
      <c r="A554" s="2">
        <v>3</v>
      </c>
      <c r="B554" s="2" t="s">
        <v>88</v>
      </c>
      <c r="C554" s="2" t="s">
        <v>1128</v>
      </c>
      <c r="D554" s="2" t="s">
        <v>1183</v>
      </c>
      <c r="E554" s="2" t="b">
        <f t="shared" si="43"/>
        <v>1</v>
      </c>
      <c r="F554" s="2" t="s">
        <v>1184</v>
      </c>
      <c r="G554" s="2" t="str">
        <f>IF(ISERROR(VLOOKUP(F554,MODIFICACIONES_REALIZADAS!F:H,3,)),F554,VLOOKUP(F554,MODIFICACIONES_REALIZADAS!F:H,3,))</f>
        <v>SM-O-AN2-Inspector-NumPol-BLOQUE2-PrimerRecibo-TotalMes-AnioAnterior</v>
      </c>
      <c r="H554" s="2">
        <v>20180101</v>
      </c>
      <c r="I554" s="2">
        <v>20190101</v>
      </c>
      <c r="J554" s="2" t="s">
        <v>1134</v>
      </c>
      <c r="K554" s="2"/>
    </row>
    <row r="555" spans="1:11" x14ac:dyDescent="0.25">
      <c r="A555" s="22">
        <v>3</v>
      </c>
      <c r="B555" s="22" t="s">
        <v>88</v>
      </c>
      <c r="C555" s="22" t="s">
        <v>1128</v>
      </c>
      <c r="D555" s="22" t="s">
        <v>1185</v>
      </c>
      <c r="E555" s="22" t="b">
        <f t="shared" ref="E555:E556" si="45">F555=G555</f>
        <v>1</v>
      </c>
      <c r="F555" s="22" t="s">
        <v>1186</v>
      </c>
      <c r="G555" s="22" t="str">
        <f>IF(ISERROR(VLOOKUP(F555,MODIFICACIONES_REALIZADAS!F:H,3,)),F555,VLOOKUP(F555,MODIFICACIONES_REALIZADAS!F:H,3,))</f>
        <v>SM-O-AN2-Inspector-NumPol-BLOQUE1-Produccion-TotalMes-AnioAnterior</v>
      </c>
      <c r="H555" s="22">
        <v>20190101</v>
      </c>
      <c r="I555" s="22">
        <v>22000101</v>
      </c>
      <c r="J555" s="22" t="s">
        <v>1134</v>
      </c>
      <c r="K555" s="22"/>
    </row>
    <row r="556" spans="1:11" x14ac:dyDescent="0.25">
      <c r="A556" s="22">
        <v>3</v>
      </c>
      <c r="B556" s="22" t="s">
        <v>88</v>
      </c>
      <c r="C556" s="22" t="s">
        <v>1128</v>
      </c>
      <c r="D556" s="22" t="s">
        <v>1187</v>
      </c>
      <c r="E556" s="22" t="b">
        <f t="shared" si="45"/>
        <v>1</v>
      </c>
      <c r="F556" s="22" t="s">
        <v>1188</v>
      </c>
      <c r="G556" s="22" t="str">
        <f>IF(ISERROR(VLOOKUP(F556,MODIFICACIONES_REALIZADAS!F:H,3,)),F556,VLOOKUP(F556,MODIFICACIONES_REALIZADAS!F:H,3,))</f>
        <v>SM-O-AN2-Inspector-NumPol-BLOQUE2-Produccion-TotalMes-AnioAnterior</v>
      </c>
      <c r="H556" s="22">
        <v>20190101</v>
      </c>
      <c r="I556" s="22">
        <v>22000101</v>
      </c>
      <c r="J556" s="22" t="s">
        <v>1134</v>
      </c>
      <c r="K556" s="22"/>
    </row>
    <row r="557" spans="1:11" x14ac:dyDescent="0.25">
      <c r="A557" s="2">
        <v>3</v>
      </c>
      <c r="B557" s="2" t="s">
        <v>88</v>
      </c>
      <c r="C557" s="2" t="s">
        <v>1128</v>
      </c>
      <c r="D557" s="2" t="s">
        <v>1173</v>
      </c>
      <c r="E557" s="2" t="b">
        <f t="shared" si="43"/>
        <v>1</v>
      </c>
      <c r="F557" s="2" t="s">
        <v>1189</v>
      </c>
      <c r="G557" s="2" t="str">
        <f>IF(ISERROR(VLOOKUP(F557,MODIFICACIONES_REALIZADAS!F:H,3,)),F557,VLOOKUP(F557,MODIFICACIONES_REALIZADAS!F:H,3,))</f>
        <v>SM-O-AN2-Inspector-NumPol-BLOQUE1-Anulaciones2-TotalMes</v>
      </c>
      <c r="H557" s="2">
        <v>20180101</v>
      </c>
      <c r="I557" s="2">
        <v>20190101</v>
      </c>
      <c r="J557" s="2" t="s">
        <v>1134</v>
      </c>
      <c r="K557" s="2"/>
    </row>
    <row r="558" spans="1:11" x14ac:dyDescent="0.25">
      <c r="A558" s="2">
        <v>3</v>
      </c>
      <c r="B558" s="2" t="s">
        <v>88</v>
      </c>
      <c r="C558" s="2" t="s">
        <v>1128</v>
      </c>
      <c r="D558" s="2" t="s">
        <v>1175</v>
      </c>
      <c r="E558" s="2" t="b">
        <f t="shared" si="43"/>
        <v>1</v>
      </c>
      <c r="F558" s="2" t="s">
        <v>1190</v>
      </c>
      <c r="G558" s="2" t="str">
        <f>IF(ISERROR(VLOOKUP(F558,MODIFICACIONES_REALIZADAS!F:H,3,)),F558,VLOOKUP(F558,MODIFICACIONES_REALIZADAS!F:H,3,))</f>
        <v>SM-O-AN2-Inspector-NumPol-BLOQUE2-Anulaciones2-TotalMes</v>
      </c>
      <c r="H558" s="2">
        <v>20180101</v>
      </c>
      <c r="I558" s="2">
        <v>20190101</v>
      </c>
      <c r="J558" s="2" t="s">
        <v>1134</v>
      </c>
      <c r="K558" s="2"/>
    </row>
    <row r="559" spans="1:11" x14ac:dyDescent="0.25">
      <c r="A559" s="2">
        <v>3</v>
      </c>
      <c r="B559" s="2" t="s">
        <v>88</v>
      </c>
      <c r="C559" s="2" t="s">
        <v>1128</v>
      </c>
      <c r="D559" s="2" t="s">
        <v>1191</v>
      </c>
      <c r="E559" s="2" t="b">
        <f t="shared" si="43"/>
        <v>1</v>
      </c>
      <c r="F559" s="2" t="s">
        <v>1192</v>
      </c>
      <c r="G559" s="2" t="str">
        <f>IF(ISERROR(VLOOKUP(F559,MODIFICACIONES_REALIZADAS!F:H,3,)),F559,VLOOKUP(F559,MODIFICACIONES_REALIZADAS!F:H,3,))</f>
        <v>SM-O-AN2-Inspector-NumPol-BLOQUE1-NoPrimerRecibo2-TotalMes</v>
      </c>
      <c r="H559" s="2">
        <v>20180101</v>
      </c>
      <c r="I559" s="2">
        <v>20190101</v>
      </c>
      <c r="J559" s="2" t="s">
        <v>1134</v>
      </c>
      <c r="K559" s="2"/>
    </row>
    <row r="560" spans="1:11" x14ac:dyDescent="0.25">
      <c r="A560" s="2">
        <v>3</v>
      </c>
      <c r="B560" s="2" t="s">
        <v>88</v>
      </c>
      <c r="C560" s="2" t="s">
        <v>1128</v>
      </c>
      <c r="D560" s="2" t="s">
        <v>1193</v>
      </c>
      <c r="E560" s="2" t="b">
        <f t="shared" si="43"/>
        <v>1</v>
      </c>
      <c r="F560" s="2" t="s">
        <v>1194</v>
      </c>
      <c r="G560" s="2" t="str">
        <f>IF(ISERROR(VLOOKUP(F560,MODIFICACIONES_REALIZADAS!F:H,3,)),F560,VLOOKUP(F560,MODIFICACIONES_REALIZADAS!F:H,3,))</f>
        <v>SM-O-AN2-Inspector-NumPol-BLOQUE2-NoPrimerRecibo2-TotalMes</v>
      </c>
      <c r="H560" s="2">
        <v>20180101</v>
      </c>
      <c r="I560" s="2">
        <v>20190101</v>
      </c>
      <c r="J560" s="2" t="s">
        <v>1134</v>
      </c>
      <c r="K560" s="2"/>
    </row>
    <row r="561" spans="1:11" x14ac:dyDescent="0.25">
      <c r="A561">
        <v>3</v>
      </c>
      <c r="B561" t="s">
        <v>88</v>
      </c>
      <c r="C561" t="s">
        <v>1128</v>
      </c>
      <c r="D561" t="s">
        <v>1195</v>
      </c>
      <c r="E561" t="b">
        <f t="shared" si="40"/>
        <v>1</v>
      </c>
      <c r="F561" t="s">
        <v>1196</v>
      </c>
      <c r="G561" t="str">
        <f>IF(ISERROR(VLOOKUP(F561,MODIFICACIONES_REALIZADAS!F:H,3,)),F561,VLOOKUP(F561,MODIFICACIONES_REALIZADAS!F:H,3,))</f>
        <v>I-O-AN2-Inspector-BLOQUE1-Pago-Anulaciones</v>
      </c>
      <c r="H561">
        <v>20171201</v>
      </c>
      <c r="I561">
        <v>22000101</v>
      </c>
      <c r="J561" t="s">
        <v>1129</v>
      </c>
    </row>
    <row r="562" spans="1:11" x14ac:dyDescent="0.25">
      <c r="A562">
        <v>3</v>
      </c>
      <c r="B562" t="s">
        <v>88</v>
      </c>
      <c r="C562" t="s">
        <v>1128</v>
      </c>
      <c r="D562" t="s">
        <v>1197</v>
      </c>
      <c r="E562" t="b">
        <f t="shared" si="40"/>
        <v>1</v>
      </c>
      <c r="F562" t="s">
        <v>1198</v>
      </c>
      <c r="G562" t="str">
        <f>IF(ISERROR(VLOOKUP(F562,MODIFICACIONES_REALIZADAS!F:H,3,)),F562,VLOOKUP(F562,MODIFICACIONES_REALIZADAS!F:H,3,))</f>
        <v>I-O-AN2-Inspector-BLOQUE2-Pago-Anulaciones</v>
      </c>
      <c r="H562">
        <v>20171201</v>
      </c>
      <c r="I562">
        <v>22000101</v>
      </c>
      <c r="J562" t="s">
        <v>1129</v>
      </c>
    </row>
    <row r="563" spans="1:11" x14ac:dyDescent="0.25">
      <c r="A563" s="2">
        <v>3</v>
      </c>
      <c r="B563" s="2" t="s">
        <v>92</v>
      </c>
      <c r="C563" s="2" t="s">
        <v>1199</v>
      </c>
      <c r="D563" s="2" t="s">
        <v>1200</v>
      </c>
      <c r="E563" s="2" t="b">
        <f t="shared" ref="E563:E652" si="46">F563=G563</f>
        <v>1</v>
      </c>
      <c r="F563" s="2" t="s">
        <v>1201</v>
      </c>
      <c r="G563" s="2" t="str">
        <f>IF(ISERROR(VLOOKUP(F563,MODIFICACIONES_REALIZADAS!F:H,3,)),F563,VLOOKUP(F563,MODIFICACIONES_REALIZADAS!F:H,3,))</f>
        <v>DC-O-AN1-Inspector-NumeroPolizas-998-PrimerRecibo</v>
      </c>
      <c r="H563" s="2">
        <v>20140101</v>
      </c>
      <c r="I563" s="2">
        <v>20190101</v>
      </c>
      <c r="J563" s="2" t="s">
        <v>1134</v>
      </c>
      <c r="K563" s="2"/>
    </row>
    <row r="564" spans="1:11" x14ac:dyDescent="0.25">
      <c r="A564" s="2">
        <v>3</v>
      </c>
      <c r="B564" s="2" t="s">
        <v>92</v>
      </c>
      <c r="C564" s="2" t="s">
        <v>1199</v>
      </c>
      <c r="D564" s="2" t="s">
        <v>1200</v>
      </c>
      <c r="E564" s="2" t="b">
        <f t="shared" si="46"/>
        <v>1</v>
      </c>
      <c r="F564" s="2" t="s">
        <v>1202</v>
      </c>
      <c r="G564" s="2" t="str">
        <f>IF(ISERROR(VLOOKUP(F564,MODIFICACIONES_REALIZADAS!F:H,3,)),F564,VLOOKUP(F564,MODIFICACIONES_REALIZADAS!F:H,3,))</f>
        <v>IC-O-AN1-Inspector-NumeroPolizas-998-PrimerRecibo</v>
      </c>
      <c r="H564" s="2">
        <v>20140101</v>
      </c>
      <c r="I564" s="2">
        <v>20190101</v>
      </c>
      <c r="J564" s="2" t="s">
        <v>1134</v>
      </c>
      <c r="K564" s="2"/>
    </row>
    <row r="565" spans="1:11" x14ac:dyDescent="0.25">
      <c r="A565" s="22">
        <v>3</v>
      </c>
      <c r="B565" s="22" t="s">
        <v>92</v>
      </c>
      <c r="C565" s="22" t="s">
        <v>1199</v>
      </c>
      <c r="D565" s="22" t="s">
        <v>1200</v>
      </c>
      <c r="E565" s="22" t="b">
        <f t="shared" ref="E565:E566" si="47">F565=G565</f>
        <v>1</v>
      </c>
      <c r="F565" s="22" t="s">
        <v>1203</v>
      </c>
      <c r="G565" s="22" t="str">
        <f>IF(ISERROR(VLOOKUP(F565,MODIFICACIONES_REALIZADAS!F:H,3,)),F565,VLOOKUP(F565,MODIFICACIONES_REALIZADAS!F:H,3,))</f>
        <v>DC-O-AN1-Inspector-NumeroPolizas-998-Produccion</v>
      </c>
      <c r="H565" s="22">
        <v>20190101</v>
      </c>
      <c r="I565" s="22">
        <v>22000101</v>
      </c>
      <c r="J565" s="22" t="s">
        <v>1134</v>
      </c>
      <c r="K565" s="22"/>
    </row>
    <row r="566" spans="1:11" x14ac:dyDescent="0.25">
      <c r="A566" s="22">
        <v>3</v>
      </c>
      <c r="B566" s="22" t="s">
        <v>92</v>
      </c>
      <c r="C566" s="22" t="s">
        <v>1199</v>
      </c>
      <c r="D566" s="22" t="s">
        <v>1200</v>
      </c>
      <c r="E566" s="22" t="b">
        <f t="shared" si="47"/>
        <v>1</v>
      </c>
      <c r="F566" s="22" t="s">
        <v>1204</v>
      </c>
      <c r="G566" s="22" t="str">
        <f>IF(ISERROR(VLOOKUP(F566,MODIFICACIONES_REALIZADAS!F:H,3,)),F566,VLOOKUP(F566,MODIFICACIONES_REALIZADAS!F:H,3,))</f>
        <v>IC-O-AN1-Inspector-NumeroPolizas-998-Produccion</v>
      </c>
      <c r="H566" s="22">
        <v>20190101</v>
      </c>
      <c r="I566" s="22">
        <v>22000101</v>
      </c>
      <c r="J566" s="22" t="s">
        <v>1134</v>
      </c>
      <c r="K566" s="22"/>
    </row>
    <row r="567" spans="1:11" x14ac:dyDescent="0.25">
      <c r="A567" s="2">
        <v>3</v>
      </c>
      <c r="B567" s="2" t="s">
        <v>92</v>
      </c>
      <c r="C567" s="2" t="s">
        <v>1199</v>
      </c>
      <c r="D567" s="2" t="s">
        <v>1200</v>
      </c>
      <c r="E567" s="2" t="b">
        <f t="shared" si="46"/>
        <v>1</v>
      </c>
      <c r="F567" s="2" t="s">
        <v>1205</v>
      </c>
      <c r="G567" s="2" t="str">
        <f>IF(ISERROR(VLOOKUP(F567,MODIFICACIONES_REALIZADAS!F:H,3,)),F567,VLOOKUP(F567,MODIFICACIONES_REALIZADAS!F:H,3,))</f>
        <v>DC-O-AN1-Inspector-NumeroPolizas-998-NoPrimerRecibo</v>
      </c>
      <c r="H567" s="2">
        <v>20140101</v>
      </c>
      <c r="I567" s="2">
        <v>20190101</v>
      </c>
      <c r="J567" s="2" t="s">
        <v>1134</v>
      </c>
      <c r="K567" s="2"/>
    </row>
    <row r="568" spans="1:11" x14ac:dyDescent="0.25">
      <c r="A568" s="2">
        <v>3</v>
      </c>
      <c r="B568" s="2" t="s">
        <v>92</v>
      </c>
      <c r="C568" s="2" t="s">
        <v>1199</v>
      </c>
      <c r="D568" s="2" t="s">
        <v>1200</v>
      </c>
      <c r="E568" s="2" t="b">
        <f t="shared" si="46"/>
        <v>1</v>
      </c>
      <c r="F568" s="2" t="s">
        <v>1206</v>
      </c>
      <c r="G568" s="2" t="str">
        <f>IF(ISERROR(VLOOKUP(F568,MODIFICACIONES_REALIZADAS!F:H,3,)),F568,VLOOKUP(F568,MODIFICACIONES_REALIZADAS!F:H,3,))</f>
        <v>IC-O-AN1-Inspector-NumeroPolizas-998-NoPrimerRecibo</v>
      </c>
      <c r="H568" s="2">
        <v>20140101</v>
      </c>
      <c r="I568" s="2">
        <v>20190101</v>
      </c>
      <c r="J568" s="2" t="s">
        <v>1134</v>
      </c>
      <c r="K568" s="2"/>
    </row>
    <row r="569" spans="1:11" x14ac:dyDescent="0.25">
      <c r="A569">
        <v>3</v>
      </c>
      <c r="B569" t="s">
        <v>92</v>
      </c>
      <c r="C569" t="s">
        <v>1199</v>
      </c>
      <c r="D569" t="s">
        <v>1200</v>
      </c>
      <c r="E569" t="b">
        <f t="shared" si="46"/>
        <v>1</v>
      </c>
      <c r="F569" t="s">
        <v>1207</v>
      </c>
      <c r="G569" t="str">
        <f>IF(ISERROR(VLOOKUP(F569,MODIFICACIONES_REALIZADAS!F:H,3,)),F569,VLOOKUP(F569,MODIFICACIONES_REALIZADAS!F:H,3,))</f>
        <v>DC-O-AN1-Inspector-NumeroPolizas-998-Anulaciones</v>
      </c>
      <c r="H569">
        <v>20140101</v>
      </c>
      <c r="I569">
        <v>22000101</v>
      </c>
    </row>
    <row r="570" spans="1:11" x14ac:dyDescent="0.25">
      <c r="A570">
        <v>3</v>
      </c>
      <c r="B570" t="s">
        <v>92</v>
      </c>
      <c r="C570" t="s">
        <v>1199</v>
      </c>
      <c r="D570" t="s">
        <v>1200</v>
      </c>
      <c r="E570" t="b">
        <f t="shared" si="46"/>
        <v>1</v>
      </c>
      <c r="F570" t="s">
        <v>1208</v>
      </c>
      <c r="G570" t="str">
        <f>IF(ISERROR(VLOOKUP(F570,MODIFICACIONES_REALIZADAS!F:H,3,)),F570,VLOOKUP(F570,MODIFICACIONES_REALIZADAS!F:H,3,))</f>
        <v>IC-O-AN1-Inspector-NumeroPolizas-998-Anulaciones</v>
      </c>
      <c r="H570">
        <v>20140101</v>
      </c>
      <c r="I570">
        <v>22000101</v>
      </c>
    </row>
    <row r="571" spans="1:11" x14ac:dyDescent="0.25">
      <c r="A571" s="2">
        <v>3</v>
      </c>
      <c r="B571" s="2" t="s">
        <v>92</v>
      </c>
      <c r="C571" s="2" t="s">
        <v>1199</v>
      </c>
      <c r="D571" s="2" t="s">
        <v>1200</v>
      </c>
      <c r="E571" s="2" t="b">
        <f t="shared" si="46"/>
        <v>1</v>
      </c>
      <c r="F571" s="2" t="s">
        <v>1209</v>
      </c>
      <c r="G571" s="2" t="str">
        <f>IF(ISERROR(VLOOKUP(F571,MODIFICACIONES_REALIZADAS!F:H,3,)),F571,VLOOKUP(F571,MODIFICACIONES_REALIZADAS!F:H,3,))</f>
        <v>DC-O-AN2-Inspector-NumPol-BLOQUE1-PrimerRecibo</v>
      </c>
      <c r="H571" s="2">
        <v>20140101</v>
      </c>
      <c r="I571" s="2">
        <v>20190101</v>
      </c>
      <c r="J571" s="2" t="s">
        <v>1134</v>
      </c>
      <c r="K571" s="2"/>
    </row>
    <row r="572" spans="1:11" x14ac:dyDescent="0.25">
      <c r="A572" s="2">
        <v>3</v>
      </c>
      <c r="B572" s="2" t="s">
        <v>92</v>
      </c>
      <c r="C572" s="2" t="s">
        <v>1199</v>
      </c>
      <c r="D572" s="2" t="s">
        <v>1200</v>
      </c>
      <c r="E572" s="2" t="b">
        <f t="shared" si="46"/>
        <v>1</v>
      </c>
      <c r="F572" s="2" t="s">
        <v>1210</v>
      </c>
      <c r="G572" s="2" t="str">
        <f>IF(ISERROR(VLOOKUP(F572,MODIFICACIONES_REALIZADAS!F:H,3,)),F572,VLOOKUP(F572,MODIFICACIONES_REALIZADAS!F:H,3,))</f>
        <v>IC-O-AN2-Inspector-NumPol-BLOQUE1-PrimerRecibo</v>
      </c>
      <c r="H572" s="2">
        <v>20140101</v>
      </c>
      <c r="I572" s="2">
        <v>20190101</v>
      </c>
      <c r="J572" s="2" t="s">
        <v>1134</v>
      </c>
      <c r="K572" s="2"/>
    </row>
    <row r="573" spans="1:11" x14ac:dyDescent="0.25">
      <c r="A573" s="22">
        <v>3</v>
      </c>
      <c r="B573" s="22" t="s">
        <v>92</v>
      </c>
      <c r="C573" s="22" t="s">
        <v>1199</v>
      </c>
      <c r="D573" s="22" t="s">
        <v>1200</v>
      </c>
      <c r="E573" s="22" t="b">
        <f t="shared" ref="E573:E574" si="48">F573=G573</f>
        <v>1</v>
      </c>
      <c r="F573" s="22" t="s">
        <v>1211</v>
      </c>
      <c r="G573" s="22" t="str">
        <f>IF(ISERROR(VLOOKUP(F573,MODIFICACIONES_REALIZADAS!F:H,3,)),F573,VLOOKUP(F573,MODIFICACIONES_REALIZADAS!F:H,3,))</f>
        <v>DC-O-AN2-Inspector-NumPol-BLOQUE1-Produccion</v>
      </c>
      <c r="H573" s="22">
        <v>20190101</v>
      </c>
      <c r="I573" s="22">
        <v>22000101</v>
      </c>
      <c r="J573" s="22" t="s">
        <v>1134</v>
      </c>
      <c r="K573" s="22"/>
    </row>
    <row r="574" spans="1:11" x14ac:dyDescent="0.25">
      <c r="A574" s="22">
        <v>3</v>
      </c>
      <c r="B574" s="22" t="s">
        <v>92</v>
      </c>
      <c r="C574" s="22" t="s">
        <v>1199</v>
      </c>
      <c r="D574" s="22" t="s">
        <v>1200</v>
      </c>
      <c r="E574" s="22" t="b">
        <f t="shared" si="48"/>
        <v>1</v>
      </c>
      <c r="F574" s="22" t="s">
        <v>1212</v>
      </c>
      <c r="G574" s="22" t="str">
        <f>IF(ISERROR(VLOOKUP(F574,MODIFICACIONES_REALIZADAS!F:H,3,)),F574,VLOOKUP(F574,MODIFICACIONES_REALIZADAS!F:H,3,))</f>
        <v>IC-O-AN2-Inspector-NumPol-BLOQUE1-Produccion</v>
      </c>
      <c r="H574" s="22">
        <v>20190101</v>
      </c>
      <c r="I574" s="22">
        <v>22000101</v>
      </c>
      <c r="J574" s="22" t="s">
        <v>1134</v>
      </c>
      <c r="K574" s="22"/>
    </row>
    <row r="575" spans="1:11" x14ac:dyDescent="0.25">
      <c r="A575" s="2">
        <v>3</v>
      </c>
      <c r="B575" s="2" t="s">
        <v>92</v>
      </c>
      <c r="C575" s="2" t="s">
        <v>1199</v>
      </c>
      <c r="D575" s="2" t="s">
        <v>1200</v>
      </c>
      <c r="E575" s="2" t="b">
        <f t="shared" si="46"/>
        <v>1</v>
      </c>
      <c r="F575" s="2" t="s">
        <v>1213</v>
      </c>
      <c r="G575" s="2" t="str">
        <f>IF(ISERROR(VLOOKUP(F575,MODIFICACIONES_REALIZADAS!F:H,3,)),F575,VLOOKUP(F575,MODIFICACIONES_REALIZADAS!F:H,3,))</f>
        <v>DC-O-AN2-Inspector-NumPol-BLOQUE1-NoPrimerRecibo</v>
      </c>
      <c r="H575" s="2">
        <v>20140101</v>
      </c>
      <c r="I575" s="2">
        <v>20190101</v>
      </c>
      <c r="J575" s="2" t="s">
        <v>1134</v>
      </c>
      <c r="K575" s="2"/>
    </row>
    <row r="576" spans="1:11" x14ac:dyDescent="0.25">
      <c r="A576" s="2">
        <v>3</v>
      </c>
      <c r="B576" s="2" t="s">
        <v>92</v>
      </c>
      <c r="C576" s="2" t="s">
        <v>1199</v>
      </c>
      <c r="D576" s="2" t="s">
        <v>1200</v>
      </c>
      <c r="E576" s="2" t="b">
        <f t="shared" si="46"/>
        <v>1</v>
      </c>
      <c r="F576" s="2" t="s">
        <v>1214</v>
      </c>
      <c r="G576" s="2" t="str">
        <f>IF(ISERROR(VLOOKUP(F576,MODIFICACIONES_REALIZADAS!F:H,3,)),F576,VLOOKUP(F576,MODIFICACIONES_REALIZADAS!F:H,3,))</f>
        <v>IC-O-AN2-Inspector-NumPol-BLOQUE1-NoPrimerRecibo</v>
      </c>
      <c r="H576" s="2">
        <v>20140101</v>
      </c>
      <c r="I576" s="2">
        <v>20190101</v>
      </c>
      <c r="J576" s="2" t="s">
        <v>1134</v>
      </c>
      <c r="K576" s="2"/>
    </row>
    <row r="577" spans="1:11" x14ac:dyDescent="0.25">
      <c r="A577">
        <v>3</v>
      </c>
      <c r="B577" t="s">
        <v>92</v>
      </c>
      <c r="C577" t="s">
        <v>1199</v>
      </c>
      <c r="D577" t="s">
        <v>1200</v>
      </c>
      <c r="E577" t="b">
        <f t="shared" si="46"/>
        <v>1</v>
      </c>
      <c r="F577" t="s">
        <v>1215</v>
      </c>
      <c r="G577" t="str">
        <f>IF(ISERROR(VLOOKUP(F577,MODIFICACIONES_REALIZADAS!F:H,3,)),F577,VLOOKUP(F577,MODIFICACIONES_REALIZADAS!F:H,3,))</f>
        <v>DC-O-AN2-Inspector-NumPol-BLOQUE1-Anulaciones</v>
      </c>
      <c r="H577">
        <v>20140101</v>
      </c>
      <c r="I577">
        <v>22000101</v>
      </c>
    </row>
    <row r="578" spans="1:11" x14ac:dyDescent="0.25">
      <c r="A578">
        <v>3</v>
      </c>
      <c r="B578" t="s">
        <v>92</v>
      </c>
      <c r="C578" t="s">
        <v>1199</v>
      </c>
      <c r="D578" t="s">
        <v>1200</v>
      </c>
      <c r="E578" t="b">
        <f t="shared" si="46"/>
        <v>1</v>
      </c>
      <c r="F578" t="s">
        <v>1216</v>
      </c>
      <c r="G578" t="str">
        <f>IF(ISERROR(VLOOKUP(F578,MODIFICACIONES_REALIZADAS!F:H,3,)),F578,VLOOKUP(F578,MODIFICACIONES_REALIZADAS!F:H,3,))</f>
        <v>IC-O-AN2-Inspector-NumPol-BLOQUE1-Anulaciones</v>
      </c>
      <c r="H578">
        <v>20140101</v>
      </c>
      <c r="I578">
        <v>22000101</v>
      </c>
    </row>
    <row r="579" spans="1:11" x14ac:dyDescent="0.25">
      <c r="A579">
        <v>3</v>
      </c>
      <c r="B579" t="s">
        <v>92</v>
      </c>
      <c r="C579" t="s">
        <v>1199</v>
      </c>
      <c r="D579" t="s">
        <v>1200</v>
      </c>
      <c r="E579" t="b">
        <f t="shared" si="46"/>
        <v>1</v>
      </c>
      <c r="F579" t="s">
        <v>1217</v>
      </c>
      <c r="G579" t="str">
        <f>IF(ISERROR(VLOOKUP(F579,MODIFICACIONES_REALIZADAS!F:H,3,)),F579,VLOOKUP(F579,MODIFICACIONES_REALIZADAS!F:H,3,))</f>
        <v>DC-O-AN2-Inspector-NumPol-BLOQUE1-Anulacion</v>
      </c>
      <c r="H579">
        <v>20140101</v>
      </c>
      <c r="I579">
        <v>22000101</v>
      </c>
    </row>
    <row r="580" spans="1:11" x14ac:dyDescent="0.25">
      <c r="A580">
        <v>3</v>
      </c>
      <c r="B580" t="s">
        <v>92</v>
      </c>
      <c r="C580" t="s">
        <v>1199</v>
      </c>
      <c r="D580" t="s">
        <v>1200</v>
      </c>
      <c r="E580" t="b">
        <f t="shared" si="46"/>
        <v>1</v>
      </c>
      <c r="F580" t="s">
        <v>1218</v>
      </c>
      <c r="G580" t="str">
        <f>IF(ISERROR(VLOOKUP(F580,MODIFICACIONES_REALIZADAS!F:H,3,)),F580,VLOOKUP(F580,MODIFICACIONES_REALIZADAS!F:H,3,))</f>
        <v>IC-O-AN2-Inspector-NumPol-BLOQUE1-Anulacion</v>
      </c>
      <c r="H580">
        <v>20140101</v>
      </c>
      <c r="I580">
        <v>22000101</v>
      </c>
    </row>
    <row r="581" spans="1:11" x14ac:dyDescent="0.25">
      <c r="A581">
        <v>3</v>
      </c>
      <c r="B581" t="s">
        <v>92</v>
      </c>
      <c r="C581" t="s">
        <v>1199</v>
      </c>
      <c r="D581" t="s">
        <v>1200</v>
      </c>
      <c r="E581" t="b">
        <f t="shared" si="46"/>
        <v>1</v>
      </c>
      <c r="F581" t="s">
        <v>1219</v>
      </c>
      <c r="G581" t="str">
        <f>IF(ISERROR(VLOOKUP(F581,MODIFICACIONES_REALIZADAS!F:H,3,)),F581,VLOOKUP(F581,MODIFICACIONES_REALIZADAS!F:H,3,))</f>
        <v>IC-O-AN2-Inspector-NumPol-BLOQUE1-Rehabilitacion</v>
      </c>
      <c r="H581">
        <v>20140101</v>
      </c>
      <c r="I581">
        <v>22000101</v>
      </c>
    </row>
    <row r="582" spans="1:11" x14ac:dyDescent="0.25">
      <c r="A582">
        <v>3</v>
      </c>
      <c r="B582" t="s">
        <v>92</v>
      </c>
      <c r="C582" t="s">
        <v>1199</v>
      </c>
      <c r="D582" t="s">
        <v>1200</v>
      </c>
      <c r="E582" t="b">
        <f t="shared" si="46"/>
        <v>1</v>
      </c>
      <c r="F582" t="s">
        <v>1219</v>
      </c>
      <c r="G582" t="str">
        <f>IF(ISERROR(VLOOKUP(F582,MODIFICACIONES_REALIZADAS!F:H,3,)),F582,VLOOKUP(F582,MODIFICACIONES_REALIZADAS!F:H,3,))</f>
        <v>IC-O-AN2-Inspector-NumPol-BLOQUE1-Rehabilitacion</v>
      </c>
      <c r="H582">
        <v>20140101</v>
      </c>
      <c r="I582">
        <v>22000101</v>
      </c>
    </row>
    <row r="583" spans="1:11" x14ac:dyDescent="0.25">
      <c r="A583" s="2">
        <v>3</v>
      </c>
      <c r="B583" s="2" t="s">
        <v>92</v>
      </c>
      <c r="C583" s="2" t="s">
        <v>1199</v>
      </c>
      <c r="D583" s="2" t="s">
        <v>1200</v>
      </c>
      <c r="E583" s="2" t="b">
        <f t="shared" si="46"/>
        <v>1</v>
      </c>
      <c r="F583" s="2" t="s">
        <v>1220</v>
      </c>
      <c r="G583" s="2" t="str">
        <f>IF(ISERROR(VLOOKUP(F583,MODIFICACIONES_REALIZADAS!F:H,3,)),F583,VLOOKUP(F583,MODIFICACIONES_REALIZADAS!F:H,3,))</f>
        <v>DC-O-AN2-Inspector-NumPol-BLOQUE2-PrimerRecibo</v>
      </c>
      <c r="H583" s="2">
        <v>20140101</v>
      </c>
      <c r="I583" s="2">
        <v>20190101</v>
      </c>
      <c r="J583" s="2" t="s">
        <v>1134</v>
      </c>
      <c r="K583" s="2"/>
    </row>
    <row r="584" spans="1:11" x14ac:dyDescent="0.25">
      <c r="A584" s="2">
        <v>3</v>
      </c>
      <c r="B584" s="2" t="s">
        <v>92</v>
      </c>
      <c r="C584" s="2" t="s">
        <v>1199</v>
      </c>
      <c r="D584" s="2" t="s">
        <v>1200</v>
      </c>
      <c r="E584" s="2" t="b">
        <f t="shared" si="46"/>
        <v>1</v>
      </c>
      <c r="F584" s="2" t="s">
        <v>1221</v>
      </c>
      <c r="G584" s="2" t="str">
        <f>IF(ISERROR(VLOOKUP(F584,MODIFICACIONES_REALIZADAS!F:H,3,)),F584,VLOOKUP(F584,MODIFICACIONES_REALIZADAS!F:H,3,))</f>
        <v>IC-O-AN2-Inspector-NumPol-BLOQUE2-PrimerRecibo</v>
      </c>
      <c r="H584" s="2">
        <v>20140101</v>
      </c>
      <c r="I584" s="2">
        <v>20190101</v>
      </c>
      <c r="J584" s="2" t="s">
        <v>1134</v>
      </c>
      <c r="K584" s="2"/>
    </row>
    <row r="585" spans="1:11" x14ac:dyDescent="0.25">
      <c r="A585" s="22">
        <v>3</v>
      </c>
      <c r="B585" s="22" t="s">
        <v>92</v>
      </c>
      <c r="C585" s="22" t="s">
        <v>1199</v>
      </c>
      <c r="D585" s="22" t="s">
        <v>1200</v>
      </c>
      <c r="E585" s="22" t="b">
        <f t="shared" ref="E585:E586" si="49">F585=G585</f>
        <v>1</v>
      </c>
      <c r="F585" s="22" t="s">
        <v>1222</v>
      </c>
      <c r="G585" s="22" t="str">
        <f>IF(ISERROR(VLOOKUP(F585,MODIFICACIONES_REALIZADAS!F:H,3,)),F585,VLOOKUP(F585,MODIFICACIONES_REALIZADAS!F:H,3,))</f>
        <v>DC-O-AN2-Inspector-NumPol-BLOQUE2-Produccion</v>
      </c>
      <c r="H585" s="22">
        <v>20190101</v>
      </c>
      <c r="I585" s="22">
        <v>22000101</v>
      </c>
      <c r="J585" s="22" t="s">
        <v>1134</v>
      </c>
      <c r="K585" s="22"/>
    </row>
    <row r="586" spans="1:11" x14ac:dyDescent="0.25">
      <c r="A586" s="22">
        <v>3</v>
      </c>
      <c r="B586" s="22" t="s">
        <v>92</v>
      </c>
      <c r="C586" s="22" t="s">
        <v>1199</v>
      </c>
      <c r="D586" s="22" t="s">
        <v>1200</v>
      </c>
      <c r="E586" s="22" t="b">
        <f t="shared" si="49"/>
        <v>1</v>
      </c>
      <c r="F586" s="22" t="s">
        <v>1223</v>
      </c>
      <c r="G586" s="22" t="str">
        <f>IF(ISERROR(VLOOKUP(F586,MODIFICACIONES_REALIZADAS!F:H,3,)),F586,VLOOKUP(F586,MODIFICACIONES_REALIZADAS!F:H,3,))</f>
        <v>IC-O-AN2-Inspector-NumPol-BLOQUE2-Produccion</v>
      </c>
      <c r="H586" s="22">
        <v>20190101</v>
      </c>
      <c r="I586" s="22">
        <v>22000101</v>
      </c>
      <c r="J586" s="22" t="s">
        <v>1134</v>
      </c>
      <c r="K586" s="22"/>
    </row>
    <row r="587" spans="1:11" x14ac:dyDescent="0.25">
      <c r="A587">
        <v>3</v>
      </c>
      <c r="B587" t="s">
        <v>92</v>
      </c>
      <c r="C587" t="s">
        <v>1199</v>
      </c>
      <c r="D587" t="s">
        <v>1200</v>
      </c>
      <c r="E587" t="b">
        <f t="shared" si="46"/>
        <v>1</v>
      </c>
      <c r="F587" t="s">
        <v>1224</v>
      </c>
      <c r="G587" t="str">
        <f>IF(ISERROR(VLOOKUP(F587,MODIFICACIONES_REALIZADAS!F:H,3,)),F587,VLOOKUP(F587,MODIFICACIONES_REALIZADAS!F:H,3,))</f>
        <v>DC-O-AN2-Inspector-NumPol-BLOQUE2-Anulaciones</v>
      </c>
      <c r="H587">
        <v>20140101</v>
      </c>
      <c r="I587">
        <v>22000101</v>
      </c>
    </row>
    <row r="588" spans="1:11" x14ac:dyDescent="0.25">
      <c r="A588">
        <v>3</v>
      </c>
      <c r="B588" t="s">
        <v>92</v>
      </c>
      <c r="C588" t="s">
        <v>1199</v>
      </c>
      <c r="D588" t="s">
        <v>1200</v>
      </c>
      <c r="E588" t="b">
        <f t="shared" si="46"/>
        <v>1</v>
      </c>
      <c r="F588" t="s">
        <v>1225</v>
      </c>
      <c r="G588" t="str">
        <f>IF(ISERROR(VLOOKUP(F588,MODIFICACIONES_REALIZADAS!F:H,3,)),F588,VLOOKUP(F588,MODIFICACIONES_REALIZADAS!F:H,3,))</f>
        <v>IC-O-AN2-Inspector-NumPol-BLOQUE2-Anulaciones</v>
      </c>
      <c r="H588">
        <v>20140101</v>
      </c>
      <c r="I588">
        <v>22000101</v>
      </c>
    </row>
    <row r="589" spans="1:11" x14ac:dyDescent="0.25">
      <c r="A589">
        <v>3</v>
      </c>
      <c r="B589" t="s">
        <v>92</v>
      </c>
      <c r="C589" t="s">
        <v>1199</v>
      </c>
      <c r="D589" t="s">
        <v>1200</v>
      </c>
      <c r="E589" t="b">
        <f t="shared" si="46"/>
        <v>1</v>
      </c>
      <c r="F589" t="s">
        <v>1226</v>
      </c>
      <c r="G589" t="str">
        <f>IF(ISERROR(VLOOKUP(F589,MODIFICACIONES_REALIZADAS!F:H,3,)),F589,VLOOKUP(F589,MODIFICACIONES_REALIZADAS!F:H,3,))</f>
        <v>DC-O-AN2-Inspector-NumPol-BLOQUE2-Anulacion</v>
      </c>
      <c r="H589">
        <v>20140101</v>
      </c>
      <c r="I589">
        <v>22000101</v>
      </c>
    </row>
    <row r="590" spans="1:11" x14ac:dyDescent="0.25">
      <c r="A590">
        <v>3</v>
      </c>
      <c r="B590" t="s">
        <v>92</v>
      </c>
      <c r="C590" t="s">
        <v>1199</v>
      </c>
      <c r="D590" t="s">
        <v>1200</v>
      </c>
      <c r="E590" t="b">
        <f t="shared" si="46"/>
        <v>1</v>
      </c>
      <c r="F590" t="s">
        <v>1227</v>
      </c>
      <c r="G590" t="str">
        <f>IF(ISERROR(VLOOKUP(F590,MODIFICACIONES_REALIZADAS!F:H,3,)),F590,VLOOKUP(F590,MODIFICACIONES_REALIZADAS!F:H,3,))</f>
        <v>IC-O-AN2-Inspector-NumPol-BLOQUE2-Anulacion</v>
      </c>
      <c r="H590">
        <v>20140101</v>
      </c>
      <c r="I590">
        <v>22000101</v>
      </c>
    </row>
    <row r="591" spans="1:11" x14ac:dyDescent="0.25">
      <c r="A591">
        <v>3</v>
      </c>
      <c r="B591" t="s">
        <v>92</v>
      </c>
      <c r="C591" t="s">
        <v>1199</v>
      </c>
      <c r="D591" t="s">
        <v>1200</v>
      </c>
      <c r="E591" t="b">
        <f t="shared" si="46"/>
        <v>1</v>
      </c>
      <c r="F591" t="s">
        <v>1228</v>
      </c>
      <c r="G591" t="str">
        <f>IF(ISERROR(VLOOKUP(F591,MODIFICACIONES_REALIZADAS!F:H,3,)),F591,VLOOKUP(F591,MODIFICACIONES_REALIZADAS!F:H,3,))</f>
        <v>IC-O-AN2-Inspector-NumPol-BLOQUE2-Rehabilitacion</v>
      </c>
      <c r="H591">
        <v>20140101</v>
      </c>
      <c r="I591">
        <v>22000101</v>
      </c>
    </row>
    <row r="592" spans="1:11" x14ac:dyDescent="0.25">
      <c r="A592">
        <v>3</v>
      </c>
      <c r="B592" t="s">
        <v>92</v>
      </c>
      <c r="C592" t="s">
        <v>1199</v>
      </c>
      <c r="D592" t="s">
        <v>1200</v>
      </c>
      <c r="E592" t="b">
        <f t="shared" si="46"/>
        <v>1</v>
      </c>
      <c r="F592" t="s">
        <v>1228</v>
      </c>
      <c r="G592" t="str">
        <f>IF(ISERROR(VLOOKUP(F592,MODIFICACIONES_REALIZADAS!F:H,3,)),F592,VLOOKUP(F592,MODIFICACIONES_REALIZADAS!F:H,3,))</f>
        <v>IC-O-AN2-Inspector-NumPol-BLOQUE2-Rehabilitacion</v>
      </c>
      <c r="H592">
        <v>20140101</v>
      </c>
      <c r="I592">
        <v>22000101</v>
      </c>
    </row>
    <row r="593" spans="1:11" x14ac:dyDescent="0.25">
      <c r="A593">
        <v>3</v>
      </c>
      <c r="B593" t="s">
        <v>95</v>
      </c>
      <c r="C593" t="s">
        <v>97</v>
      </c>
      <c r="D593" t="s">
        <v>742</v>
      </c>
      <c r="E593" t="b">
        <f t="shared" si="46"/>
        <v>1</v>
      </c>
      <c r="F593" t="s">
        <v>1229</v>
      </c>
      <c r="G593" t="str">
        <f>IF(ISERROR(VLOOKUP(F593,MODIFICACIONES_REALIZADAS!F:H,3,)),F593,VLOOKUP(F593,MODIFICACIONES_REALIZADAS!F:H,3,))</f>
        <v>PM-E-DIF-Inspector-Importe-RRTT</v>
      </c>
      <c r="H593">
        <v>20140101</v>
      </c>
      <c r="I593">
        <v>22000101</v>
      </c>
    </row>
    <row r="594" spans="1:11" x14ac:dyDescent="0.25">
      <c r="A594">
        <v>3</v>
      </c>
      <c r="B594" t="s">
        <v>95</v>
      </c>
      <c r="C594" t="s">
        <v>97</v>
      </c>
      <c r="D594" t="s">
        <v>742</v>
      </c>
      <c r="E594" t="b">
        <f t="shared" si="46"/>
        <v>1</v>
      </c>
      <c r="F594" t="s">
        <v>1230</v>
      </c>
      <c r="G594" t="str">
        <f>IF(ISERROR(VLOOKUP(F594,MODIFICACIONES_REALIZADAS!F:H,3,)),F594,VLOOKUP(F594,MODIFICACIONES_REALIZADAS!F:H,3,))</f>
        <v>PM-E-DIF-Inspector-Importe-RRGG</v>
      </c>
      <c r="H594">
        <v>20140101</v>
      </c>
      <c r="I594">
        <v>22000101</v>
      </c>
    </row>
    <row r="595" spans="1:11" x14ac:dyDescent="0.25">
      <c r="A595">
        <v>3</v>
      </c>
      <c r="B595" t="s">
        <v>95</v>
      </c>
      <c r="C595" t="s">
        <v>97</v>
      </c>
      <c r="D595" t="s">
        <v>717</v>
      </c>
      <c r="E595" t="b">
        <f t="shared" si="46"/>
        <v>1</v>
      </c>
      <c r="F595" t="s">
        <v>1231</v>
      </c>
      <c r="G595" t="str">
        <f>IF(ISERROR(VLOOKUP(F595,MODIFICACIONES_REALIZADAS!F:H,3,)),F595,VLOOKUP(F595,MODIFICACIONES_REALIZADAS!F:H,3,))</f>
        <v>PM-E-DIF-Inspector-Importe-Agentes-RRTT</v>
      </c>
      <c r="H595">
        <v>20140101</v>
      </c>
      <c r="I595">
        <v>22000101</v>
      </c>
    </row>
    <row r="596" spans="1:11" x14ac:dyDescent="0.25">
      <c r="A596">
        <v>3</v>
      </c>
      <c r="B596" t="s">
        <v>95</v>
      </c>
      <c r="C596" t="s">
        <v>97</v>
      </c>
      <c r="D596" t="s">
        <v>717</v>
      </c>
      <c r="E596" t="b">
        <f t="shared" si="46"/>
        <v>1</v>
      </c>
      <c r="F596" t="s">
        <v>1232</v>
      </c>
      <c r="G596" t="str">
        <f>IF(ISERROR(VLOOKUP(F596,MODIFICACIONES_REALIZADAS!F:H,3,)),F596,VLOOKUP(F596,MODIFICACIONES_REALIZADAS!F:H,3,))</f>
        <v>PM-E-DIF-Inspector-Importe-Agentes-RRGG</v>
      </c>
      <c r="H596">
        <v>20140101</v>
      </c>
      <c r="I596">
        <v>22000101</v>
      </c>
    </row>
    <row r="597" spans="1:11" x14ac:dyDescent="0.25">
      <c r="A597">
        <v>3</v>
      </c>
      <c r="B597" t="s">
        <v>95</v>
      </c>
      <c r="C597" t="s">
        <v>97</v>
      </c>
      <c r="D597" t="s">
        <v>717</v>
      </c>
      <c r="E597" t="b">
        <f t="shared" si="46"/>
        <v>1</v>
      </c>
      <c r="F597" t="s">
        <v>1233</v>
      </c>
      <c r="G597" t="str">
        <f>IF(ISERROR(VLOOKUP(F597,MODIFICACIONES_REALIZADAS!F:H,3,)),F597,VLOOKUP(F597,MODIFICACIONES_REALIZADAS!F:H,3,))</f>
        <v>SM-E-DIF-Inspector-PagoMensual</v>
      </c>
      <c r="H597">
        <v>20140101</v>
      </c>
      <c r="I597">
        <v>22000101</v>
      </c>
    </row>
    <row r="598" spans="1:11" x14ac:dyDescent="0.25">
      <c r="A598">
        <v>3</v>
      </c>
      <c r="B598" t="s">
        <v>95</v>
      </c>
      <c r="C598" t="s">
        <v>97</v>
      </c>
      <c r="D598" t="s">
        <v>715</v>
      </c>
      <c r="E598" t="b">
        <f>F598=G598</f>
        <v>1</v>
      </c>
      <c r="F598" t="s">
        <v>1234</v>
      </c>
      <c r="G598" t="str">
        <f>IF(ISERROR(VLOOKUP(F598,MODIFICACIONES_REALIZADAS!F:H,3,)),F598,VLOOKUP(F598,MODIFICACIONES_REALIZADAS!F:H,3,))</f>
        <v>I-E-DIF-Inspector-PagoMensual-RRTT</v>
      </c>
      <c r="H598">
        <v>20140101</v>
      </c>
      <c r="I598">
        <v>22000101</v>
      </c>
    </row>
    <row r="599" spans="1:11" x14ac:dyDescent="0.25">
      <c r="A599">
        <v>3</v>
      </c>
      <c r="B599" t="s">
        <v>95</v>
      </c>
      <c r="C599" t="s">
        <v>97</v>
      </c>
      <c r="D599" t="s">
        <v>715</v>
      </c>
      <c r="E599" t="b">
        <f>F599=G599</f>
        <v>1</v>
      </c>
      <c r="F599" t="s">
        <v>1235</v>
      </c>
      <c r="G599" t="str">
        <f>IF(ISERROR(VLOOKUP(F599,MODIFICACIONES_REALIZADAS!F:H,3,)),F599,VLOOKUP(F599,MODIFICACIONES_REALIZADAS!F:H,3,))</f>
        <v>I-E-DIF-Inspector-PagoMensual-RRGG</v>
      </c>
      <c r="H599">
        <v>20140101</v>
      </c>
      <c r="I599">
        <v>22000101</v>
      </c>
    </row>
    <row r="600" spans="1:11" x14ac:dyDescent="0.25">
      <c r="A600" s="25">
        <v>3</v>
      </c>
      <c r="B600" s="25" t="s">
        <v>99</v>
      </c>
      <c r="C600" s="25" t="s">
        <v>101</v>
      </c>
      <c r="D600" s="25" t="s">
        <v>1236</v>
      </c>
      <c r="E600" s="25" t="b">
        <f t="shared" si="46"/>
        <v>1</v>
      </c>
      <c r="F600" s="25" t="s">
        <v>592</v>
      </c>
      <c r="G600" s="25" t="str">
        <f>IF(ISERROR(VLOOKUP(F600,MODIFICACIONES_REALIZADAS!F:H,3,)),F600,VLOOKUP(F600,MODIFICACIONES_REALIZADAS!F:H,3,))</f>
        <v>IC-E-GEN-Inspector-PrimaCorregida-998</v>
      </c>
      <c r="H600" s="25">
        <v>20140101</v>
      </c>
      <c r="I600" s="25">
        <v>22000101</v>
      </c>
      <c r="J600" s="25" t="s">
        <v>390</v>
      </c>
      <c r="K600" s="25"/>
    </row>
    <row r="601" spans="1:11" x14ac:dyDescent="0.25">
      <c r="A601" s="25">
        <v>3</v>
      </c>
      <c r="B601" s="25" t="s">
        <v>103</v>
      </c>
      <c r="C601" s="25" t="s">
        <v>105</v>
      </c>
      <c r="D601" s="25" t="s">
        <v>1237</v>
      </c>
      <c r="E601" s="25" t="b">
        <f t="shared" si="46"/>
        <v>1</v>
      </c>
      <c r="F601" s="25" t="s">
        <v>1238</v>
      </c>
      <c r="G601" s="25" t="str">
        <f>IF(ISERROR(VLOOKUP(F601,MODIFICACIONES_REALIZADAS!F:H,3,)),F601,VLOOKUP(F601,MODIFICACIONES_REALIZADAS!F:H,3,))</f>
        <v>SM-O-GEN-Inspector-NumeroPolizas-998-TotalAcum</v>
      </c>
      <c r="H601" s="25">
        <v>20140101</v>
      </c>
      <c r="I601" s="25">
        <v>20180101</v>
      </c>
      <c r="J601" s="25" t="s">
        <v>1239</v>
      </c>
      <c r="K601" s="25"/>
    </row>
    <row r="602" spans="1:11" x14ac:dyDescent="0.25">
      <c r="A602" s="22">
        <v>3</v>
      </c>
      <c r="B602" s="22" t="s">
        <v>103</v>
      </c>
      <c r="C602" s="22" t="s">
        <v>105</v>
      </c>
      <c r="D602" s="22" t="s">
        <v>1240</v>
      </c>
      <c r="E602" s="22" t="b">
        <f t="shared" si="46"/>
        <v>1</v>
      </c>
      <c r="F602" s="22" t="s">
        <v>389</v>
      </c>
      <c r="G602" s="22" t="str">
        <f>IF(ISERROR(VLOOKUP(F602,MODIFICACIONES_REALIZADAS!F:H,3,)),F602,VLOOKUP(F602,MODIFICACIONES_REALIZADAS!F:H,3,))</f>
        <v>PM-O-GEN-Inspector-NumeroPolizasCorregidas-998</v>
      </c>
      <c r="H602" s="22">
        <v>20180101</v>
      </c>
      <c r="I602" s="22">
        <v>22000101</v>
      </c>
      <c r="J602" s="22" t="s">
        <v>1241</v>
      </c>
      <c r="K602" s="22"/>
    </row>
    <row r="603" spans="1:11" x14ac:dyDescent="0.25">
      <c r="A603">
        <v>3</v>
      </c>
      <c r="B603" t="s">
        <v>103</v>
      </c>
      <c r="C603" t="s">
        <v>105</v>
      </c>
      <c r="D603" t="s">
        <v>1242</v>
      </c>
      <c r="E603" t="b">
        <f t="shared" si="46"/>
        <v>1</v>
      </c>
      <c r="F603" t="s">
        <v>1243</v>
      </c>
      <c r="G603" t="str">
        <f>IF(ISERROR(VLOOKUP(F603,MODIFICACIONES_REALIZADAS!F:H,3,)),F603,VLOOKUP(F603,MODIFICACIONES_REALIZADAS!F:H,3,))</f>
        <v>SM-O-PP-Inspector-Extorno</v>
      </c>
      <c r="H603">
        <v>20140101</v>
      </c>
      <c r="I603">
        <v>22000101</v>
      </c>
    </row>
    <row r="604" spans="1:11" x14ac:dyDescent="0.25">
      <c r="A604">
        <v>3</v>
      </c>
      <c r="B604" t="s">
        <v>103</v>
      </c>
      <c r="C604" t="s">
        <v>105</v>
      </c>
      <c r="D604" t="s">
        <v>1244</v>
      </c>
      <c r="E604" t="b">
        <f t="shared" si="46"/>
        <v>0</v>
      </c>
      <c r="F604" t="s">
        <v>1245</v>
      </c>
      <c r="G604" t="str">
        <f>IF(ISERROR(VLOOKUP(F604,MODIFICACIONES_REALIZADAS!F:H,3,)),F604,VLOOKUP(F604,MODIFICACIONES_REALIZADAS!F:H,3,))</f>
        <v>SM-O-GEN-Inspector-Meses</v>
      </c>
      <c r="H604">
        <v>20140101</v>
      </c>
      <c r="I604">
        <v>22000101</v>
      </c>
    </row>
    <row r="605" spans="1:11" x14ac:dyDescent="0.25">
      <c r="A605" s="22">
        <v>3</v>
      </c>
      <c r="B605" s="22" t="s">
        <v>108</v>
      </c>
      <c r="C605" s="22" t="s">
        <v>110</v>
      </c>
      <c r="D605" s="22" t="s">
        <v>1240</v>
      </c>
      <c r="E605" s="22" t="b">
        <f t="shared" ref="E605" si="50">F605=G605</f>
        <v>1</v>
      </c>
      <c r="F605" s="22" t="s">
        <v>389</v>
      </c>
      <c r="G605" s="22" t="str">
        <f>IF(ISERROR(VLOOKUP(F605,MODIFICACIONES_REALIZADAS!F:H,3,)),F605,VLOOKUP(F605,MODIFICACIONES_REALIZADAS!F:H,3,))</f>
        <v>PM-O-GEN-Inspector-NumeroPolizasCorregidas-998</v>
      </c>
      <c r="H605" s="22">
        <v>20200101</v>
      </c>
      <c r="I605" s="22">
        <v>22000101</v>
      </c>
      <c r="J605" s="22" t="s">
        <v>1246</v>
      </c>
      <c r="K605" s="22"/>
    </row>
    <row r="606" spans="1:11" x14ac:dyDescent="0.25">
      <c r="A606">
        <v>3</v>
      </c>
      <c r="B606" t="s">
        <v>111</v>
      </c>
      <c r="C606" t="s">
        <v>113</v>
      </c>
      <c r="D606" t="s">
        <v>922</v>
      </c>
      <c r="E606" t="b">
        <f t="shared" si="46"/>
        <v>1</v>
      </c>
      <c r="F606" t="s">
        <v>1247</v>
      </c>
      <c r="G606" t="str">
        <f>IF(ISERROR(VLOOKUP(F606,MODIFICACIONES_REALIZADAS!F:H,3,)),F606,VLOOKUP(F606,MODIFICACIONES_REALIZADAS!F:H,3,))</f>
        <v>SM-O-RIN-Agente-Prima-998-AcumuladoAnual</v>
      </c>
      <c r="H606">
        <v>20140101</v>
      </c>
      <c r="I606">
        <v>22000101</v>
      </c>
    </row>
    <row r="607" spans="1:11" x14ac:dyDescent="0.25">
      <c r="A607">
        <v>3</v>
      </c>
      <c r="B607" t="s">
        <v>111</v>
      </c>
      <c r="C607" t="s">
        <v>113</v>
      </c>
      <c r="D607" t="s">
        <v>922</v>
      </c>
      <c r="E607" t="b">
        <f t="shared" si="46"/>
        <v>1</v>
      </c>
      <c r="F607" t="s">
        <v>1248</v>
      </c>
      <c r="G607" t="str">
        <f>IF(ISERROR(VLOOKUP(F607,MODIFICACIONES_REALIZADAS!F:H,3,)),F607,VLOOKUP(F607,MODIFICACIONES_REALIZADAS!F:H,3,))</f>
        <v>SM-O-RIN-Agente-Prima-997-AcumuladoAnual</v>
      </c>
      <c r="H607">
        <v>20140101</v>
      </c>
      <c r="I607">
        <v>22000101</v>
      </c>
    </row>
    <row r="608" spans="1:11" x14ac:dyDescent="0.25">
      <c r="A608" s="22">
        <v>3</v>
      </c>
      <c r="B608" s="22" t="s">
        <v>111</v>
      </c>
      <c r="C608" s="22" t="s">
        <v>113</v>
      </c>
      <c r="D608" s="22" t="s">
        <v>922</v>
      </c>
      <c r="E608" s="22" t="b">
        <f t="shared" ref="E608:E609" si="51">F608=G608</f>
        <v>1</v>
      </c>
      <c r="F608" s="22" t="s">
        <v>1249</v>
      </c>
      <c r="G608" s="22" t="str">
        <f>IF(ISERROR(VLOOKUP(F608,MODIFICACIONES_REALIZADAS!F:H,3,)),F608,VLOOKUP(F608,MODIFICACIONES_REALIZADAS!F:H,3,))</f>
        <v>SM-O-RIN-Agente-Prima-998-AcumuladoAnual-AnioAnterior</v>
      </c>
      <c r="H608" s="22">
        <v>20180801</v>
      </c>
      <c r="I608" s="22">
        <v>20190101</v>
      </c>
      <c r="J608" s="22" t="s">
        <v>1250</v>
      </c>
      <c r="K608" s="22"/>
    </row>
    <row r="609" spans="1:11" x14ac:dyDescent="0.25">
      <c r="A609" s="22">
        <v>3</v>
      </c>
      <c r="B609" s="22" t="s">
        <v>111</v>
      </c>
      <c r="C609" s="22" t="s">
        <v>113</v>
      </c>
      <c r="D609" s="22" t="s">
        <v>922</v>
      </c>
      <c r="E609" s="22" t="b">
        <f t="shared" si="51"/>
        <v>1</v>
      </c>
      <c r="F609" s="22" t="s">
        <v>1251</v>
      </c>
      <c r="G609" s="22" t="str">
        <f>IF(ISERROR(VLOOKUP(F609,MODIFICACIONES_REALIZADAS!F:H,3,)),F609,VLOOKUP(F609,MODIFICACIONES_REALIZADAS!F:H,3,))</f>
        <v>SM-O-RIN-Agente-Prima-997-AcumuladoAnual-AnioAnterior</v>
      </c>
      <c r="H609" s="22">
        <v>20180801</v>
      </c>
      <c r="I609" s="22">
        <v>20190101</v>
      </c>
      <c r="J609" s="22" t="s">
        <v>1250</v>
      </c>
      <c r="K609" s="22"/>
    </row>
    <row r="610" spans="1:11" x14ac:dyDescent="0.25">
      <c r="A610">
        <v>3</v>
      </c>
      <c r="B610" t="s">
        <v>111</v>
      </c>
      <c r="C610" t="s">
        <v>113</v>
      </c>
      <c r="D610" t="s">
        <v>922</v>
      </c>
      <c r="E610" t="b">
        <f t="shared" si="46"/>
        <v>1</v>
      </c>
      <c r="F610" t="s">
        <v>1252</v>
      </c>
      <c r="G610" t="str">
        <f>IF(ISERROR(VLOOKUP(F610,MODIFICACIONES_REALIZADAS!F:H,3,)),F610,VLOOKUP(F610,MODIFICACIONES_REALIZADAS!F:H,3,))</f>
        <v>SM-O-RIN-Agente-NumeroPolizas-998-AcumuladoAnual</v>
      </c>
      <c r="H610">
        <v>20140101</v>
      </c>
      <c r="I610">
        <v>22000101</v>
      </c>
    </row>
    <row r="611" spans="1:11" x14ac:dyDescent="0.25">
      <c r="A611">
        <v>3</v>
      </c>
      <c r="B611" t="s">
        <v>111</v>
      </c>
      <c r="C611" t="s">
        <v>113</v>
      </c>
      <c r="D611" t="s">
        <v>922</v>
      </c>
      <c r="E611" t="b">
        <f t="shared" si="46"/>
        <v>1</v>
      </c>
      <c r="F611" t="s">
        <v>1253</v>
      </c>
      <c r="G611" t="str">
        <f>IF(ISERROR(VLOOKUP(F611,MODIFICACIONES_REALIZADAS!F:H,3,)),F611,VLOOKUP(F611,MODIFICACIONES_REALIZADAS!F:H,3,))</f>
        <v>SM-O-RIN-Agente-NumeroPolizas-997-AcumuladoAnual</v>
      </c>
      <c r="H611">
        <v>20140101</v>
      </c>
      <c r="I611">
        <v>22000101</v>
      </c>
    </row>
    <row r="612" spans="1:11" x14ac:dyDescent="0.25">
      <c r="A612">
        <v>3</v>
      </c>
      <c r="B612" t="s">
        <v>111</v>
      </c>
      <c r="C612" t="s">
        <v>113</v>
      </c>
      <c r="D612" t="s">
        <v>922</v>
      </c>
      <c r="E612" t="b">
        <f t="shared" si="46"/>
        <v>1</v>
      </c>
      <c r="F612" t="s">
        <v>1254</v>
      </c>
      <c r="G612" t="str">
        <f>IF(ISERROR(VLOOKUP(F612,MODIFICACIONES_REALIZADAS!F:H,3,)),F612,VLOOKUP(F612,MODIFICACIONES_REALIZADAS!F:H,3,))</f>
        <v>SM-O-RIN-Agente-TasaSiniestralidad</v>
      </c>
      <c r="H612">
        <v>20140101</v>
      </c>
      <c r="I612">
        <v>22000101</v>
      </c>
    </row>
    <row r="613" spans="1:11" x14ac:dyDescent="0.25">
      <c r="A613">
        <v>3</v>
      </c>
      <c r="B613" t="s">
        <v>111</v>
      </c>
      <c r="C613" t="s">
        <v>113</v>
      </c>
      <c r="D613" t="s">
        <v>922</v>
      </c>
      <c r="E613" t="b">
        <f t="shared" si="46"/>
        <v>1</v>
      </c>
      <c r="F613" t="s">
        <v>1255</v>
      </c>
      <c r="G613" t="str">
        <f>IF(ISERROR(VLOOKUP(F613,MODIFICACIONES_REALIZADAS!F:H,3,)),F613,VLOOKUP(F613,MODIFICACIONES_REALIZADAS!F:H,3,))</f>
        <v>SM-O-RIN-Agente-Prima-998-Incremento</v>
      </c>
      <c r="H613">
        <v>20140101</v>
      </c>
      <c r="I613">
        <v>22000101</v>
      </c>
    </row>
    <row r="614" spans="1:11" x14ac:dyDescent="0.25">
      <c r="A614">
        <v>3</v>
      </c>
      <c r="B614" t="s">
        <v>111</v>
      </c>
      <c r="C614" t="s">
        <v>113</v>
      </c>
      <c r="D614" t="s">
        <v>922</v>
      </c>
      <c r="E614" t="b">
        <f t="shared" si="46"/>
        <v>1</v>
      </c>
      <c r="F614" t="s">
        <v>1256</v>
      </c>
      <c r="G614" t="str">
        <f>IF(ISERROR(VLOOKUP(F614,MODIFICACIONES_REALIZADAS!F:H,3,)),F614,VLOOKUP(F614,MODIFICACIONES_REALIZADAS!F:H,3,))</f>
        <v>SM-O-RIN-Agente-Prima-997-Incremento</v>
      </c>
      <c r="H614">
        <v>20140101</v>
      </c>
      <c r="I614">
        <v>22000101</v>
      </c>
    </row>
    <row r="615" spans="1:11" x14ac:dyDescent="0.25">
      <c r="A615">
        <v>3</v>
      </c>
      <c r="B615" t="s">
        <v>111</v>
      </c>
      <c r="C615" t="s">
        <v>113</v>
      </c>
      <c r="D615" t="s">
        <v>922</v>
      </c>
      <c r="E615" t="b">
        <f t="shared" si="46"/>
        <v>1</v>
      </c>
      <c r="F615" t="s">
        <v>1257</v>
      </c>
      <c r="G615" t="str">
        <f>IF(ISERROR(VLOOKUP(F615,MODIFICACIONES_REALIZADAS!F:H,3,)),F615,VLOOKUP(F615,MODIFICACIONES_REALIZADAS!F:H,3,))</f>
        <v>SM-O-RIN-Agente-NumeroPolizas-998-Incremento</v>
      </c>
      <c r="H615">
        <v>20140101</v>
      </c>
      <c r="I615">
        <v>22000101</v>
      </c>
    </row>
    <row r="616" spans="1:11" x14ac:dyDescent="0.25">
      <c r="A616">
        <v>3</v>
      </c>
      <c r="B616" t="s">
        <v>111</v>
      </c>
      <c r="C616" t="s">
        <v>113</v>
      </c>
      <c r="D616" t="s">
        <v>922</v>
      </c>
      <c r="E616" t="b">
        <f t="shared" si="46"/>
        <v>1</v>
      </c>
      <c r="F616" t="s">
        <v>1258</v>
      </c>
      <c r="G616" t="str">
        <f>IF(ISERROR(VLOOKUP(F616,MODIFICACIONES_REALIZADAS!F:H,3,)),F616,VLOOKUP(F616,MODIFICACIONES_REALIZADAS!F:H,3,))</f>
        <v>SM-O-RIN-Agente-NumeroPolizas-997-Incremento</v>
      </c>
      <c r="H616">
        <v>20140101</v>
      </c>
      <c r="I616">
        <v>22000101</v>
      </c>
    </row>
    <row r="617" spans="1:11" x14ac:dyDescent="0.25">
      <c r="A617">
        <v>3</v>
      </c>
      <c r="B617" t="s">
        <v>111</v>
      </c>
      <c r="C617" t="s">
        <v>113</v>
      </c>
      <c r="D617" t="s">
        <v>922</v>
      </c>
      <c r="E617" t="b">
        <f t="shared" si="46"/>
        <v>1</v>
      </c>
      <c r="F617" t="s">
        <v>1259</v>
      </c>
      <c r="G617" t="str">
        <f>IF(ISERROR(VLOOKUP(F617,MODIFICACIONES_REALIZADAS!F:H,3,)),F617,VLOOKUP(F617,MODIFICACIONES_REALIZADAS!F:H,3,))</f>
        <v>SM-O-RIN-Agente-APRO-Porcentaje-998</v>
      </c>
      <c r="H617">
        <v>20140101</v>
      </c>
      <c r="I617">
        <v>22000101</v>
      </c>
    </row>
    <row r="618" spans="1:11" x14ac:dyDescent="0.25">
      <c r="A618">
        <v>3</v>
      </c>
      <c r="B618" t="s">
        <v>111</v>
      </c>
      <c r="C618" t="s">
        <v>113</v>
      </c>
      <c r="D618" t="s">
        <v>922</v>
      </c>
      <c r="E618" t="b">
        <f t="shared" si="46"/>
        <v>1</v>
      </c>
      <c r="F618" t="s">
        <v>1260</v>
      </c>
      <c r="G618" t="str">
        <f>IF(ISERROR(VLOOKUP(F618,MODIFICACIONES_REALIZADAS!F:H,3,)),F618,VLOOKUP(F618,MODIFICACIONES_REALIZADAS!F:H,3,))</f>
        <v>SM-O-RIN-Agente-APRO-Pago</v>
      </c>
      <c r="H618">
        <v>20140101</v>
      </c>
      <c r="I618">
        <v>22000101</v>
      </c>
    </row>
    <row r="619" spans="1:11" x14ac:dyDescent="0.25">
      <c r="A619">
        <v>3</v>
      </c>
      <c r="B619" t="s">
        <v>111</v>
      </c>
      <c r="C619" t="s">
        <v>113</v>
      </c>
      <c r="D619" t="s">
        <v>922</v>
      </c>
      <c r="E619" t="b">
        <f t="shared" si="46"/>
        <v>1</v>
      </c>
      <c r="F619" t="s">
        <v>1261</v>
      </c>
      <c r="G619" t="str">
        <f>IF(ISERROR(VLOOKUP(F619,MODIFICACIONES_REALIZADAS!F:H,3,)),F619,VLOOKUP(F619,MODIFICACIONES_REALIZADAS!F:H,3,))</f>
        <v>SM-O-RIN-Agente-PlanCarrera-Porcentaje-998</v>
      </c>
      <c r="H619">
        <v>20140101</v>
      </c>
      <c r="I619">
        <v>22000101</v>
      </c>
    </row>
    <row r="620" spans="1:11" x14ac:dyDescent="0.25">
      <c r="A620">
        <v>3</v>
      </c>
      <c r="B620" t="s">
        <v>111</v>
      </c>
      <c r="C620" t="s">
        <v>113</v>
      </c>
      <c r="D620" t="s">
        <v>922</v>
      </c>
      <c r="E620" t="b">
        <f t="shared" si="46"/>
        <v>1</v>
      </c>
      <c r="F620" t="s">
        <v>1262</v>
      </c>
      <c r="G620" t="str">
        <f>IF(ISERROR(VLOOKUP(F620,MODIFICACIONES_REALIZADAS!F:H,3,)),F620,VLOOKUP(F620,MODIFICACIONES_REALIZADAS!F:H,3,))</f>
        <v>SM-O-RIN-Agente-PlanCarrera-Pago</v>
      </c>
      <c r="H620">
        <v>20140101</v>
      </c>
      <c r="I620">
        <v>22000101</v>
      </c>
    </row>
    <row r="621" spans="1:11" x14ac:dyDescent="0.25">
      <c r="A621">
        <v>3</v>
      </c>
      <c r="B621" t="s">
        <v>111</v>
      </c>
      <c r="C621" t="s">
        <v>113</v>
      </c>
      <c r="D621" t="s">
        <v>922</v>
      </c>
      <c r="E621" t="b">
        <f>F621=G621</f>
        <v>1</v>
      </c>
      <c r="F621" t="s">
        <v>1263</v>
      </c>
      <c r="G621" t="str">
        <f>IF(ISERROR(VLOOKUP(F621,MODIFICACIONES_REALIZADAS!F:H,3,)),F621,VLOOKUP(F621,MODIFICACIONES_REALIZADAS!F:H,3,))</f>
        <v>SM-O-RIN-Agente-APRO-IncrementoPolizas-Pago</v>
      </c>
      <c r="H621">
        <v>20140101</v>
      </c>
      <c r="I621">
        <v>22000101</v>
      </c>
    </row>
    <row r="622" spans="1:11" x14ac:dyDescent="0.25">
      <c r="A622">
        <v>3</v>
      </c>
      <c r="B622" t="s">
        <v>115</v>
      </c>
      <c r="C622" t="s">
        <v>117</v>
      </c>
      <c r="D622" t="s">
        <v>770</v>
      </c>
      <c r="E622" t="b">
        <f t="shared" si="46"/>
        <v>1</v>
      </c>
      <c r="F622" t="s">
        <v>1264</v>
      </c>
      <c r="G622" t="str">
        <f>IF(ISERROR(VLOOKUP(F622,MODIFICACIONES_REALIZADAS!F:H,3,)),F622,VLOOKUP(F622,MODIFICACIONES_REALIZADAS!F:H,3,))</f>
        <v>SM-O-GEN-Agente-Prima-998-TotalMes</v>
      </c>
      <c r="H622">
        <v>20140101</v>
      </c>
      <c r="I622">
        <v>22000101</v>
      </c>
    </row>
    <row r="623" spans="1:11" x14ac:dyDescent="0.25">
      <c r="A623">
        <v>3</v>
      </c>
      <c r="B623" t="s">
        <v>115</v>
      </c>
      <c r="C623" t="s">
        <v>117</v>
      </c>
      <c r="D623" t="s">
        <v>1265</v>
      </c>
      <c r="E623" t="b">
        <f t="shared" si="46"/>
        <v>1</v>
      </c>
      <c r="F623" t="s">
        <v>751</v>
      </c>
      <c r="G623" t="str">
        <f>IF(ISERROR(VLOOKUP(F623,MODIFICACIONES_REALIZADAS!F:H,3,)),F623,VLOOKUP(F623,MODIFICACIONES_REALIZADAS!F:H,3,))</f>
        <v>SM-O-GEN-Agente-NumeroPolizas-998-TotalMes</v>
      </c>
      <c r="H623">
        <v>20140101</v>
      </c>
      <c r="I623">
        <v>22000101</v>
      </c>
    </row>
    <row r="624" spans="1:11" x14ac:dyDescent="0.25">
      <c r="A624">
        <v>3</v>
      </c>
      <c r="B624" t="s">
        <v>115</v>
      </c>
      <c r="C624" t="s">
        <v>117</v>
      </c>
      <c r="D624" t="s">
        <v>772</v>
      </c>
      <c r="E624" t="b">
        <f t="shared" si="46"/>
        <v>1</v>
      </c>
      <c r="F624" t="s">
        <v>1266</v>
      </c>
      <c r="G624" t="str">
        <f>IF(ISERROR(VLOOKUP(F624,MODIFICACIONES_REALIZADAS!F:H,3,)),F624,VLOOKUP(F624,MODIFICACIONES_REALIZADAS!F:H,3,))</f>
        <v>SM-O-FIN-Agente-MinimoGarantizado</v>
      </c>
      <c r="H624">
        <v>20140101</v>
      </c>
      <c r="I624">
        <v>22000101</v>
      </c>
    </row>
    <row r="625" spans="1:10" x14ac:dyDescent="0.25">
      <c r="A625">
        <v>3</v>
      </c>
      <c r="B625" t="s">
        <v>115</v>
      </c>
      <c r="C625" t="s">
        <v>117</v>
      </c>
      <c r="D625" t="s">
        <v>1267</v>
      </c>
      <c r="E625" t="b">
        <f t="shared" si="46"/>
        <v>1</v>
      </c>
      <c r="F625" t="s">
        <v>1268</v>
      </c>
      <c r="G625" t="str">
        <f>IF(ISERROR(VLOOKUP(F625,MODIFICACIONES_REALIZADAS!F:H,3,)),F625,VLOOKUP(F625,MODIFICACIONES_REALIZADAS!F:H,3,))</f>
        <v>SM-O-GEN-Agente-Total-Comisiones</v>
      </c>
      <c r="H625">
        <v>20140101</v>
      </c>
      <c r="I625">
        <v>22000101</v>
      </c>
    </row>
    <row r="626" spans="1:10" x14ac:dyDescent="0.25">
      <c r="A626">
        <v>3</v>
      </c>
      <c r="B626" t="s">
        <v>115</v>
      </c>
      <c r="C626" t="s">
        <v>117</v>
      </c>
      <c r="D626" t="s">
        <v>772</v>
      </c>
      <c r="E626" t="b">
        <f>F626=G626</f>
        <v>1</v>
      </c>
      <c r="F626" t="s">
        <v>1269</v>
      </c>
      <c r="G626" t="str">
        <f>IF(ISERROR(VLOOKUP(F626,MODIFICACIONES_REALIZADAS!F:H,3,)),F626,VLOOKUP(F626,MODIFICACIONES_REALIZADAS!F:H,3,))</f>
        <v>SM-E-GEN-Agente-Total-Comisiones</v>
      </c>
      <c r="H626">
        <v>20140101</v>
      </c>
      <c r="I626">
        <v>22000101</v>
      </c>
    </row>
    <row r="627" spans="1:10" x14ac:dyDescent="0.25">
      <c r="A627">
        <v>3</v>
      </c>
      <c r="B627" t="s">
        <v>115</v>
      </c>
      <c r="C627" t="s">
        <v>117</v>
      </c>
      <c r="D627" t="s">
        <v>772</v>
      </c>
      <c r="E627" t="b">
        <f t="shared" si="46"/>
        <v>1</v>
      </c>
      <c r="F627" t="s">
        <v>1270</v>
      </c>
      <c r="G627" t="str">
        <f>IF(ISERROR(VLOOKUP(F627,MODIFICACIONES_REALIZADAS!F:H,3,)),F627,VLOOKUP(F627,MODIFICACIONES_REALIZADAS!F:H,3,))</f>
        <v>SM-O-FIN-Agente-Pago</v>
      </c>
      <c r="H627">
        <v>20140101</v>
      </c>
      <c r="I627">
        <v>22000101</v>
      </c>
    </row>
    <row r="628" spans="1:10" x14ac:dyDescent="0.25">
      <c r="A628">
        <v>4</v>
      </c>
      <c r="B628" t="s">
        <v>119</v>
      </c>
      <c r="C628" t="s">
        <v>121</v>
      </c>
      <c r="D628" t="s">
        <v>415</v>
      </c>
      <c r="E628" t="b">
        <f t="shared" si="46"/>
        <v>1</v>
      </c>
      <c r="F628" t="s">
        <v>1271</v>
      </c>
      <c r="G628" t="str">
        <f>IF(ISERROR(VLOOKUP(F628,MODIFICACIONES_REALIZADAS!F:H,3,)),F628,VLOOKUP(F628,MODIFICACIONES_REALIZADAS!F:H,3,))</f>
        <v>SM-O-GEN-Inspector-NumeroPolizas-002-TotalMes</v>
      </c>
      <c r="H628">
        <v>20140101</v>
      </c>
      <c r="I628">
        <v>22000101</v>
      </c>
    </row>
    <row r="629" spans="1:10" x14ac:dyDescent="0.25">
      <c r="A629">
        <v>4</v>
      </c>
      <c r="B629" t="s">
        <v>119</v>
      </c>
      <c r="C629" t="s">
        <v>121</v>
      </c>
      <c r="D629" t="s">
        <v>1272</v>
      </c>
      <c r="E629" t="b">
        <f t="shared" si="46"/>
        <v>1</v>
      </c>
      <c r="F629" t="s">
        <v>1273</v>
      </c>
      <c r="G629" t="str">
        <f>IF(ISERROR(VLOOKUP(F629,MODIFICACIONES_REALIZADAS!F:H,3,)),F629,VLOOKUP(F629,MODIFICACIONES_REALIZADAS!F:H,3,))</f>
        <v>SM-O-REH-Inspector-Objetivo-NumeroPolizas</v>
      </c>
      <c r="H629">
        <v>20140101</v>
      </c>
      <c r="I629">
        <v>22000101</v>
      </c>
    </row>
    <row r="630" spans="1:10" x14ac:dyDescent="0.25">
      <c r="A630">
        <v>4</v>
      </c>
      <c r="B630" t="s">
        <v>119</v>
      </c>
      <c r="C630" t="s">
        <v>121</v>
      </c>
      <c r="D630" t="s">
        <v>1274</v>
      </c>
      <c r="E630" t="b">
        <f t="shared" ref="E630" si="52">F630=G630</f>
        <v>1</v>
      </c>
      <c r="F630" t="s">
        <v>1275</v>
      </c>
      <c r="G630" t="str">
        <f>IF(ISERROR(VLOOKUP(F630,MODIFICACIONES_REALIZADAS!F:H,3,)),F630,VLOOKUP(F630,MODIFICACIONES_REALIZADAS!F:H,3,))</f>
        <v>SM-O-GEN-Inspector-PrimaAnual-002-Trim</v>
      </c>
      <c r="H630">
        <v>20180301</v>
      </c>
      <c r="I630">
        <v>20190101</v>
      </c>
      <c r="J630" t="s">
        <v>752</v>
      </c>
    </row>
    <row r="631" spans="1:10" x14ac:dyDescent="0.25">
      <c r="A631">
        <v>4</v>
      </c>
      <c r="B631" t="s">
        <v>119</v>
      </c>
      <c r="C631" t="s">
        <v>121</v>
      </c>
      <c r="D631" t="s">
        <v>1274</v>
      </c>
      <c r="E631" t="b">
        <f>F631=G631</f>
        <v>1</v>
      </c>
      <c r="F631" t="s">
        <v>1276</v>
      </c>
      <c r="G631" t="str">
        <f>IF(ISERROR(VLOOKUP(F631,MODIFICACIONES_REALIZADAS!F:H,3,)),F631,VLOOKUP(F631,MODIFICACIONES_REALIZADAS!F:H,3,))</f>
        <v>SM-O-GEN-Inspector-Prima-002-TotalAnual</v>
      </c>
      <c r="H631">
        <v>20190101</v>
      </c>
      <c r="I631">
        <v>20190401</v>
      </c>
      <c r="J631" t="s">
        <v>752</v>
      </c>
    </row>
    <row r="632" spans="1:10" x14ac:dyDescent="0.25">
      <c r="A632">
        <v>4</v>
      </c>
      <c r="B632" t="s">
        <v>119</v>
      </c>
      <c r="C632" t="s">
        <v>121</v>
      </c>
      <c r="D632" t="s">
        <v>1274</v>
      </c>
      <c r="E632" t="b">
        <f t="shared" ref="E632" si="53">F632=G632</f>
        <v>1</v>
      </c>
      <c r="F632" t="s">
        <v>1275</v>
      </c>
      <c r="G632" t="str">
        <f>IF(ISERROR(VLOOKUP(F632,MODIFICACIONES_REALIZADAS!F:H,3,)),F632,VLOOKUP(F632,MODIFICACIONES_REALIZADAS!F:H,3,))</f>
        <v>SM-O-GEN-Inspector-PrimaAnual-002-Trim</v>
      </c>
      <c r="H632">
        <v>20190401</v>
      </c>
      <c r="I632">
        <v>22000101</v>
      </c>
      <c r="J632" t="s">
        <v>752</v>
      </c>
    </row>
    <row r="633" spans="1:10" x14ac:dyDescent="0.25">
      <c r="A633">
        <v>4</v>
      </c>
      <c r="B633" t="s">
        <v>119</v>
      </c>
      <c r="C633" t="s">
        <v>121</v>
      </c>
      <c r="D633" t="s">
        <v>1277</v>
      </c>
      <c r="E633" t="b">
        <f t="shared" ref="E633" si="54">F633=G633</f>
        <v>1</v>
      </c>
      <c r="F633" t="s">
        <v>1278</v>
      </c>
      <c r="G633" t="str">
        <f>IF(ISERROR(VLOOKUP(F633,MODIFICACIONES_REALIZADAS!F:H,3,)),F633,VLOOKUP(F633,MODIFICACIONES_REALIZADAS!F:H,3,))</f>
        <v>SM-O-REH-Inspector-Objetivo-PrimaAnualizada</v>
      </c>
      <c r="H633">
        <v>20180301</v>
      </c>
      <c r="I633">
        <v>22000101</v>
      </c>
      <c r="J633" t="s">
        <v>1279</v>
      </c>
    </row>
    <row r="634" spans="1:10" x14ac:dyDescent="0.25">
      <c r="A634">
        <v>4</v>
      </c>
      <c r="B634" t="s">
        <v>119</v>
      </c>
      <c r="C634" t="s">
        <v>121</v>
      </c>
      <c r="D634" t="s">
        <v>1280</v>
      </c>
      <c r="E634" t="b">
        <f t="shared" ref="E634" si="55">F634=G634</f>
        <v>1</v>
      </c>
      <c r="F634" t="s">
        <v>1281</v>
      </c>
      <c r="G634" t="str">
        <f>IF(ISERROR(VLOOKUP(F634,MODIFICACIONES_REALIZADAS!F:H,3,)),F634,VLOOKUP(F634,MODIFICACIONES_REALIZADAS!F:H,3,))</f>
        <v>SM-O-REH-Inspector-Pago</v>
      </c>
      <c r="H634">
        <v>20140101</v>
      </c>
      <c r="I634">
        <v>22000101</v>
      </c>
    </row>
    <row r="635" spans="1:10" x14ac:dyDescent="0.25">
      <c r="A635">
        <v>4</v>
      </c>
      <c r="B635" t="s">
        <v>119</v>
      </c>
      <c r="C635" t="s">
        <v>121</v>
      </c>
      <c r="D635" t="s">
        <v>417</v>
      </c>
      <c r="E635" t="b">
        <f t="shared" si="46"/>
        <v>1</v>
      </c>
      <c r="F635" t="s">
        <v>1282</v>
      </c>
      <c r="G635" t="str">
        <f>IF(ISERROR(VLOOKUP(F635,MODIFICACIONES_REALIZADAS!F:H,3,)),F635,VLOOKUP(F635,MODIFICACIONES_REALIZADAS!F:H,3,))</f>
        <v>SM-O-GEN-Inspector-NumeroPolizas-906-TotalMes</v>
      </c>
      <c r="H635">
        <v>20140101</v>
      </c>
      <c r="I635">
        <v>22000101</v>
      </c>
    </row>
    <row r="636" spans="1:10" x14ac:dyDescent="0.25">
      <c r="A636">
        <v>4</v>
      </c>
      <c r="B636" t="s">
        <v>119</v>
      </c>
      <c r="C636" t="s">
        <v>121</v>
      </c>
      <c r="D636" t="s">
        <v>1283</v>
      </c>
      <c r="E636" t="b">
        <f t="shared" si="46"/>
        <v>1</v>
      </c>
      <c r="F636" t="s">
        <v>1284</v>
      </c>
      <c r="G636" t="str">
        <f>IF(ISERROR(VLOOKUP(F636,MODIFICACIONES_REALIZADAS!F:H,3,)),F636,VLOOKUP(F636,MODIFICACIONES_REALIZADAS!F:H,3,))</f>
        <v>SM-O-REP-Inspector-Objetivo-NumeroPolizas</v>
      </c>
      <c r="H636">
        <v>20140101</v>
      </c>
      <c r="I636">
        <v>22000101</v>
      </c>
    </row>
    <row r="637" spans="1:10" x14ac:dyDescent="0.25">
      <c r="A637">
        <v>4</v>
      </c>
      <c r="B637" t="s">
        <v>119</v>
      </c>
      <c r="C637" t="s">
        <v>121</v>
      </c>
      <c r="D637" t="s">
        <v>1285</v>
      </c>
      <c r="E637" t="b">
        <f t="shared" ref="E637:E640" si="56">F637=G637</f>
        <v>1</v>
      </c>
      <c r="F637" t="s">
        <v>1286</v>
      </c>
      <c r="G637" t="str">
        <f>IF(ISERROR(VLOOKUP(F637,MODIFICACIONES_REALIZADAS!F:H,3,)),F637,VLOOKUP(F637,MODIFICACIONES_REALIZADAS!F:H,3,))</f>
        <v>SM-O-GEN-Inspector-PrimaAnual-906-Trim</v>
      </c>
      <c r="H637">
        <v>20180301</v>
      </c>
      <c r="I637">
        <v>20190101</v>
      </c>
      <c r="J637" t="s">
        <v>1287</v>
      </c>
    </row>
    <row r="638" spans="1:10" x14ac:dyDescent="0.25">
      <c r="A638">
        <v>4</v>
      </c>
      <c r="B638" t="s">
        <v>119</v>
      </c>
      <c r="C638" t="s">
        <v>121</v>
      </c>
      <c r="D638" t="s">
        <v>1285</v>
      </c>
      <c r="E638" t="b">
        <f>F638=G638</f>
        <v>1</v>
      </c>
      <c r="F638" t="s">
        <v>1288</v>
      </c>
      <c r="G638" t="str">
        <f>IF(ISERROR(VLOOKUP(F638,MODIFICACIONES_REALIZADAS!F:H,3,)),F638,VLOOKUP(F638,MODIFICACIONES_REALIZADAS!F:H,3,))</f>
        <v>SM-O-GEN-Inspector-Prima-906-TotalAnual</v>
      </c>
      <c r="H638">
        <v>20190101</v>
      </c>
      <c r="I638">
        <v>20190401</v>
      </c>
      <c r="J638" t="s">
        <v>1287</v>
      </c>
    </row>
    <row r="639" spans="1:10" x14ac:dyDescent="0.25">
      <c r="A639">
        <v>4</v>
      </c>
      <c r="B639" t="s">
        <v>119</v>
      </c>
      <c r="C639" t="s">
        <v>121</v>
      </c>
      <c r="D639" t="s">
        <v>1285</v>
      </c>
      <c r="E639" t="b">
        <f t="shared" ref="E639" si="57">F639=G639</f>
        <v>1</v>
      </c>
      <c r="F639" t="s">
        <v>1286</v>
      </c>
      <c r="G639" t="str">
        <f>IF(ISERROR(VLOOKUP(F639,MODIFICACIONES_REALIZADAS!F:H,3,)),F639,VLOOKUP(F639,MODIFICACIONES_REALIZADAS!F:H,3,))</f>
        <v>SM-O-GEN-Inspector-PrimaAnual-906-Trim</v>
      </c>
      <c r="H639">
        <v>20190401</v>
      </c>
      <c r="I639">
        <v>22000101</v>
      </c>
      <c r="J639" t="s">
        <v>1287</v>
      </c>
    </row>
    <row r="640" spans="1:10" x14ac:dyDescent="0.25">
      <c r="A640">
        <v>4</v>
      </c>
      <c r="B640" t="s">
        <v>119</v>
      </c>
      <c r="C640" t="s">
        <v>121</v>
      </c>
      <c r="D640" t="s">
        <v>1283</v>
      </c>
      <c r="E640" t="b">
        <f t="shared" si="56"/>
        <v>1</v>
      </c>
      <c r="F640" t="s">
        <v>1289</v>
      </c>
      <c r="G640" t="str">
        <f>IF(ISERROR(VLOOKUP(F640,MODIFICACIONES_REALIZADAS!F:H,3,)),F640,VLOOKUP(F640,MODIFICACIONES_REALIZADAS!F:H,3,))</f>
        <v>SM-O-REP-Inspector-Objetivo-PrimaAnualizada</v>
      </c>
      <c r="H640">
        <v>20180301</v>
      </c>
      <c r="I640">
        <v>22000101</v>
      </c>
      <c r="J640" t="s">
        <v>1279</v>
      </c>
    </row>
    <row r="641" spans="1:11" x14ac:dyDescent="0.25">
      <c r="A641" s="25">
        <v>4</v>
      </c>
      <c r="B641" s="25" t="s">
        <v>119</v>
      </c>
      <c r="C641" s="25" t="s">
        <v>121</v>
      </c>
      <c r="D641" s="25" t="s">
        <v>1290</v>
      </c>
      <c r="E641" s="25" t="b">
        <f t="shared" ref="E641" si="58">F641=G641</f>
        <v>1</v>
      </c>
      <c r="F641" s="25" t="s">
        <v>1291</v>
      </c>
      <c r="G641" s="25" t="str">
        <f>IF(ISERROR(VLOOKUP(F641,MODIFICACIONES_REALIZADAS!F:H,3,)),F641,VLOOKUP(F641,MODIFICACIONES_REALIZADAS!F:H,3,))</f>
        <v>SM-O-REP-Inspector-PagoMensual</v>
      </c>
      <c r="H641" s="25">
        <v>20140101</v>
      </c>
      <c r="I641" s="25">
        <v>20180101</v>
      </c>
      <c r="J641" s="25" t="s">
        <v>480</v>
      </c>
      <c r="K641" s="25"/>
    </row>
    <row r="642" spans="1:11" x14ac:dyDescent="0.25">
      <c r="A642">
        <v>4</v>
      </c>
      <c r="B642" t="s">
        <v>119</v>
      </c>
      <c r="C642" t="s">
        <v>121</v>
      </c>
      <c r="D642" t="s">
        <v>1290</v>
      </c>
      <c r="E642" t="b">
        <f t="shared" si="46"/>
        <v>1</v>
      </c>
      <c r="F642" t="s">
        <v>1292</v>
      </c>
      <c r="G642" t="str">
        <f>IF(ISERROR(VLOOKUP(F642,MODIFICACIONES_REALIZADAS!F:H,3,)),F642,VLOOKUP(F642,MODIFICACIONES_REALIZADAS!F:H,3,))</f>
        <v>SM-O-REP-Inspector-Pago</v>
      </c>
      <c r="H642">
        <v>20180101</v>
      </c>
      <c r="I642">
        <v>22000101</v>
      </c>
      <c r="J642" t="s">
        <v>480</v>
      </c>
    </row>
    <row r="643" spans="1:11" x14ac:dyDescent="0.25">
      <c r="A643" s="25">
        <v>4</v>
      </c>
      <c r="B643" s="25" t="s">
        <v>119</v>
      </c>
      <c r="C643" s="25" t="s">
        <v>121</v>
      </c>
      <c r="D643" s="25" t="s">
        <v>413</v>
      </c>
      <c r="E643" s="25" t="b">
        <f t="shared" ref="E643:E648" si="59">F643=G643</f>
        <v>1</v>
      </c>
      <c r="F643" s="25" t="s">
        <v>1293</v>
      </c>
      <c r="G643" s="25" t="str">
        <f>IF(ISERROR(VLOOKUP(F643,MODIFICACIONES_REALIZADAS!F:H,3,)),F643,VLOOKUP(F643,MODIFICACIONES_REALIZADAS!F:H,3,))</f>
        <v>SM-O-GEN-Inspector-NumeroPolizas-001-TotalMes</v>
      </c>
      <c r="H643" s="25">
        <v>20170101</v>
      </c>
      <c r="I643" s="25">
        <v>20180101</v>
      </c>
      <c r="J643" s="25" t="s">
        <v>480</v>
      </c>
      <c r="K643" s="25"/>
    </row>
    <row r="644" spans="1:11" x14ac:dyDescent="0.25">
      <c r="A644" s="22">
        <v>4</v>
      </c>
      <c r="B644" s="22" t="s">
        <v>119</v>
      </c>
      <c r="C644" s="22" t="s">
        <v>121</v>
      </c>
      <c r="D644" s="22" t="s">
        <v>413</v>
      </c>
      <c r="E644" s="22" t="b">
        <f t="shared" si="59"/>
        <v>1</v>
      </c>
      <c r="F644" s="22" t="s">
        <v>1293</v>
      </c>
      <c r="G644" s="22" t="str">
        <f>IF(ISERROR(VLOOKUP(F644,MODIFICACIONES_REALIZADAS!F:H,3,)),F644,VLOOKUP(F644,MODIFICACIONES_REALIZADAS!F:H,3,))</f>
        <v>SM-O-GEN-Inspector-NumeroPolizas-001-TotalMes</v>
      </c>
      <c r="H644" s="22">
        <v>20210101</v>
      </c>
      <c r="I644" s="22">
        <v>22000101</v>
      </c>
      <c r="J644" s="22" t="s">
        <v>1294</v>
      </c>
      <c r="K644" s="22"/>
    </row>
    <row r="645" spans="1:11" x14ac:dyDescent="0.25">
      <c r="A645">
        <v>4</v>
      </c>
      <c r="B645" t="s">
        <v>119</v>
      </c>
      <c r="C645" t="s">
        <v>121</v>
      </c>
      <c r="D645" t="s">
        <v>433</v>
      </c>
      <c r="E645" t="b">
        <f t="shared" si="59"/>
        <v>1</v>
      </c>
      <c r="F645" t="s">
        <v>434</v>
      </c>
      <c r="G645" t="str">
        <f>IF(ISERROR(VLOOKUP(F645,MODIFICACIONES_REALIZADAS!F:H,3,)),F645,VLOOKUP(F645,MODIFICACIONES_REALIZADAS!F:H,3,))</f>
        <v>SM-O-GEN-Inspector-NumAsegurados-TotalMes</v>
      </c>
      <c r="H645">
        <v>20180101</v>
      </c>
      <c r="I645">
        <v>22000101</v>
      </c>
      <c r="J645" t="s">
        <v>480</v>
      </c>
    </row>
    <row r="646" spans="1:11" x14ac:dyDescent="0.25">
      <c r="A646">
        <v>4</v>
      </c>
      <c r="B646" t="s">
        <v>119</v>
      </c>
      <c r="C646" t="s">
        <v>121</v>
      </c>
      <c r="D646" t="s">
        <v>1295</v>
      </c>
      <c r="E646" t="b">
        <f t="shared" si="59"/>
        <v>1</v>
      </c>
      <c r="F646" t="s">
        <v>1296</v>
      </c>
      <c r="G646" t="str">
        <f>IF(ISERROR(VLOOKUP(F646,MODIFICACIONES_REALIZADAS!F:H,3,)),F646,VLOOKUP(F646,MODIFICACIONES_REALIZADAS!F:H,3,))</f>
        <v>SM-O-RETT-Inspector-Objetivo-NumeroPolizas</v>
      </c>
      <c r="H646">
        <v>20170101</v>
      </c>
      <c r="I646">
        <v>22000101</v>
      </c>
    </row>
    <row r="647" spans="1:11" x14ac:dyDescent="0.25">
      <c r="A647" s="25">
        <v>4</v>
      </c>
      <c r="B647" s="25" t="s">
        <v>119</v>
      </c>
      <c r="C647" s="25" t="s">
        <v>121</v>
      </c>
      <c r="D647" s="25" t="s">
        <v>1297</v>
      </c>
      <c r="E647" s="25" t="b">
        <f t="shared" si="59"/>
        <v>1</v>
      </c>
      <c r="F647" s="25" t="s">
        <v>1298</v>
      </c>
      <c r="G647" s="25" t="str">
        <f>IF(ISERROR(VLOOKUP(F647,MODIFICACIONES_REALIZADAS!F:H,3,)),F647,VLOOKUP(F647,MODIFICACIONES_REALIZADAS!F:H,3,))</f>
        <v>SM-O-RETT-Inspector-PagoMensual</v>
      </c>
      <c r="H647" s="25">
        <v>20170101</v>
      </c>
      <c r="I647" s="25">
        <v>20180101</v>
      </c>
      <c r="J647" s="25" t="s">
        <v>480</v>
      </c>
      <c r="K647" s="25"/>
    </row>
    <row r="648" spans="1:11" x14ac:dyDescent="0.25">
      <c r="A648">
        <v>4</v>
      </c>
      <c r="B648" t="s">
        <v>119</v>
      </c>
      <c r="C648" t="s">
        <v>121</v>
      </c>
      <c r="D648" t="s">
        <v>1297</v>
      </c>
      <c r="E648" t="b">
        <f t="shared" si="59"/>
        <v>1</v>
      </c>
      <c r="F648" t="s">
        <v>1299</v>
      </c>
      <c r="G648" t="str">
        <f>IF(ISERROR(VLOOKUP(F648,MODIFICACIONES_REALIZADAS!F:H,3,)),F648,VLOOKUP(F648,MODIFICACIONES_REALIZADAS!F:H,3,))</f>
        <v>SM-O-RETT-Inspector-Pago</v>
      </c>
      <c r="H648">
        <v>20180101</v>
      </c>
      <c r="I648">
        <v>22000101</v>
      </c>
      <c r="J648" t="s">
        <v>480</v>
      </c>
    </row>
    <row r="649" spans="1:11" x14ac:dyDescent="0.25">
      <c r="A649">
        <v>4</v>
      </c>
      <c r="B649" t="s">
        <v>119</v>
      </c>
      <c r="C649" t="s">
        <v>121</v>
      </c>
      <c r="D649" t="s">
        <v>1300</v>
      </c>
      <c r="E649" t="b">
        <f t="shared" si="46"/>
        <v>0</v>
      </c>
      <c r="F649" t="s">
        <v>375</v>
      </c>
      <c r="G649" t="str">
        <f>IF(ISERROR(VLOOKUP(F649,MODIFICACIONES_REALIZADAS!F:H,3,)),F649,VLOOKUP(F649,MODIFICACIONES_REALIZADAS!F:H,3,))</f>
        <v>PM-O-GEN-Inspector-NumeroPolizas-002</v>
      </c>
      <c r="H649">
        <v>20140101</v>
      </c>
      <c r="I649">
        <v>22000101</v>
      </c>
    </row>
    <row r="650" spans="1:11" x14ac:dyDescent="0.25">
      <c r="A650">
        <v>4</v>
      </c>
      <c r="B650" t="s">
        <v>119</v>
      </c>
      <c r="C650" t="s">
        <v>121</v>
      </c>
      <c r="D650" t="s">
        <v>1301</v>
      </c>
      <c r="E650" t="b">
        <f t="shared" si="46"/>
        <v>0</v>
      </c>
      <c r="F650" t="s">
        <v>396</v>
      </c>
      <c r="G650" t="str">
        <f>IF(ISERROR(VLOOKUP(F650,MODIFICACIONES_REALIZADAS!F:H,3,)),F650,VLOOKUP(F650,MODIFICACIONES_REALIZADAS!F:H,3,))</f>
        <v>PM-O-GEN-Inspector-NumeroPolizas-002-Agentes</v>
      </c>
      <c r="H650">
        <v>20140101</v>
      </c>
      <c r="I650">
        <v>22000101</v>
      </c>
    </row>
    <row r="651" spans="1:11" x14ac:dyDescent="0.25">
      <c r="A651">
        <v>4</v>
      </c>
      <c r="B651" t="s">
        <v>119</v>
      </c>
      <c r="C651" t="s">
        <v>121</v>
      </c>
      <c r="D651" t="s">
        <v>1302</v>
      </c>
      <c r="E651" t="b">
        <f t="shared" ref="E651" si="60">F651=G651</f>
        <v>1</v>
      </c>
      <c r="F651" t="s">
        <v>1303</v>
      </c>
      <c r="G651" t="str">
        <f>IF(ISERROR(VLOOKUP(F651,MODIFICACIONES_REALIZADAS!F:H,3,)),F651,VLOOKUP(F651,MODIFICACIONES_REALIZADAS!F:H,3,))</f>
        <v>PM-O-GEN-Inspector-PrimaAnual-002</v>
      </c>
      <c r="H651">
        <v>20180101</v>
      </c>
      <c r="I651">
        <v>22000101</v>
      </c>
      <c r="J651" t="s">
        <v>1279</v>
      </c>
    </row>
    <row r="652" spans="1:11" x14ac:dyDescent="0.25">
      <c r="A652">
        <v>4</v>
      </c>
      <c r="B652" t="s">
        <v>119</v>
      </c>
      <c r="C652" t="s">
        <v>121</v>
      </c>
      <c r="D652" t="s">
        <v>1304</v>
      </c>
      <c r="E652" t="b">
        <f t="shared" si="46"/>
        <v>1</v>
      </c>
      <c r="F652" t="s">
        <v>1305</v>
      </c>
      <c r="G652" t="str">
        <f>IF(ISERROR(VLOOKUP(F652,MODIFICACIONES_REALIZADAS!F:H,3,)),F652,VLOOKUP(F652,MODIFICACIONES_REALIZADAS!F:H,3,))</f>
        <v>PM-O-GEN-Inspector-NumeroPolizas-906</v>
      </c>
      <c r="H652">
        <v>20140101</v>
      </c>
      <c r="I652">
        <v>22000101</v>
      </c>
    </row>
    <row r="653" spans="1:11" x14ac:dyDescent="0.25">
      <c r="A653">
        <v>4</v>
      </c>
      <c r="B653" t="s">
        <v>119</v>
      </c>
      <c r="C653" t="s">
        <v>121</v>
      </c>
      <c r="D653" t="s">
        <v>1306</v>
      </c>
      <c r="E653" t="b">
        <f t="shared" ref="E653:E669" si="61">F653=G653</f>
        <v>1</v>
      </c>
      <c r="F653" t="s">
        <v>1307</v>
      </c>
      <c r="G653" t="str">
        <f>IF(ISERROR(VLOOKUP(F653,MODIFICACIONES_REALIZADAS!F:H,3,)),F653,VLOOKUP(F653,MODIFICACIONES_REALIZADAS!F:H,3,))</f>
        <v>PM-O-GEN-Inspector-NumeroPolizas-906-Agentes</v>
      </c>
      <c r="H653">
        <v>20140101</v>
      </c>
      <c r="I653">
        <v>22000101</v>
      </c>
    </row>
    <row r="654" spans="1:11" x14ac:dyDescent="0.25">
      <c r="A654">
        <v>4</v>
      </c>
      <c r="B654" t="s">
        <v>119</v>
      </c>
      <c r="C654" t="s">
        <v>121</v>
      </c>
      <c r="D654" t="s">
        <v>1308</v>
      </c>
      <c r="E654" t="b">
        <f t="shared" si="61"/>
        <v>1</v>
      </c>
      <c r="F654" t="s">
        <v>1309</v>
      </c>
      <c r="G654" t="str">
        <f>IF(ISERROR(VLOOKUP(F654,MODIFICACIONES_REALIZADAS!F:H,3,)),F654,VLOOKUP(F654,MODIFICACIONES_REALIZADAS!F:H,3,))</f>
        <v>PM-O-GEN-Inspector-PrimaAnual-906</v>
      </c>
      <c r="H654">
        <v>20180101</v>
      </c>
      <c r="I654">
        <v>22000101</v>
      </c>
      <c r="J654" t="s">
        <v>1279</v>
      </c>
    </row>
    <row r="655" spans="1:11" x14ac:dyDescent="0.25">
      <c r="A655" s="25">
        <v>4</v>
      </c>
      <c r="B655" s="25" t="s">
        <v>119</v>
      </c>
      <c r="C655" s="25" t="s">
        <v>121</v>
      </c>
      <c r="D655" s="25" t="s">
        <v>1310</v>
      </c>
      <c r="E655" s="25" t="b">
        <f t="shared" si="61"/>
        <v>1</v>
      </c>
      <c r="F655" s="25" t="s">
        <v>1311</v>
      </c>
      <c r="G655" s="25" t="str">
        <f>IF(ISERROR(VLOOKUP(F655,MODIFICACIONES_REALIZADAS!F:H,3,)),F655,VLOOKUP(F655,MODIFICACIONES_REALIZADAS!F:H,3,))</f>
        <v>PM-O-GEN-Inspector-NumeroPolizas-001</v>
      </c>
      <c r="H655" s="25">
        <v>20170101</v>
      </c>
      <c r="I655" s="25">
        <v>20180101</v>
      </c>
      <c r="J655" s="25" t="s">
        <v>480</v>
      </c>
      <c r="K655" s="25"/>
    </row>
    <row r="656" spans="1:11" x14ac:dyDescent="0.25">
      <c r="A656" s="25">
        <v>4</v>
      </c>
      <c r="B656" s="25" t="s">
        <v>119</v>
      </c>
      <c r="C656" s="25" t="s">
        <v>121</v>
      </c>
      <c r="D656" s="25" t="s">
        <v>1312</v>
      </c>
      <c r="E656" s="25" t="b">
        <f t="shared" si="61"/>
        <v>1</v>
      </c>
      <c r="F656" s="25" t="s">
        <v>1313</v>
      </c>
      <c r="G656" s="25" t="str">
        <f>IF(ISERROR(VLOOKUP(F656,MODIFICACIONES_REALIZADAS!F:H,3,)),F656,VLOOKUP(F656,MODIFICACIONES_REALIZADAS!F:H,3,))</f>
        <v>PM-O-GEN-Inspector-NumeroPolizas-001-Agentes</v>
      </c>
      <c r="H656" s="25">
        <v>20170101</v>
      </c>
      <c r="I656" s="25">
        <v>20180101</v>
      </c>
      <c r="J656" s="25" t="s">
        <v>480</v>
      </c>
      <c r="K656" s="25"/>
    </row>
    <row r="657" spans="1:11" x14ac:dyDescent="0.25">
      <c r="A657" s="22">
        <v>4</v>
      </c>
      <c r="B657" s="22" t="s">
        <v>119</v>
      </c>
      <c r="C657" s="22" t="s">
        <v>121</v>
      </c>
      <c r="D657" s="22" t="s">
        <v>1310</v>
      </c>
      <c r="E657" s="22" t="b">
        <f t="shared" ref="E657:E658" si="62">F657=G657</f>
        <v>1</v>
      </c>
      <c r="F657" s="22" t="s">
        <v>1311</v>
      </c>
      <c r="G657" s="22" t="str">
        <f>IF(ISERROR(VLOOKUP(F657,MODIFICACIONES_REALIZADAS!F:H,3,)),F657,VLOOKUP(F657,MODIFICACIONES_REALIZADAS!F:H,3,))</f>
        <v>PM-O-GEN-Inspector-NumeroPolizas-001</v>
      </c>
      <c r="H657" s="22">
        <v>20210101</v>
      </c>
      <c r="I657" s="22">
        <v>22000101</v>
      </c>
      <c r="J657" s="22" t="s">
        <v>1294</v>
      </c>
      <c r="K657" s="22"/>
    </row>
    <row r="658" spans="1:11" x14ac:dyDescent="0.25">
      <c r="A658" s="22">
        <v>4</v>
      </c>
      <c r="B658" s="22" t="s">
        <v>119</v>
      </c>
      <c r="C658" s="22" t="s">
        <v>121</v>
      </c>
      <c r="D658" s="22" t="s">
        <v>1312</v>
      </c>
      <c r="E658" s="22" t="b">
        <f t="shared" si="62"/>
        <v>1</v>
      </c>
      <c r="F658" s="22" t="s">
        <v>1313</v>
      </c>
      <c r="G658" s="22" t="str">
        <f>IF(ISERROR(VLOOKUP(F658,MODIFICACIONES_REALIZADAS!F:H,3,)),F658,VLOOKUP(F658,MODIFICACIONES_REALIZADAS!F:H,3,))</f>
        <v>PM-O-GEN-Inspector-NumeroPolizas-001-Agentes</v>
      </c>
      <c r="H658" s="22">
        <v>20210101</v>
      </c>
      <c r="I658" s="22">
        <v>22000101</v>
      </c>
      <c r="J658" s="22" t="s">
        <v>1294</v>
      </c>
      <c r="K658" s="22"/>
    </row>
    <row r="659" spans="1:11" x14ac:dyDescent="0.25">
      <c r="A659">
        <v>4</v>
      </c>
      <c r="B659" t="s">
        <v>119</v>
      </c>
      <c r="C659" t="s">
        <v>121</v>
      </c>
      <c r="D659" t="s">
        <v>391</v>
      </c>
      <c r="E659" t="b">
        <f t="shared" si="61"/>
        <v>1</v>
      </c>
      <c r="F659" t="s">
        <v>392</v>
      </c>
      <c r="G659" t="str">
        <f>IF(ISERROR(VLOOKUP(F659,MODIFICACIONES_REALIZADAS!F:H,3,)),F659,VLOOKUP(F659,MODIFICACIONES_REALIZADAS!F:H,3,))</f>
        <v>PM-O-GEN-Agente-NumAsegurados</v>
      </c>
      <c r="H659">
        <v>20180101</v>
      </c>
      <c r="I659">
        <v>22000101</v>
      </c>
      <c r="J659" t="s">
        <v>480</v>
      </c>
    </row>
    <row r="660" spans="1:11" x14ac:dyDescent="0.25">
      <c r="A660">
        <v>4</v>
      </c>
      <c r="B660" t="s">
        <v>119</v>
      </c>
      <c r="C660" t="s">
        <v>121</v>
      </c>
      <c r="D660" t="s">
        <v>410</v>
      </c>
      <c r="E660" t="b">
        <f>F660=G660</f>
        <v>1</v>
      </c>
      <c r="F660" t="s">
        <v>411</v>
      </c>
      <c r="G660" t="str">
        <f>IF(ISERROR(VLOOKUP(F660,MODIFICACIONES_REALIZADAS!F:H,3,)),F660,VLOOKUP(F660,MODIFICACIONES_REALIZADAS!F:H,3,))</f>
        <v>PM-O-GEN-Inspector-NumAsegurados-Agentes</v>
      </c>
      <c r="H660">
        <v>20180101</v>
      </c>
      <c r="I660">
        <v>22000101</v>
      </c>
      <c r="J660" t="s">
        <v>480</v>
      </c>
    </row>
    <row r="661" spans="1:11" x14ac:dyDescent="0.25">
      <c r="A661">
        <v>4</v>
      </c>
      <c r="B661" t="s">
        <v>123</v>
      </c>
      <c r="C661" t="s">
        <v>125</v>
      </c>
      <c r="D661" t="s">
        <v>1300</v>
      </c>
      <c r="E661" t="b">
        <f t="shared" si="61"/>
        <v>0</v>
      </c>
      <c r="F661" t="s">
        <v>375</v>
      </c>
      <c r="G661" t="str">
        <f>IF(ISERROR(VLOOKUP(F661,MODIFICACIONES_REALIZADAS!F:H,3,)),F661,VLOOKUP(F661,MODIFICACIONES_REALIZADAS!F:H,3,))</f>
        <v>PM-O-GEN-Inspector-NumeroPolizas-002</v>
      </c>
      <c r="H661">
        <v>20140101</v>
      </c>
      <c r="I661">
        <v>22000101</v>
      </c>
    </row>
    <row r="662" spans="1:11" x14ac:dyDescent="0.25">
      <c r="A662">
        <v>4</v>
      </c>
      <c r="B662" t="s">
        <v>123</v>
      </c>
      <c r="C662" t="s">
        <v>125</v>
      </c>
      <c r="D662" t="s">
        <v>1301</v>
      </c>
      <c r="E662" t="b">
        <f t="shared" si="61"/>
        <v>0</v>
      </c>
      <c r="F662" t="s">
        <v>396</v>
      </c>
      <c r="G662" t="str">
        <f>IF(ISERROR(VLOOKUP(F662,MODIFICACIONES_REALIZADAS!F:H,3,)),F662,VLOOKUP(F662,MODIFICACIONES_REALIZADAS!F:H,3,))</f>
        <v>PM-O-GEN-Inspector-NumeroPolizas-002-Agentes</v>
      </c>
      <c r="H662">
        <v>20140101</v>
      </c>
      <c r="I662">
        <v>22000101</v>
      </c>
    </row>
    <row r="663" spans="1:11" x14ac:dyDescent="0.25">
      <c r="A663">
        <v>4</v>
      </c>
      <c r="B663" t="s">
        <v>123</v>
      </c>
      <c r="C663" t="s">
        <v>125</v>
      </c>
      <c r="D663" t="s">
        <v>1304</v>
      </c>
      <c r="E663" t="b">
        <f t="shared" si="61"/>
        <v>1</v>
      </c>
      <c r="F663" t="s">
        <v>1305</v>
      </c>
      <c r="G663" t="str">
        <f>IF(ISERROR(VLOOKUP(F663,MODIFICACIONES_REALIZADAS!F:H,3,)),F663,VLOOKUP(F663,MODIFICACIONES_REALIZADAS!F:H,3,))</f>
        <v>PM-O-GEN-Inspector-NumeroPolizas-906</v>
      </c>
      <c r="H663">
        <v>20140101</v>
      </c>
      <c r="I663">
        <v>22000101</v>
      </c>
    </row>
    <row r="664" spans="1:11" x14ac:dyDescent="0.25">
      <c r="A664">
        <v>4</v>
      </c>
      <c r="B664" t="s">
        <v>123</v>
      </c>
      <c r="C664" t="s">
        <v>125</v>
      </c>
      <c r="D664" t="s">
        <v>1306</v>
      </c>
      <c r="E664" t="b">
        <f t="shared" si="61"/>
        <v>1</v>
      </c>
      <c r="F664" t="s">
        <v>1307</v>
      </c>
      <c r="G664" t="str">
        <f>IF(ISERROR(VLOOKUP(F664,MODIFICACIONES_REALIZADAS!F:H,3,)),F664,VLOOKUP(F664,MODIFICACIONES_REALIZADAS!F:H,3,))</f>
        <v>PM-O-GEN-Inspector-NumeroPolizas-906-Agentes</v>
      </c>
      <c r="H664">
        <v>20140101</v>
      </c>
      <c r="I664">
        <v>22000101</v>
      </c>
    </row>
    <row r="665" spans="1:11" x14ac:dyDescent="0.25">
      <c r="A665">
        <v>4</v>
      </c>
      <c r="B665" t="s">
        <v>123</v>
      </c>
      <c r="C665" t="s">
        <v>125</v>
      </c>
      <c r="D665" t="s">
        <v>1310</v>
      </c>
      <c r="E665" t="b">
        <f t="shared" si="61"/>
        <v>1</v>
      </c>
      <c r="F665" t="s">
        <v>1311</v>
      </c>
      <c r="G665" t="str">
        <f>IF(ISERROR(VLOOKUP(F665,MODIFICACIONES_REALIZADAS!F:H,3,)),F665,VLOOKUP(F665,MODIFICACIONES_REALIZADAS!F:H,3,))</f>
        <v>PM-O-GEN-Inspector-NumeroPolizas-001</v>
      </c>
      <c r="H665">
        <v>20170101</v>
      </c>
      <c r="I665">
        <v>22000101</v>
      </c>
    </row>
    <row r="666" spans="1:11" x14ac:dyDescent="0.25">
      <c r="A666">
        <v>4</v>
      </c>
      <c r="B666" t="s">
        <v>123</v>
      </c>
      <c r="C666" t="s">
        <v>125</v>
      </c>
      <c r="D666" t="s">
        <v>1312</v>
      </c>
      <c r="E666" t="b">
        <f t="shared" si="61"/>
        <v>1</v>
      </c>
      <c r="F666" t="s">
        <v>1313</v>
      </c>
      <c r="G666" t="str">
        <f>IF(ISERROR(VLOOKUP(F666,MODIFICACIONES_REALIZADAS!F:H,3,)),F666,VLOOKUP(F666,MODIFICACIONES_REALIZADAS!F:H,3,))</f>
        <v>PM-O-GEN-Inspector-NumeroPolizas-001-Agentes</v>
      </c>
      <c r="H666">
        <v>20170101</v>
      </c>
      <c r="I666">
        <v>22000101</v>
      </c>
    </row>
    <row r="667" spans="1:11" x14ac:dyDescent="0.25">
      <c r="A667" s="25">
        <v>4</v>
      </c>
      <c r="B667" s="25" t="s">
        <v>126</v>
      </c>
      <c r="C667" s="25" t="s">
        <v>128</v>
      </c>
      <c r="D667" s="25" t="s">
        <v>1314</v>
      </c>
      <c r="E667" s="25" t="b">
        <f t="shared" si="61"/>
        <v>1</v>
      </c>
      <c r="F667" s="25" t="s">
        <v>1315</v>
      </c>
      <c r="G667" s="25" t="str">
        <f>IF(ISERROR(VLOOKUP(F667,MODIFICACIONES_REALIZADAS!F:H,3,)),F667,VLOOKUP(F667,MODIFICACIONES_REALIZADAS!F:H,3,))</f>
        <v>SM-O-COMU-Inspector-NumeroPolizas</v>
      </c>
      <c r="H667" s="25">
        <v>20140101</v>
      </c>
      <c r="I667" s="25">
        <v>22000101</v>
      </c>
      <c r="J667" s="25" t="s">
        <v>1316</v>
      </c>
      <c r="K667" s="25"/>
    </row>
    <row r="668" spans="1:11" x14ac:dyDescent="0.25">
      <c r="A668" s="25">
        <v>4</v>
      </c>
      <c r="B668" s="25" t="s">
        <v>126</v>
      </c>
      <c r="C668" s="25" t="s">
        <v>128</v>
      </c>
      <c r="D668" s="25" t="s">
        <v>1314</v>
      </c>
      <c r="E668" s="25" t="b">
        <f t="shared" si="61"/>
        <v>0</v>
      </c>
      <c r="F668" s="25" t="s">
        <v>1245</v>
      </c>
      <c r="G668" s="25" t="str">
        <f>IF(ISERROR(VLOOKUP(F668,MODIFICACIONES_REALIZADAS!F:H,3,)),F668,VLOOKUP(F668,MODIFICACIONES_REALIZADAS!F:H,3,))</f>
        <v>SM-O-GEN-Inspector-Meses</v>
      </c>
      <c r="H668" s="25">
        <v>20140101</v>
      </c>
      <c r="I668" s="25">
        <v>22000101</v>
      </c>
      <c r="J668" s="25" t="s">
        <v>1316</v>
      </c>
      <c r="K668" s="25"/>
    </row>
    <row r="669" spans="1:11" x14ac:dyDescent="0.25">
      <c r="A669" s="25">
        <v>4</v>
      </c>
      <c r="B669" s="25" t="s">
        <v>126</v>
      </c>
      <c r="C669" s="25" t="s">
        <v>128</v>
      </c>
      <c r="D669" s="25" t="s">
        <v>1314</v>
      </c>
      <c r="E669" s="25" t="b">
        <f t="shared" si="61"/>
        <v>1</v>
      </c>
      <c r="F669" s="25" t="s">
        <v>1317</v>
      </c>
      <c r="G669" s="25" t="str">
        <f>IF(ISERROR(VLOOKUP(F669,MODIFICACIONES_REALIZADAS!F:H,3,)),F669,VLOOKUP(F669,MODIFICACIONES_REALIZADAS!F:H,3,))</f>
        <v>SM-O-COMU-Inspector-Pago</v>
      </c>
      <c r="H669" s="25">
        <v>20140101</v>
      </c>
      <c r="I669" s="25">
        <v>22000101</v>
      </c>
      <c r="J669" s="25" t="s">
        <v>1316</v>
      </c>
      <c r="K669" s="25"/>
    </row>
    <row r="670" spans="1:11" x14ac:dyDescent="0.25">
      <c r="A670">
        <v>4</v>
      </c>
      <c r="B670" t="s">
        <v>131</v>
      </c>
      <c r="C670" t="s">
        <v>133</v>
      </c>
      <c r="D670" t="s">
        <v>1318</v>
      </c>
      <c r="E670" t="b">
        <f t="shared" ref="E670:E683" si="63">F670=G670</f>
        <v>1</v>
      </c>
      <c r="F670" t="s">
        <v>1319</v>
      </c>
      <c r="G670" t="str">
        <f>IF(ISERROR(VLOOKUP(F670,MODIFICACIONES_REALIZADAS!F:H,3,)),F670,VLOOKUP(F670,MODIFICACIONES_REALIZADAS!F:H,3,))</f>
        <v>PM-O-COM-NumeroAsistencias</v>
      </c>
      <c r="H670">
        <v>20140101</v>
      </c>
      <c r="I670">
        <v>22000101</v>
      </c>
    </row>
    <row r="671" spans="1:11" x14ac:dyDescent="0.25">
      <c r="A671">
        <v>4</v>
      </c>
      <c r="B671" t="s">
        <v>131</v>
      </c>
      <c r="C671" t="s">
        <v>133</v>
      </c>
      <c r="D671" t="s">
        <v>753</v>
      </c>
      <c r="E671" t="b">
        <f t="shared" si="63"/>
        <v>1</v>
      </c>
      <c r="F671" t="s">
        <v>754</v>
      </c>
      <c r="G671" t="str">
        <f>IF(ISERROR(VLOOKUP(F671,MODIFICACIONES_REALIZADAS!F:H,3,)),F671,VLOOKUP(F671,MODIFICACIONES_REALIZADAS!F:H,3,))</f>
        <v>SM-O-GEN-Agente-NumeroPolizasCorregidas-998-TotalMes</v>
      </c>
      <c r="H671">
        <v>20140101</v>
      </c>
      <c r="I671">
        <v>22000101</v>
      </c>
    </row>
    <row r="672" spans="1:11" x14ac:dyDescent="0.25">
      <c r="A672">
        <v>4</v>
      </c>
      <c r="B672" t="s">
        <v>131</v>
      </c>
      <c r="C672" t="s">
        <v>133</v>
      </c>
      <c r="D672" t="s">
        <v>822</v>
      </c>
      <c r="E672" t="b">
        <f t="shared" si="63"/>
        <v>1</v>
      </c>
      <c r="F672" t="s">
        <v>823</v>
      </c>
      <c r="G672" t="str">
        <f>IF(ISERROR(VLOOKUP(F672,MODIFICACIONES_REALIZADAS!F:H,3,)),F672,VLOOKUP(F672,MODIFICACIONES_REALIZADAS!F:H,3,))</f>
        <v>SM-O-GEN-Agente-NumeroPolizasCorregidas-998-TotalTrimestre</v>
      </c>
      <c r="H672">
        <v>20140101</v>
      </c>
      <c r="I672">
        <v>22000101</v>
      </c>
    </row>
    <row r="673" spans="1:11" x14ac:dyDescent="0.25">
      <c r="A673" s="22">
        <v>4</v>
      </c>
      <c r="B673" s="22" t="s">
        <v>131</v>
      </c>
      <c r="C673" s="22" t="s">
        <v>133</v>
      </c>
      <c r="D673" s="22" t="s">
        <v>651</v>
      </c>
      <c r="E673" s="22" t="b">
        <f t="shared" si="63"/>
        <v>1</v>
      </c>
      <c r="F673" s="22" t="s">
        <v>735</v>
      </c>
      <c r="G673" s="22" t="str">
        <f>IF(ISERROR(VLOOKUP(F673,MODIFICACIONES_REALIZADAS!F:H,3,)),F673,VLOOKUP(F673,MODIFICACIONES_REALIZADAS!F:H,3,))</f>
        <v>SM-O-GEN-Agente-NumAsegurados-TotalMes</v>
      </c>
      <c r="H673" s="22">
        <v>20180101</v>
      </c>
      <c r="I673" s="22">
        <v>22000101</v>
      </c>
      <c r="J673" s="22" t="s">
        <v>412</v>
      </c>
      <c r="K673" s="22"/>
    </row>
    <row r="674" spans="1:11" x14ac:dyDescent="0.25">
      <c r="A674">
        <v>4</v>
      </c>
      <c r="B674" t="s">
        <v>131</v>
      </c>
      <c r="C674" t="s">
        <v>133</v>
      </c>
      <c r="D674" t="s">
        <v>1320</v>
      </c>
      <c r="E674" t="b">
        <f t="shared" si="63"/>
        <v>1</v>
      </c>
      <c r="F674" t="s">
        <v>1321</v>
      </c>
      <c r="G674" t="str">
        <f>IF(ISERROR(VLOOKUP(F674,MODIFICACIONES_REALIZADAS!F:H,3,)),F674,VLOOKUP(F674,MODIFICACIONES_REALIZADAS!F:H,3,))</f>
        <v>PM-O-COM-Asistencia-Importe</v>
      </c>
      <c r="H674">
        <v>20140101</v>
      </c>
      <c r="I674">
        <v>22000101</v>
      </c>
    </row>
    <row r="675" spans="1:11" x14ac:dyDescent="0.25">
      <c r="A675" s="22">
        <v>4</v>
      </c>
      <c r="B675" s="22" t="s">
        <v>131</v>
      </c>
      <c r="C675" s="22" t="s">
        <v>133</v>
      </c>
      <c r="D675" s="22" t="s">
        <v>1322</v>
      </c>
      <c r="E675" s="22" t="b">
        <f t="shared" ref="E675:E676" si="64">F675=G675</f>
        <v>1</v>
      </c>
      <c r="F675" s="22" t="s">
        <v>1323</v>
      </c>
      <c r="G675" s="22" t="str">
        <f>IF(ISERROR(VLOOKUP(F675,MODIFICACIONES_REALIZADAS!F:H,3,)),F675,VLOOKUP(F675,MODIFICACIONES_REALIZADAS!F:H,3,))</f>
        <v>SM-O-COM-Asistencia-Importe</v>
      </c>
      <c r="H675" s="22">
        <v>20220101</v>
      </c>
      <c r="I675" s="22">
        <v>22000101</v>
      </c>
      <c r="J675" s="22" t="s">
        <v>741</v>
      </c>
      <c r="K675" s="22"/>
    </row>
    <row r="676" spans="1:11" x14ac:dyDescent="0.25">
      <c r="A676" s="22">
        <v>4</v>
      </c>
      <c r="B676" s="22" t="s">
        <v>131</v>
      </c>
      <c r="C676" s="22" t="s">
        <v>133</v>
      </c>
      <c r="D676" s="22" t="s">
        <v>1324</v>
      </c>
      <c r="E676" s="22" t="b">
        <f t="shared" si="64"/>
        <v>1</v>
      </c>
      <c r="F676" s="22" t="s">
        <v>1264</v>
      </c>
      <c r="G676" s="22" t="str">
        <f>IF(ISERROR(VLOOKUP(F676,MODIFICACIONES_REALIZADAS!F:H,3,)),F676,VLOOKUP(F676,MODIFICACIONES_REALIZADAS!F:H,3,))</f>
        <v>SM-O-GEN-Agente-Prima-998-TotalMes</v>
      </c>
      <c r="H676" s="22">
        <v>20220101</v>
      </c>
      <c r="I676" s="22">
        <v>22000101</v>
      </c>
      <c r="J676" s="22" t="s">
        <v>741</v>
      </c>
      <c r="K676" s="22"/>
    </row>
    <row r="677" spans="1:11" x14ac:dyDescent="0.25">
      <c r="A677" s="22">
        <v>4</v>
      </c>
      <c r="B677" s="22" t="s">
        <v>131</v>
      </c>
      <c r="C677" s="22" t="s">
        <v>133</v>
      </c>
      <c r="D677" s="22" t="s">
        <v>1325</v>
      </c>
      <c r="E677" s="22" t="b">
        <f t="shared" ref="E677" si="65">F677=G677</f>
        <v>1</v>
      </c>
      <c r="F677" s="22" t="s">
        <v>1326</v>
      </c>
      <c r="G677" s="22" t="str">
        <f>IF(ISERROR(VLOOKUP(F677,MODIFICACIONES_REALIZADAS!F:H,3,)),F677,VLOOKUP(F677,MODIFICACIONES_REALIZADAS!F:H,3,))</f>
        <v>SM-O-ARA-NumeroPolizasCorregidas-998-Total-ConResto</v>
      </c>
      <c r="H677" s="22">
        <v>20220101</v>
      </c>
      <c r="I677" s="22">
        <v>22000101</v>
      </c>
      <c r="J677" s="22" t="s">
        <v>741</v>
      </c>
      <c r="K677" s="22"/>
    </row>
    <row r="678" spans="1:11" x14ac:dyDescent="0.25">
      <c r="A678">
        <v>4</v>
      </c>
      <c r="B678" t="s">
        <v>131</v>
      </c>
      <c r="C678" t="s">
        <v>133</v>
      </c>
      <c r="D678" t="s">
        <v>1327</v>
      </c>
      <c r="E678" t="b">
        <f t="shared" si="63"/>
        <v>1</v>
      </c>
      <c r="F678" t="s">
        <v>1328</v>
      </c>
      <c r="G678" t="str">
        <f>IF(ISERROR(VLOOKUP(F678,MODIFICACIONES_REALIZADAS!F:H,3,)),F678,VLOOKUP(F678,MODIFICACIONES_REALIZADAS!F:H,3,))</f>
        <v>SM-O-ARA-ImportePago</v>
      </c>
      <c r="H678">
        <v>20140101</v>
      </c>
      <c r="I678">
        <v>22000101</v>
      </c>
    </row>
    <row r="679" spans="1:11" x14ac:dyDescent="0.25">
      <c r="A679">
        <v>4</v>
      </c>
      <c r="B679" t="s">
        <v>131</v>
      </c>
      <c r="C679" t="s">
        <v>133</v>
      </c>
      <c r="D679" t="s">
        <v>1329</v>
      </c>
      <c r="E679" t="b">
        <f t="shared" si="63"/>
        <v>1</v>
      </c>
      <c r="F679" t="s">
        <v>1330</v>
      </c>
      <c r="G679" t="str">
        <f>IF(ISERROR(VLOOKUP(F679,MODIFICACIONES_REALIZADAS!F:H,3,)),F679,VLOOKUP(F679,MODIFICACIONES_REALIZADAS!F:H,3,))</f>
        <v>SM-O-ARA-ImporteFinal</v>
      </c>
      <c r="H679">
        <v>20140101</v>
      </c>
      <c r="I679">
        <v>22000101</v>
      </c>
    </row>
    <row r="680" spans="1:11" x14ac:dyDescent="0.25">
      <c r="A680">
        <v>4</v>
      </c>
      <c r="B680" t="s">
        <v>131</v>
      </c>
      <c r="C680" t="s">
        <v>133</v>
      </c>
      <c r="D680" t="s">
        <v>1331</v>
      </c>
      <c r="E680" t="b">
        <f t="shared" si="63"/>
        <v>1</v>
      </c>
      <c r="F680" t="s">
        <v>1332</v>
      </c>
      <c r="G680" t="str">
        <f>IF(ISERROR(VLOOKUP(F680,MODIFICACIONES_REALIZADAS!F:H,3,)),F680,VLOOKUP(F680,MODIFICACIONES_REALIZADAS!F:H,3,))</f>
        <v>SM-O-ARA-TotalPagoSubvencion</v>
      </c>
      <c r="H680">
        <v>20140101</v>
      </c>
      <c r="I680">
        <v>22000101</v>
      </c>
    </row>
    <row r="681" spans="1:11" x14ac:dyDescent="0.25">
      <c r="A681">
        <v>4</v>
      </c>
      <c r="B681" t="s">
        <v>131</v>
      </c>
      <c r="C681" t="s">
        <v>133</v>
      </c>
      <c r="D681" t="s">
        <v>1333</v>
      </c>
      <c r="E681" t="b">
        <f t="shared" si="63"/>
        <v>1</v>
      </c>
      <c r="F681" t="s">
        <v>1334</v>
      </c>
      <c r="G681" t="str">
        <f>IF(ISERROR(VLOOKUP(F681,MODIFICACIONES_REALIZADAS!F:H,3,)),F681,VLOOKUP(F681,MODIFICACIONES_REALIZADAS!F:H,3,))</f>
        <v>SM-O-ARA-ImportePagoTrim</v>
      </c>
      <c r="H681">
        <v>20140101</v>
      </c>
      <c r="I681">
        <v>22000101</v>
      </c>
    </row>
    <row r="682" spans="1:11" x14ac:dyDescent="0.25">
      <c r="A682">
        <v>4</v>
      </c>
      <c r="B682" t="s">
        <v>131</v>
      </c>
      <c r="C682" t="s">
        <v>133</v>
      </c>
      <c r="D682" t="s">
        <v>1335</v>
      </c>
      <c r="E682" t="b">
        <f t="shared" si="63"/>
        <v>1</v>
      </c>
      <c r="F682" t="s">
        <v>1336</v>
      </c>
      <c r="G682" t="str">
        <f>IF(ISERROR(VLOOKUP(F682,MODIFICACIONES_REALIZADAS!F:H,3,)),F682,VLOOKUP(F682,MODIFICACIONES_REALIZADAS!F:H,3,))</f>
        <v>SM-O-ARA-ImportePagoTrim-Final</v>
      </c>
      <c r="H682">
        <v>20140101</v>
      </c>
      <c r="I682">
        <v>22000101</v>
      </c>
    </row>
    <row r="683" spans="1:11" x14ac:dyDescent="0.25">
      <c r="A683">
        <v>4</v>
      </c>
      <c r="B683" t="s">
        <v>131</v>
      </c>
      <c r="C683" t="s">
        <v>133</v>
      </c>
      <c r="D683" t="s">
        <v>1337</v>
      </c>
      <c r="E683" t="b">
        <f t="shared" si="63"/>
        <v>1</v>
      </c>
      <c r="F683" t="s">
        <v>1338</v>
      </c>
      <c r="G683" t="str">
        <f>IF(ISERROR(VLOOKUP(F683,MODIFICACIONES_REALIZADAS!F:H,3,)),F683,VLOOKUP(F683,MODIFICACIONES_REALIZADAS!F:H,3,))</f>
        <v>SM-O-ASR-ImporteFinal</v>
      </c>
      <c r="H683">
        <v>20140101</v>
      </c>
      <c r="I683">
        <v>22000101</v>
      </c>
    </row>
    <row r="684" spans="1:11" x14ac:dyDescent="0.25">
      <c r="A684" s="2">
        <v>4</v>
      </c>
      <c r="B684" s="2" t="s">
        <v>131</v>
      </c>
      <c r="C684" s="2" t="s">
        <v>133</v>
      </c>
      <c r="D684" s="2" t="s">
        <v>1339</v>
      </c>
      <c r="E684" s="2" t="b">
        <f t="shared" ref="E684:E693" si="66">F684=G684</f>
        <v>1</v>
      </c>
      <c r="F684" s="2" t="s">
        <v>1340</v>
      </c>
      <c r="G684" s="2" t="str">
        <f>IF(ISERROR(VLOOKUP(F684,MODIFICACIONES_REALIZADAS!F:H,3,)),F684,VLOOKUP(F684,MODIFICACIONES_REALIZADAS!F:H,3,))</f>
        <v>SM-O-AMI-ImportePago</v>
      </c>
      <c r="H684" s="2">
        <v>20140101</v>
      </c>
      <c r="I684" s="2">
        <v>20160401</v>
      </c>
      <c r="J684" s="2" t="s">
        <v>71</v>
      </c>
      <c r="K684" s="2"/>
    </row>
    <row r="685" spans="1:11" x14ac:dyDescent="0.25">
      <c r="A685">
        <v>4</v>
      </c>
      <c r="B685" t="s">
        <v>131</v>
      </c>
      <c r="C685" t="s">
        <v>133</v>
      </c>
      <c r="D685" t="s">
        <v>1341</v>
      </c>
      <c r="E685" t="b">
        <f t="shared" si="66"/>
        <v>1</v>
      </c>
      <c r="F685" t="s">
        <v>1342</v>
      </c>
      <c r="G685" t="str">
        <f>IF(ISERROR(VLOOKUP(F685,MODIFICACIONES_REALIZADAS!F:H,3,)),F685,VLOOKUP(F685,MODIFICACIONES_REALIZADAS!F:H,3,))</f>
        <v>SM-O-ARA-RestoMesAnterior</v>
      </c>
      <c r="H685">
        <v>20140101</v>
      </c>
      <c r="I685">
        <v>22000101</v>
      </c>
    </row>
    <row r="686" spans="1:11" x14ac:dyDescent="0.25">
      <c r="A686">
        <v>4</v>
      </c>
      <c r="B686" t="s">
        <v>131</v>
      </c>
      <c r="C686" t="s">
        <v>133</v>
      </c>
      <c r="D686" t="s">
        <v>1343</v>
      </c>
      <c r="E686" t="b">
        <f t="shared" si="66"/>
        <v>1</v>
      </c>
      <c r="F686" t="s">
        <v>758</v>
      </c>
      <c r="G686" t="str">
        <f>IF(ISERROR(VLOOKUP(F686,MODIFICACIONES_REALIZADAS!F:H,3,)),F686,VLOOKUP(F686,MODIFICACIONES_REALIZADAS!F:H,3,))</f>
        <v>SM-O-RPP-Agente-NumeroPolizas-998-Total-Mes-Resto</v>
      </c>
      <c r="H686">
        <v>20140101</v>
      </c>
      <c r="I686">
        <v>22000101</v>
      </c>
    </row>
    <row r="687" spans="1:11" x14ac:dyDescent="0.25">
      <c r="A687" s="22">
        <v>4</v>
      </c>
      <c r="B687" s="22" t="s">
        <v>131</v>
      </c>
      <c r="C687" s="22" t="s">
        <v>133</v>
      </c>
      <c r="D687" s="22" t="s">
        <v>1344</v>
      </c>
      <c r="E687" s="22" t="b">
        <f t="shared" si="66"/>
        <v>1</v>
      </c>
      <c r="F687" s="22" t="s">
        <v>1345</v>
      </c>
      <c r="G687" s="22" t="str">
        <f>IF(ISERROR(VLOOKUP(F687,MODIFICACIONES_REALIZADAS!F:H,3,)),F687,VLOOKUP(F687,MODIFICACIONES_REALIZADAS!F:H,3,))</f>
        <v>SM-O-ARA-BolsaFinanciacion-Estado-Comodin-Asegurados</v>
      </c>
      <c r="H687" s="22">
        <v>20220101</v>
      </c>
      <c r="I687" s="22">
        <v>22000101</v>
      </c>
      <c r="J687" s="22" t="s">
        <v>873</v>
      </c>
      <c r="K687" s="22"/>
    </row>
    <row r="688" spans="1:11" x14ac:dyDescent="0.25">
      <c r="A688" s="22">
        <v>4</v>
      </c>
      <c r="B688" s="22" t="s">
        <v>131</v>
      </c>
      <c r="C688" s="22" t="s">
        <v>133</v>
      </c>
      <c r="D688" s="22" t="s">
        <v>1346</v>
      </c>
      <c r="E688" s="22" t="b">
        <f t="shared" si="66"/>
        <v>1</v>
      </c>
      <c r="F688" s="22" t="s">
        <v>1347</v>
      </c>
      <c r="G688" s="22" t="str">
        <f>IF(ISERROR(VLOOKUP(F688,MODIFICACIONES_REALIZADAS!F:H,3,)),F688,VLOOKUP(F688,MODIFICACIONES_REALIZADAS!F:H,3,))</f>
        <v>SM-O-ARA-BolsaFinanciacion-Devolucion-Asegurados</v>
      </c>
      <c r="H688" s="22">
        <v>20220101</v>
      </c>
      <c r="I688" s="22">
        <v>22000101</v>
      </c>
      <c r="J688" s="22" t="s">
        <v>873</v>
      </c>
      <c r="K688" s="22"/>
    </row>
    <row r="689" spans="1:11" x14ac:dyDescent="0.25">
      <c r="A689">
        <v>4</v>
      </c>
      <c r="B689" t="s">
        <v>136</v>
      </c>
      <c r="C689" t="s">
        <v>138</v>
      </c>
      <c r="D689" t="s">
        <v>1348</v>
      </c>
      <c r="E689" t="b">
        <f t="shared" si="66"/>
        <v>1</v>
      </c>
      <c r="F689" t="s">
        <v>895</v>
      </c>
      <c r="G689" t="str">
        <f>IF(ISERROR(VLOOKUP(F689,MODIFICACIONES_REALIZADAS!F:H,3,)),F689,VLOOKUP(F689,MODIFICACIONES_REALIZADAS!F:H,3,))</f>
        <v>DC-O-GEN-Agente-NumeroPolizas-998</v>
      </c>
      <c r="H689">
        <v>20140101</v>
      </c>
      <c r="I689">
        <v>22000101</v>
      </c>
    </row>
    <row r="690" spans="1:11" x14ac:dyDescent="0.25">
      <c r="A690">
        <v>4</v>
      </c>
      <c r="B690" t="s">
        <v>136</v>
      </c>
      <c r="C690" t="s">
        <v>138</v>
      </c>
      <c r="D690" t="s">
        <v>898</v>
      </c>
      <c r="E690" t="b">
        <f t="shared" si="66"/>
        <v>1</v>
      </c>
      <c r="F690" t="s">
        <v>899</v>
      </c>
      <c r="G690" t="str">
        <f>IF(ISERROR(VLOOKUP(F690,MODIFICACIONES_REALIZADAS!F:H,3,)),F690,VLOOKUP(F690,MODIFICACIONES_REALIZADAS!F:H,3,))</f>
        <v>DC-O-GEN-Agente-NumeroPolizas-998-Renov</v>
      </c>
      <c r="H690">
        <v>20140101</v>
      </c>
      <c r="I690">
        <v>22000101</v>
      </c>
    </row>
    <row r="691" spans="1:11" x14ac:dyDescent="0.25">
      <c r="A691">
        <v>4</v>
      </c>
      <c r="B691" t="s">
        <v>136</v>
      </c>
      <c r="C691" t="s">
        <v>138</v>
      </c>
      <c r="D691" t="s">
        <v>896</v>
      </c>
      <c r="E691" t="b">
        <f t="shared" si="66"/>
        <v>1</v>
      </c>
      <c r="F691" t="s">
        <v>897</v>
      </c>
      <c r="G691" t="str">
        <f>IF(ISERROR(VLOOKUP(F691,MODIFICACIONES_REALIZADAS!F:H,3,)),F691,VLOOKUP(F691,MODIFICACIONES_REALIZADAS!F:H,3,))</f>
        <v>DC-O-GEN-Agente-NumeroPolizas-998-Recup</v>
      </c>
      <c r="H691">
        <v>20140101</v>
      </c>
      <c r="I691">
        <v>22000101</v>
      </c>
    </row>
    <row r="692" spans="1:11" x14ac:dyDescent="0.25">
      <c r="A692" s="22">
        <v>4</v>
      </c>
      <c r="B692" s="22" t="s">
        <v>136</v>
      </c>
      <c r="C692" s="22" t="s">
        <v>138</v>
      </c>
      <c r="D692" s="22" t="s">
        <v>900</v>
      </c>
      <c r="E692" s="22" t="b">
        <f t="shared" si="66"/>
        <v>1</v>
      </c>
      <c r="F692" s="22" t="s">
        <v>901</v>
      </c>
      <c r="G692" s="22" t="str">
        <f>IF(ISERROR(VLOOKUP(F692,MODIFICACIONES_REALIZADAS!F:H,3,)),F692,VLOOKUP(F692,MODIFICACIONES_REALIZADAS!F:H,3,))</f>
        <v>DC-O-GEN-Agente-NumAsegurados</v>
      </c>
      <c r="H692" s="22">
        <v>20180101</v>
      </c>
      <c r="I692" s="22">
        <v>22000101</v>
      </c>
      <c r="J692" s="22" t="s">
        <v>1349</v>
      </c>
      <c r="K692" s="22"/>
    </row>
    <row r="693" spans="1:11" x14ac:dyDescent="0.25">
      <c r="A693">
        <v>4</v>
      </c>
      <c r="B693" t="s">
        <v>139</v>
      </c>
      <c r="C693" t="s">
        <v>141</v>
      </c>
      <c r="D693" t="s">
        <v>1318</v>
      </c>
      <c r="E693" t="b">
        <f t="shared" si="66"/>
        <v>1</v>
      </c>
      <c r="F693" t="s">
        <v>649</v>
      </c>
      <c r="G693" t="str">
        <f>IF(ISERROR(VLOOKUP(F693,MODIFICACIONES_REALIZADAS!F:H,3,)),F693,VLOOKUP(F693,MODIFICACIONES_REALIZADAS!F:H,3,))</f>
        <v>PM-E-COM-NumeroAsistencias</v>
      </c>
      <c r="H693">
        <v>20140101</v>
      </c>
      <c r="I693">
        <v>22000101</v>
      </c>
    </row>
    <row r="694" spans="1:11" x14ac:dyDescent="0.25">
      <c r="A694">
        <v>4</v>
      </c>
      <c r="B694" t="s">
        <v>139</v>
      </c>
      <c r="C694" t="s">
        <v>141</v>
      </c>
      <c r="D694" t="s">
        <v>1350</v>
      </c>
      <c r="E694" t="b">
        <f>F694=G694</f>
        <v>1</v>
      </c>
      <c r="F694" t="s">
        <v>1351</v>
      </c>
      <c r="G694" t="str">
        <f>IF(ISERROR(VLOOKUP(F694,MODIFICACIONES_REALIZADAS!F:H,3,)),F694,VLOOKUP(F694,MODIFICACIONES_REALIZADAS!F:H,3,))</f>
        <v>SM-E-RS1-Agente-NumeroPolizas-TotalMes-SinBotes</v>
      </c>
      <c r="H694">
        <v>20140101</v>
      </c>
      <c r="I694">
        <v>22000101</v>
      </c>
    </row>
    <row r="695" spans="1:11" x14ac:dyDescent="0.25">
      <c r="A695">
        <v>4</v>
      </c>
      <c r="B695" t="s">
        <v>139</v>
      </c>
      <c r="C695" t="s">
        <v>141</v>
      </c>
      <c r="D695" t="s">
        <v>1320</v>
      </c>
      <c r="E695" t="b">
        <f>F695=G695</f>
        <v>1</v>
      </c>
      <c r="F695" t="s">
        <v>1352</v>
      </c>
      <c r="G695" t="str">
        <f>IF(ISERROR(VLOOKUP(F695,MODIFICACIONES_REALIZADAS!F:H,3,)),F695,VLOOKUP(F695,MODIFICACIONES_REALIZADAS!F:H,3,))</f>
        <v>PM-E-COM-Asistencia-Importe</v>
      </c>
      <c r="H695">
        <v>20140101</v>
      </c>
      <c r="I695">
        <v>22000101</v>
      </c>
    </row>
    <row r="696" spans="1:11" x14ac:dyDescent="0.25">
      <c r="A696">
        <v>4</v>
      </c>
      <c r="B696" t="s">
        <v>139</v>
      </c>
      <c r="C696" t="s">
        <v>141</v>
      </c>
      <c r="D696" t="s">
        <v>1327</v>
      </c>
      <c r="E696" t="b">
        <f>F696=G696</f>
        <v>1</v>
      </c>
      <c r="F696" t="s">
        <v>1353</v>
      </c>
      <c r="G696" t="str">
        <f>IF(ISERROR(VLOOKUP(F696,MODIFICACIONES_REALIZADAS!F:H,3,)),F696,VLOOKUP(F696,MODIFICACIONES_REALIZADAS!F:H,3,))</f>
        <v>SM-E-ARA-ImportePago</v>
      </c>
      <c r="H696">
        <v>20140101</v>
      </c>
      <c r="I696">
        <v>22000101</v>
      </c>
    </row>
    <row r="697" spans="1:11" x14ac:dyDescent="0.25">
      <c r="A697">
        <v>4</v>
      </c>
      <c r="B697" t="s">
        <v>139</v>
      </c>
      <c r="C697" t="s">
        <v>141</v>
      </c>
      <c r="D697" t="s">
        <v>1329</v>
      </c>
      <c r="E697" t="b">
        <f>F697=G697</f>
        <v>1</v>
      </c>
      <c r="F697" t="s">
        <v>1354</v>
      </c>
      <c r="G697" t="str">
        <f>IF(ISERROR(VLOOKUP(F697,MODIFICACIONES_REALIZADAS!F:H,3,)),F697,VLOOKUP(F697,MODIFICACIONES_REALIZADAS!F:H,3,))</f>
        <v>SM-E-ARA-ImporteFinal</v>
      </c>
      <c r="H697">
        <v>20140101</v>
      </c>
      <c r="I697">
        <v>22000101</v>
      </c>
    </row>
    <row r="698" spans="1:11" x14ac:dyDescent="0.25">
      <c r="A698">
        <v>4</v>
      </c>
      <c r="B698" t="s">
        <v>139</v>
      </c>
      <c r="C698" t="s">
        <v>141</v>
      </c>
      <c r="D698" t="s">
        <v>1337</v>
      </c>
      <c r="E698" t="b">
        <f>F698=G698</f>
        <v>1</v>
      </c>
      <c r="F698" t="s">
        <v>1355</v>
      </c>
      <c r="G698" t="str">
        <f>IF(ISERROR(VLOOKUP(F698,MODIFICACIONES_REALIZADAS!F:H,3,)),F698,VLOOKUP(F698,MODIFICACIONES_REALIZADAS!F:H,3,))</f>
        <v>SM-E-ASR-ImporteFinal</v>
      </c>
      <c r="H698">
        <v>20140101</v>
      </c>
      <c r="I698">
        <v>22000101</v>
      </c>
    </row>
    <row r="699" spans="1:11" x14ac:dyDescent="0.25">
      <c r="A699" s="2">
        <v>4</v>
      </c>
      <c r="B699" s="2" t="s">
        <v>139</v>
      </c>
      <c r="C699" s="2" t="s">
        <v>141</v>
      </c>
      <c r="D699" s="2" t="s">
        <v>1339</v>
      </c>
      <c r="E699" s="2" t="b">
        <f t="shared" ref="E699:E704" si="67">F699=G699</f>
        <v>1</v>
      </c>
      <c r="F699" s="2" t="s">
        <v>1356</v>
      </c>
      <c r="G699" s="2" t="str">
        <f>IF(ISERROR(VLOOKUP(F699,MODIFICACIONES_REALIZADAS!F:H,3,)),F699,VLOOKUP(F699,MODIFICACIONES_REALIZADAS!F:H,3,))</f>
        <v>SM-E-AMI-ImportePago</v>
      </c>
      <c r="H699" s="2">
        <v>20140101</v>
      </c>
      <c r="I699" s="2">
        <v>20170301</v>
      </c>
      <c r="J699" s="2" t="s">
        <v>71</v>
      </c>
      <c r="K699" s="2"/>
    </row>
    <row r="700" spans="1:11" x14ac:dyDescent="0.25">
      <c r="A700">
        <v>4</v>
      </c>
      <c r="B700" t="s">
        <v>139</v>
      </c>
      <c r="C700" t="s">
        <v>141</v>
      </c>
      <c r="D700" t="s">
        <v>1341</v>
      </c>
      <c r="E700" t="b">
        <f t="shared" si="67"/>
        <v>1</v>
      </c>
      <c r="F700" t="s">
        <v>1357</v>
      </c>
      <c r="G700" t="str">
        <f>IF(ISERROR(VLOOKUP(F700,MODIFICACIONES_REALIZADAS!F:H,3,)),F700,VLOOKUP(F700,MODIFICACIONES_REALIZADAS!F:H,3,))</f>
        <v>SM-E-ARA-RestoMesAnterior</v>
      </c>
      <c r="H700">
        <v>20140101</v>
      </c>
      <c r="I700">
        <v>22000101</v>
      </c>
    </row>
    <row r="701" spans="1:11" x14ac:dyDescent="0.25">
      <c r="A701">
        <v>4</v>
      </c>
      <c r="B701" t="s">
        <v>139</v>
      </c>
      <c r="C701" t="s">
        <v>141</v>
      </c>
      <c r="D701" t="s">
        <v>1358</v>
      </c>
      <c r="E701" t="b">
        <f t="shared" si="67"/>
        <v>1</v>
      </c>
      <c r="F701" t="s">
        <v>1359</v>
      </c>
      <c r="G701" t="str">
        <f>IF(ISERROR(VLOOKUP(F701,MODIFICACIONES_REALIZADAS!F:H,3,)),F701,VLOOKUP(F701,MODIFICACIONES_REALIZADAS!F:H,3,))</f>
        <v>SM-E-ASR-RestoMesAnterior</v>
      </c>
      <c r="H701">
        <v>20140101</v>
      </c>
      <c r="I701">
        <v>22000101</v>
      </c>
    </row>
    <row r="702" spans="1:11" x14ac:dyDescent="0.25">
      <c r="A702">
        <v>4</v>
      </c>
      <c r="B702" t="s">
        <v>139</v>
      </c>
      <c r="C702" t="s">
        <v>141</v>
      </c>
      <c r="D702" t="s">
        <v>1343</v>
      </c>
      <c r="E702" t="b">
        <f t="shared" si="67"/>
        <v>1</v>
      </c>
      <c r="F702" t="s">
        <v>1360</v>
      </c>
      <c r="G702" t="str">
        <f>IF(ISERROR(VLOOKUP(F702,MODIFICACIONES_REALIZADAS!F:H,3,)),F702,VLOOKUP(F702,MODIFICACIONES_REALIZADAS!F:H,3,))</f>
        <v>SM-E-ARA-ImportePago-Resto</v>
      </c>
      <c r="H702">
        <v>20140101</v>
      </c>
      <c r="I702">
        <v>22000101</v>
      </c>
    </row>
    <row r="703" spans="1:11" x14ac:dyDescent="0.25">
      <c r="A703">
        <v>4</v>
      </c>
      <c r="B703" t="s">
        <v>139</v>
      </c>
      <c r="C703" t="s">
        <v>141</v>
      </c>
      <c r="D703" t="s">
        <v>1361</v>
      </c>
      <c r="E703" t="b">
        <f t="shared" si="67"/>
        <v>1</v>
      </c>
      <c r="F703" t="s">
        <v>1362</v>
      </c>
      <c r="G703" t="str">
        <f>IF(ISERROR(VLOOKUP(F703,MODIFICACIONES_REALIZADAS!F:H,3,)),F703,VLOOKUP(F703,MODIFICACIONES_REALIZADAS!F:H,3,))</f>
        <v>SM-E-ASR-ImporteFinal-Resto</v>
      </c>
      <c r="H703">
        <v>20140101</v>
      </c>
      <c r="I703">
        <v>22000101</v>
      </c>
    </row>
    <row r="704" spans="1:11" x14ac:dyDescent="0.25">
      <c r="A704">
        <v>4</v>
      </c>
      <c r="B704" t="s">
        <v>143</v>
      </c>
      <c r="C704" t="s">
        <v>145</v>
      </c>
      <c r="D704" t="s">
        <v>1363</v>
      </c>
      <c r="E704" t="b">
        <f t="shared" si="67"/>
        <v>1</v>
      </c>
      <c r="F704" t="s">
        <v>1364</v>
      </c>
      <c r="G704" t="str">
        <f>IF(ISERROR(VLOOKUP(F704,MODIFICACIONES_REALIZADAS!F:H,3,)),F704,VLOOKUP(F704,MODIFICACIONES_REALIZADAS!F:H,3,))</f>
        <v>DC-O-COM-ServiciosAsistencia-Importe</v>
      </c>
      <c r="H704">
        <v>20140101</v>
      </c>
      <c r="I704">
        <v>22000101</v>
      </c>
    </row>
    <row r="705" spans="1:11" x14ac:dyDescent="0.25">
      <c r="A705">
        <v>4</v>
      </c>
      <c r="B705" t="s">
        <v>143</v>
      </c>
      <c r="C705" t="s">
        <v>145</v>
      </c>
      <c r="D705" t="s">
        <v>1348</v>
      </c>
      <c r="E705" t="b">
        <f>F705=G705</f>
        <v>1</v>
      </c>
      <c r="F705" t="s">
        <v>676</v>
      </c>
      <c r="G705" t="str">
        <f>IF(ISERROR(VLOOKUP(F705,MODIFICACIONES_REALIZADAS!F:H,3,)),F705,VLOOKUP(F705,MODIFICACIONES_REALIZADAS!F:H,3,))</f>
        <v>DC-E-GEN-Agente-NumeroPolizas-998</v>
      </c>
      <c r="H705">
        <v>20140101</v>
      </c>
      <c r="I705">
        <v>22000101</v>
      </c>
    </row>
    <row r="706" spans="1:11" x14ac:dyDescent="0.25">
      <c r="A706" s="22">
        <v>4</v>
      </c>
      <c r="B706" s="22" t="s">
        <v>143</v>
      </c>
      <c r="C706" s="22" t="s">
        <v>145</v>
      </c>
      <c r="D706" s="22" t="s">
        <v>900</v>
      </c>
      <c r="E706" s="22" t="b">
        <f t="shared" ref="E706" si="68">F706=G706</f>
        <v>1</v>
      </c>
      <c r="F706" s="22" t="s">
        <v>1365</v>
      </c>
      <c r="G706" s="22" t="str">
        <f>IF(ISERROR(VLOOKUP(F706,MODIFICACIONES_REALIZADAS!F:H,3,)),F706,VLOOKUP(F706,MODIFICACIONES_REALIZADAS!F:H,3,))</f>
        <v>DC-E-GEN-Agente-NumAsegurados</v>
      </c>
      <c r="H706" s="22">
        <v>20180101</v>
      </c>
      <c r="I706" s="22">
        <v>22000101</v>
      </c>
      <c r="J706" s="22" t="s">
        <v>1349</v>
      </c>
      <c r="K706" s="22"/>
    </row>
    <row r="707" spans="1:11" x14ac:dyDescent="0.25">
      <c r="A707">
        <v>4</v>
      </c>
      <c r="B707" t="s">
        <v>146</v>
      </c>
      <c r="C707" t="s">
        <v>148</v>
      </c>
      <c r="D707" t="s">
        <v>1366</v>
      </c>
      <c r="E707" t="b">
        <f t="shared" ref="E707:E894" si="69">F707=G707</f>
        <v>1</v>
      </c>
      <c r="F707" t="s">
        <v>1367</v>
      </c>
      <c r="G707" t="str">
        <f>IF(ISERROR(VLOOKUP(F707,MODIFICACIONES_REALIZADAS!F:H,3,)),F707,VLOOKUP(F707,MODIFICACIONES_REALIZADAS!F:H,3,))</f>
        <v>I-O-RACH-Inspector-PagoMensual</v>
      </c>
      <c r="H707">
        <v>20140101</v>
      </c>
      <c r="I707">
        <v>22000101</v>
      </c>
    </row>
    <row r="708" spans="1:11" x14ac:dyDescent="0.25">
      <c r="A708">
        <v>4</v>
      </c>
      <c r="B708" t="s">
        <v>146</v>
      </c>
      <c r="C708" t="s">
        <v>148</v>
      </c>
      <c r="D708" t="s">
        <v>1368</v>
      </c>
      <c r="E708" t="b">
        <f t="shared" si="69"/>
        <v>1</v>
      </c>
      <c r="F708" t="s">
        <v>1369</v>
      </c>
      <c r="G708" t="str">
        <f>IF(ISERROR(VLOOKUP(F708,MODIFICACIONES_REALIZADAS!F:H,3,)),F708,VLOOKUP(F708,MODIFICACIONES_REALIZADAS!F:H,3,))</f>
        <v>I-O-RACH-Agente-PagoMensual</v>
      </c>
      <c r="H708">
        <v>20140101</v>
      </c>
      <c r="I708">
        <v>22000101</v>
      </c>
    </row>
    <row r="709" spans="1:11" x14ac:dyDescent="0.25">
      <c r="A709">
        <v>4</v>
      </c>
      <c r="B709" t="s">
        <v>146</v>
      </c>
      <c r="C709" t="s">
        <v>148</v>
      </c>
      <c r="D709" t="s">
        <v>1370</v>
      </c>
      <c r="E709" t="b">
        <f>F709=G709</f>
        <v>1</v>
      </c>
      <c r="F709" t="s">
        <v>1371</v>
      </c>
      <c r="G709" t="str">
        <f>IF(ISERROR(VLOOKUP(F709,MODIFICACIONES_REALIZADAS!F:H,3,)),F709,VLOOKUP(F709,MODIFICACIONES_REALIZADAS!F:H,3,))</f>
        <v>I-O-RACH-AgenteGrupo-PagoMensual</v>
      </c>
      <c r="H709">
        <v>20140101</v>
      </c>
      <c r="I709">
        <v>22000101</v>
      </c>
    </row>
    <row r="710" spans="1:11" x14ac:dyDescent="0.25">
      <c r="A710">
        <v>4</v>
      </c>
      <c r="B710" t="s">
        <v>146</v>
      </c>
      <c r="C710" t="s">
        <v>148</v>
      </c>
      <c r="D710" t="s">
        <v>1372</v>
      </c>
      <c r="E710" t="b">
        <f t="shared" si="69"/>
        <v>1</v>
      </c>
      <c r="F710" t="s">
        <v>1373</v>
      </c>
      <c r="G710" t="str">
        <f>IF(ISERROR(VLOOKUP(F710,MODIFICACIONES_REALIZADAS!F:H,3,)),F710,VLOOKUP(F710,MODIFICACIONES_REALIZADAS!F:H,3,))</f>
        <v>I-O-RACH-Inspector-PagoPremio</v>
      </c>
      <c r="H710">
        <v>20140101</v>
      </c>
      <c r="I710">
        <v>22000101</v>
      </c>
    </row>
    <row r="711" spans="1:11" x14ac:dyDescent="0.25">
      <c r="A711">
        <v>4</v>
      </c>
      <c r="B711" t="s">
        <v>146</v>
      </c>
      <c r="C711" t="s">
        <v>148</v>
      </c>
      <c r="D711" t="s">
        <v>1374</v>
      </c>
      <c r="E711" t="b">
        <f t="shared" si="69"/>
        <v>1</v>
      </c>
      <c r="F711" t="s">
        <v>1375</v>
      </c>
      <c r="G711" t="str">
        <f>IF(ISERROR(VLOOKUP(F711,MODIFICACIONES_REALIZADAS!F:H,3,)),F711,VLOOKUP(F711,MODIFICACIONES_REALIZADAS!F:H,3,))</f>
        <v>I-O-RACH-Agente-PagoPremio</v>
      </c>
      <c r="H711">
        <v>20140101</v>
      </c>
      <c r="I711">
        <v>22000101</v>
      </c>
    </row>
    <row r="712" spans="1:11" x14ac:dyDescent="0.25">
      <c r="A712">
        <v>4</v>
      </c>
      <c r="B712" t="s">
        <v>146</v>
      </c>
      <c r="C712" t="s">
        <v>148</v>
      </c>
      <c r="D712" t="s">
        <v>1376</v>
      </c>
      <c r="E712" t="b">
        <f>F712=G712</f>
        <v>1</v>
      </c>
      <c r="F712" t="s">
        <v>1377</v>
      </c>
      <c r="G712" t="str">
        <f>IF(ISERROR(VLOOKUP(F712,MODIFICACIONES_REALIZADAS!F:H,3,)),F712,VLOOKUP(F712,MODIFICACIONES_REALIZADAS!F:H,3,))</f>
        <v>I-O-RACH-AgenteGrupo-PagoPremio</v>
      </c>
      <c r="H712">
        <v>20140101</v>
      </c>
      <c r="I712">
        <v>22000101</v>
      </c>
    </row>
    <row r="713" spans="1:11" x14ac:dyDescent="0.25">
      <c r="A713">
        <v>4</v>
      </c>
      <c r="B713" t="s">
        <v>151</v>
      </c>
      <c r="C713" t="s">
        <v>153</v>
      </c>
      <c r="D713" t="s">
        <v>1378</v>
      </c>
      <c r="E713" t="b">
        <f t="shared" si="69"/>
        <v>1</v>
      </c>
      <c r="F713" t="s">
        <v>1379</v>
      </c>
      <c r="G713" t="str">
        <f>IF(ISERROR(VLOOKUP(F713,MODIFICACIONES_REALIZADAS!F:H,3,)),F713,VLOOKUP(F713,MODIFICACIONES_REALIZADAS!F:H,3,))</f>
        <v>I-GEN-MIN-S4S5-Pago</v>
      </c>
      <c r="H713">
        <v>20140101</v>
      </c>
      <c r="I713">
        <v>22000101</v>
      </c>
    </row>
    <row r="714" spans="1:11" x14ac:dyDescent="0.25">
      <c r="A714">
        <v>4</v>
      </c>
      <c r="B714" t="s">
        <v>151</v>
      </c>
      <c r="C714" t="s">
        <v>153</v>
      </c>
      <c r="D714" t="s">
        <v>213</v>
      </c>
      <c r="E714" t="b">
        <f t="shared" si="69"/>
        <v>1</v>
      </c>
      <c r="F714" t="s">
        <v>1380</v>
      </c>
      <c r="G714" t="str">
        <f>IF(ISERROR(VLOOKUP(F714,MODIFICACIONES_REALIZADAS!F:H,3,)),F714,VLOOKUP(F714,MODIFICACIONES_REALIZADAS!F:H,3,))</f>
        <v>I-GEN-MIN-S5-Pago</v>
      </c>
      <c r="H714">
        <v>20140101</v>
      </c>
      <c r="I714">
        <v>22000101</v>
      </c>
    </row>
    <row r="715" spans="1:11" x14ac:dyDescent="0.25">
      <c r="A715">
        <v>4</v>
      </c>
      <c r="B715" t="s">
        <v>151</v>
      </c>
      <c r="C715" t="s">
        <v>153</v>
      </c>
      <c r="D715" t="s">
        <v>1381</v>
      </c>
      <c r="E715" t="b">
        <f t="shared" si="69"/>
        <v>1</v>
      </c>
      <c r="F715" t="s">
        <v>1382</v>
      </c>
      <c r="G715" t="str">
        <f>IF(ISERROR(VLOOKUP(F715,MODIFICACIONES_REALIZADAS!F:H,3,)),F715,VLOOKUP(F715,MODIFICACIONES_REALIZADAS!F:H,3,))</f>
        <v>I-GEN-MIN-Rappel-Pago</v>
      </c>
      <c r="H715">
        <v>20140101</v>
      </c>
      <c r="I715">
        <v>22000101</v>
      </c>
    </row>
    <row r="716" spans="1:11" x14ac:dyDescent="0.25">
      <c r="A716">
        <v>4</v>
      </c>
      <c r="B716" t="s">
        <v>151</v>
      </c>
      <c r="C716" t="s">
        <v>153</v>
      </c>
      <c r="D716" t="s">
        <v>1267</v>
      </c>
      <c r="E716" t="b">
        <f t="shared" si="69"/>
        <v>1</v>
      </c>
      <c r="F716" t="s">
        <v>1268</v>
      </c>
      <c r="G716" t="str">
        <f>IF(ISERROR(VLOOKUP(F716,MODIFICACIONES_REALIZADAS!F:H,3,)),F716,VLOOKUP(F716,MODIFICACIONES_REALIZADAS!F:H,3,))</f>
        <v>SM-O-GEN-Agente-Total-Comisiones</v>
      </c>
      <c r="H716">
        <v>20140101</v>
      </c>
      <c r="I716">
        <v>22000101</v>
      </c>
    </row>
    <row r="717" spans="1:11" x14ac:dyDescent="0.25">
      <c r="A717">
        <v>4</v>
      </c>
      <c r="B717" t="s">
        <v>151</v>
      </c>
      <c r="C717" t="s">
        <v>153</v>
      </c>
      <c r="D717" t="s">
        <v>1383</v>
      </c>
      <c r="E717" t="b">
        <f t="shared" si="69"/>
        <v>1</v>
      </c>
      <c r="F717" t="s">
        <v>1269</v>
      </c>
      <c r="G717" t="str">
        <f>IF(ISERROR(VLOOKUP(F717,MODIFICACIONES_REALIZADAS!F:H,3,)),F717,VLOOKUP(F717,MODIFICACIONES_REALIZADAS!F:H,3,))</f>
        <v>SM-E-GEN-Agente-Total-Comisiones</v>
      </c>
      <c r="H717">
        <v>20140101</v>
      </c>
      <c r="I717">
        <v>22000101</v>
      </c>
    </row>
    <row r="718" spans="1:11" x14ac:dyDescent="0.25">
      <c r="A718">
        <v>4</v>
      </c>
      <c r="B718" t="s">
        <v>151</v>
      </c>
      <c r="C718" t="s">
        <v>153</v>
      </c>
      <c r="D718" t="s">
        <v>1383</v>
      </c>
      <c r="E718" t="b">
        <f t="shared" si="69"/>
        <v>1</v>
      </c>
      <c r="F718" t="s">
        <v>912</v>
      </c>
      <c r="G718" t="str">
        <f>IF(ISERROR(VLOOKUP(F718,MODIFICACIONES_REALIZADAS!F:H,3,)),F718,VLOOKUP(F718,MODIFICACIONES_REALIZADAS!F:H,3,))</f>
        <v>I-O-DIF-Inspector-ImporteMensual-004-y-NoPrioritarios-RRTT</v>
      </c>
      <c r="H718">
        <v>20140101</v>
      </c>
      <c r="I718">
        <v>22000101</v>
      </c>
    </row>
    <row r="719" spans="1:11" x14ac:dyDescent="0.25">
      <c r="A719">
        <v>4</v>
      </c>
      <c r="B719" t="s">
        <v>151</v>
      </c>
      <c r="C719" t="s">
        <v>153</v>
      </c>
      <c r="D719" t="s">
        <v>1383</v>
      </c>
      <c r="E719" t="b">
        <f t="shared" si="69"/>
        <v>1</v>
      </c>
      <c r="F719" t="s">
        <v>914</v>
      </c>
      <c r="G719" t="str">
        <f>IF(ISERROR(VLOOKUP(F719,MODIFICACIONES_REALIZADAS!F:H,3,)),F719,VLOOKUP(F719,MODIFICACIONES_REALIZADAS!F:H,3,))</f>
        <v>I-O-DIF-Inspector-ImporteMensual-Prioritarios-Sin-VidaAhorro-RRTT</v>
      </c>
      <c r="H719">
        <v>20140101</v>
      </c>
      <c r="I719">
        <v>22000101</v>
      </c>
    </row>
    <row r="720" spans="1:11" x14ac:dyDescent="0.25">
      <c r="A720">
        <v>4</v>
      </c>
      <c r="B720" t="s">
        <v>151</v>
      </c>
      <c r="C720" t="s">
        <v>153</v>
      </c>
      <c r="D720" t="s">
        <v>1383</v>
      </c>
      <c r="E720" t="b">
        <f t="shared" si="69"/>
        <v>1</v>
      </c>
      <c r="F720" t="s">
        <v>913</v>
      </c>
      <c r="G720" t="str">
        <f>IF(ISERROR(VLOOKUP(F720,MODIFICACIONES_REALIZADAS!F:H,3,)),F720,VLOOKUP(F720,MODIFICACIONES_REALIZADAS!F:H,3,))</f>
        <v>I-O-DIF-Inspector-ImporteMensual-004-y-NoPrioritarios-RRGG</v>
      </c>
      <c r="H720">
        <v>20140101</v>
      </c>
      <c r="I720">
        <v>22000101</v>
      </c>
    </row>
    <row r="721" spans="1:9" x14ac:dyDescent="0.25">
      <c r="A721">
        <v>4</v>
      </c>
      <c r="B721" t="s">
        <v>151</v>
      </c>
      <c r="C721" t="s">
        <v>153</v>
      </c>
      <c r="D721" t="s">
        <v>1383</v>
      </c>
      <c r="E721" t="b">
        <f t="shared" si="69"/>
        <v>1</v>
      </c>
      <c r="F721" t="s">
        <v>915</v>
      </c>
      <c r="G721" t="str">
        <f>IF(ISERROR(VLOOKUP(F721,MODIFICACIONES_REALIZADAS!F:H,3,)),F721,VLOOKUP(F721,MODIFICACIONES_REALIZADAS!F:H,3,))</f>
        <v>I-O-DIF-Inspector-ImporteMensual-Prioritarios-Sin-VidaAhorro-RRGG</v>
      </c>
      <c r="H721">
        <v>20140101</v>
      </c>
      <c r="I721">
        <v>22000101</v>
      </c>
    </row>
    <row r="722" spans="1:9" x14ac:dyDescent="0.25">
      <c r="A722">
        <v>4</v>
      </c>
      <c r="B722" t="s">
        <v>151</v>
      </c>
      <c r="C722" t="s">
        <v>153</v>
      </c>
      <c r="D722" t="s">
        <v>1383</v>
      </c>
      <c r="E722" t="b">
        <f t="shared" si="69"/>
        <v>1</v>
      </c>
      <c r="F722" t="s">
        <v>1234</v>
      </c>
      <c r="G722" t="str">
        <f>IF(ISERROR(VLOOKUP(F722,MODIFICACIONES_REALIZADAS!F:H,3,)),F722,VLOOKUP(F722,MODIFICACIONES_REALIZADAS!F:H,3,))</f>
        <v>I-E-DIF-Inspector-PagoMensual-RRTT</v>
      </c>
      <c r="H722">
        <v>20140101</v>
      </c>
      <c r="I722">
        <v>22000101</v>
      </c>
    </row>
    <row r="723" spans="1:9" x14ac:dyDescent="0.25">
      <c r="A723">
        <v>4</v>
      </c>
      <c r="B723" t="s">
        <v>151</v>
      </c>
      <c r="C723" t="s">
        <v>153</v>
      </c>
      <c r="D723" t="s">
        <v>1383</v>
      </c>
      <c r="E723" t="b">
        <f t="shared" si="69"/>
        <v>1</v>
      </c>
      <c r="F723" t="s">
        <v>1235</v>
      </c>
      <c r="G723" t="str">
        <f>IF(ISERROR(VLOOKUP(F723,MODIFICACIONES_REALIZADAS!F:H,3,)),F723,VLOOKUP(F723,MODIFICACIONES_REALIZADAS!F:H,3,))</f>
        <v>I-E-DIF-Inspector-PagoMensual-RRGG</v>
      </c>
      <c r="H723">
        <v>20140101</v>
      </c>
      <c r="I723">
        <v>22000101</v>
      </c>
    </row>
    <row r="724" spans="1:9" x14ac:dyDescent="0.25">
      <c r="A724">
        <v>4</v>
      </c>
      <c r="B724" t="s">
        <v>151</v>
      </c>
      <c r="C724" t="s">
        <v>153</v>
      </c>
      <c r="D724" t="s">
        <v>1383</v>
      </c>
      <c r="E724" t="b">
        <f t="shared" si="69"/>
        <v>1</v>
      </c>
      <c r="F724" t="s">
        <v>1148</v>
      </c>
      <c r="G724" t="str">
        <f>IF(ISERROR(VLOOKUP(F724,MODIFICACIONES_REALIZADAS!F:H,3,)),F724,VLOOKUP(F724,MODIFICACIONES_REALIZADAS!F:H,3,))</f>
        <v>I-O-AN1-Inspector-Pago-Anulaciones</v>
      </c>
      <c r="H724">
        <v>20140101</v>
      </c>
      <c r="I724">
        <v>22000101</v>
      </c>
    </row>
    <row r="725" spans="1:9" x14ac:dyDescent="0.25">
      <c r="A725">
        <v>4</v>
      </c>
      <c r="B725" t="s">
        <v>151</v>
      </c>
      <c r="C725" t="s">
        <v>153</v>
      </c>
      <c r="D725" t="s">
        <v>1383</v>
      </c>
      <c r="E725" t="b">
        <f t="shared" si="69"/>
        <v>1</v>
      </c>
      <c r="F725" t="s">
        <v>1384</v>
      </c>
      <c r="G725" t="str">
        <f>IF(ISERROR(VLOOKUP(F725,MODIFICACIONES_REALIZADAS!F:H,3,)),F725,VLOOKUP(F725,MODIFICACIONES_REALIZADAS!F:H,3,))</f>
        <v>I-RPP-Inspector-ImporteMensual</v>
      </c>
      <c r="H725">
        <v>20140101</v>
      </c>
      <c r="I725">
        <v>22000101</v>
      </c>
    </row>
    <row r="726" spans="1:9" x14ac:dyDescent="0.25">
      <c r="A726">
        <v>4</v>
      </c>
      <c r="B726" t="s">
        <v>151</v>
      </c>
      <c r="C726" t="s">
        <v>153</v>
      </c>
      <c r="D726" t="s">
        <v>1383</v>
      </c>
      <c r="E726" t="b">
        <f t="shared" si="69"/>
        <v>1</v>
      </c>
      <c r="F726" t="s">
        <v>463</v>
      </c>
      <c r="G726" t="str">
        <f>IF(ISERROR(VLOOKUP(F726,MODIFICACIONES_REALIZADAS!F:H,3,)),F726,VLOOKUP(F726,MODIFICACIONES_REALIZADAS!F:H,3,))</f>
        <v>I-RPP-Inspector-ImporteRegTrimestral</v>
      </c>
      <c r="H726">
        <v>20140101</v>
      </c>
      <c r="I726">
        <v>22000101</v>
      </c>
    </row>
    <row r="727" spans="1:9" x14ac:dyDescent="0.25">
      <c r="A727">
        <v>4</v>
      </c>
      <c r="B727" t="s">
        <v>151</v>
      </c>
      <c r="C727" t="s">
        <v>153</v>
      </c>
      <c r="D727" t="s">
        <v>1383</v>
      </c>
      <c r="E727" t="b">
        <f t="shared" si="69"/>
        <v>1</v>
      </c>
      <c r="F727" t="s">
        <v>1385</v>
      </c>
      <c r="G727" t="str">
        <f>IF(ISERROR(VLOOKUP(F727,MODIFICACIONES_REALIZADAS!F:H,3,)),F727,VLOOKUP(F727,MODIFICACIONES_REALIZADAS!F:H,3,))</f>
        <v>I-RPP-Inspector-ImporteRegAnual</v>
      </c>
      <c r="H727">
        <v>20140101</v>
      </c>
      <c r="I727">
        <v>22000101</v>
      </c>
    </row>
    <row r="728" spans="1:9" x14ac:dyDescent="0.25">
      <c r="A728">
        <v>4</v>
      </c>
      <c r="B728" t="s">
        <v>151</v>
      </c>
      <c r="C728" t="s">
        <v>153</v>
      </c>
      <c r="D728" t="s">
        <v>1383</v>
      </c>
      <c r="E728" t="b">
        <f t="shared" si="69"/>
        <v>1</v>
      </c>
      <c r="F728" t="s">
        <v>1386</v>
      </c>
      <c r="G728" t="str">
        <f>IF(ISERROR(VLOOKUP(F728,MODIFICACIONES_REALIZADAS!F:H,3,)),F728,VLOOKUP(F728,MODIFICACIONES_REALIZADAS!F:H,3,))</f>
        <v>I-O-REA-Inspector-Pago</v>
      </c>
      <c r="H728">
        <v>20140101</v>
      </c>
      <c r="I728">
        <v>22000101</v>
      </c>
    </row>
    <row r="729" spans="1:9" x14ac:dyDescent="0.25">
      <c r="A729">
        <v>4</v>
      </c>
      <c r="B729" t="s">
        <v>151</v>
      </c>
      <c r="C729" t="s">
        <v>153</v>
      </c>
      <c r="D729" t="s">
        <v>1383</v>
      </c>
      <c r="E729" t="b">
        <f t="shared" si="69"/>
        <v>1</v>
      </c>
      <c r="F729" t="s">
        <v>1387</v>
      </c>
      <c r="G729" t="str">
        <f>IF(ISERROR(VLOOKUP(F729,MODIFICACIONES_REALIZADAS!F:H,3,)),F729,VLOOKUP(F729,MODIFICACIONES_REALIZADAS!F:H,3,))</f>
        <v>I-O-RECOA-Inspector-PagoTrimestral</v>
      </c>
      <c r="H729">
        <v>20140101</v>
      </c>
      <c r="I729">
        <v>22000101</v>
      </c>
    </row>
    <row r="730" spans="1:9" x14ac:dyDescent="0.25">
      <c r="A730">
        <v>4</v>
      </c>
      <c r="B730" t="s">
        <v>151</v>
      </c>
      <c r="C730" t="s">
        <v>153</v>
      </c>
      <c r="D730" t="s">
        <v>1383</v>
      </c>
      <c r="E730" t="b">
        <f t="shared" si="69"/>
        <v>1</v>
      </c>
      <c r="F730" t="s">
        <v>1388</v>
      </c>
      <c r="G730" t="str">
        <f>IF(ISERROR(VLOOKUP(F730,MODIFICACIONES_REALIZADAS!F:H,3,)),F730,VLOOKUP(F730,MODIFICACIONES_REALIZADAS!F:H,3,))</f>
        <v>I-O-PP-Inspector-Extorno</v>
      </c>
      <c r="H730">
        <v>20140101</v>
      </c>
      <c r="I730">
        <v>22000101</v>
      </c>
    </row>
    <row r="731" spans="1:9" x14ac:dyDescent="0.25">
      <c r="A731">
        <v>4</v>
      </c>
      <c r="B731" t="s">
        <v>151</v>
      </c>
      <c r="C731" t="s">
        <v>153</v>
      </c>
      <c r="D731" t="s">
        <v>1383</v>
      </c>
      <c r="E731" t="b">
        <f t="shared" si="69"/>
        <v>1</v>
      </c>
      <c r="F731" t="s">
        <v>1389</v>
      </c>
      <c r="G731" t="str">
        <f>IF(ISERROR(VLOOKUP(F731,MODIFICACIONES_REALIZADAS!F:H,3,)),F731,VLOOKUP(F731,MODIFICACIONES_REALIZADAS!F:H,3,))</f>
        <v>I-O-COMU-Inspector-Pago</v>
      </c>
      <c r="H731">
        <v>20140101</v>
      </c>
      <c r="I731">
        <v>22000101</v>
      </c>
    </row>
    <row r="732" spans="1:9" x14ac:dyDescent="0.25">
      <c r="A732">
        <v>4</v>
      </c>
      <c r="B732" t="s">
        <v>151</v>
      </c>
      <c r="C732" t="s">
        <v>153</v>
      </c>
      <c r="D732" t="s">
        <v>1383</v>
      </c>
      <c r="E732" t="b">
        <f t="shared" si="69"/>
        <v>1</v>
      </c>
      <c r="F732" t="s">
        <v>1390</v>
      </c>
      <c r="G732" t="str">
        <f>IF(ISERROR(VLOOKUP(F732,MODIFICACIONES_REALIZADAS!F:H,3,)),F732,VLOOKUP(F732,MODIFICACIONES_REALIZADAS!F:H,3,))</f>
        <v>I-O-REH-Inspector-PagoMensual</v>
      </c>
      <c r="H732">
        <v>20140101</v>
      </c>
      <c r="I732">
        <v>22000101</v>
      </c>
    </row>
    <row r="733" spans="1:9" x14ac:dyDescent="0.25">
      <c r="A733">
        <v>4</v>
      </c>
      <c r="B733" t="s">
        <v>151</v>
      </c>
      <c r="C733" t="s">
        <v>153</v>
      </c>
      <c r="D733" t="s">
        <v>1383</v>
      </c>
      <c r="E733" t="b">
        <f t="shared" si="69"/>
        <v>1</v>
      </c>
      <c r="F733" t="s">
        <v>1391</v>
      </c>
      <c r="G733" t="str">
        <f>IF(ISERROR(VLOOKUP(F733,MODIFICACIONES_REALIZADAS!F:H,3,)),F733,VLOOKUP(F733,MODIFICACIONES_REALIZADAS!F:H,3,))</f>
        <v>I-O-REP-Inspector-PagoMensual</v>
      </c>
      <c r="H733">
        <v>20140101</v>
      </c>
      <c r="I733">
        <v>22000101</v>
      </c>
    </row>
    <row r="734" spans="1:9" x14ac:dyDescent="0.25">
      <c r="A734">
        <v>4</v>
      </c>
      <c r="B734" t="s">
        <v>151</v>
      </c>
      <c r="C734" t="s">
        <v>153</v>
      </c>
      <c r="D734" t="s">
        <v>1383</v>
      </c>
      <c r="E734" t="b">
        <f t="shared" si="69"/>
        <v>1</v>
      </c>
      <c r="F734" t="s">
        <v>1367</v>
      </c>
      <c r="G734" t="str">
        <f>IF(ISERROR(VLOOKUP(F734,MODIFICACIONES_REALIZADAS!F:H,3,)),F734,VLOOKUP(F734,MODIFICACIONES_REALIZADAS!F:H,3,))</f>
        <v>I-O-RACH-Inspector-PagoMensual</v>
      </c>
      <c r="H734">
        <v>20140101</v>
      </c>
      <c r="I734">
        <v>22000101</v>
      </c>
    </row>
    <row r="735" spans="1:9" x14ac:dyDescent="0.25">
      <c r="A735">
        <v>4</v>
      </c>
      <c r="B735" t="s">
        <v>151</v>
      </c>
      <c r="C735" t="s">
        <v>153</v>
      </c>
      <c r="D735" t="s">
        <v>1383</v>
      </c>
      <c r="E735" t="b">
        <f t="shared" si="69"/>
        <v>1</v>
      </c>
      <c r="F735" t="s">
        <v>1373</v>
      </c>
      <c r="G735" t="str">
        <f>IF(ISERROR(VLOOKUP(F735,MODIFICACIONES_REALIZADAS!F:H,3,)),F735,VLOOKUP(F735,MODIFICACIONES_REALIZADAS!F:H,3,))</f>
        <v>I-O-RACH-Inspector-PagoPremio</v>
      </c>
      <c r="H735">
        <v>20140101</v>
      </c>
      <c r="I735">
        <v>22000101</v>
      </c>
    </row>
    <row r="736" spans="1:9" x14ac:dyDescent="0.25">
      <c r="A736">
        <v>4</v>
      </c>
      <c r="B736" t="s">
        <v>151</v>
      </c>
      <c r="C736" t="s">
        <v>153</v>
      </c>
      <c r="D736" t="s">
        <v>1383</v>
      </c>
      <c r="E736" t="b">
        <f t="shared" si="69"/>
        <v>1</v>
      </c>
      <c r="F736" t="s">
        <v>1392</v>
      </c>
      <c r="G736" t="str">
        <f>IF(ISERROR(VLOOKUP(F736,MODIFICACIONES_REALIZADAS!F:H,3,)),F736,VLOOKUP(F736,MODIFICACIONES_REALIZADAS!F:H,3,))</f>
        <v>I-O-AN2-Inspecotr-BLOQUE1-Pago-Anulaciones</v>
      </c>
      <c r="H736">
        <v>20140101</v>
      </c>
      <c r="I736">
        <v>22000101</v>
      </c>
    </row>
    <row r="737" spans="1:11" x14ac:dyDescent="0.25">
      <c r="A737">
        <v>4</v>
      </c>
      <c r="B737" t="s">
        <v>151</v>
      </c>
      <c r="C737" t="s">
        <v>153</v>
      </c>
      <c r="D737" t="s">
        <v>1383</v>
      </c>
      <c r="E737" t="b">
        <f t="shared" si="69"/>
        <v>1</v>
      </c>
      <c r="F737" t="s">
        <v>1393</v>
      </c>
      <c r="G737" t="str">
        <f>IF(ISERROR(VLOOKUP(F737,MODIFICACIONES_REALIZADAS!F:H,3,)),F737,VLOOKUP(F737,MODIFICACIONES_REALIZADAS!F:H,3,))</f>
        <v>I-O-AN2-Inspecotr-BLOQUE2-Pago-Anulaciones</v>
      </c>
      <c r="H737">
        <v>20140101</v>
      </c>
      <c r="I737">
        <v>22000101</v>
      </c>
    </row>
    <row r="738" spans="1:11" x14ac:dyDescent="0.25">
      <c r="A738" s="2">
        <v>4</v>
      </c>
      <c r="B738" s="2" t="s">
        <v>155</v>
      </c>
      <c r="C738" s="2" t="s">
        <v>157</v>
      </c>
      <c r="D738" s="2" t="s">
        <v>1394</v>
      </c>
      <c r="E738" s="2" t="b">
        <f t="shared" si="69"/>
        <v>1</v>
      </c>
      <c r="F738" s="2" t="s">
        <v>1395</v>
      </c>
      <c r="G738" s="2" t="str">
        <f>IF(ISERROR(VLOOKUP(F738,MODIFICACIONES_REALIZADAS!F:H,3,)),F738,VLOOKUP(F738,MODIFICACIONES_REALIZADAS!F:H,3,))</f>
        <v>PM-O-GEN-Inspector-NumeroPolizas-998</v>
      </c>
      <c r="H738" s="2">
        <v>20140101</v>
      </c>
      <c r="I738" s="2">
        <v>20170101</v>
      </c>
      <c r="J738" s="2" t="s">
        <v>71</v>
      </c>
      <c r="K738" s="2"/>
    </row>
    <row r="739" spans="1:11" x14ac:dyDescent="0.25">
      <c r="A739" s="2">
        <v>4</v>
      </c>
      <c r="B739" s="2" t="s">
        <v>155</v>
      </c>
      <c r="C739" s="2" t="s">
        <v>157</v>
      </c>
      <c r="D739" s="2" t="s">
        <v>1394</v>
      </c>
      <c r="E739" s="2" t="b">
        <f t="shared" si="69"/>
        <v>1</v>
      </c>
      <c r="F739" s="2" t="s">
        <v>1396</v>
      </c>
      <c r="G739" s="2" t="str">
        <f>IF(ISERROR(VLOOKUP(F739,MODIFICACIONES_REALIZADAS!F:H,3,)),F739,VLOOKUP(F739,MODIFICACIONES_REALIZADAS!F:H,3,))</f>
        <v>PM-O-GEN-Inspector-NumeroPolizas-998-Agentes</v>
      </c>
      <c r="H739" s="2">
        <v>20140101</v>
      </c>
      <c r="I739" s="2">
        <v>20170101</v>
      </c>
      <c r="J739" s="2" t="s">
        <v>71</v>
      </c>
      <c r="K739" s="2"/>
    </row>
    <row r="740" spans="1:11" x14ac:dyDescent="0.25">
      <c r="A740" s="2">
        <v>4</v>
      </c>
      <c r="B740" s="2" t="s">
        <v>155</v>
      </c>
      <c r="C740" s="2" t="s">
        <v>157</v>
      </c>
      <c r="D740" s="2" t="s">
        <v>1394</v>
      </c>
      <c r="E740" s="2" t="b">
        <f t="shared" si="69"/>
        <v>1</v>
      </c>
      <c r="F740" s="2" t="s">
        <v>1397</v>
      </c>
      <c r="G740" s="2" t="str">
        <f>IF(ISERROR(VLOOKUP(F740,MODIFICACIONES_REALIZADAS!F:H,3,)),F740,VLOOKUP(F740,MODIFICACIONES_REALIZADAS!F:H,3,))</f>
        <v>PM-O-GEN-Inspector-PrimaCorregida-998</v>
      </c>
      <c r="H740" s="2">
        <v>20140101</v>
      </c>
      <c r="I740" s="2">
        <v>20170101</v>
      </c>
      <c r="J740" s="2" t="s">
        <v>71</v>
      </c>
      <c r="K740" s="2"/>
    </row>
    <row r="741" spans="1:11" x14ac:dyDescent="0.25">
      <c r="A741" s="2">
        <v>4</v>
      </c>
      <c r="B741" s="2" t="s">
        <v>155</v>
      </c>
      <c r="C741" s="2" t="s">
        <v>157</v>
      </c>
      <c r="D741" s="2" t="s">
        <v>1394</v>
      </c>
      <c r="E741" s="2" t="b">
        <f t="shared" si="69"/>
        <v>1</v>
      </c>
      <c r="F741" s="2" t="s">
        <v>1398</v>
      </c>
      <c r="G741" s="2" t="str">
        <f>IF(ISERROR(VLOOKUP(F741,MODIFICACIONES_REALIZADAS!F:H,3,)),F741,VLOOKUP(F741,MODIFICACIONES_REALIZADAS!F:H,3,))</f>
        <v>PM-O-GEN-Inspector-PrimaCorregida-998-Agentes</v>
      </c>
      <c r="H741" s="2">
        <v>20140101</v>
      </c>
      <c r="I741" s="2">
        <v>20170101</v>
      </c>
      <c r="J741" s="2" t="s">
        <v>71</v>
      </c>
      <c r="K741" s="2"/>
    </row>
    <row r="742" spans="1:11" x14ac:dyDescent="0.25">
      <c r="A742" s="2">
        <v>4</v>
      </c>
      <c r="B742" s="2" t="s">
        <v>155</v>
      </c>
      <c r="C742" s="2" t="s">
        <v>157</v>
      </c>
      <c r="D742" s="2" t="s">
        <v>1394</v>
      </c>
      <c r="E742" s="2" t="b">
        <f t="shared" si="69"/>
        <v>1</v>
      </c>
      <c r="F742" s="2" t="s">
        <v>1399</v>
      </c>
      <c r="G742" s="2" t="str">
        <f>IF(ISERROR(VLOOKUP(F742,MODIFICACIONES_REALIZADAS!F:H,3,)),F742,VLOOKUP(F742,MODIFICACIONES_REALIZADAS!F:H,3,))</f>
        <v>PM-O-GEN-Inspector-NumeroPolizas-991</v>
      </c>
      <c r="H742" s="2">
        <v>20140101</v>
      </c>
      <c r="I742" s="2">
        <v>20170101</v>
      </c>
      <c r="J742" s="2" t="s">
        <v>71</v>
      </c>
      <c r="K742" s="2"/>
    </row>
    <row r="743" spans="1:11" x14ac:dyDescent="0.25">
      <c r="A743" s="2">
        <v>4</v>
      </c>
      <c r="B743" s="2" t="s">
        <v>155</v>
      </c>
      <c r="C743" s="2" t="s">
        <v>157</v>
      </c>
      <c r="D743" s="2" t="s">
        <v>1394</v>
      </c>
      <c r="E743" s="2" t="b">
        <f t="shared" si="69"/>
        <v>1</v>
      </c>
      <c r="F743" s="2" t="s">
        <v>1400</v>
      </c>
      <c r="G743" s="2" t="str">
        <f>IF(ISERROR(VLOOKUP(F743,MODIFICACIONES_REALIZADAS!F:H,3,)),F743,VLOOKUP(F743,MODIFICACIONES_REALIZADAS!F:H,3,))</f>
        <v>PM-O-GEN-Inspector-NumeroPolizas-991-Agentes</v>
      </c>
      <c r="H743" s="2">
        <v>20140101</v>
      </c>
      <c r="I743" s="2">
        <v>20170101</v>
      </c>
      <c r="J743" s="2" t="s">
        <v>71</v>
      </c>
      <c r="K743" s="2"/>
    </row>
    <row r="744" spans="1:11" x14ac:dyDescent="0.25">
      <c r="A744" s="2">
        <v>4</v>
      </c>
      <c r="B744" s="2" t="s">
        <v>155</v>
      </c>
      <c r="C744" s="2" t="s">
        <v>157</v>
      </c>
      <c r="D744" s="2" t="s">
        <v>1394</v>
      </c>
      <c r="E744" s="2" t="b">
        <f t="shared" si="69"/>
        <v>1</v>
      </c>
      <c r="F744" s="2" t="s">
        <v>1401</v>
      </c>
      <c r="G744" s="2" t="str">
        <f>IF(ISERROR(VLOOKUP(F744,MODIFICACIONES_REALIZADAS!F:H,3,)),F744,VLOOKUP(F744,MODIFICACIONES_REALIZADAS!F:H,3,))</f>
        <v>PM-O-GEN-Inspector-NumeroPolizas-002</v>
      </c>
      <c r="H744" s="2">
        <v>20140101</v>
      </c>
      <c r="I744" s="2">
        <v>20170101</v>
      </c>
      <c r="J744" s="2" t="s">
        <v>71</v>
      </c>
      <c r="K744" s="2"/>
    </row>
    <row r="745" spans="1:11" x14ac:dyDescent="0.25">
      <c r="A745" s="2">
        <v>4</v>
      </c>
      <c r="B745" s="2" t="s">
        <v>155</v>
      </c>
      <c r="C745" s="2" t="s">
        <v>157</v>
      </c>
      <c r="D745" s="2" t="s">
        <v>1394</v>
      </c>
      <c r="E745" s="2" t="b">
        <f t="shared" si="69"/>
        <v>1</v>
      </c>
      <c r="F745" s="2" t="s">
        <v>1402</v>
      </c>
      <c r="G745" s="2" t="str">
        <f>IF(ISERROR(VLOOKUP(F745,MODIFICACIONES_REALIZADAS!F:H,3,)),F745,VLOOKUP(F745,MODIFICACIONES_REALIZADAS!F:H,3,))</f>
        <v>PM-O-GEN-Inspector-NumeroPolizas-002-Agentes</v>
      </c>
      <c r="H745" s="2">
        <v>20140101</v>
      </c>
      <c r="I745" s="2">
        <v>20170101</v>
      </c>
      <c r="J745" s="2" t="s">
        <v>71</v>
      </c>
      <c r="K745" s="2"/>
    </row>
    <row r="746" spans="1:11" x14ac:dyDescent="0.25">
      <c r="A746" s="2">
        <v>4</v>
      </c>
      <c r="B746" s="2" t="s">
        <v>155</v>
      </c>
      <c r="C746" s="2" t="s">
        <v>157</v>
      </c>
      <c r="D746" s="2" t="s">
        <v>1394</v>
      </c>
      <c r="E746" s="2" t="b">
        <f t="shared" si="69"/>
        <v>1</v>
      </c>
      <c r="F746" s="2" t="s">
        <v>1311</v>
      </c>
      <c r="G746" s="2" t="str">
        <f>IF(ISERROR(VLOOKUP(F746,MODIFICACIONES_REALIZADAS!F:H,3,)),F746,VLOOKUP(F746,MODIFICACIONES_REALIZADAS!F:H,3,))</f>
        <v>PM-O-GEN-Inspector-NumeroPolizas-001</v>
      </c>
      <c r="H746" s="2">
        <v>20140101</v>
      </c>
      <c r="I746" s="2">
        <v>20170101</v>
      </c>
      <c r="J746" s="2" t="s">
        <v>71</v>
      </c>
      <c r="K746" s="2"/>
    </row>
    <row r="747" spans="1:11" x14ac:dyDescent="0.25">
      <c r="A747" s="2">
        <v>4</v>
      </c>
      <c r="B747" s="2" t="s">
        <v>155</v>
      </c>
      <c r="C747" s="2" t="s">
        <v>157</v>
      </c>
      <c r="D747" s="2" t="s">
        <v>1394</v>
      </c>
      <c r="E747" s="2" t="b">
        <f t="shared" si="69"/>
        <v>1</v>
      </c>
      <c r="F747" s="2" t="s">
        <v>1313</v>
      </c>
      <c r="G747" s="2" t="str">
        <f>IF(ISERROR(VLOOKUP(F747,MODIFICACIONES_REALIZADAS!F:H,3,)),F747,VLOOKUP(F747,MODIFICACIONES_REALIZADAS!F:H,3,))</f>
        <v>PM-O-GEN-Inspector-NumeroPolizas-001-Agentes</v>
      </c>
      <c r="H747" s="2">
        <v>20140101</v>
      </c>
      <c r="I747" s="2">
        <v>20170101</v>
      </c>
      <c r="J747" s="2" t="s">
        <v>71</v>
      </c>
      <c r="K747" s="2"/>
    </row>
    <row r="748" spans="1:11" x14ac:dyDescent="0.25">
      <c r="A748" s="2">
        <v>4</v>
      </c>
      <c r="B748" s="2" t="s">
        <v>155</v>
      </c>
      <c r="C748" s="2" t="s">
        <v>157</v>
      </c>
      <c r="D748" s="2" t="s">
        <v>1394</v>
      </c>
      <c r="E748" s="2" t="b">
        <f t="shared" si="69"/>
        <v>1</v>
      </c>
      <c r="F748" s="2" t="s">
        <v>943</v>
      </c>
      <c r="G748" s="2" t="str">
        <f>IF(ISERROR(VLOOKUP(F748,MODIFICACIONES_REALIZADAS!F:H,3,)),F748,VLOOKUP(F748,MODIFICACIONES_REALIZADAS!F:H,3,))</f>
        <v>PM-O-GEN-Inspector-NumeroPolizas-008</v>
      </c>
      <c r="H748" s="2">
        <v>20140101</v>
      </c>
      <c r="I748" s="2">
        <v>20170101</v>
      </c>
      <c r="J748" s="2" t="s">
        <v>71</v>
      </c>
      <c r="K748" s="2"/>
    </row>
    <row r="749" spans="1:11" x14ac:dyDescent="0.25">
      <c r="A749" s="2">
        <v>4</v>
      </c>
      <c r="B749" s="2" t="s">
        <v>155</v>
      </c>
      <c r="C749" s="2" t="s">
        <v>157</v>
      </c>
      <c r="D749" s="2" t="s">
        <v>1394</v>
      </c>
      <c r="E749" s="2" t="b">
        <f t="shared" si="69"/>
        <v>1</v>
      </c>
      <c r="F749" s="2" t="s">
        <v>944</v>
      </c>
      <c r="G749" s="2" t="str">
        <f>IF(ISERROR(VLOOKUP(F749,MODIFICACIONES_REALIZADAS!F:H,3,)),F749,VLOOKUP(F749,MODIFICACIONES_REALIZADAS!F:H,3,))</f>
        <v>PM-O-GEN-Inspector-NumeroPolizas-008-Agentes</v>
      </c>
      <c r="H749" s="2">
        <v>20140101</v>
      </c>
      <c r="I749" s="2">
        <v>20170101</v>
      </c>
      <c r="J749" s="2" t="s">
        <v>71</v>
      </c>
      <c r="K749" s="2"/>
    </row>
    <row r="750" spans="1:11" x14ac:dyDescent="0.25">
      <c r="A750" s="2">
        <v>4</v>
      </c>
      <c r="B750" s="2" t="s">
        <v>155</v>
      </c>
      <c r="C750" s="2" t="s">
        <v>157</v>
      </c>
      <c r="D750" s="2" t="s">
        <v>1394</v>
      </c>
      <c r="E750" s="2" t="b">
        <f t="shared" si="69"/>
        <v>1</v>
      </c>
      <c r="F750" s="2" t="s">
        <v>945</v>
      </c>
      <c r="G750" s="2" t="str">
        <f>IF(ISERROR(VLOOKUP(F750,MODIFICACIONES_REALIZADAS!F:H,3,)),F750,VLOOKUP(F750,MODIFICACIONES_REALIZADAS!F:H,3,))</f>
        <v>PM-O-GEN-Inspector-PrimaCorregida-997</v>
      </c>
      <c r="H750" s="2">
        <v>20140101</v>
      </c>
      <c r="I750" s="2">
        <v>20170101</v>
      </c>
      <c r="J750" s="2" t="s">
        <v>71</v>
      </c>
      <c r="K750" s="2"/>
    </row>
    <row r="751" spans="1:11" x14ac:dyDescent="0.25">
      <c r="A751" s="2">
        <v>4</v>
      </c>
      <c r="B751" s="2" t="s">
        <v>155</v>
      </c>
      <c r="C751" s="2" t="s">
        <v>157</v>
      </c>
      <c r="D751" s="2" t="s">
        <v>1394</v>
      </c>
      <c r="E751" s="2" t="b">
        <f t="shared" si="69"/>
        <v>1</v>
      </c>
      <c r="F751" s="2" t="s">
        <v>946</v>
      </c>
      <c r="G751" s="2" t="str">
        <f>IF(ISERROR(VLOOKUP(F751,MODIFICACIONES_REALIZADAS!F:H,3,)),F751,VLOOKUP(F751,MODIFICACIONES_REALIZADAS!F:H,3,))</f>
        <v>PM-O-GEN-Inspector-PrimaCorregida-997-Agentes</v>
      </c>
      <c r="H751" s="2">
        <v>20140101</v>
      </c>
      <c r="I751" s="2">
        <v>20170101</v>
      </c>
      <c r="J751" s="2" t="s">
        <v>71</v>
      </c>
      <c r="K751" s="2"/>
    </row>
    <row r="752" spans="1:11" x14ac:dyDescent="0.25">
      <c r="A752" s="25">
        <v>4</v>
      </c>
      <c r="B752" s="25" t="s">
        <v>155</v>
      </c>
      <c r="C752" s="25" t="s">
        <v>157</v>
      </c>
      <c r="D752" s="25" t="s">
        <v>487</v>
      </c>
      <c r="E752" s="25" t="b">
        <f t="shared" si="69"/>
        <v>1</v>
      </c>
      <c r="F752" s="25" t="s">
        <v>982</v>
      </c>
      <c r="G752" s="25" t="str">
        <f>IF(ISERROR(VLOOKUP(F752,MODIFICACIONES_REALIZADAS!F:H,3,)),F752,VLOOKUP(F752,MODIFICACIONES_REALIZADAS!F:H,3,))</f>
        <v>SM-O-GEN-Inspector-NumeroPolizas-998-TotalAnual</v>
      </c>
      <c r="H752" s="25">
        <v>20140101</v>
      </c>
      <c r="I752" s="25">
        <v>20180101</v>
      </c>
      <c r="J752" s="25" t="s">
        <v>1403</v>
      </c>
      <c r="K752" s="25"/>
    </row>
    <row r="753" spans="1:11" x14ac:dyDescent="0.25">
      <c r="A753" s="22">
        <v>4</v>
      </c>
      <c r="B753" s="22" t="s">
        <v>155</v>
      </c>
      <c r="C753" s="22" t="s">
        <v>157</v>
      </c>
      <c r="D753" s="22" t="s">
        <v>503</v>
      </c>
      <c r="E753" s="22" t="b">
        <f t="shared" ref="E753" si="70">F753=G753</f>
        <v>1</v>
      </c>
      <c r="F753" s="22" t="s">
        <v>504</v>
      </c>
      <c r="G753" s="22" t="str">
        <f>IF(ISERROR(VLOOKUP(F753,MODIFICACIONES_REALIZADAS!F:H,3,)),F753,VLOOKUP(F753,MODIFICACIONES_REALIZADAS!F:H,3,))</f>
        <v>SM-O-GEN-Inspector-NumeroPolizasCorregidas-998-TotalAnual</v>
      </c>
      <c r="H753" s="22">
        <v>20180101</v>
      </c>
      <c r="I753" s="22">
        <v>22000101</v>
      </c>
      <c r="J753" s="22" t="s">
        <v>1403</v>
      </c>
      <c r="K753" s="22"/>
    </row>
    <row r="754" spans="1:11" x14ac:dyDescent="0.25">
      <c r="A754" s="22">
        <v>4</v>
      </c>
      <c r="B754" s="22" t="s">
        <v>155</v>
      </c>
      <c r="C754" s="22" t="s">
        <v>157</v>
      </c>
      <c r="D754" s="22" t="s">
        <v>1404</v>
      </c>
      <c r="E754" s="22" t="b">
        <f t="shared" ref="E754" si="71">F754=G754</f>
        <v>1</v>
      </c>
      <c r="F754" s="22" t="s">
        <v>1405</v>
      </c>
      <c r="G754" s="22" t="str">
        <f>IF(ISERROR(VLOOKUP(F754,MODIFICACIONES_REALIZADAS!F:H,3,)),F754,VLOOKUP(F754,MODIFICACIONES_REALIZADAS!F:H,3,))</f>
        <v>SM-O-GEN-Inspector-NumeroPolizasCorregidas-997-TotalAnual</v>
      </c>
      <c r="H754" s="22">
        <v>20180101</v>
      </c>
      <c r="I754" s="22">
        <v>20180601</v>
      </c>
      <c r="J754" s="22" t="s">
        <v>1403</v>
      </c>
      <c r="K754" s="22"/>
    </row>
    <row r="755" spans="1:11" x14ac:dyDescent="0.25">
      <c r="A755" s="22">
        <v>4</v>
      </c>
      <c r="B755" s="22" t="s">
        <v>155</v>
      </c>
      <c r="C755" s="22" t="s">
        <v>157</v>
      </c>
      <c r="D755" s="22" t="s">
        <v>1404</v>
      </c>
      <c r="E755" s="22" t="b">
        <f t="shared" ref="E755" si="72">F755=G755</f>
        <v>1</v>
      </c>
      <c r="F755" s="22" t="s">
        <v>1405</v>
      </c>
      <c r="G755" s="22" t="str">
        <f>IF(ISERROR(VLOOKUP(F755,MODIFICACIONES_REALIZADAS!F:H,3,)),F755,VLOOKUP(F755,MODIFICACIONES_REALIZADAS!F:H,3,))</f>
        <v>SM-O-GEN-Inspector-NumeroPolizasCorregidas-997-TotalAnual</v>
      </c>
      <c r="H755" s="22">
        <v>20190101</v>
      </c>
      <c r="I755" s="22">
        <v>22000101</v>
      </c>
      <c r="J755" s="22" t="s">
        <v>1406</v>
      </c>
      <c r="K755" s="22"/>
    </row>
    <row r="756" spans="1:11" x14ac:dyDescent="0.25">
      <c r="A756" s="22">
        <v>4</v>
      </c>
      <c r="B756" s="22" t="s">
        <v>155</v>
      </c>
      <c r="C756" s="22" t="s">
        <v>157</v>
      </c>
      <c r="D756" s="22" t="s">
        <v>1407</v>
      </c>
      <c r="E756" s="22" t="b">
        <f t="shared" ref="E756" si="73">F756=G756</f>
        <v>1</v>
      </c>
      <c r="F756" s="22" t="s">
        <v>1408</v>
      </c>
      <c r="G756" s="22" t="str">
        <f>IF(ISERROR(VLOOKUP(F756,MODIFICACIONES_REALIZADAS!F:H,3,)),F756,VLOOKUP(F756,MODIFICACIONES_REALIZADAS!F:H,3,))</f>
        <v>SM-O-REA-Inspector-Polizas-997-excl</v>
      </c>
      <c r="H756" s="22">
        <v>20180101</v>
      </c>
      <c r="I756" s="22">
        <v>22000101</v>
      </c>
      <c r="J756" s="22" t="s">
        <v>1403</v>
      </c>
      <c r="K756" s="22"/>
    </row>
    <row r="757" spans="1:11" x14ac:dyDescent="0.25">
      <c r="A757" s="22">
        <v>4</v>
      </c>
      <c r="B757" s="22" t="s">
        <v>155</v>
      </c>
      <c r="C757" s="22" t="s">
        <v>157</v>
      </c>
      <c r="D757" s="22" t="s">
        <v>1407</v>
      </c>
      <c r="E757" s="22" t="b">
        <f t="shared" ref="E757" si="74">F757=G757</f>
        <v>1</v>
      </c>
      <c r="F757" s="22" t="s">
        <v>1409</v>
      </c>
      <c r="G757" s="22" t="str">
        <f>IF(ISERROR(VLOOKUP(F757,MODIFICACIONES_REALIZADAS!F:H,3,)),F757,VLOOKUP(F757,MODIFICACIONES_REALIZADAS!F:H,3,))</f>
        <v>SM-O-REA-Inspector-NumeroPolizasCorregidas-997-excl-Anual</v>
      </c>
      <c r="H757" s="22">
        <v>20201201</v>
      </c>
      <c r="I757" s="22">
        <v>22000101</v>
      </c>
      <c r="J757" s="22" t="s">
        <v>1007</v>
      </c>
      <c r="K757" s="22"/>
    </row>
    <row r="758" spans="1:11" x14ac:dyDescent="0.25">
      <c r="A758" s="25">
        <v>4</v>
      </c>
      <c r="B758" s="25" t="s">
        <v>155</v>
      </c>
      <c r="C758" s="25" t="s">
        <v>157</v>
      </c>
      <c r="D758" s="25" t="s">
        <v>1410</v>
      </c>
      <c r="E758" s="25" t="b">
        <f t="shared" si="69"/>
        <v>1</v>
      </c>
      <c r="F758" s="25" t="s">
        <v>1411</v>
      </c>
      <c r="G758" s="25" t="str">
        <f>IF(ISERROR(VLOOKUP(F758,MODIFICACIONES_REALIZADAS!F:H,3,)),F758,VLOOKUP(F758,MODIFICACIONES_REALIZADAS!F:H,3,))</f>
        <v>SM-O-GEN-Inspector-NumeroPolizas-991-TotalAnual</v>
      </c>
      <c r="H758" s="25">
        <v>20140101</v>
      </c>
      <c r="I758" s="25">
        <v>20170101</v>
      </c>
      <c r="J758" s="25" t="s">
        <v>1403</v>
      </c>
      <c r="K758" s="25"/>
    </row>
    <row r="759" spans="1:11" x14ac:dyDescent="0.25">
      <c r="A759" s="25">
        <v>4</v>
      </c>
      <c r="B759" s="25" t="s">
        <v>155</v>
      </c>
      <c r="C759" s="25" t="s">
        <v>157</v>
      </c>
      <c r="D759" s="25" t="s">
        <v>483</v>
      </c>
      <c r="E759" s="25" t="b">
        <f>F759=G759</f>
        <v>1</v>
      </c>
      <c r="F759" s="25" t="s">
        <v>979</v>
      </c>
      <c r="G759" s="25" t="str">
        <f>IF(ISERROR(VLOOKUP(F759,MODIFICACIONES_REALIZADAS!F:H,3,)),F759,VLOOKUP(F759,MODIFICACIONES_REALIZADAS!F:H,3,))</f>
        <v>SM-O-GEN-Inspector-NumeroPolizas-906-TotalAnual</v>
      </c>
      <c r="H759" s="25">
        <v>20170101</v>
      </c>
      <c r="I759" s="25">
        <v>20180101</v>
      </c>
      <c r="J759" s="25" t="s">
        <v>1403</v>
      </c>
      <c r="K759" s="25"/>
    </row>
    <row r="760" spans="1:11" x14ac:dyDescent="0.25">
      <c r="A760" s="25">
        <v>4</v>
      </c>
      <c r="B760" s="25" t="s">
        <v>155</v>
      </c>
      <c r="C760" s="25" t="s">
        <v>157</v>
      </c>
      <c r="D760" s="25" t="s">
        <v>481</v>
      </c>
      <c r="E760" s="25" t="b">
        <f t="shared" si="69"/>
        <v>1</v>
      </c>
      <c r="F760" s="25" t="s">
        <v>966</v>
      </c>
      <c r="G760" s="25" t="str">
        <f>IF(ISERROR(VLOOKUP(F760,MODIFICACIONES_REALIZADAS!F:H,3,)),F760,VLOOKUP(F760,MODIFICACIONES_REALIZADAS!F:H,3,))</f>
        <v>SM-O-GEN-Inspector-NumeroPolizas-002-TotalAnual</v>
      </c>
      <c r="H760" s="25">
        <v>20140101</v>
      </c>
      <c r="I760" s="25">
        <v>20180101</v>
      </c>
      <c r="J760" s="25" t="s">
        <v>1403</v>
      </c>
      <c r="K760" s="25"/>
    </row>
    <row r="761" spans="1:11" x14ac:dyDescent="0.25">
      <c r="A761" s="25">
        <v>4</v>
      </c>
      <c r="B761" s="25" t="s">
        <v>155</v>
      </c>
      <c r="C761" s="25" t="s">
        <v>157</v>
      </c>
      <c r="D761" s="25" t="s">
        <v>478</v>
      </c>
      <c r="E761" s="25" t="b">
        <f t="shared" si="69"/>
        <v>1</v>
      </c>
      <c r="F761" s="25" t="s">
        <v>965</v>
      </c>
      <c r="G761" s="25" t="str">
        <f>IF(ISERROR(VLOOKUP(F761,MODIFICACIONES_REALIZADAS!F:H,3,)),F761,VLOOKUP(F761,MODIFICACIONES_REALIZADAS!F:H,3,))</f>
        <v>SM-O-GEN-Inspector-NumeroPolizas-001-TotalAnual</v>
      </c>
      <c r="H761" s="25">
        <v>20140101</v>
      </c>
      <c r="I761" s="25">
        <v>20180101</v>
      </c>
      <c r="J761" s="25" t="s">
        <v>1403</v>
      </c>
      <c r="K761" s="25"/>
    </row>
    <row r="762" spans="1:11" x14ac:dyDescent="0.25">
      <c r="A762" s="25">
        <v>4</v>
      </c>
      <c r="B762" s="25" t="s">
        <v>155</v>
      </c>
      <c r="C762" s="25" t="s">
        <v>157</v>
      </c>
      <c r="D762" s="25" t="s">
        <v>975</v>
      </c>
      <c r="E762" s="25" t="b">
        <f t="shared" si="69"/>
        <v>1</v>
      </c>
      <c r="F762" s="25" t="s">
        <v>976</v>
      </c>
      <c r="G762" s="25" t="str">
        <f>IF(ISERROR(VLOOKUP(F762,MODIFICACIONES_REALIZADAS!F:H,3,)),F762,VLOOKUP(F762,MODIFICACIONES_REALIZADAS!F:H,3,))</f>
        <v>SM-O-GEN-Inspector-NumeroPolizas-008-TotalAnual</v>
      </c>
      <c r="H762" s="25">
        <v>20140101</v>
      </c>
      <c r="I762" s="25">
        <v>20180101</v>
      </c>
      <c r="J762" s="25" t="s">
        <v>1403</v>
      </c>
      <c r="K762" s="25"/>
    </row>
    <row r="763" spans="1:11" x14ac:dyDescent="0.25">
      <c r="A763">
        <v>4</v>
      </c>
      <c r="B763" t="s">
        <v>155</v>
      </c>
      <c r="C763" t="s">
        <v>157</v>
      </c>
      <c r="D763" t="s">
        <v>501</v>
      </c>
      <c r="E763" t="b">
        <f t="shared" si="69"/>
        <v>1</v>
      </c>
      <c r="F763" t="s">
        <v>1005</v>
      </c>
      <c r="G763" t="str">
        <f>IF(ISERROR(VLOOKUP(F763,MODIFICACIONES_REALIZADAS!F:H,3,)),F763,VLOOKUP(F763,MODIFICACIONES_REALIZADAS!F:H,3,))</f>
        <v>SM-O-GEN-Inspector-PrimaCorregida-998-TotalAnual</v>
      </c>
      <c r="H763">
        <v>20140101</v>
      </c>
      <c r="I763">
        <v>22000101</v>
      </c>
    </row>
    <row r="764" spans="1:11" x14ac:dyDescent="0.25">
      <c r="A764" s="22">
        <v>4</v>
      </c>
      <c r="B764" s="22" t="s">
        <v>155</v>
      </c>
      <c r="C764" s="22" t="s">
        <v>157</v>
      </c>
      <c r="D764" s="22" t="s">
        <v>1412</v>
      </c>
      <c r="E764" s="22" t="b">
        <f t="shared" ref="E764" si="75">F764=G764</f>
        <v>1</v>
      </c>
      <c r="F764" s="22" t="s">
        <v>1006</v>
      </c>
      <c r="G764" s="22" t="str">
        <f>IF(ISERROR(VLOOKUP(F764,MODIFICACIONES_REALIZADAS!F:H,3,)),F764,VLOOKUP(F764,MODIFICACIONES_REALIZADAS!F:H,3,))</f>
        <v>SM-O-GEN-Inspector-PrimaCorregida-998-TotalAnual-Incr</v>
      </c>
      <c r="H764" s="22">
        <v>20190101</v>
      </c>
      <c r="I764" s="22">
        <v>22000101</v>
      </c>
      <c r="J764" s="22" t="s">
        <v>1406</v>
      </c>
      <c r="K764" s="22"/>
    </row>
    <row r="765" spans="1:11" x14ac:dyDescent="0.25">
      <c r="A765">
        <v>4</v>
      </c>
      <c r="B765" t="s">
        <v>155</v>
      </c>
      <c r="C765" t="s">
        <v>157</v>
      </c>
      <c r="D765" t="s">
        <v>1413</v>
      </c>
      <c r="E765" t="b">
        <f t="shared" si="69"/>
        <v>1</v>
      </c>
      <c r="F765" t="s">
        <v>1414</v>
      </c>
      <c r="G765" t="str">
        <f>IF(ISERROR(VLOOKUP(F765,MODIFICACIONES_REALIZADAS!F:H,3,)),F765,VLOOKUP(F765,MODIFICACIONES_REALIZADAS!F:H,3,))</f>
        <v>SM-O-REA-Inspector-Pago</v>
      </c>
      <c r="H765">
        <v>20140101</v>
      </c>
      <c r="I765">
        <v>22000101</v>
      </c>
    </row>
    <row r="766" spans="1:11" x14ac:dyDescent="0.25">
      <c r="A766" s="25">
        <v>4</v>
      </c>
      <c r="B766" s="25" t="s">
        <v>155</v>
      </c>
      <c r="C766" s="25" t="s">
        <v>157</v>
      </c>
      <c r="D766" s="25" t="s">
        <v>1415</v>
      </c>
      <c r="E766" s="25" t="b">
        <f t="shared" si="69"/>
        <v>1</v>
      </c>
      <c r="F766" s="25" t="s">
        <v>1416</v>
      </c>
      <c r="G766" s="25" t="str">
        <f>IF(ISERROR(VLOOKUP(F766,MODIFICACIONES_REALIZADAS!F:H,3,)),F766,VLOOKUP(F766,MODIFICACIONES_REALIZADAS!F:H,3,))</f>
        <v>SM-O-REA-Inspector-PagoSinPenalizacion</v>
      </c>
      <c r="H766" s="25">
        <v>20140101</v>
      </c>
      <c r="I766" s="25">
        <v>20190101</v>
      </c>
      <c r="J766" s="25" t="s">
        <v>1406</v>
      </c>
      <c r="K766" s="25"/>
    </row>
    <row r="767" spans="1:11" x14ac:dyDescent="0.25">
      <c r="A767" s="22">
        <v>4</v>
      </c>
      <c r="B767" s="22" t="s">
        <v>155</v>
      </c>
      <c r="C767" s="22" t="s">
        <v>157</v>
      </c>
      <c r="D767" s="22" t="s">
        <v>1417</v>
      </c>
      <c r="E767" s="22" t="b">
        <f t="shared" ref="E767" si="76">F767=G767</f>
        <v>1</v>
      </c>
      <c r="F767" s="22" t="s">
        <v>1418</v>
      </c>
      <c r="G767" s="22" t="str">
        <f>IF(ISERROR(VLOOKUP(F767,MODIFICACIONES_REALIZADAS!F:H,3,)),F767,VLOOKUP(F767,MODIFICACIONES_REALIZADAS!F:H,3,))</f>
        <v>SM-O-REA-Inspector-Importe</v>
      </c>
      <c r="H767" s="22">
        <v>20190101</v>
      </c>
      <c r="I767" s="22">
        <v>22000101</v>
      </c>
      <c r="J767" s="22" t="s">
        <v>1406</v>
      </c>
      <c r="K767" s="22"/>
    </row>
    <row r="768" spans="1:11" x14ac:dyDescent="0.25">
      <c r="A768" s="25">
        <v>4</v>
      </c>
      <c r="B768" s="25" t="s">
        <v>155</v>
      </c>
      <c r="C768" s="25" t="s">
        <v>157</v>
      </c>
      <c r="D768" s="25" t="s">
        <v>1419</v>
      </c>
      <c r="E768" s="25" t="b">
        <f t="shared" si="69"/>
        <v>1</v>
      </c>
      <c r="F768" s="25" t="s">
        <v>1018</v>
      </c>
      <c r="G768" s="25" t="str">
        <f>IF(ISERROR(VLOOKUP(F768,MODIFICACIONES_REALIZADAS!F:H,3,)),F768,VLOOKUP(F768,MODIFICACIONES_REALIZADAS!F:H,3,))</f>
        <v>SM-O-COLC-Inspector-Objetivos-Captacion-Agentes</v>
      </c>
      <c r="H768" s="25">
        <v>20140101</v>
      </c>
      <c r="I768" s="25">
        <v>20180101</v>
      </c>
      <c r="J768" s="25" t="s">
        <v>1403</v>
      </c>
      <c r="K768" s="25"/>
    </row>
    <row r="769" spans="1:11" x14ac:dyDescent="0.25">
      <c r="A769" s="25">
        <v>4</v>
      </c>
      <c r="B769" s="25" t="s">
        <v>155</v>
      </c>
      <c r="C769" s="25" t="s">
        <v>157</v>
      </c>
      <c r="D769" s="25" t="s">
        <v>1420</v>
      </c>
      <c r="E769" s="25" t="b">
        <f t="shared" si="69"/>
        <v>1</v>
      </c>
      <c r="F769" s="25" t="s">
        <v>1019</v>
      </c>
      <c r="G769" s="25" t="str">
        <f>IF(ISERROR(VLOOKUP(F769,MODIFICACIONES_REALIZADAS!F:H,3,)),F769,VLOOKUP(F769,MODIFICACIONES_REALIZADAS!F:H,3,))</f>
        <v>SM-O-COLC-Inspector-Objetivos-Captacion-Agentes-Polizas-998</v>
      </c>
      <c r="H769" s="25">
        <v>20140101</v>
      </c>
      <c r="I769" s="25">
        <v>20180101</v>
      </c>
      <c r="J769" s="25" t="s">
        <v>1403</v>
      </c>
      <c r="K769" s="25"/>
    </row>
    <row r="770" spans="1:11" x14ac:dyDescent="0.25">
      <c r="A770" s="25">
        <v>4</v>
      </c>
      <c r="B770" s="25" t="s">
        <v>155</v>
      </c>
      <c r="C770" s="25" t="s">
        <v>157</v>
      </c>
      <c r="D770" s="25" t="s">
        <v>1421</v>
      </c>
      <c r="E770" s="25" t="b">
        <f t="shared" si="69"/>
        <v>1</v>
      </c>
      <c r="F770" s="25" t="s">
        <v>1020</v>
      </c>
      <c r="G770" s="25" t="str">
        <f>IF(ISERROR(VLOOKUP(F770,MODIFICACIONES_REALIZADAS!F:H,3,)),F770,VLOOKUP(F770,MODIFICACIONES_REALIZADAS!F:H,3,))</f>
        <v>SM-O-COLC-Inspector-Objetivos-Captacion-Agentes-PrimaNeta-998</v>
      </c>
      <c r="H770" s="25">
        <v>20140101</v>
      </c>
      <c r="I770" s="25">
        <v>20180101</v>
      </c>
      <c r="J770" s="25" t="s">
        <v>1403</v>
      </c>
      <c r="K770" s="25"/>
    </row>
    <row r="771" spans="1:11" x14ac:dyDescent="0.25">
      <c r="A771" s="25">
        <v>4</v>
      </c>
      <c r="B771" s="25" t="s">
        <v>155</v>
      </c>
      <c r="C771" s="25" t="s">
        <v>157</v>
      </c>
      <c r="D771" s="25" t="s">
        <v>1422</v>
      </c>
      <c r="E771" s="25" t="b">
        <f t="shared" si="69"/>
        <v>1</v>
      </c>
      <c r="F771" s="25" t="s">
        <v>1021</v>
      </c>
      <c r="G771" s="25" t="str">
        <f>IF(ISERROR(VLOOKUP(F771,MODIFICACIONES_REALIZADAS!F:H,3,)),F771,VLOOKUP(F771,MODIFICACIONES_REALIZADAS!F:H,3,))</f>
        <v>SM-O-COLC-Inspector-Objetivos-Captacion-Penalizacion</v>
      </c>
      <c r="H771" s="25">
        <v>20140101</v>
      </c>
      <c r="I771" s="25">
        <v>20180101</v>
      </c>
      <c r="J771" s="25" t="s">
        <v>1403</v>
      </c>
      <c r="K771" s="25"/>
    </row>
    <row r="772" spans="1:11" x14ac:dyDescent="0.25">
      <c r="A772" s="25">
        <v>4</v>
      </c>
      <c r="B772" s="25" t="s">
        <v>155</v>
      </c>
      <c r="C772" s="25" t="s">
        <v>157</v>
      </c>
      <c r="D772" s="25" t="s">
        <v>1423</v>
      </c>
      <c r="E772" s="25" t="b">
        <f t="shared" si="69"/>
        <v>1</v>
      </c>
      <c r="F772" s="25" t="s">
        <v>1023</v>
      </c>
      <c r="G772" s="25" t="str">
        <f>IF(ISERROR(VLOOKUP(F772,MODIFICACIONES_REALIZADAS!F:H,3,)),F772,VLOOKUP(F772,MODIFICACIONES_REALIZADAS!F:H,3,))</f>
        <v>SM-O-COLC-Inspector-Quota-AgentesCaptados</v>
      </c>
      <c r="H772" s="25">
        <v>20140101</v>
      </c>
      <c r="I772" s="25">
        <v>20180101</v>
      </c>
      <c r="J772" s="25" t="s">
        <v>1403</v>
      </c>
      <c r="K772" s="25"/>
    </row>
    <row r="773" spans="1:11" x14ac:dyDescent="0.25">
      <c r="A773" s="25">
        <v>4</v>
      </c>
      <c r="B773" s="25" t="s">
        <v>155</v>
      </c>
      <c r="C773" s="25" t="s">
        <v>157</v>
      </c>
      <c r="D773" s="25" t="s">
        <v>1424</v>
      </c>
      <c r="E773" s="25" t="b">
        <f t="shared" si="69"/>
        <v>1</v>
      </c>
      <c r="F773" s="25" t="s">
        <v>1024</v>
      </c>
      <c r="G773" s="25" t="str">
        <f>IF(ISERROR(VLOOKUP(F773,MODIFICACIONES_REALIZADAS!F:H,3,)),F773,VLOOKUP(F773,MODIFICACIONES_REALIZADAS!F:H,3,))</f>
        <v>SM-O-COLC-Inspector-NumeroPolizas-998-AgentesCaptados-TotalAnual</v>
      </c>
      <c r="H773" s="25">
        <v>20140101</v>
      </c>
      <c r="I773" s="25">
        <v>20180101</v>
      </c>
      <c r="J773" s="25" t="s">
        <v>1403</v>
      </c>
      <c r="K773" s="25"/>
    </row>
    <row r="774" spans="1:11" x14ac:dyDescent="0.25">
      <c r="A774" s="25">
        <v>4</v>
      </c>
      <c r="B774" s="25" t="s">
        <v>155</v>
      </c>
      <c r="C774" s="25" t="s">
        <v>157</v>
      </c>
      <c r="D774" s="25" t="s">
        <v>1425</v>
      </c>
      <c r="E774" s="25" t="b">
        <f t="shared" si="69"/>
        <v>1</v>
      </c>
      <c r="F774" s="25" t="s">
        <v>1025</v>
      </c>
      <c r="G774" s="25" t="str">
        <f>IF(ISERROR(VLOOKUP(F774,MODIFICACIONES_REALIZADAS!F:H,3,)),F774,VLOOKUP(F774,MODIFICACIONES_REALIZADAS!F:H,3,))</f>
        <v>SM-O-COLC-Inspector-PrimaNeta-998-AgentesCaptados-TotalAnual</v>
      </c>
      <c r="H774" s="25">
        <v>20140101</v>
      </c>
      <c r="I774" s="25">
        <v>20180101</v>
      </c>
      <c r="J774" s="25" t="s">
        <v>1403</v>
      </c>
      <c r="K774" s="25"/>
    </row>
    <row r="775" spans="1:11" x14ac:dyDescent="0.25">
      <c r="A775">
        <v>4</v>
      </c>
      <c r="B775" t="s">
        <v>159</v>
      </c>
      <c r="C775" t="s">
        <v>161</v>
      </c>
      <c r="D775" t="s">
        <v>1426</v>
      </c>
      <c r="E775" t="b">
        <f>F775=G775</f>
        <v>1</v>
      </c>
      <c r="F775" t="s">
        <v>1427</v>
      </c>
      <c r="G775" t="str">
        <f>IF(ISERROR(VLOOKUP(F775,MODIFICACIONES_REALIZADAS!F:H,3,)),F775,VLOOKUP(F775,MODIFICACIONES_REALIZADAS!F:H,3,))</f>
        <v>SM-O-RIP-Agente-NumeroPolizasAnterior</v>
      </c>
      <c r="H775">
        <v>20170101</v>
      </c>
      <c r="I775">
        <v>22000101</v>
      </c>
    </row>
    <row r="776" spans="1:11" x14ac:dyDescent="0.25">
      <c r="A776">
        <v>4</v>
      </c>
      <c r="B776" t="s">
        <v>159</v>
      </c>
      <c r="C776" t="s">
        <v>161</v>
      </c>
      <c r="D776" t="s">
        <v>1428</v>
      </c>
      <c r="E776" t="b">
        <f t="shared" ref="E776:E783" si="77">F776=G776</f>
        <v>1</v>
      </c>
      <c r="F776" t="s">
        <v>1429</v>
      </c>
      <c r="G776" t="str">
        <f>IF(ISERROR(VLOOKUP(F776,MODIFICACIONES_REALIZADAS!F:H,3,)),F776,VLOOKUP(F776,MODIFICACIONES_REALIZADAS!F:H,3,))</f>
        <v>SM-O-RIP-Agente-NumeroPolizas-TotalAnual-Reporting</v>
      </c>
      <c r="H776">
        <v>20140101</v>
      </c>
      <c r="I776">
        <v>22000101</v>
      </c>
    </row>
    <row r="777" spans="1:11" x14ac:dyDescent="0.25">
      <c r="A777">
        <v>4</v>
      </c>
      <c r="B777" t="s">
        <v>159</v>
      </c>
      <c r="C777" t="s">
        <v>161</v>
      </c>
      <c r="D777" t="s">
        <v>1430</v>
      </c>
      <c r="E777" t="b">
        <f t="shared" si="77"/>
        <v>1</v>
      </c>
      <c r="F777" t="s">
        <v>1431</v>
      </c>
      <c r="G777" t="str">
        <f>IF(ISERROR(VLOOKUP(F777,MODIFICACIONES_REALIZADAS!F:H,3,)),F777,VLOOKUP(F777,MODIFICACIONES_REALIZADAS!F:H,3,))</f>
        <v>SM-O-RIP-Agente-NumeroPolizas-TotalAnual</v>
      </c>
      <c r="H777">
        <v>20140101</v>
      </c>
      <c r="I777">
        <v>22000101</v>
      </c>
    </row>
    <row r="778" spans="1:11" x14ac:dyDescent="0.25">
      <c r="A778">
        <v>4</v>
      </c>
      <c r="B778" t="s">
        <v>159</v>
      </c>
      <c r="C778" t="s">
        <v>161</v>
      </c>
      <c r="D778" t="s">
        <v>1432</v>
      </c>
      <c r="E778" t="b">
        <f t="shared" si="77"/>
        <v>1</v>
      </c>
      <c r="F778" t="s">
        <v>1433</v>
      </c>
      <c r="G778" t="str">
        <f>IF(ISERROR(VLOOKUP(F778,MODIFICACIONES_REALIZADAS!F:H,3,)),F778,VLOOKUP(F778,MODIFICACIONES_REALIZADAS!F:H,3,))</f>
        <v>SM-O-RIP-Agente-NumeroPolizas-Incremento</v>
      </c>
      <c r="H778">
        <v>20140101</v>
      </c>
      <c r="I778">
        <v>22000101</v>
      </c>
    </row>
    <row r="779" spans="1:11" x14ac:dyDescent="0.25">
      <c r="A779">
        <v>4</v>
      </c>
      <c r="B779" t="s">
        <v>159</v>
      </c>
      <c r="C779" t="s">
        <v>161</v>
      </c>
      <c r="D779" t="s">
        <v>1434</v>
      </c>
      <c r="E779" t="b">
        <f t="shared" si="77"/>
        <v>1</v>
      </c>
      <c r="F779" t="s">
        <v>1435</v>
      </c>
      <c r="G779" t="str">
        <f>IF(ISERROR(VLOOKUP(F779,MODIFICACIONES_REALIZADAS!F:H,3,)),F779,VLOOKUP(F779,MODIFICACIONES_REALIZADAS!F:H,3,))</f>
        <v>SM-O-RIP-Agente-NumeroPolizas-002-TotalAnual-Reporting</v>
      </c>
      <c r="H779">
        <v>20140101</v>
      </c>
      <c r="I779">
        <v>22000101</v>
      </c>
    </row>
    <row r="780" spans="1:11" x14ac:dyDescent="0.25">
      <c r="A780">
        <v>4</v>
      </c>
      <c r="B780" t="s">
        <v>159</v>
      </c>
      <c r="C780" t="s">
        <v>161</v>
      </c>
      <c r="D780" t="s">
        <v>1436</v>
      </c>
      <c r="E780" t="b">
        <f t="shared" si="77"/>
        <v>1</v>
      </c>
      <c r="F780" t="s">
        <v>1437</v>
      </c>
      <c r="G780" t="str">
        <f>IF(ISERROR(VLOOKUP(F780,MODIFICACIONES_REALIZADAS!F:H,3,)),F780,VLOOKUP(F780,MODIFICACIONES_REALIZADAS!F:H,3,))</f>
        <v>SM-O-RIP-Agente-NumeroPolizas-002-TotalAnual</v>
      </c>
      <c r="H780">
        <v>20140101</v>
      </c>
      <c r="I780">
        <v>22000101</v>
      </c>
    </row>
    <row r="781" spans="1:11" x14ac:dyDescent="0.25">
      <c r="A781">
        <v>4</v>
      </c>
      <c r="B781" t="s">
        <v>159</v>
      </c>
      <c r="C781" t="s">
        <v>161</v>
      </c>
      <c r="D781" t="s">
        <v>1438</v>
      </c>
      <c r="E781" t="b">
        <f t="shared" si="77"/>
        <v>1</v>
      </c>
      <c r="F781" t="s">
        <v>1439</v>
      </c>
      <c r="G781" t="str">
        <f>IF(ISERROR(VLOOKUP(F781,MODIFICACIONES_REALIZADAS!F:H,3,)),F781,VLOOKUP(F781,MODIFICACIONES_REALIZADAS!F:H,3,))</f>
        <v>SM-O-RIP-Agente-Prima-TotalAnual-Reporting</v>
      </c>
      <c r="H781">
        <v>20140101</v>
      </c>
      <c r="I781">
        <v>22000101</v>
      </c>
    </row>
    <row r="782" spans="1:11" x14ac:dyDescent="0.25">
      <c r="A782">
        <v>4</v>
      </c>
      <c r="B782" t="s">
        <v>159</v>
      </c>
      <c r="C782" t="s">
        <v>161</v>
      </c>
      <c r="D782" t="s">
        <v>1440</v>
      </c>
      <c r="E782" t="b">
        <f t="shared" si="77"/>
        <v>1</v>
      </c>
      <c r="F782" t="s">
        <v>1441</v>
      </c>
      <c r="G782" t="str">
        <f>IF(ISERROR(VLOOKUP(F782,MODIFICACIONES_REALIZADAS!F:H,3,)),F782,VLOOKUP(F782,MODIFICACIONES_REALIZADAS!F:H,3,))</f>
        <v>SM-O-RIP-Agente-Prima-TotalAnual</v>
      </c>
      <c r="H782">
        <v>20140101</v>
      </c>
      <c r="I782">
        <v>22000101</v>
      </c>
    </row>
    <row r="783" spans="1:11" x14ac:dyDescent="0.25">
      <c r="A783">
        <v>4</v>
      </c>
      <c r="B783" t="s">
        <v>159</v>
      </c>
      <c r="C783" t="s">
        <v>161</v>
      </c>
      <c r="D783" t="s">
        <v>1442</v>
      </c>
      <c r="E783" t="b">
        <f t="shared" si="77"/>
        <v>1</v>
      </c>
      <c r="F783" t="s">
        <v>1443</v>
      </c>
      <c r="G783" t="str">
        <f>IF(ISERROR(VLOOKUP(F783,MODIFICACIONES_REALIZADAS!F:H,3,)),F783,VLOOKUP(F783,MODIFICACIONES_REALIZADAS!F:H,3,))</f>
        <v>SM-O-RIP-Agente-NumeroPolizas-Incremento-Objetivo</v>
      </c>
      <c r="H783">
        <v>20170101</v>
      </c>
      <c r="I783">
        <v>22000101</v>
      </c>
    </row>
    <row r="784" spans="1:11" x14ac:dyDescent="0.25">
      <c r="A784">
        <v>4</v>
      </c>
      <c r="B784" t="s">
        <v>159</v>
      </c>
      <c r="C784" t="s">
        <v>161</v>
      </c>
      <c r="D784" t="s">
        <v>1444</v>
      </c>
      <c r="E784" t="b">
        <f>F784=G784</f>
        <v>1</v>
      </c>
      <c r="F784" t="s">
        <v>1445</v>
      </c>
      <c r="G784" t="str">
        <f>IF(ISERROR(VLOOKUP(F784,MODIFICACIONES_REALIZADAS!F:H,3,)),F784,VLOOKUP(F784,MODIFICACIONES_REALIZADAS!F:H,3,))</f>
        <v>SM-O-RIP-Agente-Anulaciones-TotalAnual</v>
      </c>
      <c r="H784">
        <v>20140101</v>
      </c>
      <c r="I784">
        <v>22000101</v>
      </c>
    </row>
    <row r="785" spans="1:11" x14ac:dyDescent="0.25">
      <c r="A785">
        <v>4</v>
      </c>
      <c r="B785" t="s">
        <v>159</v>
      </c>
      <c r="C785" t="s">
        <v>161</v>
      </c>
      <c r="D785" t="s">
        <v>1446</v>
      </c>
      <c r="E785" t="b">
        <f t="shared" ref="E785:E786" si="78">F785=G785</f>
        <v>1</v>
      </c>
      <c r="F785" t="s">
        <v>1447</v>
      </c>
      <c r="G785" t="str">
        <f>IF(ISERROR(VLOOKUP(F785,MODIFICACIONES_REALIZADAS!F:H,3,)),F785,VLOOKUP(F785,MODIFICACIONES_REALIZADAS!F:H,3,))</f>
        <v>SM-O-RIP-Agente-Porcentaje-Anulaciones</v>
      </c>
      <c r="H785">
        <v>20140101</v>
      </c>
      <c r="I785">
        <v>22000101</v>
      </c>
    </row>
    <row r="786" spans="1:11" x14ac:dyDescent="0.25">
      <c r="A786">
        <v>4</v>
      </c>
      <c r="B786" t="s">
        <v>159</v>
      </c>
      <c r="C786" t="s">
        <v>161</v>
      </c>
      <c r="D786" t="s">
        <v>1448</v>
      </c>
      <c r="E786" t="b">
        <f t="shared" si="78"/>
        <v>1</v>
      </c>
      <c r="F786" t="s">
        <v>1449</v>
      </c>
      <c r="G786" t="str">
        <f>IF(ISERROR(VLOOKUP(F786,MODIFICACIONES_REALIZADAS!F:H,3,)),F786,VLOOKUP(F786,MODIFICACIONES_REALIZADAS!F:H,3,))</f>
        <v>SM-O-RIP-Agente-Pago</v>
      </c>
      <c r="H786">
        <v>20140101</v>
      </c>
      <c r="I786">
        <v>22000101</v>
      </c>
    </row>
    <row r="787" spans="1:11" x14ac:dyDescent="0.25">
      <c r="A787" s="22">
        <v>4</v>
      </c>
      <c r="B787" s="22" t="s">
        <v>159</v>
      </c>
      <c r="C787" s="22" t="s">
        <v>161</v>
      </c>
      <c r="D787" s="22" t="s">
        <v>1450</v>
      </c>
      <c r="E787" s="22" t="b">
        <f>F787=G787</f>
        <v>1</v>
      </c>
      <c r="F787" s="22" t="s">
        <v>1451</v>
      </c>
      <c r="G787" s="22" t="str">
        <f>IF(ISERROR(VLOOKUP(F787,MODIFICACIONES_REALIZADAS!F:H,3,)),F787,VLOOKUP(F787,MODIFICACIONES_REALIZADAS!F:H,3,))</f>
        <v>SM-O-RIP-Agente-NumeroPolizas-TotalAnual-2017Q1</v>
      </c>
      <c r="H787" s="22">
        <v>20180101</v>
      </c>
      <c r="I787" s="22">
        <v>20190101</v>
      </c>
      <c r="J787" s="22" t="s">
        <v>1452</v>
      </c>
      <c r="K787" s="22"/>
    </row>
    <row r="788" spans="1:11" x14ac:dyDescent="0.25">
      <c r="A788" s="22">
        <v>4</v>
      </c>
      <c r="B788" s="22" t="s">
        <v>159</v>
      </c>
      <c r="C788" s="22" t="s">
        <v>161</v>
      </c>
      <c r="D788" s="22" t="s">
        <v>1453</v>
      </c>
      <c r="E788" s="22" t="b">
        <f t="shared" ref="E788:E811" si="79">F788=G788</f>
        <v>1</v>
      </c>
      <c r="F788" s="22" t="s">
        <v>1454</v>
      </c>
      <c r="G788" s="22" t="str">
        <f>IF(ISERROR(VLOOKUP(F788,MODIFICACIONES_REALIZADAS!F:H,3,)),F788,VLOOKUP(F788,MODIFICACIONES_REALIZADAS!F:H,3,))</f>
        <v>SM-O-RIP-Agente-NumeroPolizas-TotalAnual-2017Q2</v>
      </c>
      <c r="H788" s="22">
        <v>20180101</v>
      </c>
      <c r="I788" s="22">
        <v>20190101</v>
      </c>
      <c r="J788" s="22" t="s">
        <v>1452</v>
      </c>
      <c r="K788" s="22"/>
    </row>
    <row r="789" spans="1:11" x14ac:dyDescent="0.25">
      <c r="A789" s="22">
        <v>4</v>
      </c>
      <c r="B789" s="22" t="s">
        <v>159</v>
      </c>
      <c r="C789" s="22" t="s">
        <v>161</v>
      </c>
      <c r="D789" s="22" t="s">
        <v>1455</v>
      </c>
      <c r="E789" s="22" t="b">
        <f t="shared" si="79"/>
        <v>1</v>
      </c>
      <c r="F789" s="22" t="s">
        <v>1456</v>
      </c>
      <c r="G789" s="22" t="str">
        <f>IF(ISERROR(VLOOKUP(F789,MODIFICACIONES_REALIZADAS!F:H,3,)),F789,VLOOKUP(F789,MODIFICACIONES_REALIZADAS!F:H,3,))</f>
        <v>SM-O-RIP-Agente-NumeroPolizas-TotalAnual-2017Q3</v>
      </c>
      <c r="H789" s="22">
        <v>20180101</v>
      </c>
      <c r="I789" s="22">
        <v>20190101</v>
      </c>
      <c r="J789" s="22" t="s">
        <v>1452</v>
      </c>
      <c r="K789" s="22"/>
    </row>
    <row r="790" spans="1:11" x14ac:dyDescent="0.25">
      <c r="A790" s="22">
        <v>4</v>
      </c>
      <c r="B790" s="22" t="s">
        <v>159</v>
      </c>
      <c r="C790" s="22" t="s">
        <v>161</v>
      </c>
      <c r="D790" s="22" t="s">
        <v>1457</v>
      </c>
      <c r="E790" s="22" t="b">
        <f t="shared" si="79"/>
        <v>1</v>
      </c>
      <c r="F790" s="22" t="s">
        <v>1458</v>
      </c>
      <c r="G790" s="22" t="str">
        <f>IF(ISERROR(VLOOKUP(F790,MODIFICACIONES_REALIZADAS!F:H,3,)),F790,VLOOKUP(F790,MODIFICACIONES_REALIZADAS!F:H,3,))</f>
        <v>SM-O-RIP-Agente-NumeroPolizas-TotalAnual-2017Q4</v>
      </c>
      <c r="H790" s="22">
        <v>20180101</v>
      </c>
      <c r="I790" s="22">
        <v>20190101</v>
      </c>
      <c r="J790" s="22" t="s">
        <v>1452</v>
      </c>
      <c r="K790" s="22"/>
    </row>
    <row r="791" spans="1:11" x14ac:dyDescent="0.25">
      <c r="A791" s="22">
        <v>4</v>
      </c>
      <c r="B791" s="22" t="s">
        <v>159</v>
      </c>
      <c r="C791" s="22" t="s">
        <v>161</v>
      </c>
      <c r="D791" s="22" t="s">
        <v>1459</v>
      </c>
      <c r="E791" s="22" t="b">
        <f t="shared" si="79"/>
        <v>1</v>
      </c>
      <c r="F791" s="22" t="s">
        <v>1460</v>
      </c>
      <c r="G791" s="22" t="str">
        <f>IF(ISERROR(VLOOKUP(F791,MODIFICACIONES_REALIZADAS!F:H,3,)),F791,VLOOKUP(F791,MODIFICACIONES_REALIZADAS!F:H,3,))</f>
        <v>SM-O-RIP-Agente-NumeroPolizas-002-TotalAnual-2017Q1</v>
      </c>
      <c r="H791" s="22">
        <v>20180101</v>
      </c>
      <c r="I791" s="22">
        <v>20190101</v>
      </c>
      <c r="J791" s="22" t="s">
        <v>1452</v>
      </c>
      <c r="K791" s="22"/>
    </row>
    <row r="792" spans="1:11" x14ac:dyDescent="0.25">
      <c r="A792" s="22">
        <v>4</v>
      </c>
      <c r="B792" s="22" t="s">
        <v>159</v>
      </c>
      <c r="C792" s="22" t="s">
        <v>161</v>
      </c>
      <c r="D792" s="22" t="s">
        <v>1461</v>
      </c>
      <c r="E792" s="22" t="b">
        <f t="shared" si="79"/>
        <v>1</v>
      </c>
      <c r="F792" s="22" t="s">
        <v>1462</v>
      </c>
      <c r="G792" s="22" t="str">
        <f>IF(ISERROR(VLOOKUP(F792,MODIFICACIONES_REALIZADAS!F:H,3,)),F792,VLOOKUP(F792,MODIFICACIONES_REALIZADAS!F:H,3,))</f>
        <v>SM-O-RIP-Agente-NumeroPolizas-002-TotalAnual-2017Q2</v>
      </c>
      <c r="H792" s="22">
        <v>20180101</v>
      </c>
      <c r="I792" s="22">
        <v>20190101</v>
      </c>
      <c r="J792" s="22" t="s">
        <v>1452</v>
      </c>
      <c r="K792" s="22"/>
    </row>
    <row r="793" spans="1:11" x14ac:dyDescent="0.25">
      <c r="A793" s="22">
        <v>4</v>
      </c>
      <c r="B793" s="22" t="s">
        <v>159</v>
      </c>
      <c r="C793" s="22" t="s">
        <v>161</v>
      </c>
      <c r="D793" s="22" t="s">
        <v>1463</v>
      </c>
      <c r="E793" s="22" t="b">
        <f t="shared" si="79"/>
        <v>1</v>
      </c>
      <c r="F793" s="22" t="s">
        <v>1464</v>
      </c>
      <c r="G793" s="22" t="str">
        <f>IF(ISERROR(VLOOKUP(F793,MODIFICACIONES_REALIZADAS!F:H,3,)),F793,VLOOKUP(F793,MODIFICACIONES_REALIZADAS!F:H,3,))</f>
        <v>SM-O-RIP-Agente-NumeroPolizas-002-TotalAnual-2017Q3</v>
      </c>
      <c r="H793" s="22">
        <v>20180101</v>
      </c>
      <c r="I793" s="22">
        <v>20190101</v>
      </c>
      <c r="J793" s="22" t="s">
        <v>1452</v>
      </c>
      <c r="K793" s="22"/>
    </row>
    <row r="794" spans="1:11" x14ac:dyDescent="0.25">
      <c r="A794" s="22">
        <v>4</v>
      </c>
      <c r="B794" s="22" t="s">
        <v>159</v>
      </c>
      <c r="C794" s="22" t="s">
        <v>161</v>
      </c>
      <c r="D794" s="22" t="s">
        <v>1465</v>
      </c>
      <c r="E794" s="22" t="b">
        <f t="shared" si="79"/>
        <v>1</v>
      </c>
      <c r="F794" s="22" t="s">
        <v>1466</v>
      </c>
      <c r="G794" s="22" t="str">
        <f>IF(ISERROR(VLOOKUP(F794,MODIFICACIONES_REALIZADAS!F:H,3,)),F794,VLOOKUP(F794,MODIFICACIONES_REALIZADAS!F:H,3,))</f>
        <v>SM-O-RIP-Agente-NumeroPolizas-002-TotalAnual-2017Q4</v>
      </c>
      <c r="H794" s="22">
        <v>20180101</v>
      </c>
      <c r="I794" s="22">
        <v>20190101</v>
      </c>
      <c r="J794" s="22" t="s">
        <v>1452</v>
      </c>
      <c r="K794" s="22"/>
    </row>
    <row r="795" spans="1:11" x14ac:dyDescent="0.25">
      <c r="A795" s="22">
        <v>4</v>
      </c>
      <c r="B795" s="22" t="s">
        <v>159</v>
      </c>
      <c r="C795" s="22" t="s">
        <v>161</v>
      </c>
      <c r="D795" s="22" t="s">
        <v>1467</v>
      </c>
      <c r="E795" s="22" t="b">
        <f t="shared" si="79"/>
        <v>1</v>
      </c>
      <c r="F795" s="22" t="s">
        <v>1468</v>
      </c>
      <c r="G795" s="22" t="str">
        <f>IF(ISERROR(VLOOKUP(F795,MODIFICACIONES_REALIZADAS!F:H,3,)),F795,VLOOKUP(F795,MODIFICACIONES_REALIZADAS!F:H,3,))</f>
        <v>SM-O-RIP-Agente-Prima-TotalAnual-2017Q1</v>
      </c>
      <c r="H795" s="22">
        <v>20180101</v>
      </c>
      <c r="I795" s="22">
        <v>20190101</v>
      </c>
      <c r="J795" s="22" t="s">
        <v>1452</v>
      </c>
      <c r="K795" s="22"/>
    </row>
    <row r="796" spans="1:11" x14ac:dyDescent="0.25">
      <c r="A796" s="22">
        <v>4</v>
      </c>
      <c r="B796" s="22" t="s">
        <v>159</v>
      </c>
      <c r="C796" s="22" t="s">
        <v>161</v>
      </c>
      <c r="D796" s="22" t="s">
        <v>1469</v>
      </c>
      <c r="E796" s="22" t="b">
        <f>F796=G796</f>
        <v>1</v>
      </c>
      <c r="F796" s="22" t="s">
        <v>1470</v>
      </c>
      <c r="G796" s="22" t="str">
        <f>IF(ISERROR(VLOOKUP(F796,MODIFICACIONES_REALIZADAS!F:H,3,)),F796,VLOOKUP(F796,MODIFICACIONES_REALIZADAS!F:H,3,))</f>
        <v>SM-O-RIP-Agente-Prima-TotalAnual-2017Q2</v>
      </c>
      <c r="H796" s="22">
        <v>20180101</v>
      </c>
      <c r="I796" s="22">
        <v>20190101</v>
      </c>
      <c r="J796" s="22" t="s">
        <v>1452</v>
      </c>
      <c r="K796" s="22"/>
    </row>
    <row r="797" spans="1:11" x14ac:dyDescent="0.25">
      <c r="A797" s="22">
        <v>4</v>
      </c>
      <c r="B797" s="22" t="s">
        <v>159</v>
      </c>
      <c r="C797" s="22" t="s">
        <v>161</v>
      </c>
      <c r="D797" s="22" t="s">
        <v>1471</v>
      </c>
      <c r="E797" s="22" t="b">
        <f t="shared" si="79"/>
        <v>1</v>
      </c>
      <c r="F797" s="22" t="s">
        <v>1472</v>
      </c>
      <c r="G797" s="22" t="str">
        <f>IF(ISERROR(VLOOKUP(F797,MODIFICACIONES_REALIZADAS!F:H,3,)),F797,VLOOKUP(F797,MODIFICACIONES_REALIZADAS!F:H,3,))</f>
        <v>SM-O-RIP-Agente-Prima-TotalAnual-2017Q3</v>
      </c>
      <c r="H797" s="22">
        <v>20180101</v>
      </c>
      <c r="I797" s="22">
        <v>20190101</v>
      </c>
      <c r="J797" s="22" t="s">
        <v>1452</v>
      </c>
      <c r="K797" s="22"/>
    </row>
    <row r="798" spans="1:11" x14ac:dyDescent="0.25">
      <c r="A798" s="22">
        <v>4</v>
      </c>
      <c r="B798" s="22" t="s">
        <v>159</v>
      </c>
      <c r="C798" s="22" t="s">
        <v>161</v>
      </c>
      <c r="D798" s="22" t="s">
        <v>1473</v>
      </c>
      <c r="E798" s="22" t="b">
        <f t="shared" si="79"/>
        <v>1</v>
      </c>
      <c r="F798" s="22" t="s">
        <v>1474</v>
      </c>
      <c r="G798" s="22" t="str">
        <f>IF(ISERROR(VLOOKUP(F798,MODIFICACIONES_REALIZADAS!F:H,3,)),F798,VLOOKUP(F798,MODIFICACIONES_REALIZADAS!F:H,3,))</f>
        <v>SM-O-RIP-Agente-Prima-TotalAnual-2017Q4</v>
      </c>
      <c r="H798" s="22">
        <v>20180101</v>
      </c>
      <c r="I798" s="22">
        <v>20190101</v>
      </c>
      <c r="J798" s="22" t="s">
        <v>1452</v>
      </c>
      <c r="K798" s="22"/>
    </row>
    <row r="799" spans="1:11" x14ac:dyDescent="0.25">
      <c r="A799" s="2">
        <v>4</v>
      </c>
      <c r="B799" s="2" t="s">
        <v>163</v>
      </c>
      <c r="C799" s="2" t="s">
        <v>165</v>
      </c>
      <c r="D799" s="2" t="s">
        <v>1475</v>
      </c>
      <c r="E799" s="2" t="b">
        <f t="shared" si="79"/>
        <v>1</v>
      </c>
      <c r="F799" s="2" t="s">
        <v>1476</v>
      </c>
      <c r="G799" s="2" t="str">
        <f>IF(ISERROR(VLOOKUP(F799,MODIFICACIONES_REALIZADAS!F:H,3,)),F799,VLOOKUP(F799,MODIFICACIONES_REALIZADAS!F:H,3,))</f>
        <v>I-O-RFM-Inspector-Pago</v>
      </c>
      <c r="H799" s="2">
        <v>20140101</v>
      </c>
      <c r="I799" s="2">
        <v>20180101</v>
      </c>
      <c r="J799" s="2" t="s">
        <v>71</v>
      </c>
      <c r="K799" s="2"/>
    </row>
    <row r="800" spans="1:11" x14ac:dyDescent="0.25">
      <c r="A800" s="2">
        <v>4</v>
      </c>
      <c r="B800" s="2" t="s">
        <v>163</v>
      </c>
      <c r="C800" s="2" t="s">
        <v>165</v>
      </c>
      <c r="D800" s="2" t="s">
        <v>1477</v>
      </c>
      <c r="E800" s="2" t="b">
        <f t="shared" si="79"/>
        <v>1</v>
      </c>
      <c r="F800" s="2" t="s">
        <v>1478</v>
      </c>
      <c r="G800" s="2" t="str">
        <f>IF(ISERROR(VLOOKUP(F800,MODIFICACIONES_REALIZADAS!F:H,3,)),F800,VLOOKUP(F800,MODIFICACIONES_REALIZADAS!F:H,3,))</f>
        <v>I-O-RCH-Inspector-Pago</v>
      </c>
      <c r="H800" s="2">
        <v>20140101</v>
      </c>
      <c r="I800" s="2">
        <v>20180101</v>
      </c>
      <c r="J800" s="2" t="s">
        <v>71</v>
      </c>
      <c r="K800" s="2"/>
    </row>
    <row r="801" spans="1:11" x14ac:dyDescent="0.25">
      <c r="A801" s="2">
        <v>4</v>
      </c>
      <c r="B801" s="2" t="s">
        <v>163</v>
      </c>
      <c r="C801" s="2" t="s">
        <v>165</v>
      </c>
      <c r="D801" s="2" t="s">
        <v>1479</v>
      </c>
      <c r="E801" s="2" t="b">
        <f t="shared" si="79"/>
        <v>1</v>
      </c>
      <c r="F801" s="2" t="s">
        <v>1480</v>
      </c>
      <c r="G801" s="2" t="str">
        <f>IF(ISERROR(VLOOKUP(F801,MODIFICACIONES_REALIZADAS!F:H,3,)),F801,VLOOKUP(F801,MODIFICACIONES_REALIZADAS!F:H,3,))</f>
        <v>I-O-RCD-Inspector-Pago</v>
      </c>
      <c r="H801" s="2">
        <v>20140101</v>
      </c>
      <c r="I801" s="2">
        <v>20180101</v>
      </c>
      <c r="J801" s="2" t="s">
        <v>71</v>
      </c>
      <c r="K801" s="2"/>
    </row>
    <row r="802" spans="1:11" x14ac:dyDescent="0.25">
      <c r="A802" s="2">
        <v>4</v>
      </c>
      <c r="B802" s="2" t="s">
        <v>163</v>
      </c>
      <c r="C802" s="2" t="s">
        <v>165</v>
      </c>
      <c r="D802" s="2" t="s">
        <v>1481</v>
      </c>
      <c r="E802" s="2" t="b">
        <f t="shared" si="79"/>
        <v>1</v>
      </c>
      <c r="F802" s="2" t="s">
        <v>1482</v>
      </c>
      <c r="G802" s="2" t="str">
        <f>IF(ISERROR(VLOOKUP(F802,MODIFICACIONES_REALIZADAS!F:H,3,)),F802,VLOOKUP(F802,MODIFICACIONES_REALIZADAS!F:H,3,))</f>
        <v>I-O-VCH-Inspector-Pago</v>
      </c>
      <c r="H802" s="2">
        <v>20140101</v>
      </c>
      <c r="I802" s="2">
        <v>20180101</v>
      </c>
      <c r="J802" s="2" t="s">
        <v>71</v>
      </c>
      <c r="K802" s="2"/>
    </row>
    <row r="803" spans="1:11" x14ac:dyDescent="0.25">
      <c r="A803" s="2">
        <v>4</v>
      </c>
      <c r="B803" s="2" t="s">
        <v>163</v>
      </c>
      <c r="C803" s="2" t="s">
        <v>165</v>
      </c>
      <c r="D803" s="2" t="s">
        <v>1483</v>
      </c>
      <c r="E803" s="2" t="b">
        <f t="shared" si="79"/>
        <v>1</v>
      </c>
      <c r="F803" s="2" t="s">
        <v>1484</v>
      </c>
      <c r="G803" s="2" t="str">
        <f>IF(ISERROR(VLOOKUP(F803,MODIFICACIONES_REALIZADAS!F:H,3,)),F803,VLOOKUP(F803,MODIFICACIONES_REALIZADAS!F:H,3,))</f>
        <v>I-O-VCD-Inspector-Pago</v>
      </c>
      <c r="H803" s="2">
        <v>20140101</v>
      </c>
      <c r="I803" s="2">
        <v>20180101</v>
      </c>
      <c r="J803" s="2" t="s">
        <v>71</v>
      </c>
      <c r="K803" s="2"/>
    </row>
    <row r="804" spans="1:11" ht="15.75" customHeight="1" x14ac:dyDescent="0.25">
      <c r="A804" s="2">
        <v>4</v>
      </c>
      <c r="B804" s="2" t="s">
        <v>163</v>
      </c>
      <c r="C804" s="2" t="s">
        <v>165</v>
      </c>
      <c r="D804" s="2" t="s">
        <v>1485</v>
      </c>
      <c r="E804" s="2" t="b">
        <f t="shared" si="79"/>
        <v>1</v>
      </c>
      <c r="F804" s="2" t="s">
        <v>1486</v>
      </c>
      <c r="G804" s="2" t="str">
        <f>IF(ISERROR(VLOOKUP(F804,MODIFICACIONES_REALIZADAS!F:H,3,)),F804,VLOOKUP(F804,MODIFICACIONES_REALIZADAS!F:H,3,))</f>
        <v>I-O-VCV-Inspector-Pago</v>
      </c>
      <c r="H804" s="2">
        <v>20140101</v>
      </c>
      <c r="I804" s="2">
        <v>20180101</v>
      </c>
      <c r="J804" s="2" t="s">
        <v>71</v>
      </c>
      <c r="K804" s="2"/>
    </row>
    <row r="805" spans="1:11" ht="15.75" customHeight="1" x14ac:dyDescent="0.25">
      <c r="A805" s="25">
        <v>4</v>
      </c>
      <c r="B805" s="25" t="s">
        <v>166</v>
      </c>
      <c r="C805" s="25" t="s">
        <v>168</v>
      </c>
      <c r="D805" s="25" t="s">
        <v>1487</v>
      </c>
      <c r="E805" s="25" t="b">
        <f t="shared" si="79"/>
        <v>1</v>
      </c>
      <c r="F805" s="25" t="s">
        <v>1488</v>
      </c>
      <c r="G805" s="25" t="str">
        <f>IF(ISERROR(VLOOKUP(F805,MODIFICACIONES_REALIZADAS!F:H,3,)),F805,VLOOKUP(F805,MODIFICACIONES_REALIZADAS!F:H,3,))</f>
        <v>SM-O-RECOA-Inspector-Pago-HOGAR</v>
      </c>
      <c r="H805" s="25">
        <v>20140101</v>
      </c>
      <c r="I805" s="25">
        <v>22000101</v>
      </c>
      <c r="J805" s="25" t="s">
        <v>390</v>
      </c>
      <c r="K805" s="25"/>
    </row>
    <row r="806" spans="1:11" ht="15.75" customHeight="1" x14ac:dyDescent="0.25">
      <c r="A806" s="25">
        <v>4</v>
      </c>
      <c r="B806" s="25" t="s">
        <v>166</v>
      </c>
      <c r="C806" s="25" t="s">
        <v>168</v>
      </c>
      <c r="D806" s="25" t="s">
        <v>1487</v>
      </c>
      <c r="E806" s="25" t="b">
        <f t="shared" si="79"/>
        <v>1</v>
      </c>
      <c r="F806" s="25" t="s">
        <v>1489</v>
      </c>
      <c r="G806" s="25" t="str">
        <f>IF(ISERROR(VLOOKUP(F806,MODIFICACIONES_REALIZADAS!F:H,3,)),F806,VLOOKUP(F806,MODIFICACIONES_REALIZADAS!F:H,3,))</f>
        <v>SM-O-RECOA-Inspector-Pago-RRTT</v>
      </c>
      <c r="H806" s="25">
        <v>20140101</v>
      </c>
      <c r="I806" s="25">
        <v>22000101</v>
      </c>
      <c r="J806" s="25" t="s">
        <v>390</v>
      </c>
      <c r="K806" s="25"/>
    </row>
    <row r="807" spans="1:11" ht="15.75" customHeight="1" x14ac:dyDescent="0.25">
      <c r="A807" s="25">
        <v>4</v>
      </c>
      <c r="B807" s="25" t="s">
        <v>166</v>
      </c>
      <c r="C807" s="25" t="s">
        <v>168</v>
      </c>
      <c r="D807" s="25" t="s">
        <v>1487</v>
      </c>
      <c r="E807" s="25" t="b">
        <f t="shared" si="79"/>
        <v>1</v>
      </c>
      <c r="F807" s="25" t="s">
        <v>1490</v>
      </c>
      <c r="G807" s="25" t="str">
        <f>IF(ISERROR(VLOOKUP(F807,MODIFICACIONES_REALIZADAS!F:H,3,)),F807,VLOOKUP(F807,MODIFICACIONES_REALIZADAS!F:H,3,))</f>
        <v>SM-O-RECOA-Inspector-Pago-AHORRO</v>
      </c>
      <c r="H807" s="25">
        <v>20140101</v>
      </c>
      <c r="I807" s="25">
        <v>22000101</v>
      </c>
      <c r="J807" s="25" t="s">
        <v>390</v>
      </c>
      <c r="K807" s="25"/>
    </row>
    <row r="808" spans="1:11" ht="15.75" customHeight="1" x14ac:dyDescent="0.25">
      <c r="A808" s="25">
        <v>4</v>
      </c>
      <c r="B808" s="25" t="s">
        <v>166</v>
      </c>
      <c r="C808" s="25" t="s">
        <v>168</v>
      </c>
      <c r="D808" s="25" t="s">
        <v>1491</v>
      </c>
      <c r="E808" s="25" t="b">
        <f t="shared" si="79"/>
        <v>1</v>
      </c>
      <c r="F808" s="25" t="s">
        <v>1492</v>
      </c>
      <c r="G808" s="25" t="str">
        <f>IF(ISERROR(VLOOKUP(F808,MODIFICACIONES_REALIZADAS!F:H,3,)),F808,VLOOKUP(F808,MODIFICACIONES_REALIZADAS!F:H,3,))</f>
        <v>SM-O-RECOA-Inspector-Porcentaje-PendOfi-Hogar-Actual</v>
      </c>
      <c r="H808" s="25">
        <v>20140101</v>
      </c>
      <c r="I808" s="25">
        <v>22000101</v>
      </c>
      <c r="J808" s="25" t="s">
        <v>390</v>
      </c>
      <c r="K808" s="25"/>
    </row>
    <row r="809" spans="1:11" ht="15.75" customHeight="1" x14ac:dyDescent="0.25">
      <c r="A809" s="25">
        <v>4</v>
      </c>
      <c r="B809" s="25" t="s">
        <v>166</v>
      </c>
      <c r="C809" s="25" t="s">
        <v>168</v>
      </c>
      <c r="D809" s="25" t="s">
        <v>1491</v>
      </c>
      <c r="E809" s="25" t="b">
        <f t="shared" si="79"/>
        <v>1</v>
      </c>
      <c r="F809" s="25" t="s">
        <v>1493</v>
      </c>
      <c r="G809" s="25" t="str">
        <f>IF(ISERROR(VLOOKUP(F809,MODIFICACIONES_REALIZADAS!F:H,3,)),F809,VLOOKUP(F809,MODIFICACIONES_REALIZADAS!F:H,3,))</f>
        <v>SM-O-RECOA-Inspector-Porcentaje-PendOfi-Hogar-Anterior</v>
      </c>
      <c r="H809" s="25">
        <v>20140101</v>
      </c>
      <c r="I809" s="25">
        <v>22000101</v>
      </c>
      <c r="J809" s="25" t="s">
        <v>390</v>
      </c>
      <c r="K809" s="25"/>
    </row>
    <row r="810" spans="1:11" ht="15.75" customHeight="1" x14ac:dyDescent="0.25">
      <c r="A810" s="25">
        <v>4</v>
      </c>
      <c r="B810" s="25" t="s">
        <v>166</v>
      </c>
      <c r="C810" s="25" t="s">
        <v>168</v>
      </c>
      <c r="D810" s="25" t="s">
        <v>1491</v>
      </c>
      <c r="E810" s="25" t="b">
        <f t="shared" si="79"/>
        <v>1</v>
      </c>
      <c r="F810" s="25" t="s">
        <v>1494</v>
      </c>
      <c r="G810" s="25" t="str">
        <f>IF(ISERROR(VLOOKUP(F810,MODIFICACIONES_REALIZADAS!F:H,3,)),F810,VLOOKUP(F810,MODIFICACIONES_REALIZADAS!F:H,3,))</f>
        <v>SM-O-RECOA-Inspector-Porcentaje-PendCia-Hogar-Anterior</v>
      </c>
      <c r="H810" s="25">
        <v>20140101</v>
      </c>
      <c r="I810" s="25">
        <v>22000101</v>
      </c>
      <c r="J810" s="25" t="s">
        <v>390</v>
      </c>
      <c r="K810" s="25"/>
    </row>
    <row r="811" spans="1:11" ht="15.75" customHeight="1" x14ac:dyDescent="0.25">
      <c r="A811" s="25">
        <v>4</v>
      </c>
      <c r="B811" s="25" t="s">
        <v>166</v>
      </c>
      <c r="C811" s="25" t="s">
        <v>168</v>
      </c>
      <c r="D811" s="25" t="s">
        <v>1491</v>
      </c>
      <c r="E811" s="25" t="b">
        <f t="shared" si="79"/>
        <v>1</v>
      </c>
      <c r="F811" s="25" t="s">
        <v>1495</v>
      </c>
      <c r="G811" s="25" t="str">
        <f>IF(ISERROR(VLOOKUP(F811,MODIFICACIONES_REALIZADAS!F:H,3,)),F811,VLOOKUP(F811,MODIFICACIONES_REALIZADAS!F:H,3,))</f>
        <v>SM-O-RECOA-Inspector-Porcentaje-AnulacionOfi-Hogar-Actual</v>
      </c>
      <c r="H811" s="25">
        <v>20140101</v>
      </c>
      <c r="I811" s="25">
        <v>22000101</v>
      </c>
      <c r="J811" s="25" t="s">
        <v>390</v>
      </c>
      <c r="K811" s="25"/>
    </row>
    <row r="812" spans="1:11" ht="15.75" customHeight="1" x14ac:dyDescent="0.25">
      <c r="A812" s="25">
        <v>4</v>
      </c>
      <c r="B812" s="25" t="s">
        <v>166</v>
      </c>
      <c r="C812" s="25" t="s">
        <v>168</v>
      </c>
      <c r="D812" s="25" t="s">
        <v>1491</v>
      </c>
      <c r="E812" s="25" t="b">
        <f t="shared" ref="E812:E817" si="80">F812=G812</f>
        <v>1</v>
      </c>
      <c r="F812" s="25" t="s">
        <v>1496</v>
      </c>
      <c r="G812" s="25" t="str">
        <f>IF(ISERROR(VLOOKUP(F812,MODIFICACIONES_REALIZADAS!F:H,3,)),F812,VLOOKUP(F812,MODIFICACIONES_REALIZADAS!F:H,3,))</f>
        <v>SM-O-RECOA-Inspector-Porcentaje-PendOfi-RRTT-Actual</v>
      </c>
      <c r="H812" s="25">
        <v>20140101</v>
      </c>
      <c r="I812" s="25">
        <v>22000101</v>
      </c>
      <c r="J812" s="25" t="s">
        <v>390</v>
      </c>
      <c r="K812" s="25"/>
    </row>
    <row r="813" spans="1:11" ht="15.75" customHeight="1" x14ac:dyDescent="0.25">
      <c r="A813" s="25">
        <v>4</v>
      </c>
      <c r="B813" s="25" t="s">
        <v>166</v>
      </c>
      <c r="C813" s="25" t="s">
        <v>168</v>
      </c>
      <c r="D813" s="25" t="s">
        <v>1491</v>
      </c>
      <c r="E813" s="25" t="b">
        <f t="shared" si="80"/>
        <v>1</v>
      </c>
      <c r="F813" s="25" t="s">
        <v>1497</v>
      </c>
      <c r="G813" s="25" t="str">
        <f>IF(ISERROR(VLOOKUP(F813,MODIFICACIONES_REALIZADAS!F:H,3,)),F813,VLOOKUP(F813,MODIFICACIONES_REALIZADAS!F:H,3,))</f>
        <v>SM-O-RECOA-Inspector-Porcentaje-PendOfi-RRTT-Anterior</v>
      </c>
      <c r="H813" s="25">
        <v>20140101</v>
      </c>
      <c r="I813" s="25">
        <v>22000101</v>
      </c>
      <c r="J813" s="25" t="s">
        <v>390</v>
      </c>
      <c r="K813" s="25"/>
    </row>
    <row r="814" spans="1:11" ht="15.75" customHeight="1" x14ac:dyDescent="0.25">
      <c r="A814" s="25">
        <v>4</v>
      </c>
      <c r="B814" s="25" t="s">
        <v>166</v>
      </c>
      <c r="C814" s="25" t="s">
        <v>168</v>
      </c>
      <c r="D814" s="25" t="s">
        <v>1491</v>
      </c>
      <c r="E814" s="25" t="b">
        <f t="shared" si="80"/>
        <v>1</v>
      </c>
      <c r="F814" s="25" t="s">
        <v>1498</v>
      </c>
      <c r="G814" s="25" t="str">
        <f>IF(ISERROR(VLOOKUP(F814,MODIFICACIONES_REALIZADAS!F:H,3,)),F814,VLOOKUP(F814,MODIFICACIONES_REALIZADAS!F:H,3,))</f>
        <v>SM-O-RECOA-Inspector-Porcentaje-PendCia-RRTT-Anterior</v>
      </c>
      <c r="H814" s="25">
        <v>20140101</v>
      </c>
      <c r="I814" s="25">
        <v>22000101</v>
      </c>
      <c r="J814" s="25" t="s">
        <v>390</v>
      </c>
      <c r="K814" s="25"/>
    </row>
    <row r="815" spans="1:11" ht="15.75" customHeight="1" x14ac:dyDescent="0.25">
      <c r="A815" s="25">
        <v>4</v>
      </c>
      <c r="B815" s="25" t="s">
        <v>166</v>
      </c>
      <c r="C815" s="25" t="s">
        <v>168</v>
      </c>
      <c r="D815" s="25" t="s">
        <v>1491</v>
      </c>
      <c r="E815" s="25" t="b">
        <f t="shared" si="80"/>
        <v>1</v>
      </c>
      <c r="F815" s="25" t="s">
        <v>1499</v>
      </c>
      <c r="G815" s="25" t="str">
        <f>IF(ISERROR(VLOOKUP(F815,MODIFICACIONES_REALIZADAS!F:H,3,)),F815,VLOOKUP(F815,MODIFICACIONES_REALIZADAS!F:H,3,))</f>
        <v>SM-O-RECOA-Inspector-Porcentaje-AnulacionOfi-RRTT-Actual</v>
      </c>
      <c r="H815" s="25">
        <v>20140101</v>
      </c>
      <c r="I815" s="25">
        <v>22000101</v>
      </c>
      <c r="J815" s="25" t="s">
        <v>390</v>
      </c>
      <c r="K815" s="25"/>
    </row>
    <row r="816" spans="1:11" ht="15.75" customHeight="1" x14ac:dyDescent="0.25">
      <c r="A816" s="25">
        <v>4</v>
      </c>
      <c r="B816" s="25" t="s">
        <v>166</v>
      </c>
      <c r="C816" s="25" t="s">
        <v>168</v>
      </c>
      <c r="D816" s="25" t="s">
        <v>1491</v>
      </c>
      <c r="E816" s="25" t="b">
        <f t="shared" si="80"/>
        <v>1</v>
      </c>
      <c r="F816" s="25" t="s">
        <v>1500</v>
      </c>
      <c r="G816" s="25" t="str">
        <f>IF(ISERROR(VLOOKUP(F816,MODIFICACIONES_REALIZADAS!F:H,3,)),F816,VLOOKUP(F816,MODIFICACIONES_REALIZADAS!F:H,3,))</f>
        <v>SM-O-RECOA-Inspector-Porcentaje-PendOfi-Ahorro-Actual</v>
      </c>
      <c r="H816" s="25">
        <v>20140101</v>
      </c>
      <c r="I816" s="25">
        <v>22000101</v>
      </c>
      <c r="J816" s="25" t="s">
        <v>390</v>
      </c>
      <c r="K816" s="25"/>
    </row>
    <row r="817" spans="1:11" ht="15.75" customHeight="1" x14ac:dyDescent="0.25">
      <c r="A817" s="25">
        <v>4</v>
      </c>
      <c r="B817" s="25" t="s">
        <v>166</v>
      </c>
      <c r="C817" s="25" t="s">
        <v>168</v>
      </c>
      <c r="D817" s="25" t="s">
        <v>1491</v>
      </c>
      <c r="E817" s="25" t="b">
        <f t="shared" si="80"/>
        <v>1</v>
      </c>
      <c r="F817" s="25" t="s">
        <v>1501</v>
      </c>
      <c r="G817" s="25" t="str">
        <f>IF(ISERROR(VLOOKUP(F817,MODIFICACIONES_REALIZADAS!F:H,3,)),F817,VLOOKUP(F817,MODIFICACIONES_REALIZADAS!F:H,3,))</f>
        <v>SM-O-RECOA-Inspector-Porcentaje-PendOfi-Ahorro-Anterior</v>
      </c>
      <c r="H817" s="25">
        <v>20140101</v>
      </c>
      <c r="I817" s="25">
        <v>22000101</v>
      </c>
      <c r="J817" s="25" t="s">
        <v>390</v>
      </c>
      <c r="K817" s="25"/>
    </row>
    <row r="818" spans="1:11" ht="15.75" customHeight="1" x14ac:dyDescent="0.25">
      <c r="A818" s="25">
        <v>4</v>
      </c>
      <c r="B818" s="25" t="s">
        <v>166</v>
      </c>
      <c r="C818" s="25" t="s">
        <v>168</v>
      </c>
      <c r="D818" s="25" t="s">
        <v>1491</v>
      </c>
      <c r="E818" s="25" t="b">
        <f>F818=G818</f>
        <v>1</v>
      </c>
      <c r="F818" s="25" t="s">
        <v>1502</v>
      </c>
      <c r="G818" s="25" t="str">
        <f>IF(ISERROR(VLOOKUP(F818,MODIFICACIONES_REALIZADAS!F:H,3,)),F818,VLOOKUP(F818,MODIFICACIONES_REALIZADAS!F:H,3,))</f>
        <v>SM-O-RECOA-Inspector-Porcentaje-PendCia-Ahorro-Anterior</v>
      </c>
      <c r="H818" s="25">
        <v>20140101</v>
      </c>
      <c r="I818" s="25">
        <v>22000101</v>
      </c>
      <c r="J818" s="25" t="s">
        <v>390</v>
      </c>
      <c r="K818" s="25"/>
    </row>
    <row r="819" spans="1:11" ht="15.75" customHeight="1" x14ac:dyDescent="0.25">
      <c r="A819" s="25">
        <v>4</v>
      </c>
      <c r="B819" s="25" t="s">
        <v>166</v>
      </c>
      <c r="C819" s="25" t="s">
        <v>168</v>
      </c>
      <c r="D819" s="25" t="s">
        <v>1491</v>
      </c>
      <c r="E819" s="25" t="b">
        <f>F819=G819</f>
        <v>1</v>
      </c>
      <c r="F819" s="25" t="s">
        <v>1503</v>
      </c>
      <c r="G819" s="25" t="str">
        <f>IF(ISERROR(VLOOKUP(F819,MODIFICACIONES_REALIZADAS!F:H,3,)),F819,VLOOKUP(F819,MODIFICACIONES_REALIZADAS!F:H,3,))</f>
        <v>SM-O-RECOA-Inspector-Porcentaje-AnulacionOfi-Ahorro-Actual</v>
      </c>
      <c r="H819" s="25">
        <v>20140101</v>
      </c>
      <c r="I819" s="25">
        <v>22000101</v>
      </c>
      <c r="J819" s="25" t="s">
        <v>390</v>
      </c>
      <c r="K819" s="25"/>
    </row>
    <row r="820" spans="1:11" ht="15.75" customHeight="1" x14ac:dyDescent="0.25">
      <c r="A820" s="25">
        <v>4</v>
      </c>
      <c r="B820" s="25" t="s">
        <v>166</v>
      </c>
      <c r="C820" s="25" t="s">
        <v>168</v>
      </c>
      <c r="D820" s="25" t="s">
        <v>1504</v>
      </c>
      <c r="E820" s="25" t="b">
        <f>F820=G820</f>
        <v>1</v>
      </c>
      <c r="F820" s="25" t="s">
        <v>1505</v>
      </c>
      <c r="G820" s="25" t="str">
        <f>IF(ISERROR(VLOOKUP(F820,MODIFICACIONES_REALIZADAS!F:H,3,)),F820,VLOOKUP(F820,MODIFICACIONES_REALIZADAS!F:H,3,))</f>
        <v>SM-O-RECOA-Inspector-Objetivo-Prima</v>
      </c>
      <c r="H820" s="25">
        <v>20140101</v>
      </c>
      <c r="I820" s="25">
        <v>22000101</v>
      </c>
      <c r="J820" s="25" t="s">
        <v>390</v>
      </c>
      <c r="K820" s="25"/>
    </row>
    <row r="821" spans="1:11" ht="15.75" customHeight="1" x14ac:dyDescent="0.25">
      <c r="A821" s="25">
        <v>4</v>
      </c>
      <c r="B821" s="25" t="s">
        <v>166</v>
      </c>
      <c r="C821" s="25" t="s">
        <v>168</v>
      </c>
      <c r="D821" s="25" t="s">
        <v>1506</v>
      </c>
      <c r="E821" s="25" t="b">
        <f>F821=G821</f>
        <v>1</v>
      </c>
      <c r="F821" s="25" t="s">
        <v>1507</v>
      </c>
      <c r="G821" s="25" t="str">
        <f>IF(ISERROR(VLOOKUP(F821,MODIFICACIONES_REALIZADAS!F:H,3,)),F821,VLOOKUP(F821,MODIFICACIONES_REALIZADAS!F:H,3,))</f>
        <v>SM-O-RECOA-Inspector-PrimaAcumTrim</v>
      </c>
      <c r="H821" s="25">
        <v>20140101</v>
      </c>
      <c r="I821" s="25">
        <v>22000101</v>
      </c>
      <c r="J821" s="25" t="s">
        <v>390</v>
      </c>
      <c r="K821" s="25"/>
    </row>
    <row r="822" spans="1:11" x14ac:dyDescent="0.25">
      <c r="A822" s="22">
        <v>0</v>
      </c>
      <c r="B822" s="22" t="s">
        <v>170</v>
      </c>
      <c r="C822" s="22" t="s">
        <v>172</v>
      </c>
      <c r="D822" s="22" t="s">
        <v>1508</v>
      </c>
      <c r="E822" s="22" t="b">
        <f t="shared" ref="E822" si="81">F822=G822</f>
        <v>1</v>
      </c>
      <c r="F822" s="22" t="s">
        <v>1509</v>
      </c>
      <c r="G822" s="22" t="str">
        <f>IF(ISERROR(VLOOKUP(F822,MODIFICACIONES_REALIZADAS!F:H,3,)),F822,VLOOKUP(F822,MODIFICACIONES_REALIZADAS!F:H,3,))</f>
        <v>SM-O-CAP-Agente-NumeroMeses</v>
      </c>
      <c r="H822" s="22">
        <v>20180101</v>
      </c>
      <c r="I822" s="22">
        <v>22000101</v>
      </c>
      <c r="J822" s="22" t="s">
        <v>1510</v>
      </c>
      <c r="K822" s="22"/>
    </row>
    <row r="823" spans="1:11" x14ac:dyDescent="0.25">
      <c r="A823" s="22">
        <v>0</v>
      </c>
      <c r="B823" s="22" t="s">
        <v>170</v>
      </c>
      <c r="C823" s="22" t="s">
        <v>172</v>
      </c>
      <c r="D823" s="22" t="s">
        <v>1511</v>
      </c>
      <c r="E823" s="22" t="b">
        <f t="shared" ref="E823:E824" si="82">F823=G823</f>
        <v>1</v>
      </c>
      <c r="F823" s="22" t="s">
        <v>1512</v>
      </c>
      <c r="G823" s="22" t="str">
        <f>IF(ISERROR(VLOOKUP(F823,MODIFICACIONES_REALIZADAS!F:H,3,)),F823,VLOOKUP(F823,MODIFICACIONES_REALIZADAS!F:H,3,))</f>
        <v>SM-O-CAP-Agente-Polizas-Acumulado</v>
      </c>
      <c r="H823" s="22">
        <v>20180101</v>
      </c>
      <c r="I823" s="22">
        <v>22000101</v>
      </c>
      <c r="J823" s="22" t="s">
        <v>1510</v>
      </c>
      <c r="K823" s="22"/>
    </row>
    <row r="824" spans="1:11" x14ac:dyDescent="0.25">
      <c r="A824" s="22">
        <v>0</v>
      </c>
      <c r="B824" s="22" t="s">
        <v>170</v>
      </c>
      <c r="C824" s="22" t="s">
        <v>172</v>
      </c>
      <c r="D824" s="22" t="s">
        <v>1513</v>
      </c>
      <c r="E824" s="22" t="b">
        <f t="shared" si="82"/>
        <v>1</v>
      </c>
      <c r="F824" s="22" t="s">
        <v>1514</v>
      </c>
      <c r="G824" s="22" t="str">
        <f>IF(ISERROR(VLOOKUP(F824,MODIFICACIONES_REALIZADAS!F:H,3,)),F824,VLOOKUP(F824,MODIFICACIONES_REALIZADAS!F:H,3,))</f>
        <v>SM-O-CAP-Agente-Prima-Acumulado</v>
      </c>
      <c r="H824" s="22">
        <v>20180101</v>
      </c>
      <c r="I824" s="22">
        <v>22000101</v>
      </c>
      <c r="J824" s="22" t="s">
        <v>1510</v>
      </c>
      <c r="K824" s="22"/>
    </row>
    <row r="825" spans="1:11" x14ac:dyDescent="0.25">
      <c r="A825" s="22">
        <v>0</v>
      </c>
      <c r="B825" s="22" t="s">
        <v>170</v>
      </c>
      <c r="C825" s="22" t="s">
        <v>172</v>
      </c>
      <c r="D825" s="22" t="s">
        <v>1515</v>
      </c>
      <c r="E825" s="22" t="b">
        <f t="shared" ref="E825:E855" si="83">F825=G825</f>
        <v>1</v>
      </c>
      <c r="F825" s="22" t="s">
        <v>1516</v>
      </c>
      <c r="G825" s="22" t="str">
        <f>IF(ISERROR(VLOOKUP(F825,MODIFICACIONES_REALIZADAS!F:H,3,)),F825,VLOOKUP(F825,MODIFICACIONES_REALIZADAS!F:H,3,))</f>
        <v>SM-O-CAP-Agente-ImportePago</v>
      </c>
      <c r="H825" s="22">
        <v>20180101</v>
      </c>
      <c r="I825" s="22">
        <v>22000101</v>
      </c>
      <c r="J825" s="22" t="s">
        <v>1510</v>
      </c>
      <c r="K825" s="22"/>
    </row>
    <row r="826" spans="1:11" x14ac:dyDescent="0.25">
      <c r="A826" s="22">
        <v>0</v>
      </c>
      <c r="B826" s="22" t="s">
        <v>170</v>
      </c>
      <c r="C826" s="22" t="s">
        <v>172</v>
      </c>
      <c r="D826" s="22" t="s">
        <v>1517</v>
      </c>
      <c r="E826" s="22" t="b">
        <f t="shared" si="83"/>
        <v>1</v>
      </c>
      <c r="F826" s="22" t="s">
        <v>1518</v>
      </c>
      <c r="G826" s="22" t="str">
        <f>IF(ISERROR(VLOOKUP(F826,MODIFICACIONES_REALIZADAS!F:H,3,)),F826,VLOOKUP(F826,MODIFICACIONES_REALIZADAS!F:H,3,))</f>
        <v>SM-O-CAP-Inspector-ImportePago</v>
      </c>
      <c r="H826" s="22">
        <v>20180101</v>
      </c>
      <c r="I826" s="22">
        <v>22000101</v>
      </c>
      <c r="J826" s="22" t="s">
        <v>1510</v>
      </c>
      <c r="K826" s="22"/>
    </row>
    <row r="827" spans="1:11" ht="15.75" customHeight="1" x14ac:dyDescent="0.25">
      <c r="A827" s="2">
        <v>0</v>
      </c>
      <c r="B827" s="2" t="s">
        <v>174</v>
      </c>
      <c r="C827" s="2" t="s">
        <v>176</v>
      </c>
      <c r="D827" s="2" t="s">
        <v>1519</v>
      </c>
      <c r="E827" s="2" t="b">
        <f t="shared" si="83"/>
        <v>1</v>
      </c>
      <c r="F827" s="2" t="s">
        <v>1520</v>
      </c>
      <c r="G827" s="2" t="str">
        <f>IF(ISERROR(VLOOKUP(F827,MODIFICACIONES_REALIZADAS!F:H,3,)),F827,VLOOKUP(F827,MODIFICACIONES_REALIZADAS!F:H,3,))</f>
        <v>SM-E-CC-Inspector-CampaniaHogar-Pago</v>
      </c>
      <c r="H827" s="2">
        <v>20181001</v>
      </c>
      <c r="I827" s="2">
        <v>20190101</v>
      </c>
      <c r="J827" s="2" t="s">
        <v>1521</v>
      </c>
      <c r="K827" s="2"/>
    </row>
    <row r="828" spans="1:11" ht="15.75" customHeight="1" x14ac:dyDescent="0.25">
      <c r="A828" s="2">
        <v>0</v>
      </c>
      <c r="B828" s="2" t="s">
        <v>174</v>
      </c>
      <c r="C828" s="2" t="s">
        <v>176</v>
      </c>
      <c r="D828" s="2" t="s">
        <v>1522</v>
      </c>
      <c r="E828" s="2" t="b">
        <f t="shared" si="83"/>
        <v>1</v>
      </c>
      <c r="F828" s="2" t="s">
        <v>1523</v>
      </c>
      <c r="G828" s="2" t="str">
        <f>IF(ISERROR(VLOOKUP(F828,MODIFICACIONES_REALIZADAS!F:H,3,)),F828,VLOOKUP(F828,MODIFICACIONES_REALIZADAS!F:H,3,))</f>
        <v>SM-E-CC-Inspector-CampaniaDecesos-Pago</v>
      </c>
      <c r="H828" s="2">
        <v>20181001</v>
      </c>
      <c r="I828" s="2">
        <v>20190101</v>
      </c>
      <c r="J828" s="2" t="s">
        <v>1521</v>
      </c>
      <c r="K828" s="2"/>
    </row>
    <row r="829" spans="1:11" ht="15.75" customHeight="1" x14ac:dyDescent="0.25">
      <c r="A829" s="2">
        <v>0</v>
      </c>
      <c r="B829" s="2" t="s">
        <v>174</v>
      </c>
      <c r="C829" s="2" t="s">
        <v>176</v>
      </c>
      <c r="D829" s="2" t="s">
        <v>1524</v>
      </c>
      <c r="E829" s="2" t="b">
        <f t="shared" si="83"/>
        <v>1</v>
      </c>
      <c r="F829" s="2" t="s">
        <v>1525</v>
      </c>
      <c r="G829" s="2" t="str">
        <f>IF(ISERROR(VLOOKUP(F829,MODIFICACIONES_REALIZADAS!F:H,3,)),F829,VLOOKUP(F829,MODIFICACIONES_REALIZADAS!F:H,3,))</f>
        <v>SM-E-CC-Inspector-CampaniaHogar+Decesos-Pago</v>
      </c>
      <c r="H829" s="2">
        <v>20181001</v>
      </c>
      <c r="I829" s="2">
        <v>20190101</v>
      </c>
      <c r="J829" s="2" t="s">
        <v>1521</v>
      </c>
      <c r="K829" s="2"/>
    </row>
    <row r="830" spans="1:11" ht="15.75" customHeight="1" x14ac:dyDescent="0.25">
      <c r="A830" s="2">
        <v>0</v>
      </c>
      <c r="B830" s="2" t="s">
        <v>174</v>
      </c>
      <c r="C830" s="2" t="s">
        <v>176</v>
      </c>
      <c r="D830" s="2" t="s">
        <v>1526</v>
      </c>
      <c r="E830" s="2" t="b">
        <f t="shared" si="83"/>
        <v>1</v>
      </c>
      <c r="F830" s="2" t="s">
        <v>1527</v>
      </c>
      <c r="G830" s="2" t="str">
        <f>IF(ISERROR(VLOOKUP(F830,MODIFICACIONES_REALIZADAS!F:H,3,)),F830,VLOOKUP(F830,MODIFICACIONES_REALIZADAS!F:H,3,))</f>
        <v>SM-E-CC-Inspector-NumeroPolizas-Hogar-TotalMes</v>
      </c>
      <c r="H830" s="2">
        <v>20181001</v>
      </c>
      <c r="I830" s="2">
        <v>20190101</v>
      </c>
      <c r="J830" s="2" t="s">
        <v>1521</v>
      </c>
      <c r="K830" s="2"/>
    </row>
    <row r="831" spans="1:11" ht="15.75" customHeight="1" x14ac:dyDescent="0.25">
      <c r="A831" s="2">
        <v>0</v>
      </c>
      <c r="B831" s="2" t="s">
        <v>174</v>
      </c>
      <c r="C831" s="2" t="s">
        <v>176</v>
      </c>
      <c r="D831" s="2" t="s">
        <v>1528</v>
      </c>
      <c r="E831" s="2" t="b">
        <f t="shared" si="83"/>
        <v>1</v>
      </c>
      <c r="F831" s="2" t="s">
        <v>1529</v>
      </c>
      <c r="G831" s="2" t="str">
        <f>IF(ISERROR(VLOOKUP(F831,MODIFICACIONES_REALIZADAS!F:H,3,)),F831,VLOOKUP(F831,MODIFICACIONES_REALIZADAS!F:H,3,))</f>
        <v>SM-E-CC-Inspector-NumeroAsegurados-Decesos-TotalMes</v>
      </c>
      <c r="H831" s="2">
        <v>20181001</v>
      </c>
      <c r="I831" s="2">
        <v>20190101</v>
      </c>
      <c r="J831" s="2" t="s">
        <v>1521</v>
      </c>
      <c r="K831" s="2"/>
    </row>
    <row r="832" spans="1:11" ht="15.75" customHeight="1" x14ac:dyDescent="0.25">
      <c r="A832" s="2">
        <v>0</v>
      </c>
      <c r="B832" s="2" t="s">
        <v>174</v>
      </c>
      <c r="C832" s="2" t="s">
        <v>176</v>
      </c>
      <c r="D832" s="2" t="s">
        <v>1530</v>
      </c>
      <c r="E832" s="2" t="b">
        <f t="shared" si="83"/>
        <v>1</v>
      </c>
      <c r="F832" s="2" t="s">
        <v>1531</v>
      </c>
      <c r="G832" s="2" t="str">
        <f>IF(ISERROR(VLOOKUP(F832,MODIFICACIONES_REALIZADAS!F:H,3,)),F832,VLOOKUP(F832,MODIFICACIONES_REALIZADAS!F:H,3,))</f>
        <v>SM-E-CC-Agente-CampaniaHogar-Pago</v>
      </c>
      <c r="H832" s="2">
        <v>20181001</v>
      </c>
      <c r="I832" s="2">
        <v>20190101</v>
      </c>
      <c r="J832" s="2" t="s">
        <v>1521</v>
      </c>
      <c r="K832" s="2"/>
    </row>
    <row r="833" spans="1:11" ht="15.75" customHeight="1" x14ac:dyDescent="0.25">
      <c r="A833" s="2">
        <v>0</v>
      </c>
      <c r="B833" s="2" t="s">
        <v>174</v>
      </c>
      <c r="C833" s="2" t="s">
        <v>176</v>
      </c>
      <c r="D833" s="2" t="s">
        <v>1532</v>
      </c>
      <c r="E833" s="2" t="b">
        <f t="shared" si="83"/>
        <v>1</v>
      </c>
      <c r="F833" s="2" t="s">
        <v>1533</v>
      </c>
      <c r="G833" s="2" t="str">
        <f>IF(ISERROR(VLOOKUP(F833,MODIFICACIONES_REALIZADAS!F:H,3,)),F833,VLOOKUP(F833,MODIFICACIONES_REALIZADAS!F:H,3,))</f>
        <v>SM-E-CC-Agente-CampaniaDecesos-Pago</v>
      </c>
      <c r="H833" s="2">
        <v>20181001</v>
      </c>
      <c r="I833" s="2">
        <v>20190101</v>
      </c>
      <c r="J833" s="2" t="s">
        <v>1521</v>
      </c>
      <c r="K833" s="2"/>
    </row>
    <row r="834" spans="1:11" ht="15.75" customHeight="1" x14ac:dyDescent="0.25">
      <c r="A834" s="2">
        <v>0</v>
      </c>
      <c r="B834" s="2" t="s">
        <v>174</v>
      </c>
      <c r="C834" s="2" t="s">
        <v>176</v>
      </c>
      <c r="D834" s="2" t="s">
        <v>1534</v>
      </c>
      <c r="E834" s="2" t="b">
        <f t="shared" si="83"/>
        <v>1</v>
      </c>
      <c r="F834" s="2" t="s">
        <v>1535</v>
      </c>
      <c r="G834" s="2" t="str">
        <f>IF(ISERROR(VLOOKUP(F834,MODIFICACIONES_REALIZADAS!F:H,3,)),F834,VLOOKUP(F834,MODIFICACIONES_REALIZADAS!F:H,3,))</f>
        <v>SM-E-CC-Agente-CampaniaHogar+Decesos-Pago</v>
      </c>
      <c r="H834" s="2">
        <v>20181001</v>
      </c>
      <c r="I834" s="2">
        <v>20190101</v>
      </c>
      <c r="J834" s="2" t="s">
        <v>1521</v>
      </c>
      <c r="K834" s="2"/>
    </row>
    <row r="835" spans="1:11" ht="15.75" customHeight="1" x14ac:dyDescent="0.25">
      <c r="A835" s="2">
        <v>0</v>
      </c>
      <c r="B835" s="2" t="s">
        <v>174</v>
      </c>
      <c r="C835" s="2" t="s">
        <v>176</v>
      </c>
      <c r="D835" s="2" t="s">
        <v>1536</v>
      </c>
      <c r="E835" s="2" t="b">
        <f t="shared" si="83"/>
        <v>1</v>
      </c>
      <c r="F835" s="2" t="s">
        <v>1537</v>
      </c>
      <c r="G835" s="2" t="str">
        <f>IF(ISERROR(VLOOKUP(F835,MODIFICACIONES_REALIZADAS!F:H,3,)),F835,VLOOKUP(F835,MODIFICACIONES_REALIZADAS!F:H,3,))</f>
        <v>SM-E-CC-Agente-NumeroPolizas-Hogar-TotalMes</v>
      </c>
      <c r="H835" s="2">
        <v>20181001</v>
      </c>
      <c r="I835" s="2">
        <v>20190101</v>
      </c>
      <c r="J835" s="2" t="s">
        <v>1521</v>
      </c>
      <c r="K835" s="2"/>
    </row>
    <row r="836" spans="1:11" ht="15.75" customHeight="1" x14ac:dyDescent="0.25">
      <c r="A836" s="2">
        <v>0</v>
      </c>
      <c r="B836" s="2" t="s">
        <v>174</v>
      </c>
      <c r="C836" s="2" t="s">
        <v>176</v>
      </c>
      <c r="D836" s="2" t="s">
        <v>1538</v>
      </c>
      <c r="E836" s="2" t="b">
        <f t="shared" si="83"/>
        <v>1</v>
      </c>
      <c r="F836" s="2" t="s">
        <v>1539</v>
      </c>
      <c r="G836" s="2" t="str">
        <f>IF(ISERROR(VLOOKUP(F836,MODIFICACIONES_REALIZADAS!F:H,3,)),F836,VLOOKUP(F836,MODIFICACIONES_REALIZADAS!F:H,3,))</f>
        <v>SM-E-CC-Agente-NumeroAsegurados-Decesos-TotalMes</v>
      </c>
      <c r="H836" s="2">
        <v>20181001</v>
      </c>
      <c r="I836" s="2">
        <v>20190101</v>
      </c>
      <c r="J836" s="2" t="s">
        <v>1521</v>
      </c>
      <c r="K836" s="2"/>
    </row>
    <row r="837" spans="1:11" ht="15.75" customHeight="1" x14ac:dyDescent="0.25">
      <c r="A837" s="22">
        <v>0</v>
      </c>
      <c r="B837" s="22" t="s">
        <v>174</v>
      </c>
      <c r="C837" s="22" t="s">
        <v>176</v>
      </c>
      <c r="D837" s="22" t="s">
        <v>1540</v>
      </c>
      <c r="E837" s="22" t="b">
        <f t="shared" si="83"/>
        <v>1</v>
      </c>
      <c r="F837" s="22" t="s">
        <v>1541</v>
      </c>
      <c r="G837" s="22" t="str">
        <f>IF(ISERROR(VLOOKUP(F837,MODIFICACIONES_REALIZADAS!F:H,3,)),F837,VLOOKUP(F837,MODIFICACIONES_REALIZADAS!F:H,3,))</f>
        <v>SM-E-CC-Agente-NumPolizas-Decesos-TotalMes</v>
      </c>
      <c r="H837" s="22">
        <v>20190201</v>
      </c>
      <c r="I837" s="22">
        <v>22000101</v>
      </c>
      <c r="J837" s="22" t="s">
        <v>1542</v>
      </c>
      <c r="K837" s="22"/>
    </row>
    <row r="838" spans="1:11" ht="15.75" customHeight="1" x14ac:dyDescent="0.25">
      <c r="A838" s="22">
        <v>0</v>
      </c>
      <c r="B838" s="22" t="s">
        <v>174</v>
      </c>
      <c r="C838" s="22" t="s">
        <v>176</v>
      </c>
      <c r="D838" s="22" t="s">
        <v>1543</v>
      </c>
      <c r="E838" s="22" t="b">
        <f t="shared" si="83"/>
        <v>1</v>
      </c>
      <c r="F838" s="22" t="s">
        <v>1544</v>
      </c>
      <c r="G838" s="22" t="str">
        <f>IF(ISERROR(VLOOKUP(F838,MODIFICACIONES_REALIZADAS!F:H,3,)),F838,VLOOKUP(F838,MODIFICACIONES_REALIZADAS!F:H,3,))</f>
        <v>SM-E-CC-Inspector-NumPolizas-Decesos-TotalMes</v>
      </c>
      <c r="H838" s="22">
        <v>20190201</v>
      </c>
      <c r="I838" s="22">
        <v>22000101</v>
      </c>
      <c r="J838" s="22" t="s">
        <v>1542</v>
      </c>
      <c r="K838" s="22"/>
    </row>
    <row r="839" spans="1:11" ht="15.75" customHeight="1" x14ac:dyDescent="0.25">
      <c r="A839" s="22">
        <v>0</v>
      </c>
      <c r="B839" s="22" t="s">
        <v>174</v>
      </c>
      <c r="C839" s="22" t="s">
        <v>176</v>
      </c>
      <c r="D839" s="22" t="s">
        <v>1545</v>
      </c>
      <c r="E839" s="22" t="b">
        <f t="shared" si="83"/>
        <v>1</v>
      </c>
      <c r="F839" s="22" t="s">
        <v>1546</v>
      </c>
      <c r="G839" s="22" t="str">
        <f>IF(ISERROR(VLOOKUP(F839,MODIFICACIONES_REALIZADAS!F:H,3,)),F839,VLOOKUP(F839,MODIFICACIONES_REALIZADAS!F:H,3,))</f>
        <v>SM-E-CC-Agente-NumPolizas-Hogar-TotalMes</v>
      </c>
      <c r="H839" s="22">
        <v>20190201</v>
      </c>
      <c r="I839" s="22">
        <v>22000101</v>
      </c>
      <c r="J839" s="22" t="s">
        <v>1542</v>
      </c>
      <c r="K839" s="22"/>
    </row>
    <row r="840" spans="1:11" ht="15.75" customHeight="1" x14ac:dyDescent="0.25">
      <c r="A840" s="22">
        <v>0</v>
      </c>
      <c r="B840" s="22" t="s">
        <v>174</v>
      </c>
      <c r="C840" s="22" t="s">
        <v>176</v>
      </c>
      <c r="D840" s="22" t="s">
        <v>1547</v>
      </c>
      <c r="E840" s="22" t="b">
        <f t="shared" si="83"/>
        <v>1</v>
      </c>
      <c r="F840" s="22" t="s">
        <v>1548</v>
      </c>
      <c r="G840" s="22" t="str">
        <f>IF(ISERROR(VLOOKUP(F840,MODIFICACIONES_REALIZADAS!F:H,3,)),F840,VLOOKUP(F840,MODIFICACIONES_REALIZADAS!F:H,3,))</f>
        <v>SM-E-CC-Inspector-NumPolizas-Hogar-TotalMes</v>
      </c>
      <c r="H840" s="22">
        <v>20190201</v>
      </c>
      <c r="I840" s="22">
        <v>22000101</v>
      </c>
      <c r="J840" s="22" t="s">
        <v>1542</v>
      </c>
      <c r="K840" s="22"/>
    </row>
    <row r="841" spans="1:11" ht="15.75" customHeight="1" x14ac:dyDescent="0.25">
      <c r="A841" s="22">
        <v>0</v>
      </c>
      <c r="B841" s="22" t="s">
        <v>174</v>
      </c>
      <c r="C841" s="22" t="s">
        <v>176</v>
      </c>
      <c r="D841" s="22" t="s">
        <v>1549</v>
      </c>
      <c r="E841" s="22" t="b">
        <f t="shared" si="83"/>
        <v>1</v>
      </c>
      <c r="F841" s="22" t="s">
        <v>1550</v>
      </c>
      <c r="G841" s="22" t="str">
        <f>IF(ISERROR(VLOOKUP(F841,MODIFICACIONES_REALIZADAS!F:H,3,)),F841,VLOOKUP(F841,MODIFICACIONES_REALIZADAS!F:H,3,))</f>
        <v>SM-E-CC-Agente-NumPolizas-Comunidades-TotalMes</v>
      </c>
      <c r="H841" s="22">
        <v>20190201</v>
      </c>
      <c r="I841" s="22">
        <v>22000101</v>
      </c>
      <c r="J841" s="22" t="s">
        <v>1542</v>
      </c>
      <c r="K841" s="22"/>
    </row>
    <row r="842" spans="1:11" ht="15.75" customHeight="1" x14ac:dyDescent="0.25">
      <c r="A842" s="22">
        <v>0</v>
      </c>
      <c r="B842" s="22" t="s">
        <v>174</v>
      </c>
      <c r="C842" s="22" t="s">
        <v>176</v>
      </c>
      <c r="D842" s="22" t="s">
        <v>1551</v>
      </c>
      <c r="E842" s="22" t="b">
        <f t="shared" si="83"/>
        <v>1</v>
      </c>
      <c r="F842" s="22" t="s">
        <v>1552</v>
      </c>
      <c r="G842" s="22" t="str">
        <f>IF(ISERROR(VLOOKUP(F842,MODIFICACIONES_REALIZADAS!F:H,3,)),F842,VLOOKUP(F842,MODIFICACIONES_REALIZADAS!F:H,3,))</f>
        <v>SM-E-CC-Inspector-NumPolizas-Comunidades-TotalMes</v>
      </c>
      <c r="H842" s="22">
        <v>20190201</v>
      </c>
      <c r="I842" s="22">
        <v>22000101</v>
      </c>
      <c r="J842" s="22" t="s">
        <v>1542</v>
      </c>
      <c r="K842" s="22"/>
    </row>
    <row r="843" spans="1:11" ht="15.75" customHeight="1" x14ac:dyDescent="0.25">
      <c r="A843" s="22">
        <v>0</v>
      </c>
      <c r="B843" s="22" t="s">
        <v>174</v>
      </c>
      <c r="C843" s="22" t="s">
        <v>176</v>
      </c>
      <c r="D843" s="22" t="s">
        <v>1553</v>
      </c>
      <c r="E843" s="22" t="b">
        <f t="shared" si="83"/>
        <v>1</v>
      </c>
      <c r="F843" s="22" t="s">
        <v>1554</v>
      </c>
      <c r="G843" s="22" t="str">
        <f>IF(ISERROR(VLOOKUP(F843,MODIFICACIONES_REALIZADAS!F:H,3,)),F843,VLOOKUP(F843,MODIFICACIONES_REALIZADAS!F:H,3,))</f>
        <v>SM-E-CC-Agente-NumPolizas-Accidentes-TotalMes</v>
      </c>
      <c r="H843" s="22">
        <v>20190201</v>
      </c>
      <c r="I843" s="22">
        <v>22000101</v>
      </c>
      <c r="J843" s="22" t="s">
        <v>1542</v>
      </c>
      <c r="K843" s="22"/>
    </row>
    <row r="844" spans="1:11" ht="15.75" customHeight="1" x14ac:dyDescent="0.25">
      <c r="A844" s="22">
        <v>0</v>
      </c>
      <c r="B844" s="22" t="s">
        <v>174</v>
      </c>
      <c r="C844" s="22" t="s">
        <v>176</v>
      </c>
      <c r="D844" s="22" t="s">
        <v>1555</v>
      </c>
      <c r="E844" s="22" t="b">
        <f t="shared" si="83"/>
        <v>1</v>
      </c>
      <c r="F844" s="22" t="s">
        <v>1556</v>
      </c>
      <c r="G844" s="22" t="str">
        <f>IF(ISERROR(VLOOKUP(F844,MODIFICACIONES_REALIZADAS!F:H,3,)),F844,VLOOKUP(F844,MODIFICACIONES_REALIZADAS!F:H,3,))</f>
        <v>SM-E-CC-Inspector-NumPolizas-Accidentes-TotalMes</v>
      </c>
      <c r="H844" s="22">
        <v>20190201</v>
      </c>
      <c r="I844" s="22">
        <v>22000101</v>
      </c>
      <c r="J844" s="22" t="s">
        <v>1542</v>
      </c>
      <c r="K844" s="22"/>
    </row>
    <row r="845" spans="1:11" ht="15.75" customHeight="1" x14ac:dyDescent="0.25">
      <c r="A845" s="22">
        <v>0</v>
      </c>
      <c r="B845" s="22" t="s">
        <v>174</v>
      </c>
      <c r="C845" s="22" t="s">
        <v>176</v>
      </c>
      <c r="D845" s="22" t="s">
        <v>1557</v>
      </c>
      <c r="E845" s="22" t="b">
        <f t="shared" si="83"/>
        <v>1</v>
      </c>
      <c r="F845" s="22" t="s">
        <v>1558</v>
      </c>
      <c r="G845" s="22" t="str">
        <f>IF(ISERROR(VLOOKUP(F845,MODIFICACIONES_REALIZADAS!F:H,3,)),F845,VLOOKUP(F845,MODIFICACIONES_REALIZADAS!F:H,3,))</f>
        <v>SM-E-CC-Agente-NumPolizas-Decesos-TotalAnual</v>
      </c>
      <c r="H845" s="22">
        <v>20190201</v>
      </c>
      <c r="I845" s="22">
        <v>22000101</v>
      </c>
      <c r="J845" s="22" t="s">
        <v>1542</v>
      </c>
      <c r="K845" s="22"/>
    </row>
    <row r="846" spans="1:11" ht="15.75" customHeight="1" x14ac:dyDescent="0.25">
      <c r="A846" s="22">
        <v>0</v>
      </c>
      <c r="B846" s="22" t="s">
        <v>174</v>
      </c>
      <c r="C846" s="22" t="s">
        <v>176</v>
      </c>
      <c r="D846" s="22" t="s">
        <v>1559</v>
      </c>
      <c r="E846" s="22" t="b">
        <f t="shared" si="83"/>
        <v>1</v>
      </c>
      <c r="F846" s="22" t="s">
        <v>1560</v>
      </c>
      <c r="G846" s="22" t="str">
        <f>IF(ISERROR(VLOOKUP(F846,MODIFICACIONES_REALIZADAS!F:H,3,)),F846,VLOOKUP(F846,MODIFICACIONES_REALIZADAS!F:H,3,))</f>
        <v>SM-E-CC-Inspector-NumPolizas-Decesos-TotalAnual</v>
      </c>
      <c r="H846" s="22">
        <v>20190201</v>
      </c>
      <c r="I846" s="22">
        <v>22000101</v>
      </c>
      <c r="J846" s="22" t="s">
        <v>1542</v>
      </c>
      <c r="K846" s="22"/>
    </row>
    <row r="847" spans="1:11" ht="15.75" customHeight="1" x14ac:dyDescent="0.25">
      <c r="A847" s="22">
        <v>0</v>
      </c>
      <c r="B847" s="22" t="s">
        <v>174</v>
      </c>
      <c r="C847" s="22" t="s">
        <v>176</v>
      </c>
      <c r="D847" s="22" t="s">
        <v>1561</v>
      </c>
      <c r="E847" s="22" t="b">
        <f t="shared" si="83"/>
        <v>1</v>
      </c>
      <c r="F847" s="22" t="s">
        <v>1562</v>
      </c>
      <c r="G847" s="22" t="str">
        <f>IF(ISERROR(VLOOKUP(F847,MODIFICACIONES_REALIZADAS!F:H,3,)),F847,VLOOKUP(F847,MODIFICACIONES_REALIZADAS!F:H,3,))</f>
        <v>SM-E-CC-Agente-NumPolizas-Hogar-TotalAnual</v>
      </c>
      <c r="H847" s="22">
        <v>20190201</v>
      </c>
      <c r="I847" s="22">
        <v>22000101</v>
      </c>
      <c r="J847" s="22" t="s">
        <v>1542</v>
      </c>
      <c r="K847" s="22"/>
    </row>
    <row r="848" spans="1:11" ht="15.75" customHeight="1" x14ac:dyDescent="0.25">
      <c r="A848" s="22">
        <v>0</v>
      </c>
      <c r="B848" s="22" t="s">
        <v>174</v>
      </c>
      <c r="C848" s="22" t="s">
        <v>176</v>
      </c>
      <c r="D848" s="22" t="s">
        <v>1563</v>
      </c>
      <c r="E848" s="22" t="b">
        <f t="shared" si="83"/>
        <v>1</v>
      </c>
      <c r="F848" s="22" t="s">
        <v>1564</v>
      </c>
      <c r="G848" s="22" t="str">
        <f>IF(ISERROR(VLOOKUP(F848,MODIFICACIONES_REALIZADAS!F:H,3,)),F848,VLOOKUP(F848,MODIFICACIONES_REALIZADAS!F:H,3,))</f>
        <v>SM-E-CC-Inspector-NumPolizas-Hogar-TotalAnual</v>
      </c>
      <c r="H848" s="22">
        <v>20190201</v>
      </c>
      <c r="I848" s="22">
        <v>22000101</v>
      </c>
      <c r="J848" s="22" t="s">
        <v>1542</v>
      </c>
      <c r="K848" s="22"/>
    </row>
    <row r="849" spans="1:11" ht="15.75" customHeight="1" x14ac:dyDescent="0.25">
      <c r="A849" s="22">
        <v>0</v>
      </c>
      <c r="B849" s="22" t="s">
        <v>174</v>
      </c>
      <c r="C849" s="22" t="s">
        <v>176</v>
      </c>
      <c r="D849" s="22" t="s">
        <v>1565</v>
      </c>
      <c r="E849" s="22" t="b">
        <f t="shared" si="83"/>
        <v>1</v>
      </c>
      <c r="F849" s="22" t="s">
        <v>1566</v>
      </c>
      <c r="G849" s="22" t="str">
        <f>IF(ISERROR(VLOOKUP(F849,MODIFICACIONES_REALIZADAS!F:H,3,)),F849,VLOOKUP(F849,MODIFICACIONES_REALIZADAS!F:H,3,))</f>
        <v>SM-E-CC-Agente-NumPolizas-Comunidades-TotalAnual</v>
      </c>
      <c r="H849" s="22">
        <v>20190201</v>
      </c>
      <c r="I849" s="22">
        <v>22000101</v>
      </c>
      <c r="J849" s="22" t="s">
        <v>1542</v>
      </c>
      <c r="K849" s="22"/>
    </row>
    <row r="850" spans="1:11" ht="15.75" customHeight="1" x14ac:dyDescent="0.25">
      <c r="A850" s="22">
        <v>0</v>
      </c>
      <c r="B850" s="22" t="s">
        <v>174</v>
      </c>
      <c r="C850" s="22" t="s">
        <v>176</v>
      </c>
      <c r="D850" s="22" t="s">
        <v>1567</v>
      </c>
      <c r="E850" s="22" t="b">
        <f t="shared" si="83"/>
        <v>1</v>
      </c>
      <c r="F850" s="22" t="s">
        <v>1568</v>
      </c>
      <c r="G850" s="22" t="str">
        <f>IF(ISERROR(VLOOKUP(F850,MODIFICACIONES_REALIZADAS!F:H,3,)),F850,VLOOKUP(F850,MODIFICACIONES_REALIZADAS!F:H,3,))</f>
        <v>SM-E-CC-Inspector-NumPolizas-Comunidades-TotalAnual</v>
      </c>
      <c r="H850" s="22">
        <v>20190201</v>
      </c>
      <c r="I850" s="22">
        <v>22000101</v>
      </c>
      <c r="J850" s="22" t="s">
        <v>1542</v>
      </c>
      <c r="K850" s="22"/>
    </row>
    <row r="851" spans="1:11" ht="15.75" customHeight="1" x14ac:dyDescent="0.25">
      <c r="A851" s="22">
        <v>0</v>
      </c>
      <c r="B851" s="22" t="s">
        <v>174</v>
      </c>
      <c r="C851" s="22" t="s">
        <v>176</v>
      </c>
      <c r="D851" s="22" t="s">
        <v>1569</v>
      </c>
      <c r="E851" s="22" t="b">
        <f t="shared" si="83"/>
        <v>1</v>
      </c>
      <c r="F851" s="22" t="s">
        <v>1570</v>
      </c>
      <c r="G851" s="22" t="str">
        <f>IF(ISERROR(VLOOKUP(F851,MODIFICACIONES_REALIZADAS!F:H,3,)),F851,VLOOKUP(F851,MODIFICACIONES_REALIZADAS!F:H,3,))</f>
        <v>SM-E-CC-Agente-NumPolizas-Accidentes-TotalAnual</v>
      </c>
      <c r="H851" s="22">
        <v>20190201</v>
      </c>
      <c r="I851" s="22">
        <v>22000101</v>
      </c>
      <c r="J851" s="22" t="s">
        <v>1542</v>
      </c>
      <c r="K851" s="22"/>
    </row>
    <row r="852" spans="1:11" ht="15.75" customHeight="1" x14ac:dyDescent="0.25">
      <c r="A852" s="22">
        <v>0</v>
      </c>
      <c r="B852" s="22" t="s">
        <v>174</v>
      </c>
      <c r="C852" s="22" t="s">
        <v>176</v>
      </c>
      <c r="D852" s="22" t="s">
        <v>1571</v>
      </c>
      <c r="E852" s="22" t="b">
        <f t="shared" si="83"/>
        <v>1</v>
      </c>
      <c r="F852" s="22" t="s">
        <v>1572</v>
      </c>
      <c r="G852" s="22" t="str">
        <f>IF(ISERROR(VLOOKUP(F852,MODIFICACIONES_REALIZADAS!F:H,3,)),F852,VLOOKUP(F852,MODIFICACIONES_REALIZADAS!F:H,3,))</f>
        <v>SM-E-CC-Inspector-NumPolizas-Accidentes-TotalAnual</v>
      </c>
      <c r="H852" s="22">
        <v>20190201</v>
      </c>
      <c r="I852" s="22">
        <v>22000101</v>
      </c>
      <c r="J852" s="22" t="s">
        <v>1542</v>
      </c>
      <c r="K852" s="22"/>
    </row>
    <row r="853" spans="1:11" ht="15.75" customHeight="1" x14ac:dyDescent="0.25">
      <c r="A853" s="22">
        <v>0</v>
      </c>
      <c r="B853" s="22" t="s">
        <v>174</v>
      </c>
      <c r="C853" s="22" t="s">
        <v>176</v>
      </c>
      <c r="D853" s="22" t="s">
        <v>1573</v>
      </c>
      <c r="E853" s="22" t="b">
        <f t="shared" si="83"/>
        <v>1</v>
      </c>
      <c r="F853" s="22" t="s">
        <v>1574</v>
      </c>
      <c r="G853" s="22" t="str">
        <f>IF(ISERROR(VLOOKUP(F853,MODIFICACIONES_REALIZADAS!F:H,3,)),F853,VLOOKUP(F853,MODIFICACIONES_REALIZADAS!F:H,3,))</f>
        <v>SM-E-CC-Inspector-PrimaCorregida-TotalAnual</v>
      </c>
      <c r="H853" s="22">
        <v>20190201</v>
      </c>
      <c r="I853" s="22">
        <v>22000101</v>
      </c>
      <c r="J853" s="22" t="s">
        <v>1542</v>
      </c>
      <c r="K853" s="22"/>
    </row>
    <row r="854" spans="1:11" ht="15.75" customHeight="1" x14ac:dyDescent="0.25">
      <c r="A854" s="22">
        <v>0</v>
      </c>
      <c r="B854" s="22" t="s">
        <v>174</v>
      </c>
      <c r="C854" s="22" t="s">
        <v>176</v>
      </c>
      <c r="D854" s="22" t="s">
        <v>1575</v>
      </c>
      <c r="E854" s="22" t="b">
        <f t="shared" si="83"/>
        <v>1</v>
      </c>
      <c r="F854" s="22" t="s">
        <v>1576</v>
      </c>
      <c r="G854" s="22" t="str">
        <f>IF(ISERROR(VLOOKUP(F854,MODIFICACIONES_REALIZADAS!F:H,3,)),F854,VLOOKUP(F854,MODIFICACIONES_REALIZADAS!F:H,3,))</f>
        <v>SM-E-CC-Agente-CampaniaAgente2019-Cumple</v>
      </c>
      <c r="H854" s="22">
        <v>20190201</v>
      </c>
      <c r="I854" s="22">
        <v>22000101</v>
      </c>
      <c r="J854" s="22" t="s">
        <v>1542</v>
      </c>
      <c r="K854" s="22"/>
    </row>
    <row r="855" spans="1:11" ht="15.75" customHeight="1" x14ac:dyDescent="0.25">
      <c r="A855" s="22">
        <v>0</v>
      </c>
      <c r="B855" s="22" t="s">
        <v>174</v>
      </c>
      <c r="C855" s="22" t="s">
        <v>176</v>
      </c>
      <c r="D855" s="22" t="s">
        <v>1577</v>
      </c>
      <c r="E855" s="22" t="b">
        <f t="shared" si="83"/>
        <v>1</v>
      </c>
      <c r="F855" s="22" t="s">
        <v>1578</v>
      </c>
      <c r="G855" s="22" t="str">
        <f>IF(ISERROR(VLOOKUP(F855,MODIFICACIONES_REALIZADAS!F:H,3,)),F855,VLOOKUP(F855,MODIFICACIONES_REALIZADAS!F:H,3,))</f>
        <v>SM-E-CC-Inspector-CampaniaAgente2019-Cumple</v>
      </c>
      <c r="H855" s="22">
        <v>20190201</v>
      </c>
      <c r="I855" s="22">
        <v>22000101</v>
      </c>
      <c r="J855" s="22" t="s">
        <v>1542</v>
      </c>
      <c r="K855" s="22"/>
    </row>
    <row r="856" spans="1:11" ht="15.75" customHeight="1" x14ac:dyDescent="0.25">
      <c r="A856" s="22">
        <v>0</v>
      </c>
      <c r="B856" s="22" t="s">
        <v>179</v>
      </c>
      <c r="C856" s="22" t="s">
        <v>181</v>
      </c>
      <c r="D856" s="22" t="s">
        <v>1579</v>
      </c>
      <c r="E856" s="22" t="b">
        <f t="shared" ref="E856:E888" si="84">F856=G856</f>
        <v>1</v>
      </c>
      <c r="F856" s="22" t="s">
        <v>1580</v>
      </c>
      <c r="G856" s="22" t="str">
        <f>IF(ISERROR(VLOOKUP(F856,MODIFICACIONES_REALIZADAS!F:H,3,)),F856,VLOOKUP(F856,MODIFICACIONES_REALIZADAS!F:H,3,))</f>
        <v>SM-O-Agente-CampanaPersonales-TotalMes</v>
      </c>
      <c r="H856" s="22">
        <v>20181101</v>
      </c>
      <c r="I856" s="22">
        <v>22000101</v>
      </c>
      <c r="J856" s="22" t="s">
        <v>1581</v>
      </c>
      <c r="K856" s="22"/>
    </row>
    <row r="857" spans="1:11" ht="15.75" customHeight="1" x14ac:dyDescent="0.25">
      <c r="A857" s="22">
        <v>0</v>
      </c>
      <c r="B857" s="22" t="s">
        <v>179</v>
      </c>
      <c r="C857" s="22" t="s">
        <v>181</v>
      </c>
      <c r="D857" s="22" t="s">
        <v>1582</v>
      </c>
      <c r="E857" s="22" t="b">
        <f t="shared" si="84"/>
        <v>1</v>
      </c>
      <c r="F857" s="22" t="s">
        <v>1583</v>
      </c>
      <c r="G857" s="22" t="str">
        <f>IF(ISERROR(VLOOKUP(F857,MODIFICACIONES_REALIZADAS!F:H,3,)),F857,VLOOKUP(F857,MODIFICACIONES_REALIZADAS!F:H,3,))</f>
        <v>SM-O-Agentes-CampanaPersonales-TotalCampana</v>
      </c>
      <c r="H857" s="22">
        <v>20181101</v>
      </c>
      <c r="I857" s="22">
        <v>22000101</v>
      </c>
      <c r="J857" s="22" t="s">
        <v>1581</v>
      </c>
      <c r="K857" s="22"/>
    </row>
    <row r="858" spans="1:11" ht="15.75" customHeight="1" x14ac:dyDescent="0.25">
      <c r="A858" s="22">
        <v>0</v>
      </c>
      <c r="B858" s="22" t="s">
        <v>179</v>
      </c>
      <c r="C858" s="22" t="s">
        <v>181</v>
      </c>
      <c r="D858" s="22" t="s">
        <v>1584</v>
      </c>
      <c r="E858" s="22" t="b">
        <f t="shared" si="84"/>
        <v>1</v>
      </c>
      <c r="F858" s="22" t="s">
        <v>1585</v>
      </c>
      <c r="G858" s="22" t="str">
        <f>IF(ISERROR(VLOOKUP(F858,MODIFICACIONES_REALIZADAS!F:H,3,)),F858,VLOOKUP(F858,MODIFICACIONES_REALIZADAS!F:H,3,))</f>
        <v>SM-O-Inspector-CampanaPersonales-TotalMes</v>
      </c>
      <c r="H858" s="22">
        <v>20181101</v>
      </c>
      <c r="I858" s="22">
        <v>22000101</v>
      </c>
      <c r="J858" s="22" t="s">
        <v>1581</v>
      </c>
      <c r="K858" s="22"/>
    </row>
    <row r="859" spans="1:11" ht="15.75" customHeight="1" x14ac:dyDescent="0.25">
      <c r="A859" s="22">
        <v>0</v>
      </c>
      <c r="B859" s="22" t="s">
        <v>179</v>
      </c>
      <c r="C859" s="22" t="s">
        <v>181</v>
      </c>
      <c r="D859" s="22" t="s">
        <v>1586</v>
      </c>
      <c r="E859" s="22" t="b">
        <f t="shared" si="84"/>
        <v>1</v>
      </c>
      <c r="F859" s="22" t="s">
        <v>1587</v>
      </c>
      <c r="G859" s="22" t="str">
        <f>IF(ISERROR(VLOOKUP(F859,MODIFICACIONES_REALIZADAS!F:H,3,)),F859,VLOOKUP(F859,MODIFICACIONES_REALIZADAS!F:H,3,))</f>
        <v>SM-O-Inspector-CampanaPersonales-TotalAcumulado</v>
      </c>
      <c r="H859" s="22">
        <v>20181101</v>
      </c>
      <c r="I859" s="22">
        <v>22000101</v>
      </c>
      <c r="J859" s="22" t="s">
        <v>1581</v>
      </c>
      <c r="K859" s="22"/>
    </row>
    <row r="860" spans="1:11" ht="15.75" customHeight="1" x14ac:dyDescent="0.25">
      <c r="A860" s="22">
        <v>0</v>
      </c>
      <c r="B860" s="22" t="s">
        <v>183</v>
      </c>
      <c r="C860" s="22" t="s">
        <v>185</v>
      </c>
      <c r="D860" s="22" t="s">
        <v>1588</v>
      </c>
      <c r="E860" s="22" t="b">
        <f t="shared" si="84"/>
        <v>1</v>
      </c>
      <c r="F860" s="22" t="s">
        <v>1589</v>
      </c>
      <c r="G860" s="22" t="str">
        <f>IF(ISERROR(VLOOKUP(F860,MODIFICACIONES_REALIZADAS!F:H,3,)),F860,VLOOKUP(F860,MODIFICACIONES_REALIZADAS!F:H,3,))</f>
        <v>DC-O-Agentes-CampanaPersonales</v>
      </c>
      <c r="H860" s="22">
        <v>20181101</v>
      </c>
      <c r="I860" s="22">
        <v>22000101</v>
      </c>
      <c r="J860" s="22" t="s">
        <v>1581</v>
      </c>
      <c r="K860" s="22"/>
    </row>
    <row r="861" spans="1:11" ht="15.75" customHeight="1" x14ac:dyDescent="0.25">
      <c r="A861" s="22">
        <v>0</v>
      </c>
      <c r="B861" s="22" t="s">
        <v>183</v>
      </c>
      <c r="C861" s="22" t="s">
        <v>185</v>
      </c>
      <c r="D861" s="22" t="s">
        <v>1590</v>
      </c>
      <c r="E861" s="22" t="b">
        <f t="shared" si="84"/>
        <v>1</v>
      </c>
      <c r="F861" s="22" t="s">
        <v>1591</v>
      </c>
      <c r="G861" s="22" t="str">
        <f>IF(ISERROR(VLOOKUP(F861,MODIFICACIONES_REALIZADAS!F:H,3,)),F861,VLOOKUP(F861,MODIFICACIONES_REALIZADAS!F:H,3,))</f>
        <v>DC-O-Inspector-CampanaPersonales</v>
      </c>
      <c r="H861" s="22">
        <v>20181101</v>
      </c>
      <c r="I861" s="22">
        <v>22000101</v>
      </c>
      <c r="J861" s="22" t="s">
        <v>1581</v>
      </c>
      <c r="K861" s="22"/>
    </row>
    <row r="862" spans="1:11" ht="15.75" customHeight="1" x14ac:dyDescent="0.25">
      <c r="A862" s="22">
        <v>0</v>
      </c>
      <c r="B862" s="22" t="s">
        <v>183</v>
      </c>
      <c r="C862" s="22" t="s">
        <v>185</v>
      </c>
      <c r="D862" s="22" t="s">
        <v>1592</v>
      </c>
      <c r="E862" s="22" t="b">
        <f t="shared" si="84"/>
        <v>1</v>
      </c>
      <c r="F862" s="22" t="s">
        <v>1593</v>
      </c>
      <c r="G862" s="22" t="str">
        <f>IF(ISERROR(VLOOKUP(F862,MODIFICACIONES_REALIZADAS!F:H,3,)),F862,VLOOKUP(F862,MODIFICACIONES_REALIZADAS!F:H,3,))</f>
        <v>IC-O-Inspector-CampanaPersonales</v>
      </c>
      <c r="H862" s="22">
        <v>20181101</v>
      </c>
      <c r="I862" s="22">
        <v>22000101</v>
      </c>
      <c r="J862" s="22" t="s">
        <v>1581</v>
      </c>
      <c r="K862" s="22"/>
    </row>
    <row r="863" spans="1:11" ht="15.75" customHeight="1" x14ac:dyDescent="0.25">
      <c r="A863" s="22">
        <v>0</v>
      </c>
      <c r="B863" s="22" t="s">
        <v>186</v>
      </c>
      <c r="C863" s="22" t="s">
        <v>188</v>
      </c>
      <c r="D863" s="22" t="s">
        <v>1508</v>
      </c>
      <c r="E863" s="22" t="b">
        <f t="shared" si="84"/>
        <v>1</v>
      </c>
      <c r="F863" s="22" t="s">
        <v>1594</v>
      </c>
      <c r="G863" s="22" t="str">
        <f>IF(ISERROR(VLOOKUP(F863,MODIFICACIONES_REALIZADAS!F:H,3,)),F863,VLOOKUP(F863,MODIFICACIONES_REALIZADAS!F:H,3,))</f>
        <v>SM-E-CAP-Agente-Acumulado-NumeroMeses</v>
      </c>
      <c r="H863" s="22">
        <v>20190101</v>
      </c>
      <c r="I863" s="22">
        <v>22000101</v>
      </c>
      <c r="J863" s="22" t="s">
        <v>1595</v>
      </c>
      <c r="K863" s="22"/>
    </row>
    <row r="864" spans="1:11" ht="15.75" customHeight="1" x14ac:dyDescent="0.25">
      <c r="A864" s="22">
        <v>0</v>
      </c>
      <c r="B864" s="22" t="s">
        <v>186</v>
      </c>
      <c r="C864" s="22" t="s">
        <v>188</v>
      </c>
      <c r="D864" s="22" t="s">
        <v>1511</v>
      </c>
      <c r="E864" s="22" t="b">
        <f t="shared" si="84"/>
        <v>1</v>
      </c>
      <c r="F864" s="22" t="s">
        <v>1596</v>
      </c>
      <c r="G864" s="22" t="str">
        <f>IF(ISERROR(VLOOKUP(F864,MODIFICACIONES_REALIZADAS!F:H,3,)),F864,VLOOKUP(F864,MODIFICACIONES_REALIZADAS!F:H,3,))</f>
        <v>SM-E-CAP-Agente-Polizas-Acumulado</v>
      </c>
      <c r="H864" s="22">
        <v>20190101</v>
      </c>
      <c r="I864" s="22">
        <v>22000101</v>
      </c>
      <c r="J864" s="22" t="s">
        <v>1595</v>
      </c>
      <c r="K864" s="22"/>
    </row>
    <row r="865" spans="1:11" ht="15.75" customHeight="1" x14ac:dyDescent="0.25">
      <c r="A865" s="22">
        <v>0</v>
      </c>
      <c r="B865" s="22" t="s">
        <v>186</v>
      </c>
      <c r="C865" s="22" t="s">
        <v>188</v>
      </c>
      <c r="D865" s="22" t="s">
        <v>1513</v>
      </c>
      <c r="E865" s="22" t="b">
        <f t="shared" si="84"/>
        <v>1</v>
      </c>
      <c r="F865" s="22" t="s">
        <v>1597</v>
      </c>
      <c r="G865" s="22" t="str">
        <f>IF(ISERROR(VLOOKUP(F865,MODIFICACIONES_REALIZADAS!F:H,3,)),F865,VLOOKUP(F865,MODIFICACIONES_REALIZADAS!F:H,3,))</f>
        <v>SM-E-CAP-Agente-Prima-Acumulado</v>
      </c>
      <c r="H865" s="22">
        <v>20190101</v>
      </c>
      <c r="I865" s="22">
        <v>22000101</v>
      </c>
      <c r="J865" s="22" t="s">
        <v>1595</v>
      </c>
      <c r="K865" s="22"/>
    </row>
    <row r="866" spans="1:11" ht="15.75" customHeight="1" x14ac:dyDescent="0.25">
      <c r="A866" s="22">
        <v>0</v>
      </c>
      <c r="B866" s="22" t="s">
        <v>186</v>
      </c>
      <c r="C866" s="22" t="s">
        <v>188</v>
      </c>
      <c r="D866" s="22" t="s">
        <v>1515</v>
      </c>
      <c r="E866" s="22" t="b">
        <f t="shared" si="84"/>
        <v>1</v>
      </c>
      <c r="F866" s="22" t="s">
        <v>1598</v>
      </c>
      <c r="G866" s="22" t="str">
        <f>IF(ISERROR(VLOOKUP(F866,MODIFICACIONES_REALIZADAS!F:H,3,)),F866,VLOOKUP(F866,MODIFICACIONES_REALIZADAS!F:H,3,))</f>
        <v>SM-E-CAP-Agente-ImportePago</v>
      </c>
      <c r="H866" s="22">
        <v>20190101</v>
      </c>
      <c r="I866" s="22">
        <v>22000101</v>
      </c>
      <c r="J866" s="22" t="s">
        <v>1595</v>
      </c>
      <c r="K866" s="22"/>
    </row>
    <row r="867" spans="1:11" ht="15.75" customHeight="1" x14ac:dyDescent="0.25">
      <c r="A867" s="22">
        <v>0</v>
      </c>
      <c r="B867" s="22" t="s">
        <v>186</v>
      </c>
      <c r="C867" s="22" t="s">
        <v>188</v>
      </c>
      <c r="D867" s="22" t="s">
        <v>1517</v>
      </c>
      <c r="E867" s="22" t="b">
        <f t="shared" si="84"/>
        <v>1</v>
      </c>
      <c r="F867" s="22" t="s">
        <v>1599</v>
      </c>
      <c r="G867" s="22" t="str">
        <f>IF(ISERROR(VLOOKUP(F867,MODIFICACIONES_REALIZADAS!F:H,3,)),F867,VLOOKUP(F867,MODIFICACIONES_REALIZADAS!F:H,3,))</f>
        <v>SM-E-CAP-Inspector-ImportePago</v>
      </c>
      <c r="H867" s="22">
        <v>20190101</v>
      </c>
      <c r="I867" s="22">
        <v>22000101</v>
      </c>
      <c r="J867" s="22" t="s">
        <v>1595</v>
      </c>
      <c r="K867" s="22"/>
    </row>
    <row r="868" spans="1:11" ht="15.75" customHeight="1" x14ac:dyDescent="0.25">
      <c r="A868" s="22">
        <v>0</v>
      </c>
      <c r="B868" s="22" t="s">
        <v>190</v>
      </c>
      <c r="C868" s="22" t="s">
        <v>192</v>
      </c>
      <c r="D868" s="22" t="s">
        <v>1600</v>
      </c>
      <c r="E868" s="22" t="b">
        <f t="shared" si="84"/>
        <v>1</v>
      </c>
      <c r="F868" s="22" t="s">
        <v>1601</v>
      </c>
      <c r="G868" s="22" t="str">
        <f>IF(ISERROR(VLOOKUP(F868,MODIFICACIONES_REALIZADAS!F:H,3,)),F868,VLOOKUP(F868,MODIFICACIONES_REALIZADAS!F:H,3,))</f>
        <v>SM-E-GEN-Categoria-Meses</v>
      </c>
      <c r="H868" s="22">
        <v>20200101</v>
      </c>
      <c r="I868" s="22">
        <v>22000101</v>
      </c>
      <c r="J868" s="22"/>
      <c r="K868" s="22"/>
    </row>
    <row r="869" spans="1:11" ht="15.75" customHeight="1" x14ac:dyDescent="0.25">
      <c r="A869" s="22">
        <v>0</v>
      </c>
      <c r="B869" s="22" t="s">
        <v>190</v>
      </c>
      <c r="C869" s="22" t="s">
        <v>192</v>
      </c>
      <c r="D869" s="22" t="s">
        <v>1602</v>
      </c>
      <c r="E869" s="22" t="b">
        <f t="shared" si="84"/>
        <v>1</v>
      </c>
      <c r="F869" s="22" t="s">
        <v>1603</v>
      </c>
      <c r="G869" s="22" t="str">
        <f>IF(ISERROR(VLOOKUP(F869,MODIFICACIONES_REALIZADAS!F:H,3,)),F869,VLOOKUP(F869,MODIFICACIONES_REALIZADAS!F:H,3,))</f>
        <v>SM-E-GEN-Inspector-PrimaCorregida-ProdPrioritarios-TotalAnual</v>
      </c>
      <c r="H869" s="22">
        <v>20190101</v>
      </c>
      <c r="I869" s="22">
        <v>22000101</v>
      </c>
      <c r="J869" s="22" t="s">
        <v>1604</v>
      </c>
      <c r="K869" s="22"/>
    </row>
    <row r="870" spans="1:11" ht="15.75" customHeight="1" x14ac:dyDescent="0.25">
      <c r="A870" s="22">
        <v>0</v>
      </c>
      <c r="B870" s="22" t="s">
        <v>190</v>
      </c>
      <c r="C870" s="22" t="s">
        <v>192</v>
      </c>
      <c r="D870" s="22" t="s">
        <v>1605</v>
      </c>
      <c r="E870" s="22" t="b">
        <f t="shared" si="84"/>
        <v>1</v>
      </c>
      <c r="F870" s="22" t="s">
        <v>1606</v>
      </c>
      <c r="G870" s="22" t="str">
        <f>IF(ISERROR(VLOOKUP(F870,MODIFICACIONES_REALIZADAS!F:H,3,)),F870,VLOOKUP(F870,MODIFICACIONES_REALIZADAS!F:H,3,))</f>
        <v>SM-E-GEN-Inspector-NumeroPolizasCorregidas-Decesos-TotalAnual</v>
      </c>
      <c r="H870" s="22">
        <v>20190101</v>
      </c>
      <c r="I870" s="22">
        <v>22000101</v>
      </c>
      <c r="J870" s="22" t="s">
        <v>1604</v>
      </c>
      <c r="K870" s="22"/>
    </row>
    <row r="871" spans="1:11" ht="15.75" customHeight="1" x14ac:dyDescent="0.25">
      <c r="A871" s="22">
        <v>0</v>
      </c>
      <c r="B871" s="22" t="s">
        <v>190</v>
      </c>
      <c r="C871" s="22" t="s">
        <v>192</v>
      </c>
      <c r="D871" s="22" t="s">
        <v>1607</v>
      </c>
      <c r="E871" s="22" t="b">
        <f t="shared" si="84"/>
        <v>1</v>
      </c>
      <c r="F871" s="22" t="s">
        <v>1608</v>
      </c>
      <c r="G871" s="22" t="str">
        <f>IF(ISERROR(VLOOKUP(F871,MODIFICACIONES_REALIZADAS!F:H,3,)),F871,VLOOKUP(F871,MODIFICACIONES_REALIZADAS!F:H,3,))</f>
        <v>SM-E-GEN-Inspector-NumeroPolizasCorregidas-Hogar-TotalAnual</v>
      </c>
      <c r="H871" s="22">
        <v>20190101</v>
      </c>
      <c r="I871" s="22">
        <v>22000101</v>
      </c>
      <c r="J871" s="22" t="s">
        <v>1604</v>
      </c>
      <c r="K871" s="22"/>
    </row>
    <row r="872" spans="1:11" ht="15.75" customHeight="1" x14ac:dyDescent="0.25">
      <c r="A872" s="22">
        <v>0</v>
      </c>
      <c r="B872" s="22" t="s">
        <v>190</v>
      </c>
      <c r="C872" s="22" t="s">
        <v>192</v>
      </c>
      <c r="D872" s="22" t="s">
        <v>1609</v>
      </c>
      <c r="E872" s="22" t="b">
        <f t="shared" si="84"/>
        <v>1</v>
      </c>
      <c r="F872" s="22" t="s">
        <v>1610</v>
      </c>
      <c r="G872" s="22" t="str">
        <f>IF(ISERROR(VLOOKUP(F872,MODIFICACIONES_REALIZADAS!F:H,3,)),F872,VLOOKUP(F872,MODIFICACIONES_REALIZADAS!F:H,3,))</f>
        <v>SM-E-GEN-Inspector-NumeroPolizasCorregidas-Comunidades-TotalAnual</v>
      </c>
      <c r="H872" s="22">
        <v>20190101</v>
      </c>
      <c r="I872" s="22">
        <v>22000101</v>
      </c>
      <c r="J872" s="22" t="s">
        <v>1604</v>
      </c>
      <c r="K872" s="22"/>
    </row>
    <row r="873" spans="1:11" ht="15.75" customHeight="1" x14ac:dyDescent="0.25">
      <c r="A873" s="22">
        <v>0</v>
      </c>
      <c r="B873" s="22" t="s">
        <v>190</v>
      </c>
      <c r="C873" s="22" t="s">
        <v>192</v>
      </c>
      <c r="D873" s="22" t="s">
        <v>1611</v>
      </c>
      <c r="E873" s="22" t="b">
        <f t="shared" si="84"/>
        <v>1</v>
      </c>
      <c r="F873" s="22" t="s">
        <v>1612</v>
      </c>
      <c r="G873" s="22" t="str">
        <f>IF(ISERROR(VLOOKUP(F873,MODIFICACIONES_REALIZADAS!F:H,3,)),F873,VLOOKUP(F873,MODIFICACIONES_REALIZADAS!F:H,3,))</f>
        <v>SM-E-GEN-Inspector-NumeroPolizasCorregidas-Accidente-TotalAnual</v>
      </c>
      <c r="H873" s="22">
        <v>20190101</v>
      </c>
      <c r="I873" s="22">
        <v>22000101</v>
      </c>
      <c r="J873" s="22" t="s">
        <v>1604</v>
      </c>
      <c r="K873" s="22"/>
    </row>
    <row r="874" spans="1:11" ht="15.75" customHeight="1" x14ac:dyDescent="0.25">
      <c r="A874" s="22">
        <v>0</v>
      </c>
      <c r="B874" s="22" t="s">
        <v>190</v>
      </c>
      <c r="C874" s="22" t="s">
        <v>192</v>
      </c>
      <c r="D874" s="22" t="s">
        <v>1613</v>
      </c>
      <c r="E874" s="22" t="b">
        <f t="shared" si="84"/>
        <v>1</v>
      </c>
      <c r="F874" s="22" t="s">
        <v>1614</v>
      </c>
      <c r="G874" s="22" t="str">
        <f>IF(ISERROR(VLOOKUP(F874,MODIFICACIONES_REALIZADAS!F:H,3,)),F874,VLOOKUP(F874,MODIFICACIONES_REALIZADAS!F:H,3,))</f>
        <v>SM-E-GEN-Inspector-NumeroPolizasCorregidas-ProdPrioritarios-TotalAnual</v>
      </c>
      <c r="H874" s="22">
        <v>20190101</v>
      </c>
      <c r="I874" s="22">
        <v>22000101</v>
      </c>
      <c r="J874" s="22" t="s">
        <v>1604</v>
      </c>
      <c r="K874" s="22"/>
    </row>
    <row r="875" spans="1:11" ht="15.75" customHeight="1" x14ac:dyDescent="0.25">
      <c r="A875" s="22">
        <v>0</v>
      </c>
      <c r="B875" s="22" t="s">
        <v>190</v>
      </c>
      <c r="C875" s="22" t="s">
        <v>192</v>
      </c>
      <c r="D875" s="22" t="s">
        <v>1615</v>
      </c>
      <c r="E875" s="22" t="b">
        <f t="shared" si="84"/>
        <v>1</v>
      </c>
      <c r="F875" s="22" t="s">
        <v>1616</v>
      </c>
      <c r="G875" s="22" t="str">
        <f>IF(ISERROR(VLOOKUP(F875,MODIFICACIONES_REALIZADAS!F:H,3,)),F875,VLOOKUP(F875,MODIFICACIONES_REALIZADAS!F:H,3,))</f>
        <v>Cumplimiento Primas ProdPrioritarios</v>
      </c>
      <c r="H875" s="22">
        <v>20190101</v>
      </c>
      <c r="I875" s="22">
        <v>20190201</v>
      </c>
      <c r="J875" s="22" t="s">
        <v>1604</v>
      </c>
      <c r="K875" s="22"/>
    </row>
    <row r="876" spans="1:11" ht="15.75" customHeight="1" x14ac:dyDescent="0.25">
      <c r="A876" s="22">
        <v>0</v>
      </c>
      <c r="B876" s="22" t="s">
        <v>190</v>
      </c>
      <c r="C876" s="22" t="s">
        <v>192</v>
      </c>
      <c r="D876" s="22" t="s">
        <v>1617</v>
      </c>
      <c r="E876" s="22" t="b">
        <f t="shared" si="84"/>
        <v>1</v>
      </c>
      <c r="F876" s="22" t="s">
        <v>1618</v>
      </c>
      <c r="G876" s="22" t="str">
        <f>IF(ISERROR(VLOOKUP(F876,MODIFICACIONES_REALIZADAS!F:H,3,)),F876,VLOOKUP(F876,MODIFICACIONES_REALIZADAS!F:H,3,))</f>
        <v>Cumplimiento Pólizas Accidentes</v>
      </c>
      <c r="H876" s="22">
        <v>20190101</v>
      </c>
      <c r="I876" s="22">
        <v>20190201</v>
      </c>
      <c r="J876" s="22" t="s">
        <v>1604</v>
      </c>
      <c r="K876" s="22"/>
    </row>
    <row r="877" spans="1:11" ht="15.75" customHeight="1" x14ac:dyDescent="0.25">
      <c r="A877" s="22">
        <v>0</v>
      </c>
      <c r="B877" s="22" t="s">
        <v>190</v>
      </c>
      <c r="C877" s="22" t="s">
        <v>192</v>
      </c>
      <c r="D877" s="22" t="s">
        <v>1619</v>
      </c>
      <c r="E877" s="22" t="b">
        <f t="shared" si="84"/>
        <v>1</v>
      </c>
      <c r="F877" s="22" t="s">
        <v>1620</v>
      </c>
      <c r="G877" s="22" t="str">
        <f>IF(ISERROR(VLOOKUP(F877,MODIFICACIONES_REALIZADAS!F:H,3,)),F877,VLOOKUP(F877,MODIFICACIONES_REALIZADAS!F:H,3,))</f>
        <v>Cumplimiento Pólizas Comunidades</v>
      </c>
      <c r="H877" s="22">
        <v>20190101</v>
      </c>
      <c r="I877" s="22">
        <v>20190201</v>
      </c>
      <c r="J877" s="22" t="s">
        <v>1604</v>
      </c>
      <c r="K877" s="22"/>
    </row>
    <row r="878" spans="1:11" ht="15.75" customHeight="1" x14ac:dyDescent="0.25">
      <c r="A878" s="22">
        <v>0</v>
      </c>
      <c r="B878" s="22" t="s">
        <v>190</v>
      </c>
      <c r="C878" s="22" t="s">
        <v>192</v>
      </c>
      <c r="D878" s="22" t="s">
        <v>1621</v>
      </c>
      <c r="E878" s="22" t="b">
        <f t="shared" si="84"/>
        <v>1</v>
      </c>
      <c r="F878" s="22" t="s">
        <v>1622</v>
      </c>
      <c r="G878" s="22" t="str">
        <f>IF(ISERROR(VLOOKUP(F878,MODIFICACIONES_REALIZADAS!F:H,3,)),F878,VLOOKUP(F878,MODIFICACIONES_REALIZADAS!F:H,3,))</f>
        <v>Cumplimiento Pólizas Hogar</v>
      </c>
      <c r="H878" s="22">
        <v>20190101</v>
      </c>
      <c r="I878" s="22">
        <v>20190201</v>
      </c>
      <c r="J878" s="22" t="s">
        <v>1604</v>
      </c>
      <c r="K878" s="22"/>
    </row>
    <row r="879" spans="1:11" ht="15.75" customHeight="1" x14ac:dyDescent="0.25">
      <c r="A879" s="22">
        <v>0</v>
      </c>
      <c r="B879" s="22" t="s">
        <v>190</v>
      </c>
      <c r="C879" s="22" t="s">
        <v>192</v>
      </c>
      <c r="D879" s="22" t="s">
        <v>1623</v>
      </c>
      <c r="E879" s="22" t="b">
        <f t="shared" si="84"/>
        <v>1</v>
      </c>
      <c r="F879" s="22" t="s">
        <v>1624</v>
      </c>
      <c r="G879" s="22" t="str">
        <f>IF(ISERROR(VLOOKUP(F879,MODIFICACIONES_REALIZADAS!F:H,3,)),F879,VLOOKUP(F879,MODIFICACIONES_REALIZADAS!F:H,3,))</f>
        <v>Cumplimiento Pólizas ProdPrioritarios</v>
      </c>
      <c r="H879" s="22">
        <v>20190101</v>
      </c>
      <c r="I879" s="22">
        <v>20190201</v>
      </c>
      <c r="J879" s="22" t="s">
        <v>1604</v>
      </c>
      <c r="K879" s="22"/>
    </row>
    <row r="880" spans="1:11" ht="15.75" customHeight="1" x14ac:dyDescent="0.25">
      <c r="A880" s="22">
        <v>0</v>
      </c>
      <c r="B880" s="22" t="s">
        <v>190</v>
      </c>
      <c r="C880" s="22" t="s">
        <v>192</v>
      </c>
      <c r="D880" s="22" t="s">
        <v>1625</v>
      </c>
      <c r="E880" s="22" t="b">
        <f t="shared" si="84"/>
        <v>1</v>
      </c>
      <c r="F880" s="22" t="s">
        <v>1626</v>
      </c>
      <c r="G880" s="22" t="str">
        <f>IF(ISERROR(VLOOKUP(F880,MODIFICACIONES_REALIZADAS!F:H,3,)),F880,VLOOKUP(F880,MODIFICACIONES_REALIZADAS!F:H,3,))</f>
        <v>Cumplimiento Pólizas RRTT</v>
      </c>
      <c r="H880" s="22">
        <v>20190101</v>
      </c>
      <c r="I880" s="22">
        <v>20190201</v>
      </c>
      <c r="J880" s="22" t="s">
        <v>1604</v>
      </c>
      <c r="K880" s="22"/>
    </row>
    <row r="881" spans="1:11" ht="15.75" customHeight="1" x14ac:dyDescent="0.25">
      <c r="A881" s="22">
        <v>0</v>
      </c>
      <c r="B881" s="22" t="s">
        <v>190</v>
      </c>
      <c r="C881" s="22" t="s">
        <v>192</v>
      </c>
      <c r="D881" s="22" t="s">
        <v>1615</v>
      </c>
      <c r="E881" s="22" t="b">
        <f t="shared" si="84"/>
        <v>1</v>
      </c>
      <c r="F881" s="22" t="s">
        <v>613</v>
      </c>
      <c r="G881" s="22" t="str">
        <f>IF(ISERROR(VLOOKUP(F881,MODIFICACIONES_REALIZADAS!F:H,3,)),F881,VLOOKUP(F881,MODIFICACIONES_REALIZADAS!F:H,3,))</f>
        <v>SM-E-GEN-AgenteGrupo-Consecucion-Primas</v>
      </c>
      <c r="H881" s="22">
        <v>20190301</v>
      </c>
      <c r="I881" s="22">
        <v>22000101</v>
      </c>
      <c r="J881" s="22" t="s">
        <v>1627</v>
      </c>
      <c r="K881" s="22"/>
    </row>
    <row r="882" spans="1:11" ht="15.75" customHeight="1" x14ac:dyDescent="0.25">
      <c r="A882" s="22">
        <v>0</v>
      </c>
      <c r="B882" s="22" t="s">
        <v>190</v>
      </c>
      <c r="C882" s="22" t="s">
        <v>192</v>
      </c>
      <c r="D882" s="22" t="s">
        <v>1617</v>
      </c>
      <c r="E882" s="22" t="b">
        <f t="shared" si="84"/>
        <v>1</v>
      </c>
      <c r="F882" s="22" t="s">
        <v>1628</v>
      </c>
      <c r="G882" s="22" t="str">
        <f>IF(ISERROR(VLOOKUP(F882,MODIFICACIONES_REALIZADAS!F:H,3,)),F882,VLOOKUP(F882,MODIFICACIONES_REALIZADAS!F:H,3,))</f>
        <v>SM-E-GEN-AgenteGrupo-Consecucion-Polizas-Accidentes</v>
      </c>
      <c r="H882" s="22">
        <v>20190301</v>
      </c>
      <c r="I882" s="22">
        <v>22000101</v>
      </c>
      <c r="J882" s="22" t="s">
        <v>1627</v>
      </c>
      <c r="K882" s="22"/>
    </row>
    <row r="883" spans="1:11" ht="15.75" customHeight="1" x14ac:dyDescent="0.25">
      <c r="A883" s="22">
        <v>0</v>
      </c>
      <c r="B883" s="22" t="s">
        <v>190</v>
      </c>
      <c r="C883" s="22" t="s">
        <v>192</v>
      </c>
      <c r="D883" s="22" t="s">
        <v>1619</v>
      </c>
      <c r="E883" s="22" t="b">
        <f t="shared" si="84"/>
        <v>1</v>
      </c>
      <c r="F883" s="22" t="s">
        <v>1629</v>
      </c>
      <c r="G883" s="22" t="str">
        <f>IF(ISERROR(VLOOKUP(F883,MODIFICACIONES_REALIZADAS!F:H,3,)),F883,VLOOKUP(F883,MODIFICACIONES_REALIZADAS!F:H,3,))</f>
        <v>SM-E-GEN-AgenteGrupo-Consecucion-Polizas-Comunidades</v>
      </c>
      <c r="H883" s="22">
        <v>20190301</v>
      </c>
      <c r="I883" s="22">
        <v>22000101</v>
      </c>
      <c r="J883" s="22" t="s">
        <v>1627</v>
      </c>
      <c r="K883" s="22"/>
    </row>
    <row r="884" spans="1:11" ht="15.75" customHeight="1" x14ac:dyDescent="0.25">
      <c r="A884" s="22">
        <v>0</v>
      </c>
      <c r="B884" s="22" t="s">
        <v>190</v>
      </c>
      <c r="C884" s="22" t="s">
        <v>192</v>
      </c>
      <c r="D884" s="22" t="s">
        <v>1621</v>
      </c>
      <c r="E884" s="22" t="b">
        <f t="shared" si="84"/>
        <v>1</v>
      </c>
      <c r="F884" s="22" t="s">
        <v>1630</v>
      </c>
      <c r="G884" s="22" t="str">
        <f>IF(ISERROR(VLOOKUP(F884,MODIFICACIONES_REALIZADAS!F:H,3,)),F884,VLOOKUP(F884,MODIFICACIONES_REALIZADAS!F:H,3,))</f>
        <v>SM-E-GEN-AgenteGrupo-Consecucion-Polizas-Hogar</v>
      </c>
      <c r="H884" s="22">
        <v>20190301</v>
      </c>
      <c r="I884" s="22">
        <v>22000101</v>
      </c>
      <c r="J884" s="22" t="s">
        <v>1627</v>
      </c>
      <c r="K884" s="22"/>
    </row>
    <row r="885" spans="1:11" ht="15.75" customHeight="1" x14ac:dyDescent="0.25">
      <c r="A885" s="22">
        <v>0</v>
      </c>
      <c r="B885" s="22" t="s">
        <v>190</v>
      </c>
      <c r="C885" s="22" t="s">
        <v>192</v>
      </c>
      <c r="D885" s="22" t="s">
        <v>1623</v>
      </c>
      <c r="E885" s="22" t="b">
        <f t="shared" si="84"/>
        <v>1</v>
      </c>
      <c r="F885" s="22" t="s">
        <v>611</v>
      </c>
      <c r="G885" s="22" t="str">
        <f>IF(ISERROR(VLOOKUP(F885,MODIFICACIONES_REALIZADAS!F:H,3,)),F885,VLOOKUP(F885,MODIFICACIONES_REALIZADAS!F:H,3,))</f>
        <v>SM-E-GEN-AgenteGrupo-Consecucion-Polizas-ProdPrioritarios</v>
      </c>
      <c r="H885" s="22">
        <v>20190301</v>
      </c>
      <c r="I885" s="22">
        <v>22000101</v>
      </c>
      <c r="J885" s="22" t="s">
        <v>1627</v>
      </c>
      <c r="K885" s="22"/>
    </row>
    <row r="886" spans="1:11" ht="15.75" customHeight="1" x14ac:dyDescent="0.25">
      <c r="A886" s="22">
        <v>0</v>
      </c>
      <c r="B886" s="22" t="s">
        <v>190</v>
      </c>
      <c r="C886" s="22" t="s">
        <v>192</v>
      </c>
      <c r="D886" s="22" t="s">
        <v>1625</v>
      </c>
      <c r="E886" s="22" t="b">
        <f t="shared" si="84"/>
        <v>1</v>
      </c>
      <c r="F886" s="22" t="s">
        <v>1631</v>
      </c>
      <c r="G886" s="22" t="str">
        <f>IF(ISERROR(VLOOKUP(F886,MODIFICACIONES_REALIZADAS!F:H,3,)),F886,VLOOKUP(F886,MODIFICACIONES_REALIZADAS!F:H,3,))</f>
        <v>SM-E-GEN-AgenteGrupo-Consecucion-Polizas-RRTT</v>
      </c>
      <c r="H886" s="22">
        <v>20190301</v>
      </c>
      <c r="I886" s="22">
        <v>22000101</v>
      </c>
      <c r="J886" s="22" t="s">
        <v>1627</v>
      </c>
      <c r="K886" s="22"/>
    </row>
    <row r="887" spans="1:11" ht="15" customHeight="1" x14ac:dyDescent="0.25">
      <c r="A887" s="22">
        <v>0</v>
      </c>
      <c r="B887" s="22" t="s">
        <v>190</v>
      </c>
      <c r="C887" s="22" t="s">
        <v>192</v>
      </c>
      <c r="D887" s="22" t="s">
        <v>1632</v>
      </c>
      <c r="E887" s="22" t="b">
        <f t="shared" si="84"/>
        <v>1</v>
      </c>
      <c r="F887" s="22" t="s">
        <v>1633</v>
      </c>
      <c r="G887" s="22" t="str">
        <f>IF(ISERROR(VLOOKUP(F887,MODIFICACIONES_REALIZADAS!F:H,3,)),F887,VLOOKUP(F887,MODIFICACIONES_REALIZADAS!F:H,3,))</f>
        <v>SM-E-GEN-Inspector-NumeroPolizasCorregidas-TotalProduccion-TotalAnual</v>
      </c>
      <c r="H887" s="22">
        <v>20190301</v>
      </c>
      <c r="I887" s="22">
        <v>22000101</v>
      </c>
      <c r="J887" s="22" t="s">
        <v>1634</v>
      </c>
      <c r="K887" s="22"/>
    </row>
    <row r="888" spans="1:11" ht="15.75" customHeight="1" x14ac:dyDescent="0.25">
      <c r="A888" s="22">
        <v>0</v>
      </c>
      <c r="B888" s="22" t="s">
        <v>190</v>
      </c>
      <c r="C888" s="22" t="s">
        <v>192</v>
      </c>
      <c r="D888" s="22" t="s">
        <v>1635</v>
      </c>
      <c r="E888" s="22" t="b">
        <f t="shared" si="84"/>
        <v>1</v>
      </c>
      <c r="F888" s="22" t="s">
        <v>1636</v>
      </c>
      <c r="G888" s="22" t="str">
        <f>IF(ISERROR(VLOOKUP(F888,MODIFICACIONES_REALIZADAS!F:H,3,)),F888,VLOOKUP(F888,MODIFICACIONES_REALIZADAS!F:H,3,))</f>
        <v>SM-E-GEN-Inspector-PrimaCorregida-TotalProduccion-TotalAnual</v>
      </c>
      <c r="H888" s="22">
        <v>20190301</v>
      </c>
      <c r="I888" s="22">
        <v>22000101</v>
      </c>
      <c r="J888" s="22" t="s">
        <v>1634</v>
      </c>
      <c r="K888" s="22"/>
    </row>
    <row r="889" spans="1:11" ht="15.75" customHeight="1" x14ac:dyDescent="0.25">
      <c r="A889" s="22">
        <v>0</v>
      </c>
      <c r="B889" s="22" t="s">
        <v>194</v>
      </c>
      <c r="C889" s="22" t="s">
        <v>196</v>
      </c>
      <c r="D889" s="22" t="s">
        <v>1637</v>
      </c>
      <c r="E889" s="22" t="b">
        <f t="shared" ref="E889" si="85">F889=G889</f>
        <v>1</v>
      </c>
      <c r="F889" s="22" t="s">
        <v>1638</v>
      </c>
      <c r="G889" s="22" t="str">
        <f>IF(ISERROR(VLOOKUP(F889,MODIFICACIONES_REALIZADAS!F:H,3,)),F889,VLOOKUP(F889,MODIFICACIONES_REALIZADAS!F:H,3,))</f>
        <v>SM-O-RPP-AgenteGrupo-NumeroPolizas-998-Total-Mes</v>
      </c>
      <c r="H889" s="22">
        <v>20200601</v>
      </c>
      <c r="I889" s="22">
        <v>22000101</v>
      </c>
      <c r="J889" s="22" t="s">
        <v>1639</v>
      </c>
      <c r="K889" s="22"/>
    </row>
    <row r="890" spans="1:11" ht="15.75" customHeight="1" x14ac:dyDescent="0.25">
      <c r="A890" s="22">
        <v>0</v>
      </c>
      <c r="B890" s="22" t="s">
        <v>194</v>
      </c>
      <c r="C890" s="22" t="s">
        <v>196</v>
      </c>
      <c r="D890" s="22" t="s">
        <v>1640</v>
      </c>
      <c r="E890" s="22" t="b">
        <f t="shared" ref="E890" si="86">F890=G890</f>
        <v>1</v>
      </c>
      <c r="F890" s="22" t="s">
        <v>1641</v>
      </c>
      <c r="G890" s="22" t="str">
        <f>IF(ISERROR(VLOOKUP(F890,MODIFICACIONES_REALIZADAS!F:H,3,)),F890,VLOOKUP(F890,MODIFICACIONES_REALIZADAS!F:H,3,))</f>
        <v>SM-O-RPP-AgenteGrupo-Primas-998-Total-Mes</v>
      </c>
      <c r="H890" s="22">
        <v>20200601</v>
      </c>
      <c r="I890" s="22">
        <v>22000101</v>
      </c>
      <c r="J890" s="22" t="s">
        <v>1639</v>
      </c>
      <c r="K890" s="22"/>
    </row>
    <row r="891" spans="1:11" ht="15.75" customHeight="1" x14ac:dyDescent="0.25">
      <c r="A891" s="22">
        <v>0</v>
      </c>
      <c r="B891" s="22" t="s">
        <v>194</v>
      </c>
      <c r="C891" s="22" t="s">
        <v>196</v>
      </c>
      <c r="D891" s="22" t="s">
        <v>1642</v>
      </c>
      <c r="E891" s="22" t="b">
        <f t="shared" ref="E891" si="87">F891=G891</f>
        <v>1</v>
      </c>
      <c r="F891" s="22" t="s">
        <v>1643</v>
      </c>
      <c r="G891" s="22" t="str">
        <f>IF(ISERROR(VLOOKUP(F891,MODIFICACIONES_REALIZADAS!F:H,3,)),F891,VLOOKUP(F891,MODIFICACIONES_REALIZADAS!F:H,3,))</f>
        <v>SM-O-RPP-AgenteGrupo-ProduccionPropia-Pago-Mensual</v>
      </c>
      <c r="H891" s="22">
        <v>20200601</v>
      </c>
      <c r="I891" s="22">
        <v>22000101</v>
      </c>
      <c r="J891" s="22" t="s">
        <v>1639</v>
      </c>
      <c r="K891" s="22"/>
    </row>
    <row r="892" spans="1:11" ht="15.75" customHeight="1" x14ac:dyDescent="0.25">
      <c r="A892" s="22">
        <v>0</v>
      </c>
      <c r="B892" s="22" t="s">
        <v>198</v>
      </c>
      <c r="C892" s="22" t="s">
        <v>200</v>
      </c>
      <c r="D892" s="22" t="s">
        <v>1644</v>
      </c>
      <c r="E892" s="22" t="b">
        <f t="shared" ref="E892" si="88">F892=G892</f>
        <v>1</v>
      </c>
      <c r="F892" s="22" t="s">
        <v>1645</v>
      </c>
      <c r="G892" s="22" t="str">
        <f>IF(ISERROR(VLOOKUP(F892,MODIFICACIONES_REALIZADAS!F:H,3,)),F892,VLOOKUP(F892,MODIFICACIONES_REALIZADAS!F:H,3,))</f>
        <v>PM-O-RPP-AgenteGrupo-NumeroPolizas-998-Total-Mes</v>
      </c>
      <c r="H892" s="22">
        <v>20200601</v>
      </c>
      <c r="I892" s="22">
        <v>22000101</v>
      </c>
      <c r="J892" s="22" t="s">
        <v>1639</v>
      </c>
      <c r="K892" s="22"/>
    </row>
    <row r="893" spans="1:11" ht="15.75" customHeight="1" x14ac:dyDescent="0.25">
      <c r="A893" s="22">
        <v>0</v>
      </c>
      <c r="B893" s="22" t="s">
        <v>198</v>
      </c>
      <c r="C893" s="22" t="s">
        <v>200</v>
      </c>
      <c r="D893" s="22" t="s">
        <v>1646</v>
      </c>
      <c r="E893" s="22" t="b">
        <f>F893=G893</f>
        <v>1</v>
      </c>
      <c r="F893" s="22" t="s">
        <v>1647</v>
      </c>
      <c r="G893" s="22" t="str">
        <f>IF(ISERROR(VLOOKUP(F893,MODIFICACIONES_REALIZADAS!F:H,3,)),F893,VLOOKUP(F893,MODIFICACIONES_REALIZADAS!F:H,3,))</f>
        <v>PM-O-RPP-AgenteGrupo-Primas-998-Total-Mes</v>
      </c>
      <c r="H893" s="22">
        <v>20200601</v>
      </c>
      <c r="I893" s="22">
        <v>22000101</v>
      </c>
      <c r="J893" s="22" t="s">
        <v>1639</v>
      </c>
      <c r="K893" s="22"/>
    </row>
    <row r="894" spans="1:11" x14ac:dyDescent="0.25">
      <c r="A894">
        <v>0</v>
      </c>
      <c r="B894" t="s">
        <v>205</v>
      </c>
      <c r="C894" t="s">
        <v>207</v>
      </c>
      <c r="D894" t="s">
        <v>1648</v>
      </c>
      <c r="E894" t="b">
        <f t="shared" si="69"/>
        <v>1</v>
      </c>
      <c r="F894" t="s">
        <v>1649</v>
      </c>
      <c r="G894" t="str">
        <f>IF(ISERROR(VLOOKUP(F894,MODIFICACIONES_REALIZADAS!F:H,3,)),F894,VLOOKUP(F894,MODIFICACIONES_REALIZADAS!F:H,3,))</f>
        <v>DC-O-COM-NuevaProduccion-Emision</v>
      </c>
      <c r="H894">
        <v>20140101</v>
      </c>
      <c r="I894">
        <v>22000101</v>
      </c>
    </row>
    <row r="895" spans="1:11" x14ac:dyDescent="0.25">
      <c r="A895">
        <v>0</v>
      </c>
      <c r="B895" t="s">
        <v>205</v>
      </c>
      <c r="C895" t="s">
        <v>207</v>
      </c>
      <c r="D895" t="s">
        <v>1648</v>
      </c>
      <c r="E895" t="b">
        <f t="shared" ref="E895:E934" si="89">F895=G895</f>
        <v>1</v>
      </c>
      <c r="F895" t="s">
        <v>1650</v>
      </c>
      <c r="G895" t="str">
        <f>IF(ISERROR(VLOOKUP(F895,MODIFICACIONES_REALIZADAS!F:H,3,)),F895,VLOOKUP(F895,MODIFICACIONES_REALIZADAS!F:H,3,))</f>
        <v>DC-O-COM-NuevaProduccion-Suplementos</v>
      </c>
      <c r="H895">
        <v>20140101</v>
      </c>
      <c r="I895">
        <v>22000101</v>
      </c>
    </row>
    <row r="896" spans="1:11" x14ac:dyDescent="0.25">
      <c r="A896">
        <v>0</v>
      </c>
      <c r="B896" t="s">
        <v>205</v>
      </c>
      <c r="C896" t="s">
        <v>207</v>
      </c>
      <c r="D896" t="s">
        <v>1648</v>
      </c>
      <c r="E896" t="b">
        <f t="shared" si="89"/>
        <v>1</v>
      </c>
      <c r="F896" t="s">
        <v>1651</v>
      </c>
      <c r="G896" t="str">
        <f>IF(ISERROR(VLOOKUP(F896,MODIFICACIONES_REALIZADAS!F:H,3,)),F896,VLOOKUP(F896,MODIFICACIONES_REALIZADAS!F:H,3,))</f>
        <v>DC-O-COM-NuevaProduccion-PorcentajeFijo</v>
      </c>
      <c r="H896">
        <v>20140101</v>
      </c>
      <c r="I896">
        <v>22000101</v>
      </c>
    </row>
    <row r="897" spans="1:10" x14ac:dyDescent="0.25">
      <c r="A897">
        <v>0</v>
      </c>
      <c r="B897" t="s">
        <v>205</v>
      </c>
      <c r="C897" t="s">
        <v>207</v>
      </c>
      <c r="D897" t="s">
        <v>1648</v>
      </c>
      <c r="E897" t="b">
        <f t="shared" si="89"/>
        <v>1</v>
      </c>
      <c r="F897" t="s">
        <v>1652</v>
      </c>
      <c r="G897" t="str">
        <f>IF(ISERROR(VLOOKUP(F897,MODIFICACIONES_REALIZADAS!F:H,3,)),F897,VLOOKUP(F897,MODIFICACIONES_REALIZADAS!F:H,3,))</f>
        <v>DC-O-COM-NuevaProduccion-ComisionCalculada</v>
      </c>
      <c r="H897">
        <v>20140101</v>
      </c>
      <c r="I897">
        <v>22000101</v>
      </c>
    </row>
    <row r="898" spans="1:10" x14ac:dyDescent="0.25">
      <c r="A898">
        <v>0</v>
      </c>
      <c r="B898" t="s">
        <v>205</v>
      </c>
      <c r="C898" t="s">
        <v>207</v>
      </c>
      <c r="D898" t="s">
        <v>1648</v>
      </c>
      <c r="E898" t="b">
        <f t="shared" si="89"/>
        <v>1</v>
      </c>
      <c r="F898" t="s">
        <v>1653</v>
      </c>
      <c r="G898" t="str">
        <f>IF(ISERROR(VLOOKUP(F898,MODIFICACIONES_REALIZADAS!F:H,3,)),F898,VLOOKUP(F898,MODIFICACIONES_REALIZADAS!F:H,3,))</f>
        <v>DC-O-COM-NuevaProduccion-SECI</v>
      </c>
      <c r="H898">
        <v>20140101</v>
      </c>
      <c r="I898">
        <v>22000101</v>
      </c>
    </row>
    <row r="899" spans="1:10" x14ac:dyDescent="0.25">
      <c r="A899">
        <v>0</v>
      </c>
      <c r="B899" t="s">
        <v>205</v>
      </c>
      <c r="C899" t="s">
        <v>207</v>
      </c>
      <c r="D899" t="s">
        <v>1654</v>
      </c>
      <c r="E899" t="b">
        <f t="shared" si="89"/>
        <v>1</v>
      </c>
      <c r="F899" t="s">
        <v>1655</v>
      </c>
      <c r="G899" t="str">
        <f>IF(ISERROR(VLOOKUP(F899,MODIFICACIONES_REALIZADAS!F:H,3,)),F899,VLOOKUP(F899,MODIFICACIONES_REALIZADAS!F:H,3,))</f>
        <v>DC-O-COM-NuevaProduccion-Candidatos</v>
      </c>
      <c r="H899">
        <v>20140101</v>
      </c>
      <c r="I899">
        <v>22000101</v>
      </c>
    </row>
    <row r="900" spans="1:10" x14ac:dyDescent="0.25">
      <c r="A900">
        <v>0</v>
      </c>
      <c r="B900" t="s">
        <v>205</v>
      </c>
      <c r="C900" t="s">
        <v>207</v>
      </c>
      <c r="D900" t="s">
        <v>1656</v>
      </c>
      <c r="E900" t="b">
        <f t="shared" si="89"/>
        <v>1</v>
      </c>
      <c r="F900" t="s">
        <v>1657</v>
      </c>
      <c r="G900" t="str">
        <f>IF(ISERROR(VLOOKUP(F900,MODIFICACIONES_REALIZADAS!F:H,3,)),F900,VLOOKUP(F900,MODIFICACIONES_REALIZADAS!F:H,3,))</f>
        <v>DC-O-COM-GestionCobro</v>
      </c>
      <c r="H900">
        <v>20140101</v>
      </c>
      <c r="I900">
        <v>22000101</v>
      </c>
    </row>
    <row r="901" spans="1:10" x14ac:dyDescent="0.25">
      <c r="A901">
        <v>0</v>
      </c>
      <c r="B901" t="s">
        <v>205</v>
      </c>
      <c r="C901" t="s">
        <v>207</v>
      </c>
      <c r="D901" t="s">
        <v>1656</v>
      </c>
      <c r="E901" t="b">
        <f t="shared" si="89"/>
        <v>1</v>
      </c>
      <c r="F901" t="s">
        <v>1658</v>
      </c>
      <c r="G901" t="str">
        <f>IF(ISERROR(VLOOKUP(F901,MODIFICACIONES_REALIZADAS!F:H,3,)),F901,VLOOKUP(F901,MODIFICACIONES_REALIZADAS!F:H,3,))</f>
        <v>DC-O-COM-GestionCobro-ComisionCalculada</v>
      </c>
      <c r="H901">
        <v>20140101</v>
      </c>
      <c r="I901">
        <v>22000101</v>
      </c>
    </row>
    <row r="902" spans="1:10" x14ac:dyDescent="0.25">
      <c r="A902">
        <v>0</v>
      </c>
      <c r="B902" t="s">
        <v>205</v>
      </c>
      <c r="C902" t="s">
        <v>207</v>
      </c>
      <c r="D902" t="s">
        <v>1656</v>
      </c>
      <c r="E902" t="b">
        <f t="shared" si="89"/>
        <v>1</v>
      </c>
      <c r="F902" t="s">
        <v>1659</v>
      </c>
      <c r="G902" t="str">
        <f>IF(ISERROR(VLOOKUP(F902,MODIFICACIONES_REALIZADAS!F:H,3,)),F902,VLOOKUP(F902,MODIFICACIONES_REALIZADAS!F:H,3,))</f>
        <v>DC-O-COM-GestionCobro-PorcentajeFijo</v>
      </c>
      <c r="H902">
        <v>20140101</v>
      </c>
      <c r="I902">
        <v>22000101</v>
      </c>
    </row>
    <row r="903" spans="1:10" x14ac:dyDescent="0.25">
      <c r="A903">
        <v>0</v>
      </c>
      <c r="B903" t="s">
        <v>205</v>
      </c>
      <c r="C903" t="s">
        <v>207</v>
      </c>
      <c r="D903" t="s">
        <v>1656</v>
      </c>
      <c r="E903" t="b">
        <f t="shared" si="89"/>
        <v>1</v>
      </c>
      <c r="F903" t="s">
        <v>1660</v>
      </c>
      <c r="G903" t="str">
        <f>IF(ISERROR(VLOOKUP(F903,MODIFICACIONES_REALIZADAS!F:H,3,)),F903,VLOOKUP(F903,MODIFICACIONES_REALIZADAS!F:H,3,))</f>
        <v>DC-O-COM-Conservacion-PorcentajeFijo</v>
      </c>
      <c r="H903">
        <v>20140101</v>
      </c>
      <c r="I903">
        <v>22000101</v>
      </c>
    </row>
    <row r="904" spans="1:10" x14ac:dyDescent="0.25">
      <c r="A904">
        <v>0</v>
      </c>
      <c r="B904" t="s">
        <v>205</v>
      </c>
      <c r="C904" t="s">
        <v>207</v>
      </c>
      <c r="D904" t="s">
        <v>1656</v>
      </c>
      <c r="E904" t="b">
        <f t="shared" si="89"/>
        <v>1</v>
      </c>
      <c r="F904" t="s">
        <v>1661</v>
      </c>
      <c r="G904" t="str">
        <f>IF(ISERROR(VLOOKUP(F904,MODIFICACIONES_REALIZADAS!F:H,3,)),F904,VLOOKUP(F904,MODIFICACIONES_REALIZADAS!F:H,3,))</f>
        <v>DC-O-COM-Conservacion-ComisionCalculada</v>
      </c>
      <c r="H904">
        <v>20140101</v>
      </c>
      <c r="I904">
        <v>22000101</v>
      </c>
    </row>
    <row r="905" spans="1:10" x14ac:dyDescent="0.25">
      <c r="A905">
        <v>0</v>
      </c>
      <c r="B905" t="s">
        <v>205</v>
      </c>
      <c r="C905" t="s">
        <v>207</v>
      </c>
      <c r="D905" t="s">
        <v>1656</v>
      </c>
      <c r="E905" t="b">
        <f t="shared" si="89"/>
        <v>1</v>
      </c>
      <c r="F905" t="s">
        <v>1662</v>
      </c>
      <c r="G905" t="str">
        <f>IF(ISERROR(VLOOKUP(F905,MODIFICACIONES_REALIZADAS!F:H,3,)),F905,VLOOKUP(F905,MODIFICACIONES_REALIZADAS!F:H,3,))</f>
        <v>DC-O-COM-Conservacion-RecalcularPorcentaje</v>
      </c>
      <c r="H905">
        <v>20140101</v>
      </c>
      <c r="I905">
        <v>22000101</v>
      </c>
    </row>
    <row r="906" spans="1:10" x14ac:dyDescent="0.25">
      <c r="A906">
        <v>0</v>
      </c>
      <c r="B906" t="s">
        <v>205</v>
      </c>
      <c r="C906" t="s">
        <v>207</v>
      </c>
      <c r="D906" t="s">
        <v>1656</v>
      </c>
      <c r="E906" t="b">
        <f t="shared" si="89"/>
        <v>1</v>
      </c>
      <c r="F906" t="s">
        <v>1663</v>
      </c>
      <c r="G906" t="str">
        <f>IF(ISERROR(VLOOKUP(F906,MODIFICACIONES_REALIZADAS!F:H,3,)),F906,VLOOKUP(F906,MODIFICACIONES_REALIZADAS!F:H,3,))</f>
        <v>DC-O-COM-Conservacion-Consolidacion</v>
      </c>
      <c r="H906">
        <v>20140101</v>
      </c>
      <c r="I906">
        <v>22000101</v>
      </c>
    </row>
    <row r="907" spans="1:10" x14ac:dyDescent="0.25">
      <c r="A907">
        <v>0</v>
      </c>
      <c r="B907" t="s">
        <v>205</v>
      </c>
      <c r="C907" t="s">
        <v>207</v>
      </c>
      <c r="D907" t="s">
        <v>1664</v>
      </c>
      <c r="E907" t="b">
        <f t="shared" si="89"/>
        <v>1</v>
      </c>
      <c r="F907" t="s">
        <v>1665</v>
      </c>
      <c r="G907" t="str">
        <f>IF(ISERROR(VLOOKUP(F907,MODIFICACIONES_REALIZADAS!F:H,3,)),F907,VLOOKUP(F907,MODIFICACIONES_REALIZADAS!F:H,3,))</f>
        <v>DC-O-COM-Cartera-Porcentaje</v>
      </c>
      <c r="H907">
        <v>20140101</v>
      </c>
      <c r="I907">
        <v>22000101</v>
      </c>
    </row>
    <row r="908" spans="1:10" x14ac:dyDescent="0.25">
      <c r="A908">
        <v>0</v>
      </c>
      <c r="B908" t="s">
        <v>205</v>
      </c>
      <c r="C908" t="s">
        <v>207</v>
      </c>
      <c r="D908" t="s">
        <v>1664</v>
      </c>
      <c r="E908" t="b">
        <f t="shared" si="89"/>
        <v>1</v>
      </c>
      <c r="F908" t="s">
        <v>1666</v>
      </c>
      <c r="G908" t="str">
        <f>IF(ISERROR(VLOOKUP(F908,MODIFICACIONES_REALIZADAS!F:H,3,)),F908,VLOOKUP(F908,MODIFICACIONES_REALIZADAS!F:H,3,))</f>
        <v>DC-O-COM-Cartera-Importe</v>
      </c>
      <c r="H908">
        <v>20140101</v>
      </c>
      <c r="I908">
        <v>22000101</v>
      </c>
    </row>
    <row r="909" spans="1:10" x14ac:dyDescent="0.25">
      <c r="A909">
        <v>0</v>
      </c>
      <c r="B909" t="s">
        <v>205</v>
      </c>
      <c r="C909" t="s">
        <v>207</v>
      </c>
      <c r="D909" t="s">
        <v>1667</v>
      </c>
      <c r="E909" t="b">
        <f t="shared" si="89"/>
        <v>1</v>
      </c>
      <c r="F909" t="s">
        <v>1668</v>
      </c>
      <c r="G909" t="str">
        <f>IF(ISERROR(VLOOKUP(F909,MODIFICACIONES_REALIZADAS!F:H,3,)),F909,VLOOKUP(F909,MODIFICACIONES_REALIZADAS!F:H,3,))</f>
        <v>DC-O-COM-Conservacion-Recuperadas</v>
      </c>
      <c r="H909">
        <v>20140101</v>
      </c>
      <c r="I909">
        <v>22000101</v>
      </c>
    </row>
    <row r="910" spans="1:10" x14ac:dyDescent="0.25">
      <c r="A910">
        <v>0</v>
      </c>
      <c r="B910" t="s">
        <v>205</v>
      </c>
      <c r="C910" t="s">
        <v>207</v>
      </c>
      <c r="D910" t="s">
        <v>1669</v>
      </c>
      <c r="E910" t="b">
        <f t="shared" si="89"/>
        <v>1</v>
      </c>
      <c r="F910" t="s">
        <v>1364</v>
      </c>
      <c r="G910" t="str">
        <f>IF(ISERROR(VLOOKUP(F910,MODIFICACIONES_REALIZADAS!F:H,3,)),F910,VLOOKUP(F910,MODIFICACIONES_REALIZADAS!F:H,3,))</f>
        <v>DC-O-COM-ServiciosAsistencia-Importe</v>
      </c>
      <c r="H910">
        <v>20140101</v>
      </c>
      <c r="I910">
        <v>22000101</v>
      </c>
    </row>
    <row r="911" spans="1:10" x14ac:dyDescent="0.25">
      <c r="A911">
        <v>0</v>
      </c>
      <c r="B911" t="s">
        <v>205</v>
      </c>
      <c r="C911" t="s">
        <v>207</v>
      </c>
      <c r="D911" t="s">
        <v>1648</v>
      </c>
      <c r="E911" t="b">
        <f t="shared" si="89"/>
        <v>1</v>
      </c>
      <c r="F911" t="s">
        <v>1670</v>
      </c>
      <c r="G911" t="str">
        <f>IF(ISERROR(VLOOKUP(F911,MODIFICACIONES_REALIZADAS!F:H,3,)),F911,VLOOKUP(F911,MODIFICACIONES_REALIZADAS!F:H,3,))</f>
        <v>DC-O-COM-AUT-NuevaProduccion-Emision</v>
      </c>
      <c r="H911">
        <v>20180901</v>
      </c>
      <c r="I911">
        <v>22000101</v>
      </c>
      <c r="J911" t="s">
        <v>1671</v>
      </c>
    </row>
    <row r="912" spans="1:10" x14ac:dyDescent="0.25">
      <c r="A912">
        <v>0</v>
      </c>
      <c r="B912" t="s">
        <v>205</v>
      </c>
      <c r="C912" t="s">
        <v>207</v>
      </c>
      <c r="D912" t="s">
        <v>1648</v>
      </c>
      <c r="E912" t="b">
        <f t="shared" ref="E912:E927" si="90">F912=G912</f>
        <v>1</v>
      </c>
      <c r="F912" t="s">
        <v>1672</v>
      </c>
      <c r="G912" t="str">
        <f>IF(ISERROR(VLOOKUP(F912,MODIFICACIONES_REALIZADAS!F:H,3,)),F912,VLOOKUP(F912,MODIFICACIONES_REALIZADAS!F:H,3,))</f>
        <v>DC-O-COM-AUT-NuevaProduccion-Suplementos</v>
      </c>
      <c r="H912">
        <v>20180901</v>
      </c>
      <c r="I912">
        <v>22000101</v>
      </c>
      <c r="J912" t="s">
        <v>1671</v>
      </c>
    </row>
    <row r="913" spans="1:10" x14ac:dyDescent="0.25">
      <c r="A913">
        <v>0</v>
      </c>
      <c r="B913" t="s">
        <v>205</v>
      </c>
      <c r="C913" t="s">
        <v>207</v>
      </c>
      <c r="D913" t="s">
        <v>1648</v>
      </c>
      <c r="E913" t="b">
        <f t="shared" si="90"/>
        <v>1</v>
      </c>
      <c r="F913" t="s">
        <v>1673</v>
      </c>
      <c r="G913" t="str">
        <f>IF(ISERROR(VLOOKUP(F913,MODIFICACIONES_REALIZADAS!F:H,3,)),F913,VLOOKUP(F913,MODIFICACIONES_REALIZADAS!F:H,3,))</f>
        <v>DC-O-COM-AUT-NuevaProduccion-PorcentajeFijo</v>
      </c>
      <c r="H913">
        <v>20180901</v>
      </c>
      <c r="I913">
        <v>22000101</v>
      </c>
      <c r="J913" t="s">
        <v>1671</v>
      </c>
    </row>
    <row r="914" spans="1:10" x14ac:dyDescent="0.25">
      <c r="A914">
        <v>0</v>
      </c>
      <c r="B914" t="s">
        <v>205</v>
      </c>
      <c r="C914" t="s">
        <v>207</v>
      </c>
      <c r="D914" t="s">
        <v>1648</v>
      </c>
      <c r="E914" t="b">
        <f t="shared" si="90"/>
        <v>1</v>
      </c>
      <c r="F914" t="s">
        <v>1674</v>
      </c>
      <c r="G914" t="str">
        <f>IF(ISERROR(VLOOKUP(F914,MODIFICACIONES_REALIZADAS!F:H,3,)),F914,VLOOKUP(F914,MODIFICACIONES_REALIZADAS!F:H,3,))</f>
        <v>DC-O-COM-AUT-NuevaProduccion-ComisionCalculada</v>
      </c>
      <c r="H914">
        <v>20180901</v>
      </c>
      <c r="I914">
        <v>22000101</v>
      </c>
      <c r="J914" t="s">
        <v>1671</v>
      </c>
    </row>
    <row r="915" spans="1:10" x14ac:dyDescent="0.25">
      <c r="A915">
        <v>0</v>
      </c>
      <c r="B915" t="s">
        <v>205</v>
      </c>
      <c r="C915" t="s">
        <v>207</v>
      </c>
      <c r="D915" t="s">
        <v>1648</v>
      </c>
      <c r="E915" t="b">
        <f t="shared" si="90"/>
        <v>1</v>
      </c>
      <c r="F915" t="s">
        <v>1675</v>
      </c>
      <c r="G915" t="str">
        <f>IF(ISERROR(VLOOKUP(F915,MODIFICACIONES_REALIZADAS!F:H,3,)),F915,VLOOKUP(F915,MODIFICACIONES_REALIZADAS!F:H,3,))</f>
        <v>DC-O-COM-AUT-NuevaProduccion-SECI</v>
      </c>
      <c r="H915">
        <v>20180901</v>
      </c>
      <c r="I915">
        <v>22000101</v>
      </c>
      <c r="J915" t="s">
        <v>1671</v>
      </c>
    </row>
    <row r="916" spans="1:10" x14ac:dyDescent="0.25">
      <c r="A916">
        <v>0</v>
      </c>
      <c r="B916" t="s">
        <v>205</v>
      </c>
      <c r="C916" t="s">
        <v>207</v>
      </c>
      <c r="D916" t="s">
        <v>1654</v>
      </c>
      <c r="E916" t="b">
        <f t="shared" si="90"/>
        <v>1</v>
      </c>
      <c r="F916" t="s">
        <v>1676</v>
      </c>
      <c r="G916" t="str">
        <f>IF(ISERROR(VLOOKUP(F916,MODIFICACIONES_REALIZADAS!F:H,3,)),F916,VLOOKUP(F916,MODIFICACIONES_REALIZADAS!F:H,3,))</f>
        <v>DC-O-COM-AUT-NuevaProduccion-Candidatos</v>
      </c>
      <c r="H916">
        <v>20180901</v>
      </c>
      <c r="I916">
        <v>22000101</v>
      </c>
      <c r="J916" t="s">
        <v>1671</v>
      </c>
    </row>
    <row r="917" spans="1:10" x14ac:dyDescent="0.25">
      <c r="A917">
        <v>0</v>
      </c>
      <c r="B917" t="s">
        <v>205</v>
      </c>
      <c r="C917" t="s">
        <v>207</v>
      </c>
      <c r="D917" t="s">
        <v>1656</v>
      </c>
      <c r="E917" t="b">
        <f t="shared" si="90"/>
        <v>1</v>
      </c>
      <c r="F917" t="s">
        <v>1677</v>
      </c>
      <c r="G917" t="str">
        <f>IF(ISERROR(VLOOKUP(F917,MODIFICACIONES_REALIZADAS!F:H,3,)),F917,VLOOKUP(F917,MODIFICACIONES_REALIZADAS!F:H,3,))</f>
        <v>DC-O-COM-AUT-GestionCobro</v>
      </c>
      <c r="H917">
        <v>20180901</v>
      </c>
      <c r="I917">
        <v>22000101</v>
      </c>
      <c r="J917" t="s">
        <v>1671</v>
      </c>
    </row>
    <row r="918" spans="1:10" x14ac:dyDescent="0.25">
      <c r="A918">
        <v>0</v>
      </c>
      <c r="B918" t="s">
        <v>205</v>
      </c>
      <c r="C918" t="s">
        <v>207</v>
      </c>
      <c r="D918" t="s">
        <v>1656</v>
      </c>
      <c r="E918" t="b">
        <f t="shared" si="90"/>
        <v>1</v>
      </c>
      <c r="F918" t="s">
        <v>1678</v>
      </c>
      <c r="G918" t="str">
        <f>IF(ISERROR(VLOOKUP(F918,MODIFICACIONES_REALIZADAS!F:H,3,)),F918,VLOOKUP(F918,MODIFICACIONES_REALIZADAS!F:H,3,))</f>
        <v>DC-O-COM-AUT-GestionCobro-ComisionCalculada</v>
      </c>
      <c r="H918">
        <v>20180901</v>
      </c>
      <c r="I918">
        <v>22000101</v>
      </c>
      <c r="J918" t="s">
        <v>1671</v>
      </c>
    </row>
    <row r="919" spans="1:10" x14ac:dyDescent="0.25">
      <c r="A919">
        <v>0</v>
      </c>
      <c r="B919" t="s">
        <v>205</v>
      </c>
      <c r="C919" t="s">
        <v>207</v>
      </c>
      <c r="D919" t="s">
        <v>1656</v>
      </c>
      <c r="E919" t="b">
        <f t="shared" si="90"/>
        <v>1</v>
      </c>
      <c r="F919" t="s">
        <v>1679</v>
      </c>
      <c r="G919" t="str">
        <f>IF(ISERROR(VLOOKUP(F919,MODIFICACIONES_REALIZADAS!F:H,3,)),F919,VLOOKUP(F919,MODIFICACIONES_REALIZADAS!F:H,3,))</f>
        <v>DC-O-COM-AUT-GestionCobro-PorcentajeFijo</v>
      </c>
      <c r="H919">
        <v>20180901</v>
      </c>
      <c r="I919">
        <v>22000101</v>
      </c>
      <c r="J919" t="s">
        <v>1671</v>
      </c>
    </row>
    <row r="920" spans="1:10" x14ac:dyDescent="0.25">
      <c r="A920">
        <v>0</v>
      </c>
      <c r="B920" t="s">
        <v>205</v>
      </c>
      <c r="C920" t="s">
        <v>207</v>
      </c>
      <c r="D920" t="s">
        <v>1656</v>
      </c>
      <c r="E920" t="b">
        <f t="shared" si="90"/>
        <v>1</v>
      </c>
      <c r="F920" t="s">
        <v>1680</v>
      </c>
      <c r="G920" t="str">
        <f>IF(ISERROR(VLOOKUP(F920,MODIFICACIONES_REALIZADAS!F:H,3,)),F920,VLOOKUP(F920,MODIFICACIONES_REALIZADAS!F:H,3,))</f>
        <v>DC-O-COM-AUT-Conservacion-PorcentajeFijo</v>
      </c>
      <c r="H920">
        <v>20180901</v>
      </c>
      <c r="I920">
        <v>22000101</v>
      </c>
      <c r="J920" t="s">
        <v>1671</v>
      </c>
    </row>
    <row r="921" spans="1:10" x14ac:dyDescent="0.25">
      <c r="A921">
        <v>0</v>
      </c>
      <c r="B921" t="s">
        <v>205</v>
      </c>
      <c r="C921" t="s">
        <v>207</v>
      </c>
      <c r="D921" t="s">
        <v>1656</v>
      </c>
      <c r="E921" t="b">
        <f t="shared" si="90"/>
        <v>1</v>
      </c>
      <c r="F921" t="s">
        <v>1681</v>
      </c>
      <c r="G921" t="str">
        <f>IF(ISERROR(VLOOKUP(F921,MODIFICACIONES_REALIZADAS!F:H,3,)),F921,VLOOKUP(F921,MODIFICACIONES_REALIZADAS!F:H,3,))</f>
        <v>DC-O-COM-AUT-Conservacion-ComisionCalculada</v>
      </c>
      <c r="H921">
        <v>20180901</v>
      </c>
      <c r="I921">
        <v>22000101</v>
      </c>
      <c r="J921" t="s">
        <v>1671</v>
      </c>
    </row>
    <row r="922" spans="1:10" x14ac:dyDescent="0.25">
      <c r="A922">
        <v>0</v>
      </c>
      <c r="B922" t="s">
        <v>205</v>
      </c>
      <c r="C922" t="s">
        <v>207</v>
      </c>
      <c r="D922" t="s">
        <v>1656</v>
      </c>
      <c r="E922" t="b">
        <f t="shared" si="90"/>
        <v>1</v>
      </c>
      <c r="F922" t="s">
        <v>1682</v>
      </c>
      <c r="G922" t="str">
        <f>IF(ISERROR(VLOOKUP(F922,MODIFICACIONES_REALIZADAS!F:H,3,)),F922,VLOOKUP(F922,MODIFICACIONES_REALIZADAS!F:H,3,))</f>
        <v>DC-O-COM-AUT-Conservacion-RecalcularPorcentaje</v>
      </c>
      <c r="H922">
        <v>20180901</v>
      </c>
      <c r="I922">
        <v>22000101</v>
      </c>
      <c r="J922" t="s">
        <v>1671</v>
      </c>
    </row>
    <row r="923" spans="1:10" x14ac:dyDescent="0.25">
      <c r="A923">
        <v>0</v>
      </c>
      <c r="B923" t="s">
        <v>205</v>
      </c>
      <c r="C923" t="s">
        <v>207</v>
      </c>
      <c r="D923" t="s">
        <v>1656</v>
      </c>
      <c r="E923" t="b">
        <f t="shared" si="90"/>
        <v>1</v>
      </c>
      <c r="F923" t="s">
        <v>1683</v>
      </c>
      <c r="G923" t="str">
        <f>IF(ISERROR(VLOOKUP(F923,MODIFICACIONES_REALIZADAS!F:H,3,)),F923,VLOOKUP(F923,MODIFICACIONES_REALIZADAS!F:H,3,))</f>
        <v>DC-O-COM-AUT-Conservacion-Consolidacion</v>
      </c>
      <c r="H923">
        <v>20180901</v>
      </c>
      <c r="I923">
        <v>22000101</v>
      </c>
      <c r="J923" t="s">
        <v>1671</v>
      </c>
    </row>
    <row r="924" spans="1:10" x14ac:dyDescent="0.25">
      <c r="A924">
        <v>0</v>
      </c>
      <c r="B924" t="s">
        <v>205</v>
      </c>
      <c r="C924" t="s">
        <v>207</v>
      </c>
      <c r="D924" t="s">
        <v>1664</v>
      </c>
      <c r="E924" t="b">
        <f t="shared" si="90"/>
        <v>1</v>
      </c>
      <c r="F924" t="s">
        <v>1684</v>
      </c>
      <c r="G924" t="str">
        <f>IF(ISERROR(VLOOKUP(F924,MODIFICACIONES_REALIZADAS!F:H,3,)),F924,VLOOKUP(F924,MODIFICACIONES_REALIZADAS!F:H,3,))</f>
        <v>DC-O-COM-AUT-Cartera-Porcentaje</v>
      </c>
      <c r="H924">
        <v>20180901</v>
      </c>
      <c r="I924">
        <v>22000101</v>
      </c>
      <c r="J924" t="s">
        <v>1671</v>
      </c>
    </row>
    <row r="925" spans="1:10" x14ac:dyDescent="0.25">
      <c r="A925">
        <v>0</v>
      </c>
      <c r="B925" t="s">
        <v>205</v>
      </c>
      <c r="C925" t="s">
        <v>207</v>
      </c>
      <c r="D925" t="s">
        <v>1664</v>
      </c>
      <c r="E925" t="b">
        <f t="shared" si="90"/>
        <v>1</v>
      </c>
      <c r="F925" t="s">
        <v>1685</v>
      </c>
      <c r="G925" t="str">
        <f>IF(ISERROR(VLOOKUP(F925,MODIFICACIONES_REALIZADAS!F:H,3,)),F925,VLOOKUP(F925,MODIFICACIONES_REALIZADAS!F:H,3,))</f>
        <v>DC-O-COM-AUT-Cartera-Importe</v>
      </c>
      <c r="H925">
        <v>20180901</v>
      </c>
      <c r="I925">
        <v>22000101</v>
      </c>
      <c r="J925" t="s">
        <v>1671</v>
      </c>
    </row>
    <row r="926" spans="1:10" x14ac:dyDescent="0.25">
      <c r="A926">
        <v>0</v>
      </c>
      <c r="B926" t="s">
        <v>205</v>
      </c>
      <c r="C926" t="s">
        <v>207</v>
      </c>
      <c r="D926" t="s">
        <v>1667</v>
      </c>
      <c r="E926" t="b">
        <f t="shared" si="90"/>
        <v>1</v>
      </c>
      <c r="F926" t="s">
        <v>1686</v>
      </c>
      <c r="G926" t="str">
        <f>IF(ISERROR(VLOOKUP(F926,MODIFICACIONES_REALIZADAS!F:H,3,)),F926,VLOOKUP(F926,MODIFICACIONES_REALIZADAS!F:H,3,))</f>
        <v>DC-O-COM-AUT-Conservacion-Recuperadas</v>
      </c>
      <c r="H926">
        <v>20180901</v>
      </c>
      <c r="I926">
        <v>22000101</v>
      </c>
      <c r="J926" t="s">
        <v>1671</v>
      </c>
    </row>
    <row r="927" spans="1:10" x14ac:dyDescent="0.25">
      <c r="A927">
        <v>0</v>
      </c>
      <c r="B927" t="s">
        <v>205</v>
      </c>
      <c r="C927" t="s">
        <v>207</v>
      </c>
      <c r="D927" t="s">
        <v>1669</v>
      </c>
      <c r="E927" t="b">
        <f t="shared" si="90"/>
        <v>1</v>
      </c>
      <c r="F927" t="s">
        <v>1687</v>
      </c>
      <c r="G927" t="str">
        <f>IF(ISERROR(VLOOKUP(F927,MODIFICACIONES_REALIZADAS!F:H,3,)),F927,VLOOKUP(F927,MODIFICACIONES_REALIZADAS!F:H,3,))</f>
        <v>DC-O-COM-AUT-ServiciosAsistencia-Importe</v>
      </c>
      <c r="H927">
        <v>20180901</v>
      </c>
      <c r="I927">
        <v>22000101</v>
      </c>
      <c r="J927" t="s">
        <v>1671</v>
      </c>
    </row>
    <row r="928" spans="1:10" x14ac:dyDescent="0.25">
      <c r="A928">
        <v>0</v>
      </c>
      <c r="B928" t="s">
        <v>205</v>
      </c>
      <c r="C928" t="s">
        <v>207</v>
      </c>
      <c r="D928" t="s">
        <v>1688</v>
      </c>
      <c r="E928" t="b">
        <f t="shared" ref="E928:E930" si="91">F928=G928</f>
        <v>1</v>
      </c>
      <c r="F928" t="s">
        <v>1689</v>
      </c>
      <c r="G928" t="str">
        <f>IF(ISERROR(VLOOKUP(F928,MODIFICACIONES_REALIZADAS!F:H,3,)),F928,VLOOKUP(F928,MODIFICACIONES_REALIZADAS!F:H,3,))</f>
        <v>DC-O-SER-COM</v>
      </c>
      <c r="H928">
        <v>20200201</v>
      </c>
      <c r="I928">
        <v>22000101</v>
      </c>
      <c r="J928" t="s">
        <v>1690</v>
      </c>
    </row>
    <row r="929" spans="1:11" x14ac:dyDescent="0.25">
      <c r="A929" s="22">
        <v>0</v>
      </c>
      <c r="B929" s="22" t="s">
        <v>205</v>
      </c>
      <c r="C929" s="22" t="s">
        <v>207</v>
      </c>
      <c r="D929" s="22" t="s">
        <v>1688</v>
      </c>
      <c r="E929" s="22" t="b">
        <f t="shared" ref="E929" si="92">F929=G929</f>
        <v>1</v>
      </c>
      <c r="F929" s="22" t="s">
        <v>1691</v>
      </c>
      <c r="G929" s="22" t="str">
        <f>IF(ISERROR(VLOOKUP(F929,MODIFICACIONES_REALIZADAS!F:H,3,)),F929,VLOOKUP(F929,MODIFICACIONES_REALIZADAS!F:H,3,))</f>
        <v>DC-O-SER-COM-RRTT</v>
      </c>
      <c r="H929" s="22">
        <v>20210201</v>
      </c>
      <c r="I929" s="22">
        <v>22000101</v>
      </c>
      <c r="J929" s="22" t="s">
        <v>1692</v>
      </c>
      <c r="K929" s="22"/>
    </row>
    <row r="930" spans="1:11" x14ac:dyDescent="0.25">
      <c r="A930">
        <v>0</v>
      </c>
      <c r="B930" t="s">
        <v>205</v>
      </c>
      <c r="C930" t="s">
        <v>207</v>
      </c>
      <c r="D930" t="s">
        <v>1693</v>
      </c>
      <c r="E930" t="b">
        <f t="shared" si="91"/>
        <v>1</v>
      </c>
      <c r="F930" t="s">
        <v>1694</v>
      </c>
      <c r="G930" t="str">
        <f>IF(ISERROR(VLOOKUP(F930,MODIFICACIONES_REALIZADAS!F:H,3,)),F930,VLOOKUP(F930,MODIFICACIONES_REALIZADAS!F:H,3,))</f>
        <v>DC-O-SER-SUBV</v>
      </c>
      <c r="H930">
        <v>20200201</v>
      </c>
      <c r="I930">
        <v>22000101</v>
      </c>
      <c r="J930" t="s">
        <v>1690</v>
      </c>
    </row>
    <row r="931" spans="1:11" x14ac:dyDescent="0.25">
      <c r="A931">
        <v>0</v>
      </c>
      <c r="B931" t="s">
        <v>205</v>
      </c>
      <c r="C931" t="s">
        <v>207</v>
      </c>
      <c r="D931" t="s">
        <v>1695</v>
      </c>
      <c r="E931" t="b">
        <f t="shared" si="89"/>
        <v>1</v>
      </c>
      <c r="F931" t="s">
        <v>1696</v>
      </c>
      <c r="G931" t="str">
        <f>IF(ISERROR(VLOOKUP(F931,MODIFICACIONES_REALIZADAS!F:H,3,)),F931,VLOOKUP(F931,MODIFICACIONES_REALIZADAS!F:H,3,))</f>
        <v>D-O-Pagos-Fijos</v>
      </c>
      <c r="H931">
        <v>20140101</v>
      </c>
      <c r="I931">
        <v>22000101</v>
      </c>
    </row>
    <row r="932" spans="1:11" x14ac:dyDescent="0.25">
      <c r="A932">
        <v>0</v>
      </c>
      <c r="B932" t="s">
        <v>205</v>
      </c>
      <c r="C932" t="s">
        <v>207</v>
      </c>
      <c r="D932" t="s">
        <v>1697</v>
      </c>
      <c r="E932" t="b">
        <f t="shared" si="89"/>
        <v>1</v>
      </c>
      <c r="F932" t="s">
        <v>1698</v>
      </c>
      <c r="G932" t="str">
        <f>IF(ISERROR(VLOOKUP(F932,MODIFICACIONES_REALIZADAS!F:H,3,)),F932,VLOOKUP(F932,MODIFICACIONES_REALIZADAS!F:H,3,))</f>
        <v>DC-O-COM-INC-Agente-Campania</v>
      </c>
      <c r="H932">
        <v>20200701</v>
      </c>
      <c r="I932">
        <v>22000101</v>
      </c>
      <c r="J932" t="s">
        <v>1699</v>
      </c>
    </row>
    <row r="933" spans="1:11" x14ac:dyDescent="0.25">
      <c r="A933">
        <v>0</v>
      </c>
      <c r="B933" t="s">
        <v>214</v>
      </c>
      <c r="C933" t="s">
        <v>216</v>
      </c>
      <c r="D933" t="s">
        <v>1700</v>
      </c>
      <c r="E933" t="b">
        <f t="shared" si="89"/>
        <v>1</v>
      </c>
      <c r="F933" t="s">
        <v>1701</v>
      </c>
      <c r="G933" t="str">
        <f>IF(ISERROR(VLOOKUP(F933,MODIFICACIONES_REALIZADAS!F:H,3,)),F933,VLOOKUP(F933,MODIFICACIONES_REALIZADAS!F:H,3,))</f>
        <v>DC-O-GEN-Inspector-NumeroPolizas-998</v>
      </c>
      <c r="H933">
        <v>20140101</v>
      </c>
      <c r="I933">
        <v>22000101</v>
      </c>
    </row>
    <row r="934" spans="1:11" x14ac:dyDescent="0.25">
      <c r="A934">
        <v>0</v>
      </c>
      <c r="B934" t="s">
        <v>214</v>
      </c>
      <c r="C934" t="s">
        <v>216</v>
      </c>
      <c r="D934" t="s">
        <v>1700</v>
      </c>
      <c r="E934" t="b">
        <f t="shared" si="89"/>
        <v>1</v>
      </c>
      <c r="F934" t="s">
        <v>1702</v>
      </c>
      <c r="G934" t="str">
        <f>IF(ISERROR(VLOOKUP(F934,MODIFICACIONES_REALIZADAS!F:H,3,)),F934,VLOOKUP(F934,MODIFICACIONES_REALIZADAS!F:H,3,))</f>
        <v>IC-O-GEN-Inspector-NumeroPolizas-998</v>
      </c>
      <c r="H934">
        <v>20140101</v>
      </c>
      <c r="I934">
        <v>22000101</v>
      </c>
    </row>
    <row r="935" spans="1:11" x14ac:dyDescent="0.25">
      <c r="A935" s="22">
        <v>0</v>
      </c>
      <c r="B935" s="22" t="s">
        <v>214</v>
      </c>
      <c r="C935" s="22" t="s">
        <v>216</v>
      </c>
      <c r="D935" s="22" t="s">
        <v>1700</v>
      </c>
      <c r="E935" s="22" t="b">
        <f t="shared" ref="E935:E936" si="93">F935=G935</f>
        <v>1</v>
      </c>
      <c r="F935" s="22" t="s">
        <v>1703</v>
      </c>
      <c r="G935" s="22" t="str">
        <f>IF(ISERROR(VLOOKUP(F935,MODIFICACIONES_REALIZADAS!F:H,3,)),F935,VLOOKUP(F935,MODIFICACIONES_REALIZADAS!F:H,3,))</f>
        <v>DC-O-GEN-Inspector-NumeroPolizas-998-Renov</v>
      </c>
      <c r="H935" s="22">
        <v>20140101</v>
      </c>
      <c r="I935" s="22">
        <v>22000101</v>
      </c>
      <c r="J935" s="22" t="s">
        <v>639</v>
      </c>
      <c r="K935" s="22"/>
    </row>
    <row r="936" spans="1:11" x14ac:dyDescent="0.25">
      <c r="A936" s="22">
        <v>0</v>
      </c>
      <c r="B936" s="22" t="s">
        <v>214</v>
      </c>
      <c r="C936" s="22" t="s">
        <v>216</v>
      </c>
      <c r="D936" s="22" t="s">
        <v>1700</v>
      </c>
      <c r="E936" s="22" t="b">
        <f t="shared" si="93"/>
        <v>1</v>
      </c>
      <c r="F936" s="22" t="s">
        <v>1704</v>
      </c>
      <c r="G936" s="22" t="str">
        <f>IF(ISERROR(VLOOKUP(F936,MODIFICACIONES_REALIZADAS!F:H,3,)),F936,VLOOKUP(F936,MODIFICACIONES_REALIZADAS!F:H,3,))</f>
        <v>IC-O-GEN-Inspector-NumeroPolizas-998-Renov</v>
      </c>
      <c r="H936" s="22">
        <v>20140101</v>
      </c>
      <c r="I936" s="22">
        <v>22000101</v>
      </c>
      <c r="J936" s="22" t="s">
        <v>639</v>
      </c>
      <c r="K936" s="22"/>
    </row>
    <row r="937" spans="1:11" x14ac:dyDescent="0.25">
      <c r="A937">
        <v>0</v>
      </c>
      <c r="B937" t="s">
        <v>214</v>
      </c>
      <c r="C937" t="s">
        <v>216</v>
      </c>
      <c r="D937" t="s">
        <v>1700</v>
      </c>
      <c r="E937" t="b">
        <f t="shared" ref="E937:E945" si="94">F937=G937</f>
        <v>1</v>
      </c>
      <c r="F937" t="s">
        <v>1705</v>
      </c>
      <c r="G937" t="str">
        <f>IF(ISERROR(VLOOKUP(F937,MODIFICACIONES_REALIZADAS!F:H,3,)),F937,VLOOKUP(F937,MODIFICACIONES_REALIZADAS!F:H,3,))</f>
        <v>DC-O-GEN-Inspector-PrimaCorregida-998</v>
      </c>
      <c r="H937">
        <v>20140101</v>
      </c>
      <c r="I937">
        <v>22000101</v>
      </c>
    </row>
    <row r="938" spans="1:11" x14ac:dyDescent="0.25">
      <c r="A938">
        <v>0</v>
      </c>
      <c r="B938" t="s">
        <v>214</v>
      </c>
      <c r="C938" t="s">
        <v>216</v>
      </c>
      <c r="D938" t="s">
        <v>1700</v>
      </c>
      <c r="E938" t="b">
        <f t="shared" si="94"/>
        <v>1</v>
      </c>
      <c r="F938" t="s">
        <v>1706</v>
      </c>
      <c r="G938" t="str">
        <f>IF(ISERROR(VLOOKUP(F938,MODIFICACIONES_REALIZADAS!F:H,3,)),F938,VLOOKUP(F938,MODIFICACIONES_REALIZADAS!F:H,3,))</f>
        <v>IC-O-GEN-Inspector-PrimaCorregida-998</v>
      </c>
      <c r="H938">
        <v>20140101</v>
      </c>
      <c r="I938">
        <v>22000101</v>
      </c>
    </row>
    <row r="939" spans="1:11" x14ac:dyDescent="0.25">
      <c r="A939">
        <v>0</v>
      </c>
      <c r="B939" t="s">
        <v>214</v>
      </c>
      <c r="C939" t="s">
        <v>216</v>
      </c>
      <c r="D939" t="s">
        <v>1700</v>
      </c>
      <c r="E939" t="b">
        <f t="shared" si="94"/>
        <v>1</v>
      </c>
      <c r="F939" t="s">
        <v>938</v>
      </c>
      <c r="G939" t="str">
        <f>IF(ISERROR(VLOOKUP(F939,MODIFICACIONES_REALIZADAS!F:H,3,)),F939,VLOOKUP(F939,MODIFICACIONES_REALIZADAS!F:H,3,))</f>
        <v>DC-O-GEN-Inspector-PrimaCorregida-004</v>
      </c>
      <c r="H939">
        <v>20140101</v>
      </c>
      <c r="I939">
        <v>22000101</v>
      </c>
    </row>
    <row r="940" spans="1:11" x14ac:dyDescent="0.25">
      <c r="A940">
        <v>0</v>
      </c>
      <c r="B940" t="s">
        <v>214</v>
      </c>
      <c r="C940" t="s">
        <v>216</v>
      </c>
      <c r="D940" t="s">
        <v>1700</v>
      </c>
      <c r="E940" t="b">
        <f t="shared" si="94"/>
        <v>1</v>
      </c>
      <c r="F940" t="s">
        <v>939</v>
      </c>
      <c r="G940" t="str">
        <f>IF(ISERROR(VLOOKUP(F940,MODIFICACIONES_REALIZADAS!F:H,3,)),F940,VLOOKUP(F940,MODIFICACIONES_REALIZADAS!F:H,3,))</f>
        <v>IC-O-GEN-Inspector-PrimaCorregida-004</v>
      </c>
      <c r="H940">
        <v>20140101</v>
      </c>
      <c r="I940">
        <v>22000101</v>
      </c>
    </row>
    <row r="941" spans="1:11" x14ac:dyDescent="0.25">
      <c r="A941" s="22">
        <v>0</v>
      </c>
      <c r="B941" s="22" t="s">
        <v>214</v>
      </c>
      <c r="C941" s="22" t="s">
        <v>216</v>
      </c>
      <c r="D941" s="22" t="s">
        <v>900</v>
      </c>
      <c r="E941" s="22" t="b">
        <f t="shared" si="94"/>
        <v>1</v>
      </c>
      <c r="F941" s="22" t="s">
        <v>901</v>
      </c>
      <c r="G941" s="22" t="str">
        <f>IF(ISERROR(VLOOKUP(F941,MODIFICACIONES_REALIZADAS!F:H,3,)),F941,VLOOKUP(F941,MODIFICACIONES_REALIZADAS!F:H,3,))</f>
        <v>DC-O-GEN-Agente-NumAsegurados</v>
      </c>
      <c r="H941" s="22">
        <v>20180101</v>
      </c>
      <c r="I941" s="22">
        <v>22000101</v>
      </c>
      <c r="J941" s="22" t="s">
        <v>412</v>
      </c>
      <c r="K941" s="22"/>
    </row>
    <row r="942" spans="1:11" x14ac:dyDescent="0.25">
      <c r="A942" s="22">
        <v>0</v>
      </c>
      <c r="B942" s="22" t="s">
        <v>214</v>
      </c>
      <c r="C942" s="22" t="s">
        <v>216</v>
      </c>
      <c r="D942" s="22" t="s">
        <v>1707</v>
      </c>
      <c r="E942" s="22" t="b">
        <f t="shared" si="94"/>
        <v>1</v>
      </c>
      <c r="F942" s="22" t="s">
        <v>1708</v>
      </c>
      <c r="G942" s="22" t="str">
        <f>IF(ISERROR(VLOOKUP(F942,MODIFICACIONES_REALIZADAS!F:H,3,)),F942,VLOOKUP(F942,MODIFICACIONES_REALIZADAS!F:H,3,))</f>
        <v>IC-O-GEN-Inspector-NumAsegurados</v>
      </c>
      <c r="H942" s="22">
        <v>20180101</v>
      </c>
      <c r="I942" s="22">
        <v>22000101</v>
      </c>
      <c r="J942" s="22" t="s">
        <v>412</v>
      </c>
      <c r="K942" s="22"/>
    </row>
    <row r="943" spans="1:11" x14ac:dyDescent="0.25">
      <c r="A943">
        <v>0</v>
      </c>
      <c r="B943" t="s">
        <v>214</v>
      </c>
      <c r="C943" t="s">
        <v>216</v>
      </c>
      <c r="D943" t="s">
        <v>1709</v>
      </c>
      <c r="E943" t="b">
        <f t="shared" si="94"/>
        <v>1</v>
      </c>
      <c r="F943" t="s">
        <v>1710</v>
      </c>
      <c r="G943" t="str">
        <f>IF(ISERROR(VLOOKUP(F943,MODIFICACIONES_REALIZADAS!F:H,3,)),F943,VLOOKUP(F943,MODIFICACIONES_REALIZADAS!F:H,3,))</f>
        <v>DD-O-COLC-Inspector-Pago-00</v>
      </c>
      <c r="H943">
        <v>20140101</v>
      </c>
      <c r="I943">
        <v>22000101</v>
      </c>
    </row>
    <row r="944" spans="1:11" x14ac:dyDescent="0.25">
      <c r="A944">
        <v>0</v>
      </c>
      <c r="B944" t="s">
        <v>214</v>
      </c>
      <c r="C944" t="s">
        <v>216</v>
      </c>
      <c r="D944" t="s">
        <v>1695</v>
      </c>
      <c r="E944" t="b">
        <f t="shared" si="94"/>
        <v>1</v>
      </c>
      <c r="F944" t="s">
        <v>1696</v>
      </c>
      <c r="G944" t="str">
        <f>IF(ISERROR(VLOOKUP(F944,MODIFICACIONES_REALIZADAS!F:H,3,)),F944,VLOOKUP(F944,MODIFICACIONES_REALIZADAS!F:H,3,))</f>
        <v>D-O-Pagos-Fijos</v>
      </c>
      <c r="H944">
        <v>20140101</v>
      </c>
      <c r="I944">
        <v>22000101</v>
      </c>
    </row>
    <row r="945" spans="1:11" x14ac:dyDescent="0.25">
      <c r="A945">
        <v>0</v>
      </c>
      <c r="B945" t="s">
        <v>223</v>
      </c>
      <c r="C945" t="s">
        <v>225</v>
      </c>
      <c r="D945" t="s">
        <v>1648</v>
      </c>
      <c r="E945" t="b">
        <f t="shared" si="94"/>
        <v>1</v>
      </c>
      <c r="F945" t="s">
        <v>1711</v>
      </c>
      <c r="G945" t="str">
        <f>IF(ISERROR(VLOOKUP(F945,MODIFICACIONES_REALIZADAS!F:H,3,)),F945,VLOOKUP(F945,MODIFICACIONES_REALIZADAS!F:H,3,))</f>
        <v>DC-E-COM-NuevaProduccion-Emision</v>
      </c>
      <c r="H945">
        <v>20140101</v>
      </c>
      <c r="I945">
        <v>22000101</v>
      </c>
    </row>
    <row r="946" spans="1:11" x14ac:dyDescent="0.25">
      <c r="A946">
        <v>0</v>
      </c>
      <c r="B946" t="s">
        <v>223</v>
      </c>
      <c r="C946" t="s">
        <v>225</v>
      </c>
      <c r="D946" t="s">
        <v>1648</v>
      </c>
      <c r="E946" t="b">
        <f t="shared" ref="E946:E996" si="95">F946=G946</f>
        <v>1</v>
      </c>
      <c r="F946" t="s">
        <v>1712</v>
      </c>
      <c r="G946" t="str">
        <f>IF(ISERROR(VLOOKUP(F946,MODIFICACIONES_REALIZADAS!F:H,3,)),F946,VLOOKUP(F946,MODIFICACIONES_REALIZADAS!F:H,3,))</f>
        <v>DC-E-COM-NuevaProduccion-Suplementos</v>
      </c>
      <c r="H946">
        <v>20140101</v>
      </c>
      <c r="I946">
        <v>22000101</v>
      </c>
    </row>
    <row r="947" spans="1:11" x14ac:dyDescent="0.25">
      <c r="A947">
        <v>0</v>
      </c>
      <c r="B947" t="s">
        <v>223</v>
      </c>
      <c r="C947" t="s">
        <v>225</v>
      </c>
      <c r="D947" t="s">
        <v>1648</v>
      </c>
      <c r="E947" t="b">
        <f t="shared" si="95"/>
        <v>1</v>
      </c>
      <c r="F947" t="s">
        <v>1713</v>
      </c>
      <c r="G947" t="str">
        <f>IF(ISERROR(VLOOKUP(F947,MODIFICACIONES_REALIZADAS!F:H,3,)),F947,VLOOKUP(F947,MODIFICACIONES_REALIZADAS!F:H,3,))</f>
        <v>DC-E-COM-NuevaProduccion-PorcentajeFijo</v>
      </c>
      <c r="H947">
        <v>20140101</v>
      </c>
      <c r="I947">
        <v>22000101</v>
      </c>
    </row>
    <row r="948" spans="1:11" x14ac:dyDescent="0.25">
      <c r="A948">
        <v>0</v>
      </c>
      <c r="B948" t="s">
        <v>223</v>
      </c>
      <c r="C948" t="s">
        <v>225</v>
      </c>
      <c r="D948" t="s">
        <v>1648</v>
      </c>
      <c r="E948" t="b">
        <f t="shared" si="95"/>
        <v>1</v>
      </c>
      <c r="F948" t="s">
        <v>1714</v>
      </c>
      <c r="G948" t="str">
        <f>IF(ISERROR(VLOOKUP(F948,MODIFICACIONES_REALIZADAS!F:H,3,)),F948,VLOOKUP(F948,MODIFICACIONES_REALIZADAS!F:H,3,))</f>
        <v>DC-E-COM-NuevaProduccion-ComisionCalculada</v>
      </c>
      <c r="H948">
        <v>20140101</v>
      </c>
      <c r="I948">
        <v>22000101</v>
      </c>
    </row>
    <row r="949" spans="1:11" x14ac:dyDescent="0.25">
      <c r="A949">
        <v>0</v>
      </c>
      <c r="B949" t="s">
        <v>223</v>
      </c>
      <c r="C949" t="s">
        <v>225</v>
      </c>
      <c r="D949" t="s">
        <v>1654</v>
      </c>
      <c r="E949" t="b">
        <f t="shared" si="95"/>
        <v>1</v>
      </c>
      <c r="F949" t="s">
        <v>1715</v>
      </c>
      <c r="G949" t="str">
        <f>IF(ISERROR(VLOOKUP(F949,MODIFICACIONES_REALIZADAS!F:H,3,)),F949,VLOOKUP(F949,MODIFICACIONES_REALIZADAS!F:H,3,))</f>
        <v>DC-E-COM-NuevaProduccion-Candidatos</v>
      </c>
      <c r="H949">
        <v>20140101</v>
      </c>
      <c r="I949">
        <v>22000101</v>
      </c>
    </row>
    <row r="950" spans="1:11" x14ac:dyDescent="0.25">
      <c r="A950">
        <v>0</v>
      </c>
      <c r="B950" t="s">
        <v>223</v>
      </c>
      <c r="C950" t="s">
        <v>225</v>
      </c>
      <c r="D950" t="s">
        <v>1656</v>
      </c>
      <c r="E950" t="b">
        <f t="shared" si="95"/>
        <v>1</v>
      </c>
      <c r="F950" t="s">
        <v>1716</v>
      </c>
      <c r="G950" t="str">
        <f>IF(ISERROR(VLOOKUP(F950,MODIFICACIONES_REALIZADAS!F:H,3,)),F950,VLOOKUP(F950,MODIFICACIONES_REALIZADAS!F:H,3,))</f>
        <v>DC-E-COM-GestionCobro</v>
      </c>
      <c r="H950">
        <v>20140101</v>
      </c>
      <c r="I950">
        <v>22000101</v>
      </c>
    </row>
    <row r="951" spans="1:11" x14ac:dyDescent="0.25">
      <c r="A951">
        <v>0</v>
      </c>
      <c r="B951" t="s">
        <v>223</v>
      </c>
      <c r="C951" t="s">
        <v>225</v>
      </c>
      <c r="D951" t="s">
        <v>1656</v>
      </c>
      <c r="E951" t="b">
        <f t="shared" si="95"/>
        <v>1</v>
      </c>
      <c r="F951" t="s">
        <v>1717</v>
      </c>
      <c r="G951" t="str">
        <f>IF(ISERROR(VLOOKUP(F951,MODIFICACIONES_REALIZADAS!F:H,3,)),F951,VLOOKUP(F951,MODIFICACIONES_REALIZADAS!F:H,3,))</f>
        <v>DC-E-COM-GestionCobro-ComisionCalculada</v>
      </c>
      <c r="H951">
        <v>20140101</v>
      </c>
      <c r="I951">
        <v>22000101</v>
      </c>
    </row>
    <row r="952" spans="1:11" x14ac:dyDescent="0.25">
      <c r="A952">
        <v>0</v>
      </c>
      <c r="B952" t="s">
        <v>223</v>
      </c>
      <c r="C952" t="s">
        <v>225</v>
      </c>
      <c r="D952" t="s">
        <v>1656</v>
      </c>
      <c r="E952" t="b">
        <f t="shared" si="95"/>
        <v>1</v>
      </c>
      <c r="F952" t="s">
        <v>1718</v>
      </c>
      <c r="G952" t="str">
        <f>IF(ISERROR(VLOOKUP(F952,MODIFICACIONES_REALIZADAS!F:H,3,)),F952,VLOOKUP(F952,MODIFICACIONES_REALIZADAS!F:H,3,))</f>
        <v>DC-E-COM-GestionCobro-PorcentajeFijo</v>
      </c>
      <c r="H952">
        <v>20140101</v>
      </c>
      <c r="I952">
        <v>22000101</v>
      </c>
    </row>
    <row r="953" spans="1:11" x14ac:dyDescent="0.25">
      <c r="A953">
        <v>0</v>
      </c>
      <c r="B953" t="s">
        <v>223</v>
      </c>
      <c r="C953" t="s">
        <v>225</v>
      </c>
      <c r="D953" t="s">
        <v>1656</v>
      </c>
      <c r="E953" t="b">
        <f t="shared" si="95"/>
        <v>1</v>
      </c>
      <c r="F953" t="s">
        <v>1719</v>
      </c>
      <c r="G953" t="str">
        <f>IF(ISERROR(VLOOKUP(F953,MODIFICACIONES_REALIZADAS!F:H,3,)),F953,VLOOKUP(F953,MODIFICACIONES_REALIZADAS!F:H,3,))</f>
        <v>DC-E-COM-Conservacion-PorcentajeFijo</v>
      </c>
      <c r="H953">
        <v>20140101</v>
      </c>
      <c r="I953">
        <v>22000101</v>
      </c>
    </row>
    <row r="954" spans="1:11" x14ac:dyDescent="0.25">
      <c r="A954">
        <v>0</v>
      </c>
      <c r="B954" t="s">
        <v>223</v>
      </c>
      <c r="C954" t="s">
        <v>225</v>
      </c>
      <c r="D954" t="s">
        <v>1656</v>
      </c>
      <c r="E954" t="b">
        <f t="shared" si="95"/>
        <v>1</v>
      </c>
      <c r="F954" t="s">
        <v>1720</v>
      </c>
      <c r="G954" t="str">
        <f>IF(ISERROR(VLOOKUP(F954,MODIFICACIONES_REALIZADAS!F:H,3,)),F954,VLOOKUP(F954,MODIFICACIONES_REALIZADAS!F:H,3,))</f>
        <v>DC-E-COM-Conservacion-ComisionCalculada</v>
      </c>
      <c r="H954">
        <v>20140101</v>
      </c>
      <c r="I954">
        <v>22000101</v>
      </c>
    </row>
    <row r="955" spans="1:11" x14ac:dyDescent="0.25">
      <c r="A955">
        <v>0</v>
      </c>
      <c r="B955" t="s">
        <v>223</v>
      </c>
      <c r="C955" t="s">
        <v>225</v>
      </c>
      <c r="D955" t="s">
        <v>1656</v>
      </c>
      <c r="E955" t="b">
        <f t="shared" si="95"/>
        <v>1</v>
      </c>
      <c r="F955" t="s">
        <v>1721</v>
      </c>
      <c r="G955" t="str">
        <f>IF(ISERROR(VLOOKUP(F955,MODIFICACIONES_REALIZADAS!F:H,3,)),F955,VLOOKUP(F955,MODIFICACIONES_REALIZADAS!F:H,3,))</f>
        <v>DC-E-COM-Conservacion-RecalcularPorcentaje</v>
      </c>
      <c r="H955">
        <v>20140101</v>
      </c>
      <c r="I955">
        <v>22000101</v>
      </c>
    </row>
    <row r="956" spans="1:11" x14ac:dyDescent="0.25">
      <c r="A956">
        <v>0</v>
      </c>
      <c r="B956" t="s">
        <v>223</v>
      </c>
      <c r="C956" t="s">
        <v>225</v>
      </c>
      <c r="D956" t="s">
        <v>1664</v>
      </c>
      <c r="E956" t="b">
        <f t="shared" si="95"/>
        <v>1</v>
      </c>
      <c r="F956" t="s">
        <v>1722</v>
      </c>
      <c r="G956" t="str">
        <f>IF(ISERROR(VLOOKUP(F956,MODIFICACIONES_REALIZADAS!F:H,3,)),F956,VLOOKUP(F956,MODIFICACIONES_REALIZADAS!F:H,3,))</f>
        <v>DC-E-COM-Cartera-Porcentaje</v>
      </c>
      <c r="H956">
        <v>20140101</v>
      </c>
      <c r="I956">
        <v>22000101</v>
      </c>
    </row>
    <row r="957" spans="1:11" x14ac:dyDescent="0.25">
      <c r="A957">
        <v>0</v>
      </c>
      <c r="B957" t="s">
        <v>223</v>
      </c>
      <c r="C957" t="s">
        <v>225</v>
      </c>
      <c r="D957" t="s">
        <v>1664</v>
      </c>
      <c r="E957" t="b">
        <f t="shared" si="95"/>
        <v>1</v>
      </c>
      <c r="F957" t="s">
        <v>1723</v>
      </c>
      <c r="G957" t="str">
        <f>IF(ISERROR(VLOOKUP(F957,MODIFICACIONES_REALIZADAS!F:H,3,)),F957,VLOOKUP(F957,MODIFICACIONES_REALIZADAS!F:H,3,))</f>
        <v>DC-E-COM-Cartera-Importe</v>
      </c>
      <c r="H957">
        <v>20140101</v>
      </c>
      <c r="I957">
        <v>22000101</v>
      </c>
    </row>
    <row r="958" spans="1:11" x14ac:dyDescent="0.25">
      <c r="A958">
        <v>0</v>
      </c>
      <c r="B958" t="s">
        <v>223</v>
      </c>
      <c r="C958" t="s">
        <v>225</v>
      </c>
      <c r="D958" t="s">
        <v>1667</v>
      </c>
      <c r="E958" t="b">
        <f t="shared" si="95"/>
        <v>1</v>
      </c>
      <c r="F958" t="s">
        <v>1724</v>
      </c>
      <c r="G958" t="str">
        <f>IF(ISERROR(VLOOKUP(F958,MODIFICACIONES_REALIZADAS!F:H,3,)),F958,VLOOKUP(F958,MODIFICACIONES_REALIZADAS!F:H,3,))</f>
        <v>DC-E-COM-Conservacion-Recuperadas</v>
      </c>
      <c r="H958">
        <v>20140101</v>
      </c>
      <c r="I958">
        <v>22000101</v>
      </c>
    </row>
    <row r="959" spans="1:11" x14ac:dyDescent="0.25">
      <c r="A959">
        <v>0</v>
      </c>
      <c r="B959" t="s">
        <v>223</v>
      </c>
      <c r="C959" t="s">
        <v>225</v>
      </c>
      <c r="D959" t="s">
        <v>1669</v>
      </c>
      <c r="E959" t="b">
        <f t="shared" si="95"/>
        <v>1</v>
      </c>
      <c r="F959" t="s">
        <v>1364</v>
      </c>
      <c r="G959" t="str">
        <f>IF(ISERROR(VLOOKUP(F959,MODIFICACIONES_REALIZADAS!F:H,3,)),F959,VLOOKUP(F959,MODIFICACIONES_REALIZADAS!F:H,3,))</f>
        <v>DC-O-COM-ServiciosAsistencia-Importe</v>
      </c>
      <c r="H959">
        <v>20140101</v>
      </c>
      <c r="I959">
        <v>22000101</v>
      </c>
    </row>
    <row r="960" spans="1:11" x14ac:dyDescent="0.25">
      <c r="A960" s="22">
        <v>0</v>
      </c>
      <c r="B960" s="22" t="s">
        <v>223</v>
      </c>
      <c r="C960" s="22" t="s">
        <v>225</v>
      </c>
      <c r="D960" s="22" t="s">
        <v>1648</v>
      </c>
      <c r="E960" s="22" t="b">
        <f t="shared" si="95"/>
        <v>1</v>
      </c>
      <c r="F960" s="22" t="s">
        <v>1725</v>
      </c>
      <c r="G960" s="22" t="str">
        <f>IF(ISERROR(VLOOKUP(F960,MODIFICACIONES_REALIZADAS!F:H,3,)),F960,VLOOKUP(F960,MODIFICACIONES_REALIZADAS!F:H,3,))</f>
        <v>DC-E-COM-AUT-NuevaProduccion-Emision</v>
      </c>
      <c r="H960" s="22">
        <v>20180901</v>
      </c>
      <c r="I960" s="22">
        <v>22000101</v>
      </c>
      <c r="J960" s="22" t="s">
        <v>1671</v>
      </c>
      <c r="K960" s="22"/>
    </row>
    <row r="961" spans="1:11" x14ac:dyDescent="0.25">
      <c r="A961" s="22">
        <v>0</v>
      </c>
      <c r="B961" s="22" t="s">
        <v>223</v>
      </c>
      <c r="C961" s="22" t="s">
        <v>225</v>
      </c>
      <c r="D961" s="22" t="s">
        <v>1648</v>
      </c>
      <c r="E961" s="22" t="b">
        <f t="shared" ref="E961:E978" si="96">F961=G961</f>
        <v>1</v>
      </c>
      <c r="F961" s="22" t="s">
        <v>1726</v>
      </c>
      <c r="G961" s="22" t="str">
        <f>IF(ISERROR(VLOOKUP(F961,MODIFICACIONES_REALIZADAS!F:H,3,)),F961,VLOOKUP(F961,MODIFICACIONES_REALIZADAS!F:H,3,))</f>
        <v>DC-E-COM-AUT-NuevaProduccion-Suplementos</v>
      </c>
      <c r="H961" s="22">
        <v>20180901</v>
      </c>
      <c r="I961" s="22">
        <v>22000101</v>
      </c>
      <c r="J961" s="22" t="s">
        <v>1671</v>
      </c>
      <c r="K961" s="22"/>
    </row>
    <row r="962" spans="1:11" x14ac:dyDescent="0.25">
      <c r="A962" s="22">
        <v>0</v>
      </c>
      <c r="B962" s="22" t="s">
        <v>223</v>
      </c>
      <c r="C962" s="22" t="s">
        <v>225</v>
      </c>
      <c r="D962" s="22" t="s">
        <v>1648</v>
      </c>
      <c r="E962" s="22" t="b">
        <f t="shared" si="96"/>
        <v>1</v>
      </c>
      <c r="F962" s="22" t="s">
        <v>1727</v>
      </c>
      <c r="G962" s="22" t="str">
        <f>IF(ISERROR(VLOOKUP(F962,MODIFICACIONES_REALIZADAS!F:H,3,)),F962,VLOOKUP(F962,MODIFICACIONES_REALIZADAS!F:H,3,))</f>
        <v>DC-E-COM-AUT-NuevaProduccion-PorcentajeFijo</v>
      </c>
      <c r="H962" s="22">
        <v>20180901</v>
      </c>
      <c r="I962" s="22">
        <v>22000101</v>
      </c>
      <c r="J962" s="22" t="s">
        <v>1671</v>
      </c>
      <c r="K962" s="22"/>
    </row>
    <row r="963" spans="1:11" x14ac:dyDescent="0.25">
      <c r="A963" s="22">
        <v>0</v>
      </c>
      <c r="B963" s="22" t="s">
        <v>223</v>
      </c>
      <c r="C963" s="22" t="s">
        <v>225</v>
      </c>
      <c r="D963" s="22" t="s">
        <v>1648</v>
      </c>
      <c r="E963" s="22" t="b">
        <f t="shared" si="96"/>
        <v>1</v>
      </c>
      <c r="F963" s="22" t="s">
        <v>1728</v>
      </c>
      <c r="G963" s="22" t="str">
        <f>IF(ISERROR(VLOOKUP(F963,MODIFICACIONES_REALIZADAS!F:H,3,)),F963,VLOOKUP(F963,MODIFICACIONES_REALIZADAS!F:H,3,))</f>
        <v>DC-E-COM-AUT-NuevaProduccion-ComisionCalculada</v>
      </c>
      <c r="H963" s="22">
        <v>20180901</v>
      </c>
      <c r="I963" s="22">
        <v>22000101</v>
      </c>
      <c r="J963" s="22" t="s">
        <v>1671</v>
      </c>
      <c r="K963" s="22"/>
    </row>
    <row r="964" spans="1:11" x14ac:dyDescent="0.25">
      <c r="A964" s="22">
        <v>0</v>
      </c>
      <c r="B964" s="22" t="s">
        <v>223</v>
      </c>
      <c r="C964" s="22" t="s">
        <v>225</v>
      </c>
      <c r="D964" s="22" t="s">
        <v>1654</v>
      </c>
      <c r="E964" s="22" t="b">
        <f t="shared" si="96"/>
        <v>1</v>
      </c>
      <c r="F964" s="22" t="s">
        <v>1729</v>
      </c>
      <c r="G964" s="22" t="str">
        <f>IF(ISERROR(VLOOKUP(F964,MODIFICACIONES_REALIZADAS!F:H,3,)),F964,VLOOKUP(F964,MODIFICACIONES_REALIZADAS!F:H,3,))</f>
        <v>DC-E-COM-AUT-NuevaProduccion-Candidatos</v>
      </c>
      <c r="H964" s="22">
        <v>20180901</v>
      </c>
      <c r="I964" s="22">
        <v>22000101</v>
      </c>
      <c r="J964" s="22" t="s">
        <v>1671</v>
      </c>
      <c r="K964" s="22"/>
    </row>
    <row r="965" spans="1:11" x14ac:dyDescent="0.25">
      <c r="A965" s="22">
        <v>0</v>
      </c>
      <c r="B965" s="22" t="s">
        <v>223</v>
      </c>
      <c r="C965" s="22" t="s">
        <v>225</v>
      </c>
      <c r="D965" s="22" t="s">
        <v>1656</v>
      </c>
      <c r="E965" s="22" t="b">
        <f t="shared" si="96"/>
        <v>1</v>
      </c>
      <c r="F965" s="22" t="s">
        <v>1730</v>
      </c>
      <c r="G965" s="22" t="str">
        <f>IF(ISERROR(VLOOKUP(F965,MODIFICACIONES_REALIZADAS!F:H,3,)),F965,VLOOKUP(F965,MODIFICACIONES_REALIZADAS!F:H,3,))</f>
        <v>DC-E-COM-AUT-GestionCobro</v>
      </c>
      <c r="H965" s="22">
        <v>20180901</v>
      </c>
      <c r="I965" s="22">
        <v>22000101</v>
      </c>
      <c r="J965" s="22" t="s">
        <v>1671</v>
      </c>
      <c r="K965" s="22"/>
    </row>
    <row r="966" spans="1:11" x14ac:dyDescent="0.25">
      <c r="A966" s="22">
        <v>0</v>
      </c>
      <c r="B966" s="22" t="s">
        <v>223</v>
      </c>
      <c r="C966" s="22" t="s">
        <v>225</v>
      </c>
      <c r="D966" s="22" t="s">
        <v>1656</v>
      </c>
      <c r="E966" s="22" t="b">
        <f t="shared" si="96"/>
        <v>1</v>
      </c>
      <c r="F966" s="22" t="s">
        <v>1731</v>
      </c>
      <c r="G966" s="22" t="str">
        <f>IF(ISERROR(VLOOKUP(F966,MODIFICACIONES_REALIZADAS!F:H,3,)),F966,VLOOKUP(F966,MODIFICACIONES_REALIZADAS!F:H,3,))</f>
        <v>DC-E-COM-AUT-GestionCobro-ComisionCalculada</v>
      </c>
      <c r="H966" s="22">
        <v>20180901</v>
      </c>
      <c r="I966" s="22">
        <v>22000101</v>
      </c>
      <c r="J966" s="22" t="s">
        <v>1671</v>
      </c>
      <c r="K966" s="22"/>
    </row>
    <row r="967" spans="1:11" x14ac:dyDescent="0.25">
      <c r="A967" s="22">
        <v>0</v>
      </c>
      <c r="B967" s="22" t="s">
        <v>223</v>
      </c>
      <c r="C967" s="22" t="s">
        <v>225</v>
      </c>
      <c r="D967" s="22" t="s">
        <v>1656</v>
      </c>
      <c r="E967" s="22" t="b">
        <f t="shared" si="96"/>
        <v>1</v>
      </c>
      <c r="F967" s="22" t="s">
        <v>1732</v>
      </c>
      <c r="G967" s="22" t="str">
        <f>IF(ISERROR(VLOOKUP(F967,MODIFICACIONES_REALIZADAS!F:H,3,)),F967,VLOOKUP(F967,MODIFICACIONES_REALIZADAS!F:H,3,))</f>
        <v>DC-E-COM-AUT-GestionCobro-PorcentajeFijo</v>
      </c>
      <c r="H967" s="22">
        <v>20180901</v>
      </c>
      <c r="I967" s="22">
        <v>22000101</v>
      </c>
      <c r="J967" s="22" t="s">
        <v>1671</v>
      </c>
      <c r="K967" s="22"/>
    </row>
    <row r="968" spans="1:11" x14ac:dyDescent="0.25">
      <c r="A968" s="22">
        <v>0</v>
      </c>
      <c r="B968" s="22" t="s">
        <v>223</v>
      </c>
      <c r="C968" s="22" t="s">
        <v>225</v>
      </c>
      <c r="D968" s="22" t="s">
        <v>1656</v>
      </c>
      <c r="E968" s="22" t="b">
        <f t="shared" si="96"/>
        <v>1</v>
      </c>
      <c r="F968" s="22" t="s">
        <v>1733</v>
      </c>
      <c r="G968" s="22" t="str">
        <f>IF(ISERROR(VLOOKUP(F968,MODIFICACIONES_REALIZADAS!F:H,3,)),F968,VLOOKUP(F968,MODIFICACIONES_REALIZADAS!F:H,3,))</f>
        <v>DC-E-COM-AUT-Conservacion-PorcentajeFijo</v>
      </c>
      <c r="H968" s="22">
        <v>20180901</v>
      </c>
      <c r="I968" s="22">
        <v>22000101</v>
      </c>
      <c r="J968" s="22" t="s">
        <v>1671</v>
      </c>
      <c r="K968" s="22"/>
    </row>
    <row r="969" spans="1:11" x14ac:dyDescent="0.25">
      <c r="A969" s="22">
        <v>0</v>
      </c>
      <c r="B969" s="22" t="s">
        <v>223</v>
      </c>
      <c r="C969" s="22" t="s">
        <v>225</v>
      </c>
      <c r="D969" s="22" t="s">
        <v>1656</v>
      </c>
      <c r="E969" s="22" t="b">
        <f t="shared" si="96"/>
        <v>1</v>
      </c>
      <c r="F969" s="22" t="s">
        <v>1734</v>
      </c>
      <c r="G969" s="22" t="str">
        <f>IF(ISERROR(VLOOKUP(F969,MODIFICACIONES_REALIZADAS!F:H,3,)),F969,VLOOKUP(F969,MODIFICACIONES_REALIZADAS!F:H,3,))</f>
        <v>DC-E-COM-AUT-Conservacion-ComisionCalculada</v>
      </c>
      <c r="H969" s="22">
        <v>20180901</v>
      </c>
      <c r="I969" s="22">
        <v>22000101</v>
      </c>
      <c r="J969" s="22" t="s">
        <v>1671</v>
      </c>
      <c r="K969" s="22"/>
    </row>
    <row r="970" spans="1:11" x14ac:dyDescent="0.25">
      <c r="A970" s="22">
        <v>0</v>
      </c>
      <c r="B970" s="22" t="s">
        <v>223</v>
      </c>
      <c r="C970" s="22" t="s">
        <v>225</v>
      </c>
      <c r="D970" s="22" t="s">
        <v>1656</v>
      </c>
      <c r="E970" s="22" t="b">
        <f t="shared" si="96"/>
        <v>1</v>
      </c>
      <c r="F970" s="22" t="s">
        <v>1735</v>
      </c>
      <c r="G970" s="22" t="str">
        <f>IF(ISERROR(VLOOKUP(F970,MODIFICACIONES_REALIZADAS!F:H,3,)),F970,VLOOKUP(F970,MODIFICACIONES_REALIZADAS!F:H,3,))</f>
        <v>DC-E-COM-AUT-Conservacion-RecalcularPorcentaje</v>
      </c>
      <c r="H970" s="22">
        <v>20180901</v>
      </c>
      <c r="I970" s="22">
        <v>22000101</v>
      </c>
      <c r="J970" s="22" t="s">
        <v>1671</v>
      </c>
      <c r="K970" s="22"/>
    </row>
    <row r="971" spans="1:11" x14ac:dyDescent="0.25">
      <c r="A971" s="22">
        <v>0</v>
      </c>
      <c r="B971" s="22" t="s">
        <v>223</v>
      </c>
      <c r="C971" s="22" t="s">
        <v>225</v>
      </c>
      <c r="D971" s="22" t="s">
        <v>1664</v>
      </c>
      <c r="E971" s="22" t="b">
        <f t="shared" si="96"/>
        <v>1</v>
      </c>
      <c r="F971" s="22" t="s">
        <v>1736</v>
      </c>
      <c r="G971" s="22" t="str">
        <f>IF(ISERROR(VLOOKUP(F971,MODIFICACIONES_REALIZADAS!F:H,3,)),F971,VLOOKUP(F971,MODIFICACIONES_REALIZADAS!F:H,3,))</f>
        <v>DC-E-COM-AUT-Cartera-Porcentaje</v>
      </c>
      <c r="H971" s="22">
        <v>20180901</v>
      </c>
      <c r="I971" s="22">
        <v>22000101</v>
      </c>
      <c r="J971" s="22" t="s">
        <v>1671</v>
      </c>
      <c r="K971" s="22"/>
    </row>
    <row r="972" spans="1:11" x14ac:dyDescent="0.25">
      <c r="A972" s="22">
        <v>0</v>
      </c>
      <c r="B972" s="22" t="s">
        <v>223</v>
      </c>
      <c r="C972" s="22" t="s">
        <v>225</v>
      </c>
      <c r="D972" s="22" t="s">
        <v>1664</v>
      </c>
      <c r="E972" s="22" t="b">
        <f t="shared" si="96"/>
        <v>1</v>
      </c>
      <c r="F972" s="22" t="s">
        <v>1737</v>
      </c>
      <c r="G972" s="22" t="str">
        <f>IF(ISERROR(VLOOKUP(F972,MODIFICACIONES_REALIZADAS!F:H,3,)),F972,VLOOKUP(F972,MODIFICACIONES_REALIZADAS!F:H,3,))</f>
        <v>DC-E-COM-AUT-Cartera-Importe</v>
      </c>
      <c r="H972" s="22">
        <v>20180901</v>
      </c>
      <c r="I972" s="22">
        <v>22000101</v>
      </c>
      <c r="J972" s="22" t="s">
        <v>1671</v>
      </c>
      <c r="K972" s="22"/>
    </row>
    <row r="973" spans="1:11" x14ac:dyDescent="0.25">
      <c r="A973" s="22">
        <v>0</v>
      </c>
      <c r="B973" s="22" t="s">
        <v>223</v>
      </c>
      <c r="C973" s="22" t="s">
        <v>225</v>
      </c>
      <c r="D973" s="22" t="s">
        <v>1667</v>
      </c>
      <c r="E973" s="22" t="b">
        <f t="shared" si="96"/>
        <v>1</v>
      </c>
      <c r="F973" s="22" t="s">
        <v>1738</v>
      </c>
      <c r="G973" s="22" t="str">
        <f>IF(ISERROR(VLOOKUP(F973,MODIFICACIONES_REALIZADAS!F:H,3,)),F973,VLOOKUP(F973,MODIFICACIONES_REALIZADAS!F:H,3,))</f>
        <v>DC-E-COM-AUT-Conservacion-Recuperadas</v>
      </c>
      <c r="H973" s="22">
        <v>20180901</v>
      </c>
      <c r="I973" s="22">
        <v>22000101</v>
      </c>
      <c r="J973" s="22" t="s">
        <v>1671</v>
      </c>
      <c r="K973" s="22"/>
    </row>
    <row r="974" spans="1:11" x14ac:dyDescent="0.25">
      <c r="A974" s="22">
        <v>0</v>
      </c>
      <c r="B974" s="22" t="s">
        <v>223</v>
      </c>
      <c r="C974" s="22" t="s">
        <v>225</v>
      </c>
      <c r="D974" s="22" t="s">
        <v>1669</v>
      </c>
      <c r="E974" s="22" t="b">
        <f t="shared" si="96"/>
        <v>1</v>
      </c>
      <c r="F974" s="22" t="s">
        <v>1687</v>
      </c>
      <c r="G974" s="22" t="str">
        <f>IF(ISERROR(VLOOKUP(F974,MODIFICACIONES_REALIZADAS!F:H,3,)),F974,VLOOKUP(F974,MODIFICACIONES_REALIZADAS!F:H,3,))</f>
        <v>DC-O-COM-AUT-ServiciosAsistencia-Importe</v>
      </c>
      <c r="H974" s="22">
        <v>20180901</v>
      </c>
      <c r="I974" s="22">
        <v>22000101</v>
      </c>
      <c r="J974" s="22" t="s">
        <v>1671</v>
      </c>
      <c r="K974" s="22"/>
    </row>
    <row r="975" spans="1:11" x14ac:dyDescent="0.25">
      <c r="A975" s="22">
        <v>0</v>
      </c>
      <c r="B975" s="22" t="s">
        <v>223</v>
      </c>
      <c r="C975" s="22" t="s">
        <v>225</v>
      </c>
      <c r="D975" s="22" t="s">
        <v>1688</v>
      </c>
      <c r="E975" s="22" t="b">
        <f t="shared" si="96"/>
        <v>1</v>
      </c>
      <c r="F975" s="22" t="s">
        <v>1739</v>
      </c>
      <c r="G975" s="22" t="str">
        <f>IF(ISERROR(VLOOKUP(F975,MODIFICACIONES_REALIZADAS!F:H,3,)),F975,VLOOKUP(F975,MODIFICACIONES_REALIZADAS!F:H,3,))</f>
        <v>DC-E-SER-COM</v>
      </c>
      <c r="H975" s="22">
        <v>20200201</v>
      </c>
      <c r="I975" s="22">
        <v>22000101</v>
      </c>
      <c r="J975" s="22" t="s">
        <v>1690</v>
      </c>
      <c r="K975" s="22"/>
    </row>
    <row r="976" spans="1:11" x14ac:dyDescent="0.25">
      <c r="A976" s="22">
        <v>0</v>
      </c>
      <c r="B976" s="22" t="s">
        <v>223</v>
      </c>
      <c r="C976" s="22" t="s">
        <v>225</v>
      </c>
      <c r="D976" s="22" t="s">
        <v>1693</v>
      </c>
      <c r="E976" s="22" t="b">
        <f t="shared" si="96"/>
        <v>1</v>
      </c>
      <c r="F976" s="22" t="s">
        <v>1740</v>
      </c>
      <c r="G976" s="22" t="str">
        <f>IF(ISERROR(VLOOKUP(F976,MODIFICACIONES_REALIZADAS!F:H,3,)),F976,VLOOKUP(F976,MODIFICACIONES_REALIZADAS!F:H,3,))</f>
        <v>DC-E-SER-SUBV</v>
      </c>
      <c r="H976" s="22">
        <v>20200201</v>
      </c>
      <c r="I976" s="22">
        <v>22000101</v>
      </c>
      <c r="J976" s="22" t="s">
        <v>1690</v>
      </c>
      <c r="K976" s="22"/>
    </row>
    <row r="977" spans="1:11" x14ac:dyDescent="0.25">
      <c r="A977">
        <v>0</v>
      </c>
      <c r="B977" t="s">
        <v>223</v>
      </c>
      <c r="C977" t="s">
        <v>225</v>
      </c>
      <c r="D977" t="s">
        <v>1695</v>
      </c>
      <c r="E977" t="b">
        <f t="shared" si="96"/>
        <v>1</v>
      </c>
      <c r="F977" t="s">
        <v>1741</v>
      </c>
      <c r="G977" t="str">
        <f>IF(ISERROR(VLOOKUP(F977,[1]MODIFICACIONES_REALIZADAS!F:H,3,)),F977,VLOOKUP(F977,[1]MODIFICACIONES_REALIZADAS!F:H,3,))</f>
        <v>D-E-Pagos-Fijos</v>
      </c>
      <c r="H977">
        <v>20140101</v>
      </c>
      <c r="I977">
        <v>22000101</v>
      </c>
    </row>
    <row r="978" spans="1:11" x14ac:dyDescent="0.25">
      <c r="A978">
        <v>0</v>
      </c>
      <c r="B978" t="s">
        <v>232</v>
      </c>
      <c r="C978" t="s">
        <v>234</v>
      </c>
      <c r="D978" t="s">
        <v>1236</v>
      </c>
      <c r="E978" t="b">
        <f t="shared" si="96"/>
        <v>1</v>
      </c>
      <c r="F978" t="s">
        <v>594</v>
      </c>
      <c r="G978" t="str">
        <f>IF(ISERROR(VLOOKUP(F978,[1]MODIFICACIONES_REALIZADAS!F:H,3,)),F978,VLOOKUP(F978,[1]MODIFICACIONES_REALIZADAS!F:H,3,))</f>
        <v>DC-E-GEN-Inspector-NumeroPolizas-998</v>
      </c>
      <c r="H978">
        <v>20140101</v>
      </c>
      <c r="I978">
        <v>22000101</v>
      </c>
    </row>
    <row r="979" spans="1:11" x14ac:dyDescent="0.25">
      <c r="A979">
        <v>0</v>
      </c>
      <c r="B979" t="s">
        <v>232</v>
      </c>
      <c r="C979" t="s">
        <v>234</v>
      </c>
      <c r="D979" t="s">
        <v>1236</v>
      </c>
      <c r="E979" t="b">
        <f t="shared" si="95"/>
        <v>1</v>
      </c>
      <c r="F979" t="s">
        <v>596</v>
      </c>
      <c r="G979" t="str">
        <f>IF(ISERROR(VLOOKUP(F979,MODIFICACIONES_REALIZADAS!F:H,3,)),F979,VLOOKUP(F979,MODIFICACIONES_REALIZADAS!F:H,3,))</f>
        <v>IC-E-GEN-Inspector-NumeroPolizas-998</v>
      </c>
      <c r="H979">
        <v>20140101</v>
      </c>
      <c r="I979">
        <v>22000101</v>
      </c>
    </row>
    <row r="980" spans="1:11" x14ac:dyDescent="0.25">
      <c r="A980">
        <v>0</v>
      </c>
      <c r="B980" t="s">
        <v>232</v>
      </c>
      <c r="C980" t="s">
        <v>234</v>
      </c>
      <c r="D980" t="s">
        <v>1236</v>
      </c>
      <c r="E980" t="b">
        <f t="shared" si="95"/>
        <v>1</v>
      </c>
      <c r="F980" t="s">
        <v>590</v>
      </c>
      <c r="G980" t="str">
        <f>IF(ISERROR(VLOOKUP(F980,MODIFICACIONES_REALIZADAS!F:H,3,)),F980,VLOOKUP(F980,MODIFICACIONES_REALIZADAS!F:H,3,))</f>
        <v>DC-E-GEN-Inspector-PrimaCorregida-998</v>
      </c>
      <c r="H980">
        <v>20140101</v>
      </c>
      <c r="I980">
        <v>22000101</v>
      </c>
    </row>
    <row r="981" spans="1:11" x14ac:dyDescent="0.25">
      <c r="A981">
        <v>0</v>
      </c>
      <c r="B981" t="s">
        <v>232</v>
      </c>
      <c r="C981" t="s">
        <v>234</v>
      </c>
      <c r="D981" t="s">
        <v>1236</v>
      </c>
      <c r="E981" t="b">
        <f t="shared" si="95"/>
        <v>1</v>
      </c>
      <c r="F981" t="s">
        <v>592</v>
      </c>
      <c r="G981" t="str">
        <f>IF(ISERROR(VLOOKUP(F981,MODIFICACIONES_REALIZADAS!F:H,3,)),F981,VLOOKUP(F981,MODIFICACIONES_REALIZADAS!F:H,3,))</f>
        <v>IC-E-GEN-Inspector-PrimaCorregida-998</v>
      </c>
      <c r="H981">
        <v>20140101</v>
      </c>
      <c r="I981">
        <v>22000101</v>
      </c>
    </row>
    <row r="982" spans="1:11" x14ac:dyDescent="0.25">
      <c r="A982">
        <v>0</v>
      </c>
      <c r="B982" t="s">
        <v>232</v>
      </c>
      <c r="C982" t="s">
        <v>234</v>
      </c>
      <c r="D982" t="s">
        <v>1695</v>
      </c>
      <c r="E982" t="b">
        <f t="shared" si="95"/>
        <v>1</v>
      </c>
      <c r="F982" t="s">
        <v>1741</v>
      </c>
      <c r="G982" t="str">
        <f>IF(ISERROR(VLOOKUP(F982,MODIFICACIONES_REALIZADAS!F:H,3,)),F982,VLOOKUP(F982,MODIFICACIONES_REALIZADAS!F:H,3,))</f>
        <v>D-E-Pagos-Fijos</v>
      </c>
      <c r="H982">
        <v>20140101</v>
      </c>
      <c r="I982">
        <v>22000101</v>
      </c>
    </row>
    <row r="983" spans="1:11" x14ac:dyDescent="0.25">
      <c r="A983" s="22">
        <v>0</v>
      </c>
      <c r="B983" s="22" t="s">
        <v>232</v>
      </c>
      <c r="C983" s="22" t="s">
        <v>234</v>
      </c>
      <c r="D983" s="22" t="s">
        <v>900</v>
      </c>
      <c r="E983" s="22" t="b">
        <f t="shared" si="95"/>
        <v>1</v>
      </c>
      <c r="F983" s="22" t="s">
        <v>1365</v>
      </c>
      <c r="G983" s="22" t="str">
        <f>IF(ISERROR(VLOOKUP(F983,MODIFICACIONES_REALIZADAS!F:H,3,)),F983,VLOOKUP(F983,MODIFICACIONES_REALIZADAS!F:H,3,))</f>
        <v>DC-E-GEN-Agente-NumAsegurados</v>
      </c>
      <c r="H983" s="22">
        <v>20180101</v>
      </c>
      <c r="I983" s="22">
        <v>22000101</v>
      </c>
      <c r="J983" s="22" t="s">
        <v>1316</v>
      </c>
      <c r="K983" s="22"/>
    </row>
    <row r="984" spans="1:11" x14ac:dyDescent="0.25">
      <c r="A984" s="22">
        <v>0</v>
      </c>
      <c r="B984" s="22" t="s">
        <v>232</v>
      </c>
      <c r="C984" s="22" t="s">
        <v>234</v>
      </c>
      <c r="D984" s="22" t="s">
        <v>1707</v>
      </c>
      <c r="E984" s="22" t="b">
        <f t="shared" si="95"/>
        <v>1</v>
      </c>
      <c r="F984" s="22" t="s">
        <v>1742</v>
      </c>
      <c r="G984" s="22" t="str">
        <f>IF(ISERROR(VLOOKUP(F984,MODIFICACIONES_REALIZADAS!F:H,3,)),F984,VLOOKUP(F984,MODIFICACIONES_REALIZADAS!F:H,3,))</f>
        <v>IC-E-GEN-Inspector-NumAsegurados</v>
      </c>
      <c r="H984" s="22">
        <v>20180101</v>
      </c>
      <c r="I984" s="22">
        <v>22000101</v>
      </c>
      <c r="J984" s="22" t="s">
        <v>1316</v>
      </c>
      <c r="K984" s="22"/>
    </row>
    <row r="985" spans="1:11" x14ac:dyDescent="0.25">
      <c r="A985">
        <v>0</v>
      </c>
      <c r="B985" t="s">
        <v>237</v>
      </c>
      <c r="C985" t="s">
        <v>239</v>
      </c>
      <c r="D985" t="s">
        <v>644</v>
      </c>
      <c r="E985" t="b">
        <f t="shared" si="95"/>
        <v>1</v>
      </c>
      <c r="F985" t="s">
        <v>1743</v>
      </c>
      <c r="G985" t="str">
        <f>IF(ISERROR(VLOOKUP(F985,MODIFICACIONES_REALIZADAS!F:H,3,)),F985,VLOOKUP(F985,MODIFICACIONES_REALIZADAS!F:H,3,))</f>
        <v>SM-O-GEN-Agente-NumeroPolizas-001-TotalMes</v>
      </c>
      <c r="H985">
        <v>20140101</v>
      </c>
      <c r="I985">
        <v>22000101</v>
      </c>
    </row>
    <row r="986" spans="1:11" x14ac:dyDescent="0.25">
      <c r="A986">
        <v>0</v>
      </c>
      <c r="B986" t="s">
        <v>237</v>
      </c>
      <c r="C986" t="s">
        <v>239</v>
      </c>
      <c r="D986" t="s">
        <v>640</v>
      </c>
      <c r="E986" t="b">
        <f t="shared" si="95"/>
        <v>1</v>
      </c>
      <c r="F986" t="s">
        <v>1744</v>
      </c>
      <c r="G986" t="str">
        <f>IF(ISERROR(VLOOKUP(F986,MODIFICACIONES_REALIZADAS!F:H,3,)),F986,VLOOKUP(F986,MODIFICACIONES_REALIZADAS!F:H,3,))</f>
        <v>SM-O-GEN-Agente-NumeroPolizas-002-TotalMes</v>
      </c>
      <c r="H986">
        <v>20140101</v>
      </c>
      <c r="I986">
        <v>22000101</v>
      </c>
    </row>
    <row r="987" spans="1:11" x14ac:dyDescent="0.25">
      <c r="A987">
        <v>0</v>
      </c>
      <c r="B987" t="s">
        <v>237</v>
      </c>
      <c r="C987" t="s">
        <v>239</v>
      </c>
      <c r="D987" t="s">
        <v>1745</v>
      </c>
      <c r="E987" t="b">
        <f t="shared" si="95"/>
        <v>1</v>
      </c>
      <c r="F987" t="s">
        <v>1746</v>
      </c>
      <c r="G987" t="str">
        <f>IF(ISERROR(VLOOKUP(F987,MODIFICACIONES_REALIZADAS!F:H,3,)),F987,VLOOKUP(F987,MODIFICACIONES_REALIZADAS!F:H,3,))</f>
        <v>SM-O-GEN-Agente-NumeroPolizas-003-TotalMes</v>
      </c>
      <c r="H987">
        <v>20140101</v>
      </c>
      <c r="I987">
        <v>22000101</v>
      </c>
    </row>
    <row r="988" spans="1:11" x14ac:dyDescent="0.25">
      <c r="A988">
        <v>0</v>
      </c>
      <c r="B988" t="s">
        <v>237</v>
      </c>
      <c r="C988" t="s">
        <v>239</v>
      </c>
      <c r="D988" t="s">
        <v>1747</v>
      </c>
      <c r="E988" t="b">
        <f t="shared" si="95"/>
        <v>1</v>
      </c>
      <c r="F988" t="s">
        <v>1748</v>
      </c>
      <c r="G988" t="str">
        <f>IF(ISERROR(VLOOKUP(F988,MODIFICACIONES_REALIZADAS!F:H,3,)),F988,VLOOKUP(F988,MODIFICACIONES_REALIZADAS!F:H,3,))</f>
        <v>SM-O-GEN-Agente-NumeroPolizas-004-TotalMes</v>
      </c>
      <c r="H988">
        <v>20140101</v>
      </c>
      <c r="I988">
        <v>22000101</v>
      </c>
    </row>
    <row r="989" spans="1:11" x14ac:dyDescent="0.25">
      <c r="A989">
        <v>0</v>
      </c>
      <c r="B989" t="s">
        <v>237</v>
      </c>
      <c r="C989" t="s">
        <v>239</v>
      </c>
      <c r="D989" t="s">
        <v>637</v>
      </c>
      <c r="E989" t="b">
        <f t="shared" si="95"/>
        <v>1</v>
      </c>
      <c r="F989" t="s">
        <v>1749</v>
      </c>
      <c r="G989" t="str">
        <f>IF(ISERROR(VLOOKUP(F989,MODIFICACIONES_REALIZADAS!F:H,3,)),F989,VLOOKUP(F989,MODIFICACIONES_REALIZADAS!F:H,3,))</f>
        <v>SM-O-GEN-Agente-NumeroPolizas-005-TotalMes</v>
      </c>
      <c r="H989">
        <v>20140101</v>
      </c>
      <c r="I989">
        <v>22000101</v>
      </c>
    </row>
    <row r="990" spans="1:11" x14ac:dyDescent="0.25">
      <c r="A990">
        <v>0</v>
      </c>
      <c r="B990" t="s">
        <v>237</v>
      </c>
      <c r="C990" t="s">
        <v>239</v>
      </c>
      <c r="D990" t="s">
        <v>737</v>
      </c>
      <c r="E990" t="b">
        <f t="shared" si="95"/>
        <v>1</v>
      </c>
      <c r="F990" t="s">
        <v>738</v>
      </c>
      <c r="G990" t="str">
        <f>IF(ISERROR(VLOOKUP(F990,MODIFICACIONES_REALIZADAS!F:H,3,)),F990,VLOOKUP(F990,MODIFICACIONES_REALIZADAS!F:H,3,))</f>
        <v>SM-O-GEN-Agente-NumeroPolizas-906-TotalMes</v>
      </c>
      <c r="H990">
        <v>20140101</v>
      </c>
      <c r="I990">
        <v>22000101</v>
      </c>
    </row>
    <row r="991" spans="1:11" x14ac:dyDescent="0.25">
      <c r="A991">
        <v>0</v>
      </c>
      <c r="B991" t="s">
        <v>237</v>
      </c>
      <c r="C991" t="s">
        <v>239</v>
      </c>
      <c r="D991" t="s">
        <v>646</v>
      </c>
      <c r="E991" t="b">
        <f t="shared" si="95"/>
        <v>1</v>
      </c>
      <c r="F991" t="s">
        <v>1750</v>
      </c>
      <c r="G991" t="str">
        <f>IF(ISERROR(VLOOKUP(F991,MODIFICACIONES_REALIZADAS!F:H,3,)),F991,VLOOKUP(F991,MODIFICACIONES_REALIZADAS!F:H,3,))</f>
        <v>SM-O-GEN-Agente-NumeroPolizas-997-TotalMes</v>
      </c>
      <c r="H991">
        <v>20140101</v>
      </c>
      <c r="I991">
        <v>22000101</v>
      </c>
    </row>
    <row r="992" spans="1:11" x14ac:dyDescent="0.25">
      <c r="A992">
        <v>0</v>
      </c>
      <c r="B992" t="s">
        <v>237</v>
      </c>
      <c r="C992" t="s">
        <v>239</v>
      </c>
      <c r="D992" t="s">
        <v>1265</v>
      </c>
      <c r="E992" t="b">
        <f t="shared" si="95"/>
        <v>1</v>
      </c>
      <c r="F992" t="s">
        <v>751</v>
      </c>
      <c r="G992" t="str">
        <f>IF(ISERROR(VLOOKUP(F992,MODIFICACIONES_REALIZADAS!F:H,3,)),F992,VLOOKUP(F992,MODIFICACIONES_REALIZADAS!F:H,3,))</f>
        <v>SM-O-GEN-Agente-NumeroPolizas-998-TotalMes</v>
      </c>
      <c r="H992">
        <v>20140101</v>
      </c>
      <c r="I992">
        <v>22000101</v>
      </c>
    </row>
    <row r="993" spans="1:9" x14ac:dyDescent="0.25">
      <c r="A993">
        <v>0</v>
      </c>
      <c r="B993" t="s">
        <v>237</v>
      </c>
      <c r="C993" t="s">
        <v>239</v>
      </c>
      <c r="D993" t="s">
        <v>1751</v>
      </c>
      <c r="E993" t="b">
        <f t="shared" si="95"/>
        <v>1</v>
      </c>
      <c r="F993" t="s">
        <v>1752</v>
      </c>
      <c r="G993" t="str">
        <f>IF(ISERROR(VLOOKUP(F993,MODIFICACIONES_REALIZADAS!F:H,3,)),F993,VLOOKUP(F993,MODIFICACIONES_REALIZADAS!F:H,3,))</f>
        <v>SM-O-GEN-Agente-NumeroPolizasCorregidas-001-TotalMes</v>
      </c>
      <c r="H993">
        <v>20140101</v>
      </c>
      <c r="I993">
        <v>22000101</v>
      </c>
    </row>
    <row r="994" spans="1:9" x14ac:dyDescent="0.25">
      <c r="A994">
        <v>0</v>
      </c>
      <c r="B994" t="s">
        <v>237</v>
      </c>
      <c r="C994" t="s">
        <v>239</v>
      </c>
      <c r="D994" t="s">
        <v>1753</v>
      </c>
      <c r="E994" t="b">
        <f t="shared" si="95"/>
        <v>1</v>
      </c>
      <c r="F994" t="s">
        <v>1754</v>
      </c>
      <c r="G994" t="str">
        <f>IF(ISERROR(VLOOKUP(F994,MODIFICACIONES_REALIZADAS!F:H,3,)),F994,VLOOKUP(F994,MODIFICACIONES_REALIZADAS!F:H,3,))</f>
        <v>SM-O-GEN-Agente-NumeroPolizasCorregidas-002-TotalMes</v>
      </c>
      <c r="H994">
        <v>20140101</v>
      </c>
      <c r="I994">
        <v>22000101</v>
      </c>
    </row>
    <row r="995" spans="1:9" x14ac:dyDescent="0.25">
      <c r="A995">
        <v>0</v>
      </c>
      <c r="B995" t="s">
        <v>237</v>
      </c>
      <c r="C995" t="s">
        <v>239</v>
      </c>
      <c r="D995" t="s">
        <v>1755</v>
      </c>
      <c r="E995" t="b">
        <f t="shared" si="95"/>
        <v>1</v>
      </c>
      <c r="F995" t="s">
        <v>1756</v>
      </c>
      <c r="G995" t="str">
        <f>IF(ISERROR(VLOOKUP(F995,MODIFICACIONES_REALIZADAS!F:H,3,)),F995,VLOOKUP(F995,MODIFICACIONES_REALIZADAS!F:H,3,))</f>
        <v>SM-O-GEN-Agente-NumeroPolizasCorregidas-003-TotalMes</v>
      </c>
      <c r="H995">
        <v>20140101</v>
      </c>
      <c r="I995">
        <v>22000101</v>
      </c>
    </row>
    <row r="996" spans="1:9" x14ac:dyDescent="0.25">
      <c r="A996">
        <v>0</v>
      </c>
      <c r="B996" t="s">
        <v>237</v>
      </c>
      <c r="C996" t="s">
        <v>239</v>
      </c>
      <c r="D996" t="s">
        <v>1757</v>
      </c>
      <c r="E996" t="b">
        <f t="shared" si="95"/>
        <v>1</v>
      </c>
      <c r="F996" t="s">
        <v>1758</v>
      </c>
      <c r="G996" t="str">
        <f>IF(ISERROR(VLOOKUP(F996,MODIFICACIONES_REALIZADAS!F:H,3,)),F996,VLOOKUP(F996,MODIFICACIONES_REALIZADAS!F:H,3,))</f>
        <v>SM-O-GEN-Agente-NumeroPolizasCorregidas-004-TotalMes</v>
      </c>
      <c r="H996">
        <v>20140101</v>
      </c>
      <c r="I996">
        <v>22000101</v>
      </c>
    </row>
    <row r="997" spans="1:9" x14ac:dyDescent="0.25">
      <c r="A997">
        <v>0</v>
      </c>
      <c r="B997" t="s">
        <v>237</v>
      </c>
      <c r="C997" t="s">
        <v>239</v>
      </c>
      <c r="D997" t="s">
        <v>1759</v>
      </c>
      <c r="E997" t="b">
        <f t="shared" ref="E997:E1017" si="97">F997=G997</f>
        <v>1</v>
      </c>
      <c r="F997" t="s">
        <v>1760</v>
      </c>
      <c r="G997" t="str">
        <f>IF(ISERROR(VLOOKUP(F997,MODIFICACIONES_REALIZADAS!F:H,3,)),F997,VLOOKUP(F997,MODIFICACIONES_REALIZADAS!F:H,3,))</f>
        <v>SM-O-GEN-Agente-NumeroPolizasCorregidas-005-TotalMes</v>
      </c>
      <c r="H997">
        <v>20140101</v>
      </c>
      <c r="I997">
        <v>22000101</v>
      </c>
    </row>
    <row r="998" spans="1:9" x14ac:dyDescent="0.25">
      <c r="A998">
        <v>0</v>
      </c>
      <c r="B998" t="s">
        <v>237</v>
      </c>
      <c r="C998" t="s">
        <v>239</v>
      </c>
      <c r="D998" t="s">
        <v>1761</v>
      </c>
      <c r="E998" t="b">
        <f t="shared" si="97"/>
        <v>1</v>
      </c>
      <c r="F998" t="s">
        <v>1762</v>
      </c>
      <c r="G998" t="str">
        <f>IF(ISERROR(VLOOKUP(F998,MODIFICACIONES_REALIZADAS!F:H,3,)),F998,VLOOKUP(F998,MODIFICACIONES_REALIZADAS!F:H,3,))</f>
        <v>SM-O-GEN-Agente-NumeroPolizasCorregidas-906-TotalMes</v>
      </c>
      <c r="H998">
        <v>20140101</v>
      </c>
      <c r="I998">
        <v>22000101</v>
      </c>
    </row>
    <row r="999" spans="1:9" x14ac:dyDescent="0.25">
      <c r="A999">
        <v>0</v>
      </c>
      <c r="B999" t="s">
        <v>237</v>
      </c>
      <c r="C999" t="s">
        <v>239</v>
      </c>
      <c r="D999" t="s">
        <v>1763</v>
      </c>
      <c r="E999" t="b">
        <f t="shared" si="97"/>
        <v>1</v>
      </c>
      <c r="F999" t="s">
        <v>1764</v>
      </c>
      <c r="G999" t="str">
        <f>IF(ISERROR(VLOOKUP(F999,MODIFICACIONES_REALIZADAS!F:H,3,)),F999,VLOOKUP(F999,MODIFICACIONES_REALIZADAS!F:H,3,))</f>
        <v>SM-O-GEN-Agente-NumeroPolizasCorregidas-997-TotalMes</v>
      </c>
      <c r="H999">
        <v>20140101</v>
      </c>
      <c r="I999">
        <v>22000101</v>
      </c>
    </row>
    <row r="1000" spans="1:9" x14ac:dyDescent="0.25">
      <c r="A1000">
        <v>0</v>
      </c>
      <c r="B1000" t="s">
        <v>237</v>
      </c>
      <c r="C1000" t="s">
        <v>239</v>
      </c>
      <c r="D1000" t="s">
        <v>753</v>
      </c>
      <c r="E1000" t="b">
        <f t="shared" si="97"/>
        <v>1</v>
      </c>
      <c r="F1000" t="s">
        <v>754</v>
      </c>
      <c r="G1000" t="str">
        <f>IF(ISERROR(VLOOKUP(F1000,MODIFICACIONES_REALIZADAS!F:H,3,)),F1000,VLOOKUP(F1000,MODIFICACIONES_REALIZADAS!F:H,3,))</f>
        <v>SM-O-GEN-Agente-NumeroPolizasCorregidas-998-TotalMes</v>
      </c>
      <c r="H1000">
        <v>20140101</v>
      </c>
      <c r="I1000">
        <v>22000101</v>
      </c>
    </row>
    <row r="1001" spans="1:9" x14ac:dyDescent="0.25">
      <c r="A1001">
        <v>0</v>
      </c>
      <c r="B1001" t="s">
        <v>237</v>
      </c>
      <c r="C1001" t="s">
        <v>239</v>
      </c>
      <c r="D1001" t="s">
        <v>1765</v>
      </c>
      <c r="E1001" t="b">
        <f t="shared" si="97"/>
        <v>1</v>
      </c>
      <c r="F1001" t="s">
        <v>1766</v>
      </c>
      <c r="G1001" t="str">
        <f>IF(ISERROR(VLOOKUP(F1001,MODIFICACIONES_REALIZADAS!F:H,3,)),F1001,VLOOKUP(F1001,MODIFICACIONES_REALIZADAS!F:H,3,))</f>
        <v>SM-O-GEN-Agente-Prima-001-TotalMes</v>
      </c>
      <c r="H1001">
        <v>20140101</v>
      </c>
      <c r="I1001">
        <v>22000101</v>
      </c>
    </row>
    <row r="1002" spans="1:9" x14ac:dyDescent="0.25">
      <c r="A1002">
        <v>0</v>
      </c>
      <c r="B1002" t="s">
        <v>237</v>
      </c>
      <c r="C1002" t="s">
        <v>239</v>
      </c>
      <c r="D1002" t="s">
        <v>1767</v>
      </c>
      <c r="E1002" t="b">
        <f t="shared" si="97"/>
        <v>1</v>
      </c>
      <c r="F1002" t="s">
        <v>1768</v>
      </c>
      <c r="G1002" t="str">
        <f>IF(ISERROR(VLOOKUP(F1002,MODIFICACIONES_REALIZADAS!F:H,3,)),F1002,VLOOKUP(F1002,MODIFICACIONES_REALIZADAS!F:H,3,))</f>
        <v>SM-O-GEN-Agente-Prima-002-TotalMes</v>
      </c>
      <c r="H1002">
        <v>20140101</v>
      </c>
      <c r="I1002">
        <v>22000101</v>
      </c>
    </row>
    <row r="1003" spans="1:9" x14ac:dyDescent="0.25">
      <c r="A1003">
        <v>0</v>
      </c>
      <c r="B1003" t="s">
        <v>237</v>
      </c>
      <c r="C1003" t="s">
        <v>239</v>
      </c>
      <c r="D1003" t="s">
        <v>1769</v>
      </c>
      <c r="E1003" t="b">
        <f t="shared" si="97"/>
        <v>1</v>
      </c>
      <c r="F1003" t="s">
        <v>1770</v>
      </c>
      <c r="G1003" t="str">
        <f>IF(ISERROR(VLOOKUP(F1003,MODIFICACIONES_REALIZADAS!F:H,3,)),F1003,VLOOKUP(F1003,MODIFICACIONES_REALIZADAS!F:H,3,))</f>
        <v>SM-O-GEN-Agente-Prima-003-TotalMes</v>
      </c>
      <c r="H1003">
        <v>20140101</v>
      </c>
      <c r="I1003">
        <v>22000101</v>
      </c>
    </row>
    <row r="1004" spans="1:9" x14ac:dyDescent="0.25">
      <c r="A1004">
        <v>0</v>
      </c>
      <c r="B1004" t="s">
        <v>237</v>
      </c>
      <c r="C1004" t="s">
        <v>239</v>
      </c>
      <c r="D1004" t="s">
        <v>1771</v>
      </c>
      <c r="E1004" t="b">
        <f t="shared" si="97"/>
        <v>1</v>
      </c>
      <c r="F1004" t="s">
        <v>1772</v>
      </c>
      <c r="G1004" t="str">
        <f>IF(ISERROR(VLOOKUP(F1004,MODIFICACIONES_REALIZADAS!F:H,3,)),F1004,VLOOKUP(F1004,MODIFICACIONES_REALIZADAS!F:H,3,))</f>
        <v>SM-O-GEN-Agente-Prima-004-TotalMes</v>
      </c>
      <c r="H1004">
        <v>20140101</v>
      </c>
      <c r="I1004">
        <v>22000101</v>
      </c>
    </row>
    <row r="1005" spans="1:9" x14ac:dyDescent="0.25">
      <c r="A1005">
        <v>0</v>
      </c>
      <c r="B1005" t="s">
        <v>237</v>
      </c>
      <c r="C1005" t="s">
        <v>239</v>
      </c>
      <c r="D1005" t="s">
        <v>1773</v>
      </c>
      <c r="E1005" t="b">
        <f t="shared" si="97"/>
        <v>1</v>
      </c>
      <c r="F1005" t="s">
        <v>1774</v>
      </c>
      <c r="G1005" t="str">
        <f>IF(ISERROR(VLOOKUP(F1005,MODIFICACIONES_REALIZADAS!F:H,3,)),F1005,VLOOKUP(F1005,MODIFICACIONES_REALIZADAS!F:H,3,))</f>
        <v>SM-O-GEN-Agente-Prima-005-TotalMes</v>
      </c>
      <c r="H1005">
        <v>20140101</v>
      </c>
      <c r="I1005">
        <v>22000101</v>
      </c>
    </row>
    <row r="1006" spans="1:9" x14ac:dyDescent="0.25">
      <c r="A1006">
        <v>0</v>
      </c>
      <c r="B1006" t="s">
        <v>237</v>
      </c>
      <c r="C1006" t="s">
        <v>239</v>
      </c>
      <c r="D1006" t="s">
        <v>1775</v>
      </c>
      <c r="E1006" t="b">
        <f t="shared" si="97"/>
        <v>1</v>
      </c>
      <c r="F1006" t="s">
        <v>1776</v>
      </c>
      <c r="G1006" t="str">
        <f>IF(ISERROR(VLOOKUP(F1006,MODIFICACIONES_REALIZADAS!F:H,3,)),F1006,VLOOKUP(F1006,MODIFICACIONES_REALIZADAS!F:H,3,))</f>
        <v>SM-O-GEN-Agente-Prima-906-TotalMes</v>
      </c>
      <c r="H1006">
        <v>20140101</v>
      </c>
      <c r="I1006">
        <v>22000101</v>
      </c>
    </row>
    <row r="1007" spans="1:9" x14ac:dyDescent="0.25">
      <c r="A1007">
        <v>0</v>
      </c>
      <c r="B1007" t="s">
        <v>237</v>
      </c>
      <c r="C1007" t="s">
        <v>239</v>
      </c>
      <c r="D1007" t="s">
        <v>1777</v>
      </c>
      <c r="E1007" t="b">
        <f t="shared" si="97"/>
        <v>1</v>
      </c>
      <c r="F1007" t="s">
        <v>1778</v>
      </c>
      <c r="G1007" t="str">
        <f>IF(ISERROR(VLOOKUP(F1007,MODIFICACIONES_REALIZADAS!F:H,3,)),F1007,VLOOKUP(F1007,MODIFICACIONES_REALIZADAS!F:H,3,))</f>
        <v>SM-O-GEN-Agente-Prima-997-TotalMes</v>
      </c>
      <c r="H1007">
        <v>20140101</v>
      </c>
      <c r="I1007">
        <v>22000101</v>
      </c>
    </row>
    <row r="1008" spans="1:9" x14ac:dyDescent="0.25">
      <c r="A1008">
        <v>0</v>
      </c>
      <c r="B1008" t="s">
        <v>237</v>
      </c>
      <c r="C1008" t="s">
        <v>239</v>
      </c>
      <c r="D1008" t="s">
        <v>770</v>
      </c>
      <c r="E1008" t="b">
        <f t="shared" si="97"/>
        <v>1</v>
      </c>
      <c r="F1008" t="s">
        <v>1264</v>
      </c>
      <c r="G1008" t="str">
        <f>IF(ISERROR(VLOOKUP(F1008,MODIFICACIONES_REALIZADAS!F:H,3,)),F1008,VLOOKUP(F1008,MODIFICACIONES_REALIZADAS!F:H,3,))</f>
        <v>SM-O-GEN-Agente-Prima-998-TotalMes</v>
      </c>
      <c r="H1008">
        <v>20140101</v>
      </c>
      <c r="I1008">
        <v>22000101</v>
      </c>
    </row>
    <row r="1009" spans="1:11" x14ac:dyDescent="0.25">
      <c r="A1009" s="22">
        <v>0</v>
      </c>
      <c r="B1009" s="22" t="s">
        <v>237</v>
      </c>
      <c r="C1009" s="22" t="s">
        <v>239</v>
      </c>
      <c r="D1009" s="22" t="s">
        <v>651</v>
      </c>
      <c r="E1009" s="22" t="b">
        <f>F1009=G1009</f>
        <v>1</v>
      </c>
      <c r="F1009" s="22" t="s">
        <v>735</v>
      </c>
      <c r="G1009" s="22" t="str">
        <f>IF(ISERROR(VLOOKUP(F1009,MODIFICACIONES_REALIZADAS!F:H,3,)),F1009,VLOOKUP(F1009,MODIFICACIONES_REALIZADAS!F:H,3,))</f>
        <v>SM-O-GEN-Agente-NumAsegurados-TotalMes</v>
      </c>
      <c r="H1009" s="22">
        <v>20180101</v>
      </c>
      <c r="I1009" s="22">
        <v>22000101</v>
      </c>
      <c r="J1009" s="22" t="s">
        <v>1779</v>
      </c>
      <c r="K1009" s="22"/>
    </row>
    <row r="1010" spans="1:11" x14ac:dyDescent="0.25">
      <c r="A1010" s="22">
        <v>0</v>
      </c>
      <c r="B1010" s="22" t="s">
        <v>237</v>
      </c>
      <c r="C1010" s="22" t="s">
        <v>239</v>
      </c>
      <c r="D1010" s="22" t="s">
        <v>810</v>
      </c>
      <c r="E1010" s="22" t="b">
        <f>F1010=G1010</f>
        <v>1</v>
      </c>
      <c r="F1010" s="22" t="s">
        <v>811</v>
      </c>
      <c r="G1010" s="22" t="str">
        <f>IF(ISERROR(VLOOKUP(F1010,MODIFICACIONES_REALIZADAS!F:H,3,)),F1010,VLOOKUP(F1010,MODIFICACIONES_REALIZADAS!F:H,3,))</f>
        <v>SM-O-GEN-Agente-NumAsegurados-TotalAnual</v>
      </c>
      <c r="H1010" s="22">
        <v>20180101</v>
      </c>
      <c r="I1010" s="22">
        <v>22000101</v>
      </c>
      <c r="J1010" s="22" t="s">
        <v>1779</v>
      </c>
      <c r="K1010" s="22"/>
    </row>
    <row r="1011" spans="1:11" x14ac:dyDescent="0.25">
      <c r="A1011">
        <v>0</v>
      </c>
      <c r="B1011" t="s">
        <v>237</v>
      </c>
      <c r="C1011" t="s">
        <v>239</v>
      </c>
      <c r="D1011" t="s">
        <v>807</v>
      </c>
      <c r="E1011" t="b">
        <f t="shared" si="97"/>
        <v>1</v>
      </c>
      <c r="F1011" t="s">
        <v>808</v>
      </c>
      <c r="G1011" t="str">
        <f>IF(ISERROR(VLOOKUP(F1011,MODIFICACIONES_REALIZADAS!F:H,3,)),F1011,VLOOKUP(F1011,MODIFICACIONES_REALIZADAS!F:H,3,))</f>
        <v>SM-O-GEN-Agente-NumeroPolizas-001-TotalAnual</v>
      </c>
      <c r="H1011">
        <v>20140101</v>
      </c>
      <c r="I1011">
        <v>22000101</v>
      </c>
    </row>
    <row r="1012" spans="1:11" x14ac:dyDescent="0.25">
      <c r="A1012">
        <v>0</v>
      </c>
      <c r="B1012" t="s">
        <v>237</v>
      </c>
      <c r="C1012" t="s">
        <v>239</v>
      </c>
      <c r="D1012" t="s">
        <v>828</v>
      </c>
      <c r="E1012" t="b">
        <f t="shared" si="97"/>
        <v>1</v>
      </c>
      <c r="F1012" t="s">
        <v>829</v>
      </c>
      <c r="G1012" t="str">
        <f>IF(ISERROR(VLOOKUP(F1012,MODIFICACIONES_REALIZADAS!F:H,3,)),F1012,VLOOKUP(F1012,MODIFICACIONES_REALIZADAS!F:H,3,))</f>
        <v>SM-O-GEN-Agente-NumeroPolizas-002-TotalAnual</v>
      </c>
      <c r="H1012">
        <v>20140101</v>
      </c>
      <c r="I1012">
        <v>22000101</v>
      </c>
    </row>
    <row r="1013" spans="1:11" x14ac:dyDescent="0.25">
      <c r="A1013">
        <v>0</v>
      </c>
      <c r="B1013" t="s">
        <v>237</v>
      </c>
      <c r="C1013" t="s">
        <v>239</v>
      </c>
      <c r="D1013" t="s">
        <v>1780</v>
      </c>
      <c r="E1013" t="b">
        <f t="shared" si="97"/>
        <v>1</v>
      </c>
      <c r="F1013" t="s">
        <v>1781</v>
      </c>
      <c r="G1013" t="str">
        <f>IF(ISERROR(VLOOKUP(F1013,MODIFICACIONES_REALIZADAS!F:H,3,)),F1013,VLOOKUP(F1013,MODIFICACIONES_REALIZADAS!F:H,3,))</f>
        <v>SM-O-GEN-Agente-NumeroPolizas-003-TotalAnual</v>
      </c>
      <c r="H1013">
        <v>20140101</v>
      </c>
      <c r="I1013">
        <v>22000101</v>
      </c>
    </row>
    <row r="1014" spans="1:11" x14ac:dyDescent="0.25">
      <c r="A1014">
        <v>0</v>
      </c>
      <c r="B1014" t="s">
        <v>237</v>
      </c>
      <c r="C1014" t="s">
        <v>239</v>
      </c>
      <c r="D1014" t="s">
        <v>830</v>
      </c>
      <c r="E1014" t="b">
        <f t="shared" si="97"/>
        <v>1</v>
      </c>
      <c r="F1014" t="s">
        <v>1782</v>
      </c>
      <c r="G1014" t="str">
        <f>IF(ISERROR(VLOOKUP(F1014,MODIFICACIONES_REALIZADAS!F:H,3,)),F1014,VLOOKUP(F1014,MODIFICACIONES_REALIZADAS!F:H,3,))</f>
        <v>SM-O-GEN-Agente-NumeroPolizas-004-TotalAnual</v>
      </c>
      <c r="H1014">
        <v>20140101</v>
      </c>
      <c r="I1014">
        <v>22000101</v>
      </c>
    </row>
    <row r="1015" spans="1:11" x14ac:dyDescent="0.25">
      <c r="A1015">
        <v>0</v>
      </c>
      <c r="B1015" t="s">
        <v>237</v>
      </c>
      <c r="C1015" t="s">
        <v>239</v>
      </c>
      <c r="D1015" t="s">
        <v>1783</v>
      </c>
      <c r="E1015" t="b">
        <f t="shared" si="97"/>
        <v>1</v>
      </c>
      <c r="F1015" t="s">
        <v>1784</v>
      </c>
      <c r="G1015" t="str">
        <f>IF(ISERROR(VLOOKUP(F1015,MODIFICACIONES_REALIZADAS!F:H,3,)),F1015,VLOOKUP(F1015,MODIFICACIONES_REALIZADAS!F:H,3,))</f>
        <v>SM-O-GEN-Agente-NumeroPolizas-005-TotalAnual</v>
      </c>
      <c r="H1015">
        <v>20140101</v>
      </c>
      <c r="I1015">
        <v>22000101</v>
      </c>
    </row>
    <row r="1016" spans="1:11" x14ac:dyDescent="0.25">
      <c r="A1016">
        <v>0</v>
      </c>
      <c r="B1016" t="s">
        <v>237</v>
      </c>
      <c r="C1016" t="s">
        <v>239</v>
      </c>
      <c r="D1016" t="s">
        <v>1785</v>
      </c>
      <c r="E1016" t="b">
        <f t="shared" si="97"/>
        <v>1</v>
      </c>
      <c r="F1016" t="s">
        <v>831</v>
      </c>
      <c r="G1016" t="str">
        <f>IF(ISERROR(VLOOKUP(F1016,MODIFICACIONES_REALIZADAS!F:H,3,)),F1016,VLOOKUP(F1016,MODIFICACIONES_REALIZADAS!F:H,3,))</f>
        <v>SM-O-GEN-Agente-NumeroPolizas-906-TotalAnual</v>
      </c>
      <c r="H1016">
        <v>20140101</v>
      </c>
      <c r="I1016">
        <v>22000101</v>
      </c>
    </row>
    <row r="1017" spans="1:11" x14ac:dyDescent="0.25">
      <c r="A1017">
        <v>0</v>
      </c>
      <c r="B1017" t="s">
        <v>237</v>
      </c>
      <c r="C1017" t="s">
        <v>239</v>
      </c>
      <c r="D1017" t="s">
        <v>1786</v>
      </c>
      <c r="E1017" t="b">
        <f t="shared" si="97"/>
        <v>1</v>
      </c>
      <c r="F1017" t="s">
        <v>1787</v>
      </c>
      <c r="G1017" t="str">
        <f>IF(ISERROR(VLOOKUP(F1017,MODIFICACIONES_REALIZADAS!F:H,3,)),F1017,VLOOKUP(F1017,MODIFICACIONES_REALIZADAS!F:H,3,))</f>
        <v>SM-O-GEN-Agente-NumeroPolizas-997-TotalAnual</v>
      </c>
      <c r="H1017">
        <v>20140101</v>
      </c>
      <c r="I1017">
        <v>22000101</v>
      </c>
    </row>
    <row r="1018" spans="1:11" x14ac:dyDescent="0.25">
      <c r="A1018">
        <v>0</v>
      </c>
      <c r="B1018" t="s">
        <v>237</v>
      </c>
      <c r="C1018" t="s">
        <v>239</v>
      </c>
      <c r="D1018" t="s">
        <v>1788</v>
      </c>
      <c r="E1018" t="b">
        <f t="shared" ref="E1018:E1079" si="98">F1018=G1018</f>
        <v>1</v>
      </c>
      <c r="F1018" t="s">
        <v>1789</v>
      </c>
      <c r="G1018" t="str">
        <f>IF(ISERROR(VLOOKUP(F1018,MODIFICACIONES_REALIZADAS!F:H,3,)),F1018,VLOOKUP(F1018,MODIFICACIONES_REALIZADAS!F:H,3,))</f>
        <v>SM-O-GEN-Agente-NumeroPolizas-998-TotalAnual</v>
      </c>
      <c r="H1018">
        <v>20140101</v>
      </c>
      <c r="I1018">
        <v>22000101</v>
      </c>
    </row>
    <row r="1019" spans="1:11" x14ac:dyDescent="0.25">
      <c r="A1019">
        <v>0</v>
      </c>
      <c r="B1019" t="s">
        <v>237</v>
      </c>
      <c r="C1019" t="s">
        <v>239</v>
      </c>
      <c r="D1019" t="s">
        <v>1790</v>
      </c>
      <c r="E1019" t="b">
        <f t="shared" si="98"/>
        <v>1</v>
      </c>
      <c r="F1019" t="s">
        <v>1791</v>
      </c>
      <c r="G1019" t="str">
        <f>IF(ISERROR(VLOOKUP(F1019,MODIFICACIONES_REALIZADAS!F:H,3,)),F1019,VLOOKUP(F1019,MODIFICACIONES_REALIZADAS!F:H,3,))</f>
        <v>SM-O-GEN-Agente-NumeroPolizasCorregidas-001-TotalAnual</v>
      </c>
      <c r="H1019">
        <v>20140101</v>
      </c>
      <c r="I1019">
        <v>22000101</v>
      </c>
    </row>
    <row r="1020" spans="1:11" x14ac:dyDescent="0.25">
      <c r="A1020">
        <v>0</v>
      </c>
      <c r="B1020" t="s">
        <v>237</v>
      </c>
      <c r="C1020" t="s">
        <v>239</v>
      </c>
      <c r="D1020" t="s">
        <v>1792</v>
      </c>
      <c r="E1020" t="b">
        <f t="shared" si="98"/>
        <v>1</v>
      </c>
      <c r="F1020" t="s">
        <v>1793</v>
      </c>
      <c r="G1020" t="str">
        <f>IF(ISERROR(VLOOKUP(F1020,MODIFICACIONES_REALIZADAS!F:H,3,)),F1020,VLOOKUP(F1020,MODIFICACIONES_REALIZADAS!F:H,3,))</f>
        <v>SM-O-GEN-Agente-NumeroPolizasCorregidas-002-TotalAnual</v>
      </c>
      <c r="H1020">
        <v>20140101</v>
      </c>
      <c r="I1020">
        <v>22000101</v>
      </c>
    </row>
    <row r="1021" spans="1:11" x14ac:dyDescent="0.25">
      <c r="A1021">
        <v>0</v>
      </c>
      <c r="B1021" t="s">
        <v>237</v>
      </c>
      <c r="C1021" t="s">
        <v>239</v>
      </c>
      <c r="D1021" t="s">
        <v>1794</v>
      </c>
      <c r="E1021" t="b">
        <f t="shared" si="98"/>
        <v>1</v>
      </c>
      <c r="F1021" t="s">
        <v>1795</v>
      </c>
      <c r="G1021" t="str">
        <f>IF(ISERROR(VLOOKUP(F1021,MODIFICACIONES_REALIZADAS!F:H,3,)),F1021,VLOOKUP(F1021,MODIFICACIONES_REALIZADAS!F:H,3,))</f>
        <v>SM-O-GEN-Agente-NumeroPolizasCorregidas-003-TotalAnual</v>
      </c>
      <c r="H1021">
        <v>20140101</v>
      </c>
      <c r="I1021">
        <v>22000101</v>
      </c>
    </row>
    <row r="1022" spans="1:11" x14ac:dyDescent="0.25">
      <c r="A1022">
        <v>0</v>
      </c>
      <c r="B1022" t="s">
        <v>237</v>
      </c>
      <c r="C1022" t="s">
        <v>239</v>
      </c>
      <c r="D1022" t="s">
        <v>1796</v>
      </c>
      <c r="E1022" t="b">
        <f t="shared" si="98"/>
        <v>1</v>
      </c>
      <c r="F1022" t="s">
        <v>1797</v>
      </c>
      <c r="G1022" t="str">
        <f>IF(ISERROR(VLOOKUP(F1022,MODIFICACIONES_REALIZADAS!F:H,3,)),F1022,VLOOKUP(F1022,MODIFICACIONES_REALIZADAS!F:H,3,))</f>
        <v>SM-O-GEN-Agente-NumeroPolizasCorregidas-004-TotalAnual</v>
      </c>
      <c r="H1022">
        <v>20140101</v>
      </c>
      <c r="I1022">
        <v>22000101</v>
      </c>
    </row>
    <row r="1023" spans="1:11" x14ac:dyDescent="0.25">
      <c r="A1023">
        <v>0</v>
      </c>
      <c r="B1023" t="s">
        <v>237</v>
      </c>
      <c r="C1023" t="s">
        <v>239</v>
      </c>
      <c r="D1023" t="s">
        <v>1798</v>
      </c>
      <c r="E1023" t="b">
        <f t="shared" si="98"/>
        <v>1</v>
      </c>
      <c r="F1023" t="s">
        <v>1799</v>
      </c>
      <c r="G1023" t="str">
        <f>IF(ISERROR(VLOOKUP(F1023,MODIFICACIONES_REALIZADAS!F:H,3,)),F1023,VLOOKUP(F1023,MODIFICACIONES_REALIZADAS!F:H,3,))</f>
        <v>SM-O-GEN-Agente-NumeroPolizasCorregidas-005-TotalAnual</v>
      </c>
      <c r="H1023">
        <v>20140101</v>
      </c>
      <c r="I1023">
        <v>22000101</v>
      </c>
    </row>
    <row r="1024" spans="1:11" x14ac:dyDescent="0.25">
      <c r="A1024">
        <v>0</v>
      </c>
      <c r="B1024" t="s">
        <v>237</v>
      </c>
      <c r="C1024" t="s">
        <v>239</v>
      </c>
      <c r="D1024" t="s">
        <v>1800</v>
      </c>
      <c r="E1024" t="b">
        <f>F1024=G1024</f>
        <v>1</v>
      </c>
      <c r="F1024" t="s">
        <v>1801</v>
      </c>
      <c r="G1024" t="str">
        <f>IF(ISERROR(VLOOKUP(F1024,MODIFICACIONES_REALIZADAS!F:H,3,)),F1024,VLOOKUP(F1024,MODIFICACIONES_REALIZADAS!F:H,3,))</f>
        <v>SM-O-GEN-Agente-NumeroPolizasCorregidas-906-TotalAnual</v>
      </c>
      <c r="H1024">
        <v>20140101</v>
      </c>
      <c r="I1024">
        <v>22000101</v>
      </c>
    </row>
    <row r="1025" spans="1:11" x14ac:dyDescent="0.25">
      <c r="A1025">
        <v>0</v>
      </c>
      <c r="B1025" t="s">
        <v>237</v>
      </c>
      <c r="C1025" t="s">
        <v>239</v>
      </c>
      <c r="D1025" t="s">
        <v>1802</v>
      </c>
      <c r="E1025" t="b">
        <f t="shared" si="98"/>
        <v>1</v>
      </c>
      <c r="F1025" t="s">
        <v>1803</v>
      </c>
      <c r="G1025" t="str">
        <f>IF(ISERROR(VLOOKUP(F1025,MODIFICACIONES_REALIZADAS!F:H,3,)),F1025,VLOOKUP(F1025,MODIFICACIONES_REALIZADAS!F:H,3,))</f>
        <v>SM-O-GEN-Agente-NumeroPolizasCorregidas-997-TotalAnual</v>
      </c>
      <c r="H1025">
        <v>20140101</v>
      </c>
      <c r="I1025">
        <v>22000101</v>
      </c>
    </row>
    <row r="1026" spans="1:11" x14ac:dyDescent="0.25">
      <c r="A1026">
        <v>0</v>
      </c>
      <c r="B1026" t="s">
        <v>237</v>
      </c>
      <c r="C1026" t="s">
        <v>239</v>
      </c>
      <c r="D1026" t="s">
        <v>1804</v>
      </c>
      <c r="E1026" t="b">
        <f t="shared" si="98"/>
        <v>1</v>
      </c>
      <c r="F1026" t="s">
        <v>1805</v>
      </c>
      <c r="G1026" t="str">
        <f>IF(ISERROR(VLOOKUP(F1026,MODIFICACIONES_REALIZADAS!F:H,3,)),F1026,VLOOKUP(F1026,MODIFICACIONES_REALIZADAS!F:H,3,))</f>
        <v>SM-O-GEN-Agente-NumeroPolizasCorregidas-998-TotalAnual</v>
      </c>
      <c r="H1026">
        <v>20140101</v>
      </c>
      <c r="I1026">
        <v>22000101</v>
      </c>
    </row>
    <row r="1027" spans="1:11" x14ac:dyDescent="0.25">
      <c r="A1027">
        <v>0</v>
      </c>
      <c r="B1027" t="s">
        <v>237</v>
      </c>
      <c r="C1027" t="s">
        <v>239</v>
      </c>
      <c r="D1027" t="s">
        <v>1806</v>
      </c>
      <c r="E1027" t="b">
        <f t="shared" si="98"/>
        <v>1</v>
      </c>
      <c r="F1027" t="s">
        <v>1807</v>
      </c>
      <c r="G1027" t="str">
        <f>IF(ISERROR(VLOOKUP(F1027,MODIFICACIONES_REALIZADAS!F:H,3,)),F1027,VLOOKUP(F1027,MODIFICACIONES_REALIZADAS!F:H,3,))</f>
        <v>SM-O-GEN-Agente-Prima-001-TotalAnual</v>
      </c>
      <c r="H1027">
        <v>20140101</v>
      </c>
      <c r="I1027">
        <v>22000101</v>
      </c>
    </row>
    <row r="1028" spans="1:11" x14ac:dyDescent="0.25">
      <c r="A1028">
        <v>0</v>
      </c>
      <c r="B1028" t="s">
        <v>237</v>
      </c>
      <c r="C1028" t="s">
        <v>239</v>
      </c>
      <c r="D1028" t="s">
        <v>1808</v>
      </c>
      <c r="E1028" t="b">
        <f t="shared" si="98"/>
        <v>1</v>
      </c>
      <c r="F1028" t="s">
        <v>1809</v>
      </c>
      <c r="G1028" t="str">
        <f>IF(ISERROR(VLOOKUP(F1028,MODIFICACIONES_REALIZADAS!F:H,3,)),F1028,VLOOKUP(F1028,MODIFICACIONES_REALIZADAS!F:H,3,))</f>
        <v>SM-O-GEN-Agente-Prima-002-TotalAnual</v>
      </c>
      <c r="H1028">
        <v>20140101</v>
      </c>
      <c r="I1028">
        <v>22000101</v>
      </c>
    </row>
    <row r="1029" spans="1:11" x14ac:dyDescent="0.25">
      <c r="A1029">
        <v>0</v>
      </c>
      <c r="B1029" t="s">
        <v>237</v>
      </c>
      <c r="C1029" t="s">
        <v>239</v>
      </c>
      <c r="D1029" t="s">
        <v>1810</v>
      </c>
      <c r="E1029" t="b">
        <f t="shared" si="98"/>
        <v>1</v>
      </c>
      <c r="F1029" t="s">
        <v>1811</v>
      </c>
      <c r="G1029" t="str">
        <f>IF(ISERROR(VLOOKUP(F1029,MODIFICACIONES_REALIZADAS!F:H,3,)),F1029,VLOOKUP(F1029,MODIFICACIONES_REALIZADAS!F:H,3,))</f>
        <v>SM-O-GEN-Agente-Prima-003-TotalAnual</v>
      </c>
      <c r="H1029">
        <v>20140101</v>
      </c>
      <c r="I1029">
        <v>22000101</v>
      </c>
    </row>
    <row r="1030" spans="1:11" x14ac:dyDescent="0.25">
      <c r="A1030">
        <v>0</v>
      </c>
      <c r="B1030" t="s">
        <v>237</v>
      </c>
      <c r="C1030" t="s">
        <v>239</v>
      </c>
      <c r="D1030" t="s">
        <v>1812</v>
      </c>
      <c r="E1030" t="b">
        <f t="shared" si="98"/>
        <v>1</v>
      </c>
      <c r="F1030" t="s">
        <v>1813</v>
      </c>
      <c r="G1030" t="str">
        <f>IF(ISERROR(VLOOKUP(F1030,MODIFICACIONES_REALIZADAS!F:H,3,)),F1030,VLOOKUP(F1030,MODIFICACIONES_REALIZADAS!F:H,3,))</f>
        <v>SM-O-GEN-Agente-Prima-004-TotalAnual</v>
      </c>
      <c r="H1030">
        <v>20140101</v>
      </c>
      <c r="I1030">
        <v>22000101</v>
      </c>
    </row>
    <row r="1031" spans="1:11" x14ac:dyDescent="0.25">
      <c r="A1031">
        <v>0</v>
      </c>
      <c r="B1031" t="s">
        <v>237</v>
      </c>
      <c r="C1031" t="s">
        <v>239</v>
      </c>
      <c r="D1031" t="s">
        <v>1814</v>
      </c>
      <c r="E1031" t="b">
        <f t="shared" si="98"/>
        <v>1</v>
      </c>
      <c r="F1031" t="s">
        <v>1815</v>
      </c>
      <c r="G1031" t="str">
        <f>IF(ISERROR(VLOOKUP(F1031,MODIFICACIONES_REALIZADAS!F:H,3,)),F1031,VLOOKUP(F1031,MODIFICACIONES_REALIZADAS!F:H,3,))</f>
        <v>SM-O-GEN-Agente-Prima-005-TotalAnual</v>
      </c>
      <c r="H1031">
        <v>20140101</v>
      </c>
      <c r="I1031">
        <v>22000101</v>
      </c>
    </row>
    <row r="1032" spans="1:11" x14ac:dyDescent="0.25">
      <c r="A1032">
        <v>0</v>
      </c>
      <c r="B1032" t="s">
        <v>237</v>
      </c>
      <c r="C1032" t="s">
        <v>239</v>
      </c>
      <c r="D1032" t="s">
        <v>1816</v>
      </c>
      <c r="E1032" t="b">
        <f>F1032=G1032</f>
        <v>1</v>
      </c>
      <c r="F1032" t="s">
        <v>1817</v>
      </c>
      <c r="G1032" t="str">
        <f>IF(ISERROR(VLOOKUP(F1032,MODIFICACIONES_REALIZADAS!F:H,3,)),F1032,VLOOKUP(F1032,MODIFICACIONES_REALIZADAS!F:H,3,))</f>
        <v>SM-O-GEN-Agente-Prima-906-TotalAnual</v>
      </c>
      <c r="H1032">
        <v>20140101</v>
      </c>
      <c r="I1032">
        <v>22000101</v>
      </c>
    </row>
    <row r="1033" spans="1:11" x14ac:dyDescent="0.25">
      <c r="A1033">
        <v>0</v>
      </c>
      <c r="B1033" t="s">
        <v>237</v>
      </c>
      <c r="C1033" t="s">
        <v>239</v>
      </c>
      <c r="D1033" t="s">
        <v>1818</v>
      </c>
      <c r="E1033" t="b">
        <f t="shared" si="98"/>
        <v>1</v>
      </c>
      <c r="F1033" t="s">
        <v>1819</v>
      </c>
      <c r="G1033" t="str">
        <f>IF(ISERROR(VLOOKUP(F1033,MODIFICACIONES_REALIZADAS!F:H,3,)),F1033,VLOOKUP(F1033,MODIFICACIONES_REALIZADAS!F:H,3,))</f>
        <v>SM-O-GEN-Agente-Prima-997-TotalAnual</v>
      </c>
      <c r="H1033">
        <v>20140101</v>
      </c>
      <c r="I1033">
        <v>22000101</v>
      </c>
    </row>
    <row r="1034" spans="1:11" x14ac:dyDescent="0.25">
      <c r="A1034">
        <v>0</v>
      </c>
      <c r="B1034" t="s">
        <v>237</v>
      </c>
      <c r="C1034" t="s">
        <v>239</v>
      </c>
      <c r="D1034" t="s">
        <v>805</v>
      </c>
      <c r="E1034" t="b">
        <f t="shared" si="98"/>
        <v>1</v>
      </c>
      <c r="F1034" t="s">
        <v>806</v>
      </c>
      <c r="G1034" t="str">
        <f>IF(ISERROR(VLOOKUP(F1034,MODIFICACIONES_REALIZADAS!F:H,3,)),F1034,VLOOKUP(F1034,MODIFICACIONES_REALIZADAS!F:H,3,))</f>
        <v>SM-O-GEN-Agente-Prima-998-TotalAnual</v>
      </c>
      <c r="H1034">
        <v>20140101</v>
      </c>
      <c r="I1034">
        <v>22000101</v>
      </c>
    </row>
    <row r="1035" spans="1:11" x14ac:dyDescent="0.25">
      <c r="A1035" s="25">
        <v>0</v>
      </c>
      <c r="B1035" s="25" t="s">
        <v>242</v>
      </c>
      <c r="C1035" s="25" t="s">
        <v>244</v>
      </c>
      <c r="D1035" s="25" t="s">
        <v>1820</v>
      </c>
      <c r="E1035" s="25" t="b">
        <f t="shared" si="98"/>
        <v>1</v>
      </c>
      <c r="F1035" s="25" t="s">
        <v>895</v>
      </c>
      <c r="G1035" s="25" t="str">
        <f>IF(ISERROR(VLOOKUP(F1035,MODIFICACIONES_REALIZADAS!F:H,3,)),F1035,VLOOKUP(F1035,MODIFICACIONES_REALIZADAS!F:H,3,))</f>
        <v>DC-O-GEN-Agente-NumeroPolizas-998</v>
      </c>
      <c r="H1035" s="25">
        <v>20140101</v>
      </c>
      <c r="I1035" s="25">
        <v>22000101</v>
      </c>
      <c r="J1035" s="25" t="s">
        <v>1316</v>
      </c>
      <c r="K1035" s="25"/>
    </row>
    <row r="1036" spans="1:11" x14ac:dyDescent="0.25">
      <c r="A1036" s="25">
        <v>0</v>
      </c>
      <c r="B1036" s="25" t="s">
        <v>242</v>
      </c>
      <c r="C1036" s="25" t="s">
        <v>244</v>
      </c>
      <c r="D1036" s="25" t="s">
        <v>1821</v>
      </c>
      <c r="E1036" s="25" t="b">
        <f>F1036=G1036</f>
        <v>1</v>
      </c>
      <c r="F1036" s="25" t="s">
        <v>899</v>
      </c>
      <c r="G1036" s="25" t="str">
        <f>IF(ISERROR(VLOOKUP(F1036,MODIFICACIONES_REALIZADAS!F:H,3,)),F1036,VLOOKUP(F1036,MODIFICACIONES_REALIZADAS!F:H,3,))</f>
        <v>DC-O-GEN-Agente-NumeroPolizas-998-Renov</v>
      </c>
      <c r="H1036" s="25">
        <v>20140101</v>
      </c>
      <c r="I1036" s="25">
        <v>22000101</v>
      </c>
      <c r="J1036" s="25" t="s">
        <v>1316</v>
      </c>
      <c r="K1036" s="25"/>
    </row>
    <row r="1037" spans="1:11" x14ac:dyDescent="0.25">
      <c r="A1037" s="25">
        <v>0</v>
      </c>
      <c r="B1037" s="25" t="s">
        <v>242</v>
      </c>
      <c r="C1037" s="25" t="s">
        <v>244</v>
      </c>
      <c r="D1037" s="25" t="s">
        <v>1822</v>
      </c>
      <c r="E1037" s="25" t="b">
        <f>F1037=G1037</f>
        <v>1</v>
      </c>
      <c r="F1037" s="25" t="s">
        <v>897</v>
      </c>
      <c r="G1037" s="25" t="str">
        <f>IF(ISERROR(VLOOKUP(F1037,MODIFICACIONES_REALIZADAS!F:H,3,)),F1037,VLOOKUP(F1037,MODIFICACIONES_REALIZADAS!F:H,3,))</f>
        <v>DC-O-GEN-Agente-NumeroPolizas-998-Recup</v>
      </c>
      <c r="H1037" s="25">
        <v>20140101</v>
      </c>
      <c r="I1037" s="25">
        <v>22000101</v>
      </c>
      <c r="J1037" s="25" t="s">
        <v>1316</v>
      </c>
      <c r="K1037" s="25"/>
    </row>
    <row r="1038" spans="1:11" x14ac:dyDescent="0.25">
      <c r="A1038" s="25">
        <v>0</v>
      </c>
      <c r="B1038" s="25" t="s">
        <v>242</v>
      </c>
      <c r="C1038" s="25" t="s">
        <v>244</v>
      </c>
      <c r="D1038" s="25" t="s">
        <v>1823</v>
      </c>
      <c r="E1038" s="25" t="b">
        <f t="shared" si="98"/>
        <v>1</v>
      </c>
      <c r="F1038" s="25" t="s">
        <v>893</v>
      </c>
      <c r="G1038" s="25" t="str">
        <f>IF(ISERROR(VLOOKUP(F1038,MODIFICACIONES_REALIZADAS!F:H,3,)),F1038,VLOOKUP(F1038,MODIFICACIONES_REALIZADAS!F:H,3,))</f>
        <v>DC-O-GEN-Agente-Prima-998</v>
      </c>
      <c r="H1038" s="25">
        <v>20140101</v>
      </c>
      <c r="I1038" s="25">
        <v>22000101</v>
      </c>
      <c r="J1038" s="25" t="s">
        <v>1316</v>
      </c>
      <c r="K1038" s="25"/>
    </row>
    <row r="1039" spans="1:11" x14ac:dyDescent="0.25">
      <c r="A1039" s="25">
        <v>0</v>
      </c>
      <c r="B1039" s="25" t="s">
        <v>242</v>
      </c>
      <c r="C1039" s="25" t="s">
        <v>244</v>
      </c>
      <c r="D1039" s="25" t="s">
        <v>1824</v>
      </c>
      <c r="E1039" s="25" t="b">
        <f t="shared" si="98"/>
        <v>1</v>
      </c>
      <c r="F1039" s="25" t="s">
        <v>1701</v>
      </c>
      <c r="G1039" s="25" t="str">
        <f>IF(ISERROR(VLOOKUP(F1039,MODIFICACIONES_REALIZADAS!F:H,3,)),F1039,VLOOKUP(F1039,MODIFICACIONES_REALIZADAS!F:H,3,))</f>
        <v>DC-O-GEN-Inspector-NumeroPolizas-998</v>
      </c>
      <c r="H1039" s="25">
        <v>20140101</v>
      </c>
      <c r="I1039" s="25">
        <v>22000101</v>
      </c>
      <c r="J1039" s="25" t="s">
        <v>1316</v>
      </c>
      <c r="K1039" s="25"/>
    </row>
    <row r="1040" spans="1:11" x14ac:dyDescent="0.25">
      <c r="A1040" s="25">
        <v>0</v>
      </c>
      <c r="B1040" s="25" t="s">
        <v>242</v>
      </c>
      <c r="C1040" s="25" t="s">
        <v>244</v>
      </c>
      <c r="D1040" s="25" t="s">
        <v>1825</v>
      </c>
      <c r="E1040" s="25" t="b">
        <f t="shared" si="98"/>
        <v>1</v>
      </c>
      <c r="F1040" s="25" t="s">
        <v>1705</v>
      </c>
      <c r="G1040" s="25" t="str">
        <f>IF(ISERROR(VLOOKUP(F1040,MODIFICACIONES_REALIZADAS!F:H,3,)),F1040,VLOOKUP(F1040,MODIFICACIONES_REALIZADAS!F:H,3,))</f>
        <v>DC-O-GEN-Inspector-PrimaCorregida-998</v>
      </c>
      <c r="H1040" s="25">
        <v>20140101</v>
      </c>
      <c r="I1040" s="25">
        <v>22000101</v>
      </c>
      <c r="J1040" s="25" t="s">
        <v>1316</v>
      </c>
      <c r="K1040" s="25"/>
    </row>
    <row r="1041" spans="1:11" x14ac:dyDescent="0.25">
      <c r="A1041">
        <v>0</v>
      </c>
      <c r="B1041" t="s">
        <v>245</v>
      </c>
      <c r="C1041" t="s">
        <v>247</v>
      </c>
      <c r="D1041" t="s">
        <v>413</v>
      </c>
      <c r="E1041" t="b">
        <f t="shared" si="98"/>
        <v>1</v>
      </c>
      <c r="F1041" t="s">
        <v>1293</v>
      </c>
      <c r="G1041" t="str">
        <f>IF(ISERROR(VLOOKUP(F1041,MODIFICACIONES_REALIZADAS!F:H,3,)),F1041,VLOOKUP(F1041,MODIFICACIONES_REALIZADAS!F:H,3,))</f>
        <v>SM-O-GEN-Inspector-NumeroPolizas-001-TotalMes</v>
      </c>
      <c r="H1041">
        <v>20140101</v>
      </c>
      <c r="I1041">
        <v>22000101</v>
      </c>
    </row>
    <row r="1042" spans="1:11" x14ac:dyDescent="0.25">
      <c r="A1042">
        <v>0</v>
      </c>
      <c r="B1042" t="s">
        <v>245</v>
      </c>
      <c r="C1042" t="s">
        <v>247</v>
      </c>
      <c r="D1042" t="s">
        <v>415</v>
      </c>
      <c r="E1042" t="b">
        <f t="shared" si="98"/>
        <v>1</v>
      </c>
      <c r="F1042" t="s">
        <v>1271</v>
      </c>
      <c r="G1042" t="str">
        <f>IF(ISERROR(VLOOKUP(F1042,MODIFICACIONES_REALIZADAS!F:H,3,)),F1042,VLOOKUP(F1042,MODIFICACIONES_REALIZADAS!F:H,3,))</f>
        <v>SM-O-GEN-Inspector-NumeroPolizas-002-TotalMes</v>
      </c>
      <c r="H1042">
        <v>20140101</v>
      </c>
      <c r="I1042">
        <v>22000101</v>
      </c>
    </row>
    <row r="1043" spans="1:11" x14ac:dyDescent="0.25">
      <c r="A1043">
        <v>0</v>
      </c>
      <c r="B1043" t="s">
        <v>245</v>
      </c>
      <c r="C1043" t="s">
        <v>247</v>
      </c>
      <c r="D1043" t="s">
        <v>1826</v>
      </c>
      <c r="E1043" t="b">
        <f t="shared" si="98"/>
        <v>1</v>
      </c>
      <c r="F1043" t="s">
        <v>1827</v>
      </c>
      <c r="G1043" t="str">
        <f>IF(ISERROR(VLOOKUP(F1043,MODIFICACIONES_REALIZADAS!F:H,3,)),F1043,VLOOKUP(F1043,MODIFICACIONES_REALIZADAS!F:H,3,))</f>
        <v>SM-O-GEN-Inspector-NumeroPolizas-003-TotalMes</v>
      </c>
      <c r="H1043">
        <v>20140101</v>
      </c>
      <c r="I1043">
        <v>22000101</v>
      </c>
    </row>
    <row r="1044" spans="1:11" x14ac:dyDescent="0.25">
      <c r="A1044">
        <v>0</v>
      </c>
      <c r="B1044" t="s">
        <v>245</v>
      </c>
      <c r="C1044" t="s">
        <v>247</v>
      </c>
      <c r="D1044" t="s">
        <v>1828</v>
      </c>
      <c r="E1044" t="b">
        <f t="shared" si="98"/>
        <v>1</v>
      </c>
      <c r="F1044" t="s">
        <v>1829</v>
      </c>
      <c r="G1044" t="str">
        <f>IF(ISERROR(VLOOKUP(F1044,MODIFICACIONES_REALIZADAS!F:H,3,)),F1044,VLOOKUP(F1044,MODIFICACIONES_REALIZADAS!F:H,3,))</f>
        <v>SM-O-GEN-Inspector-NumeroPolizas-004-TotalMes</v>
      </c>
      <c r="H1044">
        <v>20140101</v>
      </c>
      <c r="I1044">
        <v>22000101</v>
      </c>
    </row>
    <row r="1045" spans="1:11" x14ac:dyDescent="0.25">
      <c r="A1045">
        <v>0</v>
      </c>
      <c r="B1045" t="s">
        <v>245</v>
      </c>
      <c r="C1045" t="s">
        <v>247</v>
      </c>
      <c r="D1045" t="s">
        <v>1830</v>
      </c>
      <c r="E1045" t="b">
        <f t="shared" si="98"/>
        <v>1</v>
      </c>
      <c r="F1045" t="s">
        <v>1831</v>
      </c>
      <c r="G1045" t="str">
        <f>IF(ISERROR(VLOOKUP(F1045,MODIFICACIONES_REALIZADAS!F:H,3,)),F1045,VLOOKUP(F1045,MODIFICACIONES_REALIZADAS!F:H,3,))</f>
        <v>SM-O-GEN-Inspector-NumeroPolizas-005-TotalMes</v>
      </c>
      <c r="H1045">
        <v>20140101</v>
      </c>
      <c r="I1045">
        <v>22000101</v>
      </c>
    </row>
    <row r="1046" spans="1:11" x14ac:dyDescent="0.25">
      <c r="A1046">
        <v>0</v>
      </c>
      <c r="B1046" t="s">
        <v>245</v>
      </c>
      <c r="C1046" t="s">
        <v>247</v>
      </c>
      <c r="D1046" t="s">
        <v>1832</v>
      </c>
      <c r="E1046" t="b">
        <f t="shared" si="98"/>
        <v>1</v>
      </c>
      <c r="F1046" t="s">
        <v>1833</v>
      </c>
      <c r="G1046" t="str">
        <f>IF(ISERROR(VLOOKUP(F1046,MODIFICACIONES_REALIZADAS!F:H,3,)),F1046,VLOOKUP(F1046,MODIFICACIONES_REALIZADAS!F:H,3,))</f>
        <v>SM-O-GEN-Inspector-NumeroPolizas-006-TotalMes</v>
      </c>
      <c r="H1046">
        <v>20140101</v>
      </c>
      <c r="I1046">
        <v>22000101</v>
      </c>
    </row>
    <row r="1047" spans="1:11" x14ac:dyDescent="0.25">
      <c r="A1047">
        <v>0</v>
      </c>
      <c r="B1047" t="s">
        <v>245</v>
      </c>
      <c r="C1047" t="s">
        <v>247</v>
      </c>
      <c r="D1047" t="s">
        <v>1834</v>
      </c>
      <c r="E1047" t="b">
        <f t="shared" si="98"/>
        <v>1</v>
      </c>
      <c r="F1047" t="s">
        <v>1835</v>
      </c>
      <c r="G1047" t="str">
        <f>IF(ISERROR(VLOOKUP(F1047,MODIFICACIONES_REALIZADAS!F:H,3,)),F1047,VLOOKUP(F1047,MODIFICACIONES_REALIZADAS!F:H,3,))</f>
        <v>SM-O-GEN-Inspector-NumeroPolizas-007-TotalMes</v>
      </c>
      <c r="H1047">
        <v>20140101</v>
      </c>
      <c r="I1047">
        <v>22000101</v>
      </c>
    </row>
    <row r="1048" spans="1:11" x14ac:dyDescent="0.25">
      <c r="A1048">
        <v>0</v>
      </c>
      <c r="B1048" t="s">
        <v>245</v>
      </c>
      <c r="C1048" t="s">
        <v>247</v>
      </c>
      <c r="D1048" t="s">
        <v>1836</v>
      </c>
      <c r="E1048" t="b">
        <f t="shared" si="98"/>
        <v>1</v>
      </c>
      <c r="F1048" t="s">
        <v>1837</v>
      </c>
      <c r="G1048" t="str">
        <f>IF(ISERROR(VLOOKUP(F1048,MODIFICACIONES_REALIZADAS!F:H,3,)),F1048,VLOOKUP(F1048,MODIFICACIONES_REALIZADAS!F:H,3,))</f>
        <v>SM-O-GEN-Inspector-NumeroPolizas-008-TotalMes</v>
      </c>
      <c r="H1048">
        <v>20140101</v>
      </c>
      <c r="I1048">
        <v>22000101</v>
      </c>
    </row>
    <row r="1049" spans="1:11" x14ac:dyDescent="0.25">
      <c r="A1049">
        <v>0</v>
      </c>
      <c r="B1049" t="s">
        <v>245</v>
      </c>
      <c r="C1049" t="s">
        <v>247</v>
      </c>
      <c r="D1049" t="s">
        <v>1838</v>
      </c>
      <c r="E1049" t="b">
        <f t="shared" si="98"/>
        <v>1</v>
      </c>
      <c r="F1049" t="s">
        <v>1839</v>
      </c>
      <c r="G1049" t="str">
        <f>IF(ISERROR(VLOOKUP(F1049,MODIFICACIONES_REALIZADAS!F:H,3,)),F1049,VLOOKUP(F1049,MODIFICACIONES_REALIZADAS!F:H,3,))</f>
        <v>SM-O-GEN-Inspector-NumeroPolizas-009-TotalMes</v>
      </c>
      <c r="H1049">
        <v>20140101</v>
      </c>
      <c r="I1049">
        <v>22000101</v>
      </c>
    </row>
    <row r="1050" spans="1:11" x14ac:dyDescent="0.25">
      <c r="A1050">
        <v>0</v>
      </c>
      <c r="B1050" t="s">
        <v>245</v>
      </c>
      <c r="C1050" t="s">
        <v>247</v>
      </c>
      <c r="D1050" t="s">
        <v>417</v>
      </c>
      <c r="E1050" t="b">
        <f>F1050=G1050</f>
        <v>1</v>
      </c>
      <c r="F1050" t="s">
        <v>1282</v>
      </c>
      <c r="G1050" t="str">
        <f>IF(ISERROR(VLOOKUP(F1050,MODIFICACIONES_REALIZADAS!F:H,3,)),F1050,VLOOKUP(F1050,MODIFICACIONES_REALIZADAS!F:H,3,))</f>
        <v>SM-O-GEN-Inspector-NumeroPolizas-906-TotalMes</v>
      </c>
      <c r="H1050">
        <v>20140101</v>
      </c>
      <c r="I1050">
        <v>22000101</v>
      </c>
    </row>
    <row r="1051" spans="1:11" x14ac:dyDescent="0.25">
      <c r="A1051">
        <v>0</v>
      </c>
      <c r="B1051" t="s">
        <v>245</v>
      </c>
      <c r="C1051" t="s">
        <v>247</v>
      </c>
      <c r="D1051" t="s">
        <v>1840</v>
      </c>
      <c r="E1051" t="b">
        <f t="shared" si="98"/>
        <v>1</v>
      </c>
      <c r="F1051" t="s">
        <v>1841</v>
      </c>
      <c r="G1051" t="str">
        <f>IF(ISERROR(VLOOKUP(F1051,MODIFICACIONES_REALIZADAS!F:H,3,)),F1051,VLOOKUP(F1051,MODIFICACIONES_REALIZADAS!F:H,3,))</f>
        <v>SM-O-GEN-Inspector-NumeroPolizas-997-TotalMes</v>
      </c>
      <c r="H1051">
        <v>20140101</v>
      </c>
      <c r="I1051">
        <v>22000101</v>
      </c>
    </row>
    <row r="1052" spans="1:11" x14ac:dyDescent="0.25">
      <c r="A1052">
        <v>0</v>
      </c>
      <c r="B1052" t="s">
        <v>245</v>
      </c>
      <c r="C1052" t="s">
        <v>247</v>
      </c>
      <c r="D1052" t="s">
        <v>419</v>
      </c>
      <c r="E1052" t="b">
        <f t="shared" si="98"/>
        <v>1</v>
      </c>
      <c r="F1052" t="s">
        <v>1842</v>
      </c>
      <c r="G1052" t="str">
        <f>IF(ISERROR(VLOOKUP(F1052,MODIFICACIONES_REALIZADAS!F:H,3,)),F1052,VLOOKUP(F1052,MODIFICACIONES_REALIZADAS!F:H,3,))</f>
        <v>SM-O-GEN-Inspector-NumeroPolizas-998-TotalMes</v>
      </c>
      <c r="H1052">
        <v>20140101</v>
      </c>
      <c r="I1052">
        <v>22000101</v>
      </c>
    </row>
    <row r="1053" spans="1:11" x14ac:dyDescent="0.25">
      <c r="A1053" s="22">
        <v>0</v>
      </c>
      <c r="B1053" s="22" t="s">
        <v>245</v>
      </c>
      <c r="C1053" s="22" t="s">
        <v>247</v>
      </c>
      <c r="D1053" s="22" t="s">
        <v>421</v>
      </c>
      <c r="E1053" s="22" t="b">
        <f t="shared" ref="E1053:E1061" si="99">F1053=G1053</f>
        <v>1</v>
      </c>
      <c r="F1053" s="22" t="s">
        <v>422</v>
      </c>
      <c r="G1053" s="22" t="str">
        <f>IF(ISERROR(VLOOKUP(F1053,MODIFICACIONES_REALIZADAS!F:H,3,)),F1053,VLOOKUP(F1053,MODIFICACIONES_REALIZADAS!F:H,3,))</f>
        <v>SM-O-GEN-Inspector-NumeroPolizasCorregidas-001-TotalMes</v>
      </c>
      <c r="H1053" s="22">
        <v>20180101</v>
      </c>
      <c r="I1053" s="22">
        <v>22000101</v>
      </c>
      <c r="J1053" s="22" t="s">
        <v>1779</v>
      </c>
      <c r="K1053" s="22"/>
    </row>
    <row r="1054" spans="1:11" x14ac:dyDescent="0.25">
      <c r="A1054" s="22">
        <v>0</v>
      </c>
      <c r="B1054" s="22" t="s">
        <v>245</v>
      </c>
      <c r="C1054" s="22" t="s">
        <v>247</v>
      </c>
      <c r="D1054" s="22" t="s">
        <v>423</v>
      </c>
      <c r="E1054" s="22" t="b">
        <f t="shared" si="99"/>
        <v>1</v>
      </c>
      <c r="F1054" s="22" t="s">
        <v>424</v>
      </c>
      <c r="G1054" s="22" t="str">
        <f>IF(ISERROR(VLOOKUP(F1054,MODIFICACIONES_REALIZADAS!F:H,3,)),F1054,VLOOKUP(F1054,MODIFICACIONES_REALIZADAS!F:H,3,))</f>
        <v>SM-O-GEN-Inspector-NumeroPolizasCorregidas-002-TotalMes</v>
      </c>
      <c r="H1054" s="22">
        <v>20180101</v>
      </c>
      <c r="I1054" s="22">
        <v>22000101</v>
      </c>
      <c r="J1054" s="22" t="s">
        <v>1779</v>
      </c>
      <c r="K1054" s="22"/>
    </row>
    <row r="1055" spans="1:11" x14ac:dyDescent="0.25">
      <c r="A1055" s="22">
        <v>0</v>
      </c>
      <c r="B1055" s="22" t="s">
        <v>245</v>
      </c>
      <c r="C1055" s="22" t="s">
        <v>247</v>
      </c>
      <c r="D1055" s="22" t="s">
        <v>1843</v>
      </c>
      <c r="E1055" s="22" t="b">
        <f t="shared" si="99"/>
        <v>1</v>
      </c>
      <c r="F1055" s="22" t="s">
        <v>1844</v>
      </c>
      <c r="G1055" s="22" t="str">
        <f>IF(ISERROR(VLOOKUP(F1055,MODIFICACIONES_REALIZADAS!F:H,3,)),F1055,VLOOKUP(F1055,MODIFICACIONES_REALIZADAS!F:H,3,))</f>
        <v>SM-O-GEN-Inspector-NumeroPolizasCorregidas-003-TotalMes</v>
      </c>
      <c r="H1055" s="22">
        <v>20180101</v>
      </c>
      <c r="I1055" s="22">
        <v>22000101</v>
      </c>
      <c r="J1055" s="22" t="s">
        <v>1779</v>
      </c>
      <c r="K1055" s="22"/>
    </row>
    <row r="1056" spans="1:11" x14ac:dyDescent="0.25">
      <c r="A1056" s="22">
        <v>0</v>
      </c>
      <c r="B1056" s="22" t="s">
        <v>245</v>
      </c>
      <c r="C1056" s="22" t="s">
        <v>247</v>
      </c>
      <c r="D1056" s="22" t="s">
        <v>1845</v>
      </c>
      <c r="E1056" s="22" t="b">
        <f t="shared" si="99"/>
        <v>1</v>
      </c>
      <c r="F1056" s="22" t="s">
        <v>1846</v>
      </c>
      <c r="G1056" s="22" t="str">
        <f>IF(ISERROR(VLOOKUP(F1056,MODIFICACIONES_REALIZADAS!F:H,3,)),F1056,VLOOKUP(F1056,MODIFICACIONES_REALIZADAS!F:H,3,))</f>
        <v>SM-O-GEN-Inspector-NumeroPolizasCorregidas-004-TotalMes</v>
      </c>
      <c r="H1056" s="22">
        <v>20180101</v>
      </c>
      <c r="I1056" s="22">
        <v>22000101</v>
      </c>
      <c r="J1056" s="22" t="s">
        <v>1779</v>
      </c>
      <c r="K1056" s="22"/>
    </row>
    <row r="1057" spans="1:11" x14ac:dyDescent="0.25">
      <c r="A1057" s="22">
        <v>0</v>
      </c>
      <c r="B1057" s="22" t="s">
        <v>245</v>
      </c>
      <c r="C1057" s="22" t="s">
        <v>247</v>
      </c>
      <c r="D1057" s="22" t="s">
        <v>1847</v>
      </c>
      <c r="E1057" s="22" t="b">
        <f t="shared" si="99"/>
        <v>1</v>
      </c>
      <c r="F1057" s="22" t="s">
        <v>1848</v>
      </c>
      <c r="G1057" s="22" t="str">
        <f>IF(ISERROR(VLOOKUP(F1057,MODIFICACIONES_REALIZADAS!F:H,3,)),F1057,VLOOKUP(F1057,MODIFICACIONES_REALIZADAS!F:H,3,))</f>
        <v>SM-O-GEN-Inspector-NumeroPolizasCorregidas-005-TotalMes</v>
      </c>
      <c r="H1057" s="22">
        <v>20180101</v>
      </c>
      <c r="I1057" s="22">
        <v>22000101</v>
      </c>
      <c r="J1057" s="22" t="s">
        <v>1779</v>
      </c>
      <c r="K1057" s="22"/>
    </row>
    <row r="1058" spans="1:11" x14ac:dyDescent="0.25">
      <c r="A1058" s="22">
        <v>0</v>
      </c>
      <c r="B1058" s="22" t="s">
        <v>245</v>
      </c>
      <c r="C1058" s="22" t="s">
        <v>247</v>
      </c>
      <c r="D1058" s="22" t="s">
        <v>1849</v>
      </c>
      <c r="E1058" s="22" t="b">
        <f t="shared" si="99"/>
        <v>1</v>
      </c>
      <c r="F1058" s="22" t="s">
        <v>1850</v>
      </c>
      <c r="G1058" s="22" t="str">
        <f>IF(ISERROR(VLOOKUP(F1058,MODIFICACIONES_REALIZADAS!F:H,3,)),F1058,VLOOKUP(F1058,MODIFICACIONES_REALIZADAS!F:H,3,))</f>
        <v>SM-O-GEN-Inspector-NumeroPolizasCorregidas-006-TotalMes</v>
      </c>
      <c r="H1058" s="22">
        <v>20180101</v>
      </c>
      <c r="I1058" s="22">
        <v>22000101</v>
      </c>
      <c r="J1058" s="22" t="s">
        <v>1779</v>
      </c>
      <c r="K1058" s="22"/>
    </row>
    <row r="1059" spans="1:11" x14ac:dyDescent="0.25">
      <c r="A1059" s="22">
        <v>0</v>
      </c>
      <c r="B1059" s="22" t="s">
        <v>245</v>
      </c>
      <c r="C1059" s="22" t="s">
        <v>247</v>
      </c>
      <c r="D1059" s="22" t="s">
        <v>1851</v>
      </c>
      <c r="E1059" s="22" t="b">
        <f t="shared" si="99"/>
        <v>1</v>
      </c>
      <c r="F1059" s="22" t="s">
        <v>1852</v>
      </c>
      <c r="G1059" s="22" t="str">
        <f>IF(ISERROR(VLOOKUP(F1059,MODIFICACIONES_REALIZADAS!F:H,3,)),F1059,VLOOKUP(F1059,MODIFICACIONES_REALIZADAS!F:H,3,))</f>
        <v>SM-O-GEN-Inspector-NumeroPolizasCorregidas-007-TotalMes</v>
      </c>
      <c r="H1059" s="22">
        <v>20140101</v>
      </c>
      <c r="I1059" s="22">
        <v>22000101</v>
      </c>
      <c r="J1059" s="22" t="s">
        <v>1779</v>
      </c>
      <c r="K1059" s="22"/>
    </row>
    <row r="1060" spans="1:11" x14ac:dyDescent="0.25">
      <c r="A1060" s="22">
        <v>0</v>
      </c>
      <c r="B1060" s="22" t="s">
        <v>245</v>
      </c>
      <c r="C1060" s="22" t="s">
        <v>247</v>
      </c>
      <c r="D1060" s="22" t="s">
        <v>1853</v>
      </c>
      <c r="E1060" s="22" t="b">
        <f t="shared" si="99"/>
        <v>1</v>
      </c>
      <c r="F1060" s="22" t="s">
        <v>1854</v>
      </c>
      <c r="G1060" s="22" t="str">
        <f>IF(ISERROR(VLOOKUP(F1060,MODIFICACIONES_REALIZADAS!F:H,3,)),F1060,VLOOKUP(F1060,MODIFICACIONES_REALIZADAS!F:H,3,))</f>
        <v>SM-O-GEN-Inspector-NumeroPolizasCorregidas-008-TotalMes</v>
      </c>
      <c r="H1060" s="22">
        <v>20180101</v>
      </c>
      <c r="I1060" s="22">
        <v>22000101</v>
      </c>
      <c r="J1060" s="22" t="s">
        <v>1779</v>
      </c>
      <c r="K1060" s="22"/>
    </row>
    <row r="1061" spans="1:11" x14ac:dyDescent="0.25">
      <c r="A1061" s="22">
        <v>0</v>
      </c>
      <c r="B1061" s="22" t="s">
        <v>245</v>
      </c>
      <c r="C1061" s="22" t="s">
        <v>247</v>
      </c>
      <c r="D1061" s="22" t="s">
        <v>1855</v>
      </c>
      <c r="E1061" s="22" t="b">
        <f t="shared" si="99"/>
        <v>1</v>
      </c>
      <c r="F1061" s="22" t="s">
        <v>1856</v>
      </c>
      <c r="G1061" s="22" t="str">
        <f>IF(ISERROR(VLOOKUP(F1061,MODIFICACIONES_REALIZADAS!F:H,3,)),F1061,VLOOKUP(F1061,MODIFICACIONES_REALIZADAS!F:H,3,))</f>
        <v>SM-O-GEN-Inspector-NumeroPolizasCorregidas-009-TotalMes</v>
      </c>
      <c r="H1061" s="22">
        <v>20180101</v>
      </c>
      <c r="I1061" s="22">
        <v>22000101</v>
      </c>
      <c r="J1061" s="22" t="s">
        <v>1779</v>
      </c>
      <c r="K1061" s="22"/>
    </row>
    <row r="1062" spans="1:11" x14ac:dyDescent="0.25">
      <c r="A1062" s="22">
        <v>0</v>
      </c>
      <c r="B1062" s="22" t="s">
        <v>245</v>
      </c>
      <c r="C1062" s="22" t="s">
        <v>247</v>
      </c>
      <c r="D1062" s="22" t="s">
        <v>425</v>
      </c>
      <c r="E1062" s="22" t="b">
        <f>F1062=G1062</f>
        <v>1</v>
      </c>
      <c r="F1062" s="22" t="s">
        <v>426</v>
      </c>
      <c r="G1062" s="22" t="str">
        <f>IF(ISERROR(VLOOKUP(F1062,MODIFICACIONES_REALIZADAS!F:H,3,)),F1062,VLOOKUP(F1062,MODIFICACIONES_REALIZADAS!F:H,3,))</f>
        <v>SM-O-GEN-Inspector-NumeroPolizasCorregidas-906-TotalMes</v>
      </c>
      <c r="H1062" s="22">
        <v>20180101</v>
      </c>
      <c r="I1062" s="22">
        <v>22000101</v>
      </c>
      <c r="J1062" s="22" t="s">
        <v>1779</v>
      </c>
      <c r="K1062" s="22"/>
    </row>
    <row r="1063" spans="1:11" x14ac:dyDescent="0.25">
      <c r="A1063" s="22">
        <v>0</v>
      </c>
      <c r="B1063" s="22" t="s">
        <v>245</v>
      </c>
      <c r="C1063" s="22" t="s">
        <v>247</v>
      </c>
      <c r="D1063" s="22" t="s">
        <v>566</v>
      </c>
      <c r="E1063" s="22" t="b">
        <f>F1063=G1063</f>
        <v>1</v>
      </c>
      <c r="F1063" s="22" t="s">
        <v>1857</v>
      </c>
      <c r="G1063" s="22" t="str">
        <f>IF(ISERROR(VLOOKUP(F1063,MODIFICACIONES_REALIZADAS!F:H,3,)),F1063,VLOOKUP(F1063,MODIFICACIONES_REALIZADAS!F:H,3,))</f>
        <v>SM-O-GEN-Inspector-NumeroPolizasCorregidas-997-TotalMes</v>
      </c>
      <c r="H1063" s="22">
        <v>20180101</v>
      </c>
      <c r="I1063" s="22">
        <v>22000101</v>
      </c>
      <c r="J1063" s="22" t="s">
        <v>1779</v>
      </c>
      <c r="K1063" s="22"/>
    </row>
    <row r="1064" spans="1:11" x14ac:dyDescent="0.25">
      <c r="A1064" s="22">
        <v>0</v>
      </c>
      <c r="B1064" s="22" t="s">
        <v>245</v>
      </c>
      <c r="C1064" s="22" t="s">
        <v>247</v>
      </c>
      <c r="D1064" s="22" t="s">
        <v>431</v>
      </c>
      <c r="E1064" s="22" t="b">
        <f>F1064=G1064</f>
        <v>1</v>
      </c>
      <c r="F1064" s="22" t="s">
        <v>432</v>
      </c>
      <c r="G1064" s="22" t="str">
        <f>IF(ISERROR(VLOOKUP(F1064,MODIFICACIONES_REALIZADAS!F:H,3,)),F1064,VLOOKUP(F1064,MODIFICACIONES_REALIZADAS!F:H,3,))</f>
        <v>SM-O-GEN-Inspector-NumeroPolizasCorregidas-998-TotalMes</v>
      </c>
      <c r="H1064" s="22">
        <v>20180101</v>
      </c>
      <c r="I1064" s="22">
        <v>22000101</v>
      </c>
      <c r="J1064" s="22" t="s">
        <v>1779</v>
      </c>
      <c r="K1064" s="22"/>
    </row>
    <row r="1065" spans="1:11" x14ac:dyDescent="0.25">
      <c r="A1065">
        <v>0</v>
      </c>
      <c r="B1065" t="s">
        <v>245</v>
      </c>
      <c r="C1065" t="s">
        <v>247</v>
      </c>
      <c r="D1065" t="s">
        <v>1858</v>
      </c>
      <c r="E1065" t="b">
        <f t="shared" si="98"/>
        <v>1</v>
      </c>
      <c r="F1065" t="s">
        <v>1859</v>
      </c>
      <c r="G1065" t="str">
        <f>IF(ISERROR(VLOOKUP(F1065,MODIFICACIONES_REALIZADAS!F:H,3,)),F1065,VLOOKUP(F1065,MODIFICACIONES_REALIZADAS!F:H,3,))</f>
        <v>SM-O-GEN-Inspector-Prima-001-TotalMes</v>
      </c>
      <c r="H1065">
        <v>20140101</v>
      </c>
      <c r="I1065">
        <v>22000101</v>
      </c>
    </row>
    <row r="1066" spans="1:11" x14ac:dyDescent="0.25">
      <c r="A1066">
        <v>0</v>
      </c>
      <c r="B1066" t="s">
        <v>245</v>
      </c>
      <c r="C1066" t="s">
        <v>247</v>
      </c>
      <c r="D1066" t="s">
        <v>1860</v>
      </c>
      <c r="E1066" t="b">
        <f t="shared" si="98"/>
        <v>1</v>
      </c>
      <c r="F1066" t="s">
        <v>1861</v>
      </c>
      <c r="G1066" t="str">
        <f>IF(ISERROR(VLOOKUP(F1066,MODIFICACIONES_REALIZADAS!F:H,3,)),F1066,VLOOKUP(F1066,MODIFICACIONES_REALIZADAS!F:H,3,))</f>
        <v>SM-O-GEN-Inspector-Prima-002-TotalMes</v>
      </c>
      <c r="H1066">
        <v>20140101</v>
      </c>
      <c r="I1066">
        <v>22000101</v>
      </c>
    </row>
    <row r="1067" spans="1:11" x14ac:dyDescent="0.25">
      <c r="A1067">
        <v>0</v>
      </c>
      <c r="B1067" t="s">
        <v>245</v>
      </c>
      <c r="C1067" t="s">
        <v>247</v>
      </c>
      <c r="D1067" t="s">
        <v>1862</v>
      </c>
      <c r="E1067" t="b">
        <f t="shared" si="98"/>
        <v>1</v>
      </c>
      <c r="F1067" t="s">
        <v>1863</v>
      </c>
      <c r="G1067" t="str">
        <f>IF(ISERROR(VLOOKUP(F1067,MODIFICACIONES_REALIZADAS!F:H,3,)),F1067,VLOOKUP(F1067,MODIFICACIONES_REALIZADAS!F:H,3,))</f>
        <v>SM-O-GEN-Inspector-Prima-003-TotalMes</v>
      </c>
      <c r="H1067">
        <v>20140101</v>
      </c>
      <c r="I1067">
        <v>22000101</v>
      </c>
    </row>
    <row r="1068" spans="1:11" x14ac:dyDescent="0.25">
      <c r="A1068">
        <v>0</v>
      </c>
      <c r="B1068" t="s">
        <v>245</v>
      </c>
      <c r="C1068" t="s">
        <v>247</v>
      </c>
      <c r="D1068" t="s">
        <v>1864</v>
      </c>
      <c r="E1068" t="b">
        <f t="shared" si="98"/>
        <v>1</v>
      </c>
      <c r="F1068" t="s">
        <v>1865</v>
      </c>
      <c r="G1068" t="str">
        <f>IF(ISERROR(VLOOKUP(F1068,MODIFICACIONES_REALIZADAS!F:H,3,)),F1068,VLOOKUP(F1068,MODIFICACIONES_REALIZADAS!F:H,3,))</f>
        <v>SM-O-GEN-Inspector-Prima-004-TotalMes</v>
      </c>
      <c r="H1068">
        <v>20140101</v>
      </c>
      <c r="I1068">
        <v>22000101</v>
      </c>
    </row>
    <row r="1069" spans="1:11" x14ac:dyDescent="0.25">
      <c r="A1069">
        <v>0</v>
      </c>
      <c r="B1069" t="s">
        <v>245</v>
      </c>
      <c r="C1069" t="s">
        <v>247</v>
      </c>
      <c r="D1069" t="s">
        <v>1866</v>
      </c>
      <c r="E1069" t="b">
        <f t="shared" si="98"/>
        <v>1</v>
      </c>
      <c r="F1069" t="s">
        <v>1867</v>
      </c>
      <c r="G1069" t="str">
        <f>IF(ISERROR(VLOOKUP(F1069,MODIFICACIONES_REALIZADAS!F:H,3,)),F1069,VLOOKUP(F1069,MODIFICACIONES_REALIZADAS!F:H,3,))</f>
        <v>SM-O-GEN-Inspector-Prima-005-TotalMes</v>
      </c>
      <c r="H1069">
        <v>20140101</v>
      </c>
      <c r="I1069">
        <v>22000101</v>
      </c>
    </row>
    <row r="1070" spans="1:11" x14ac:dyDescent="0.25">
      <c r="A1070">
        <v>0</v>
      </c>
      <c r="B1070" t="s">
        <v>245</v>
      </c>
      <c r="C1070" t="s">
        <v>247</v>
      </c>
      <c r="D1070" t="s">
        <v>1868</v>
      </c>
      <c r="E1070" t="b">
        <f t="shared" si="98"/>
        <v>1</v>
      </c>
      <c r="F1070" t="s">
        <v>1869</v>
      </c>
      <c r="G1070" t="str">
        <f>IF(ISERROR(VLOOKUP(F1070,MODIFICACIONES_REALIZADAS!F:H,3,)),F1070,VLOOKUP(F1070,MODIFICACIONES_REALIZADAS!F:H,3,))</f>
        <v>SM-O-GEN-Inspector-Prima-006-TotalMes</v>
      </c>
      <c r="H1070">
        <v>20140101</v>
      </c>
      <c r="I1070">
        <v>22000101</v>
      </c>
    </row>
    <row r="1071" spans="1:11" x14ac:dyDescent="0.25">
      <c r="A1071">
        <v>0</v>
      </c>
      <c r="B1071" t="s">
        <v>245</v>
      </c>
      <c r="C1071" t="s">
        <v>247</v>
      </c>
      <c r="D1071" t="s">
        <v>1870</v>
      </c>
      <c r="E1071" t="b">
        <f t="shared" si="98"/>
        <v>1</v>
      </c>
      <c r="F1071" t="s">
        <v>1871</v>
      </c>
      <c r="G1071" t="str">
        <f>IF(ISERROR(VLOOKUP(F1071,MODIFICACIONES_REALIZADAS!F:H,3,)),F1071,VLOOKUP(F1071,MODIFICACIONES_REALIZADAS!F:H,3,))</f>
        <v>SM-O-GEN-Inspector-Prima-007-TotalMes</v>
      </c>
      <c r="H1071">
        <v>20140101</v>
      </c>
      <c r="I1071">
        <v>22000101</v>
      </c>
    </row>
    <row r="1072" spans="1:11" x14ac:dyDescent="0.25">
      <c r="A1072">
        <v>0</v>
      </c>
      <c r="B1072" t="s">
        <v>245</v>
      </c>
      <c r="C1072" t="s">
        <v>247</v>
      </c>
      <c r="D1072" t="s">
        <v>1872</v>
      </c>
      <c r="E1072" t="b">
        <f t="shared" si="98"/>
        <v>1</v>
      </c>
      <c r="F1072" t="s">
        <v>1873</v>
      </c>
      <c r="G1072" t="str">
        <f>IF(ISERROR(VLOOKUP(F1072,MODIFICACIONES_REALIZADAS!F:H,3,)),F1072,VLOOKUP(F1072,MODIFICACIONES_REALIZADAS!F:H,3,))</f>
        <v>SM-O-GEN-Inspector-Prima-008-TotalMes</v>
      </c>
      <c r="H1072">
        <v>20140101</v>
      </c>
      <c r="I1072">
        <v>22000101</v>
      </c>
    </row>
    <row r="1073" spans="1:9" x14ac:dyDescent="0.25">
      <c r="A1073">
        <v>0</v>
      </c>
      <c r="B1073" t="s">
        <v>245</v>
      </c>
      <c r="C1073" t="s">
        <v>247</v>
      </c>
      <c r="D1073" t="s">
        <v>1874</v>
      </c>
      <c r="E1073" t="b">
        <f t="shared" si="98"/>
        <v>1</v>
      </c>
      <c r="F1073" t="s">
        <v>1875</v>
      </c>
      <c r="G1073" t="str">
        <f>IF(ISERROR(VLOOKUP(F1073,MODIFICACIONES_REALIZADAS!F:H,3,)),F1073,VLOOKUP(F1073,MODIFICACIONES_REALIZADAS!F:H,3,))</f>
        <v>SM-O-GEN-Inspector-Prima-009-TotalMes</v>
      </c>
      <c r="H1073">
        <v>20140101</v>
      </c>
      <c r="I1073">
        <v>22000101</v>
      </c>
    </row>
    <row r="1074" spans="1:9" x14ac:dyDescent="0.25">
      <c r="A1074">
        <v>0</v>
      </c>
      <c r="B1074" t="s">
        <v>245</v>
      </c>
      <c r="C1074" t="s">
        <v>247</v>
      </c>
      <c r="D1074" t="s">
        <v>1876</v>
      </c>
      <c r="E1074" t="b">
        <f>F1074=G1074</f>
        <v>1</v>
      </c>
      <c r="F1074" t="s">
        <v>1877</v>
      </c>
      <c r="G1074" t="str">
        <f>IF(ISERROR(VLOOKUP(F1074,MODIFICACIONES_REALIZADAS!F:H,3,)),F1074,VLOOKUP(F1074,MODIFICACIONES_REALIZADAS!F:H,3,))</f>
        <v>SM-O-GEN-Inspector-Prima-906-TotalMes</v>
      </c>
      <c r="H1074">
        <v>20140101</v>
      </c>
      <c r="I1074">
        <v>22000101</v>
      </c>
    </row>
    <row r="1075" spans="1:9" x14ac:dyDescent="0.25">
      <c r="A1075">
        <v>0</v>
      </c>
      <c r="B1075" t="s">
        <v>245</v>
      </c>
      <c r="C1075" t="s">
        <v>247</v>
      </c>
      <c r="D1075" t="s">
        <v>1878</v>
      </c>
      <c r="E1075" t="b">
        <f t="shared" si="98"/>
        <v>1</v>
      </c>
      <c r="F1075" t="s">
        <v>1879</v>
      </c>
      <c r="G1075" t="str">
        <f>IF(ISERROR(VLOOKUP(F1075,MODIFICACIONES_REALIZADAS!F:H,3,)),F1075,VLOOKUP(F1075,MODIFICACIONES_REALIZADAS!F:H,3,))</f>
        <v>SM-O-GEN-Inspector-Prima-997-TotalMes</v>
      </c>
      <c r="H1075">
        <v>20140101</v>
      </c>
      <c r="I1075">
        <v>22000101</v>
      </c>
    </row>
    <row r="1076" spans="1:9" x14ac:dyDescent="0.25">
      <c r="A1076">
        <v>0</v>
      </c>
      <c r="B1076" t="s">
        <v>245</v>
      </c>
      <c r="C1076" t="s">
        <v>247</v>
      </c>
      <c r="D1076" t="s">
        <v>1880</v>
      </c>
      <c r="E1076" t="b">
        <f t="shared" si="98"/>
        <v>1</v>
      </c>
      <c r="F1076" t="s">
        <v>1881</v>
      </c>
      <c r="G1076" t="str">
        <f>IF(ISERROR(VLOOKUP(F1076,MODIFICACIONES_REALIZADAS!F:H,3,)),F1076,VLOOKUP(F1076,MODIFICACIONES_REALIZADAS!F:H,3,))</f>
        <v>SM-O-GEN-Inspector-Prima-998-TotalMes</v>
      </c>
      <c r="H1076">
        <v>20140101</v>
      </c>
      <c r="I1076">
        <v>22000101</v>
      </c>
    </row>
    <row r="1077" spans="1:9" x14ac:dyDescent="0.25">
      <c r="A1077">
        <v>0</v>
      </c>
      <c r="B1077" t="s">
        <v>245</v>
      </c>
      <c r="C1077" t="s">
        <v>247</v>
      </c>
      <c r="D1077" t="s">
        <v>1858</v>
      </c>
      <c r="E1077" t="b">
        <f t="shared" si="98"/>
        <v>1</v>
      </c>
      <c r="F1077" t="s">
        <v>1882</v>
      </c>
      <c r="G1077" t="str">
        <f>IF(ISERROR(VLOOKUP(F1077,MODIFICACIONES_REALIZADAS!F:H,3,)),F1077,VLOOKUP(F1077,MODIFICACIONES_REALIZADAS!F:H,3,))</f>
        <v>SM-O-GEN-Inspector-PrimaCorregida-001-TotalMes</v>
      </c>
      <c r="H1077">
        <v>20140101</v>
      </c>
      <c r="I1077">
        <v>22000101</v>
      </c>
    </row>
    <row r="1078" spans="1:9" x14ac:dyDescent="0.25">
      <c r="A1078">
        <v>0</v>
      </c>
      <c r="B1078" t="s">
        <v>245</v>
      </c>
      <c r="C1078" t="s">
        <v>247</v>
      </c>
      <c r="D1078" t="s">
        <v>1883</v>
      </c>
      <c r="E1078" t="b">
        <f t="shared" si="98"/>
        <v>1</v>
      </c>
      <c r="F1078" t="s">
        <v>1884</v>
      </c>
      <c r="G1078" t="str">
        <f>IF(ISERROR(VLOOKUP(F1078,MODIFICACIONES_REALIZADAS!F:H,3,)),F1078,VLOOKUP(F1078,MODIFICACIONES_REALIZADAS!F:H,3,))</f>
        <v>SM-O-GEN-Inspector-PrimaCorregida-002-TotalMes</v>
      </c>
      <c r="H1078">
        <v>20140101</v>
      </c>
      <c r="I1078">
        <v>22000101</v>
      </c>
    </row>
    <row r="1079" spans="1:9" x14ac:dyDescent="0.25">
      <c r="A1079">
        <v>0</v>
      </c>
      <c r="B1079" t="s">
        <v>245</v>
      </c>
      <c r="C1079" t="s">
        <v>247</v>
      </c>
      <c r="D1079" t="s">
        <v>1885</v>
      </c>
      <c r="E1079" t="b">
        <f t="shared" si="98"/>
        <v>1</v>
      </c>
      <c r="F1079" t="s">
        <v>1886</v>
      </c>
      <c r="G1079" t="str">
        <f>IF(ISERROR(VLOOKUP(F1079,MODIFICACIONES_REALIZADAS!F:H,3,)),F1079,VLOOKUP(F1079,MODIFICACIONES_REALIZADAS!F:H,3,))</f>
        <v>SM-O-GEN-Inspector-PrimaCorregida-003-TotalMes</v>
      </c>
      <c r="H1079">
        <v>20140101</v>
      </c>
      <c r="I1079">
        <v>22000101</v>
      </c>
    </row>
    <row r="1080" spans="1:9" x14ac:dyDescent="0.25">
      <c r="A1080">
        <v>0</v>
      </c>
      <c r="B1080" t="s">
        <v>245</v>
      </c>
      <c r="C1080" t="s">
        <v>247</v>
      </c>
      <c r="D1080" t="s">
        <v>1887</v>
      </c>
      <c r="E1080" t="b">
        <f t="shared" ref="E1080:E1142" si="100">F1080=G1080</f>
        <v>1</v>
      </c>
      <c r="F1080" t="s">
        <v>1888</v>
      </c>
      <c r="G1080" t="str">
        <f>IF(ISERROR(VLOOKUP(F1080,MODIFICACIONES_REALIZADAS!F:H,3,)),F1080,VLOOKUP(F1080,MODIFICACIONES_REALIZADAS!F:H,3,))</f>
        <v>SM-O-GEN-Inspector-PrimaCorregida-004-TotalMes</v>
      </c>
      <c r="H1080">
        <v>20140101</v>
      </c>
      <c r="I1080">
        <v>22000101</v>
      </c>
    </row>
    <row r="1081" spans="1:9" x14ac:dyDescent="0.25">
      <c r="A1081">
        <v>0</v>
      </c>
      <c r="B1081" t="s">
        <v>245</v>
      </c>
      <c r="C1081" t="s">
        <v>247</v>
      </c>
      <c r="D1081" t="s">
        <v>1889</v>
      </c>
      <c r="E1081" t="b">
        <f t="shared" si="100"/>
        <v>1</v>
      </c>
      <c r="F1081" t="s">
        <v>1890</v>
      </c>
      <c r="G1081" t="str">
        <f>IF(ISERROR(VLOOKUP(F1081,MODIFICACIONES_REALIZADAS!F:H,3,)),F1081,VLOOKUP(F1081,MODIFICACIONES_REALIZADAS!F:H,3,))</f>
        <v>SM-O-GEN-Inspector-PrimaCorregida-005-TotalMes</v>
      </c>
      <c r="H1081">
        <v>20140101</v>
      </c>
      <c r="I1081">
        <v>22000101</v>
      </c>
    </row>
    <row r="1082" spans="1:9" x14ac:dyDescent="0.25">
      <c r="A1082">
        <v>0</v>
      </c>
      <c r="B1082" t="s">
        <v>245</v>
      </c>
      <c r="C1082" t="s">
        <v>247</v>
      </c>
      <c r="D1082" t="s">
        <v>1891</v>
      </c>
      <c r="E1082" t="b">
        <f t="shared" si="100"/>
        <v>1</v>
      </c>
      <c r="F1082" t="s">
        <v>1892</v>
      </c>
      <c r="G1082" t="str">
        <f>IF(ISERROR(VLOOKUP(F1082,MODIFICACIONES_REALIZADAS!F:H,3,)),F1082,VLOOKUP(F1082,MODIFICACIONES_REALIZADAS!F:H,3,))</f>
        <v>SM-O-GEN-Inspector-PrimaCorregida-006-TotalMes</v>
      </c>
      <c r="H1082">
        <v>20140101</v>
      </c>
      <c r="I1082">
        <v>22000101</v>
      </c>
    </row>
    <row r="1083" spans="1:9" x14ac:dyDescent="0.25">
      <c r="A1083">
        <v>0</v>
      </c>
      <c r="B1083" t="s">
        <v>245</v>
      </c>
      <c r="C1083" t="s">
        <v>247</v>
      </c>
      <c r="D1083" t="s">
        <v>1893</v>
      </c>
      <c r="E1083" t="b">
        <f t="shared" si="100"/>
        <v>1</v>
      </c>
      <c r="F1083" t="s">
        <v>1894</v>
      </c>
      <c r="G1083" t="str">
        <f>IF(ISERROR(VLOOKUP(F1083,MODIFICACIONES_REALIZADAS!F:H,3,)),F1083,VLOOKUP(F1083,MODIFICACIONES_REALIZADAS!F:H,3,))</f>
        <v>SM-O-GEN-Inspector-PrimaCorregida-007-TotalMes</v>
      </c>
      <c r="H1083">
        <v>20140101</v>
      </c>
      <c r="I1083">
        <v>22000101</v>
      </c>
    </row>
    <row r="1084" spans="1:9" x14ac:dyDescent="0.25">
      <c r="A1084">
        <v>0</v>
      </c>
      <c r="B1084" t="s">
        <v>245</v>
      </c>
      <c r="C1084" t="s">
        <v>247</v>
      </c>
      <c r="D1084" t="s">
        <v>1895</v>
      </c>
      <c r="E1084" t="b">
        <f t="shared" si="100"/>
        <v>1</v>
      </c>
      <c r="F1084" t="s">
        <v>1896</v>
      </c>
      <c r="G1084" t="str">
        <f>IF(ISERROR(VLOOKUP(F1084,MODIFICACIONES_REALIZADAS!F:H,3,)),F1084,VLOOKUP(F1084,MODIFICACIONES_REALIZADAS!F:H,3,))</f>
        <v>SM-O-GEN-Inspector-PrimaCorregida-008-TotalMes</v>
      </c>
      <c r="H1084">
        <v>20140101</v>
      </c>
      <c r="I1084">
        <v>22000101</v>
      </c>
    </row>
    <row r="1085" spans="1:9" x14ac:dyDescent="0.25">
      <c r="A1085">
        <v>0</v>
      </c>
      <c r="B1085" t="s">
        <v>245</v>
      </c>
      <c r="C1085" t="s">
        <v>247</v>
      </c>
      <c r="D1085" t="s">
        <v>1897</v>
      </c>
      <c r="E1085" t="b">
        <f t="shared" si="100"/>
        <v>1</v>
      </c>
      <c r="F1085" t="s">
        <v>1898</v>
      </c>
      <c r="G1085" t="str">
        <f>IF(ISERROR(VLOOKUP(F1085,MODIFICACIONES_REALIZADAS!F:H,3,)),F1085,VLOOKUP(F1085,MODIFICACIONES_REALIZADAS!F:H,3,))</f>
        <v>SM-O-GEN-Inspector-PrimaCorregida-009-TotalMes</v>
      </c>
      <c r="H1085">
        <v>20140101</v>
      </c>
      <c r="I1085">
        <v>22000101</v>
      </c>
    </row>
    <row r="1086" spans="1:9" x14ac:dyDescent="0.25">
      <c r="A1086">
        <v>0</v>
      </c>
      <c r="B1086" t="s">
        <v>245</v>
      </c>
      <c r="C1086" t="s">
        <v>247</v>
      </c>
      <c r="D1086" t="s">
        <v>1899</v>
      </c>
      <c r="E1086" t="b">
        <f>F1086=G1086</f>
        <v>1</v>
      </c>
      <c r="F1086" t="s">
        <v>1900</v>
      </c>
      <c r="G1086" t="str">
        <f>IF(ISERROR(VLOOKUP(F1086,MODIFICACIONES_REALIZADAS!F:H,3,)),F1086,VLOOKUP(F1086,MODIFICACIONES_REALIZADAS!F:H,3,))</f>
        <v>SM-O-GEN-Inspector-PrimaCorregida-906-TotalMes</v>
      </c>
      <c r="H1086">
        <v>20140101</v>
      </c>
      <c r="I1086">
        <v>22000101</v>
      </c>
    </row>
    <row r="1087" spans="1:9" x14ac:dyDescent="0.25">
      <c r="A1087">
        <v>0</v>
      </c>
      <c r="B1087" t="s">
        <v>245</v>
      </c>
      <c r="C1087" t="s">
        <v>247</v>
      </c>
      <c r="D1087" t="s">
        <v>570</v>
      </c>
      <c r="E1087" t="b">
        <f t="shared" si="100"/>
        <v>1</v>
      </c>
      <c r="F1087" t="s">
        <v>1901</v>
      </c>
      <c r="G1087" t="str">
        <f>IF(ISERROR(VLOOKUP(F1087,MODIFICACIONES_REALIZADAS!F:H,3,)),F1087,VLOOKUP(F1087,MODIFICACIONES_REALIZADAS!F:H,3,))</f>
        <v>SM-O-GEN-Inspector-PrimaCorregida-997-TotalMes</v>
      </c>
      <c r="H1087">
        <v>20140101</v>
      </c>
      <c r="I1087">
        <v>22000101</v>
      </c>
    </row>
    <row r="1088" spans="1:9" x14ac:dyDescent="0.25">
      <c r="A1088">
        <v>0</v>
      </c>
      <c r="B1088" t="s">
        <v>245</v>
      </c>
      <c r="C1088" t="s">
        <v>247</v>
      </c>
      <c r="D1088" t="s">
        <v>429</v>
      </c>
      <c r="E1088" t="b">
        <f t="shared" si="100"/>
        <v>1</v>
      </c>
      <c r="F1088" t="s">
        <v>1098</v>
      </c>
      <c r="G1088" t="str">
        <f>IF(ISERROR(VLOOKUP(F1088,MODIFICACIONES_REALIZADAS!F:H,3,)),F1088,VLOOKUP(F1088,MODIFICACIONES_REALIZADAS!F:H,3,))</f>
        <v>SM-O-GEN-Inspector-PrimaCorregida-998-TotalMes</v>
      </c>
      <c r="H1088">
        <v>20140101</v>
      </c>
      <c r="I1088">
        <v>22000101</v>
      </c>
    </row>
    <row r="1089" spans="1:11" x14ac:dyDescent="0.25">
      <c r="A1089" s="22">
        <v>0</v>
      </c>
      <c r="B1089" s="22" t="s">
        <v>245</v>
      </c>
      <c r="C1089" s="22" t="s">
        <v>247</v>
      </c>
      <c r="D1089" s="22" t="s">
        <v>433</v>
      </c>
      <c r="E1089" s="22" t="b">
        <f>F1089=G1089</f>
        <v>1</v>
      </c>
      <c r="F1089" s="22" t="s">
        <v>434</v>
      </c>
      <c r="G1089" s="22" t="str">
        <f>IF(ISERROR(VLOOKUP(F1089,MODIFICACIONES_REALIZADAS!F:H,3,)),F1089,VLOOKUP(F1089,MODIFICACIONES_REALIZADAS!F:H,3,))</f>
        <v>SM-O-GEN-Inspector-NumAsegurados-TotalMes</v>
      </c>
      <c r="H1089" s="22">
        <v>20180101</v>
      </c>
      <c r="I1089" s="22">
        <v>22000101</v>
      </c>
      <c r="J1089" s="22" t="s">
        <v>1779</v>
      </c>
      <c r="K1089" s="22"/>
    </row>
    <row r="1090" spans="1:11" x14ac:dyDescent="0.25">
      <c r="A1090" s="22">
        <v>0</v>
      </c>
      <c r="B1090" s="22" t="s">
        <v>245</v>
      </c>
      <c r="C1090" s="22" t="s">
        <v>247</v>
      </c>
      <c r="D1090" s="22" t="s">
        <v>505</v>
      </c>
      <c r="E1090" s="22" t="b">
        <f>F1090=G1090</f>
        <v>1</v>
      </c>
      <c r="F1090" s="22" t="s">
        <v>506</v>
      </c>
      <c r="G1090" s="22" t="str">
        <f>IF(ISERROR(VLOOKUP(F1090,MODIFICACIONES_REALIZADAS!F:H,3,)),F1090,VLOOKUP(F1090,MODIFICACIONES_REALIZADAS!F:H,3,))</f>
        <v>SM-O-GEN-Inspector-NumAsegurados-TotalAnual</v>
      </c>
      <c r="H1090" s="22">
        <v>20180101</v>
      </c>
      <c r="I1090" s="22">
        <v>22000101</v>
      </c>
      <c r="J1090" s="22" t="s">
        <v>1779</v>
      </c>
      <c r="K1090" s="22"/>
    </row>
    <row r="1091" spans="1:11" x14ac:dyDescent="0.25">
      <c r="A1091">
        <v>0</v>
      </c>
      <c r="B1091" t="s">
        <v>245</v>
      </c>
      <c r="C1091" t="s">
        <v>247</v>
      </c>
      <c r="D1091" t="s">
        <v>478</v>
      </c>
      <c r="E1091" t="b">
        <f t="shared" si="100"/>
        <v>1</v>
      </c>
      <c r="F1091" t="s">
        <v>965</v>
      </c>
      <c r="G1091" t="str">
        <f>IF(ISERROR(VLOOKUP(F1091,MODIFICACIONES_REALIZADAS!F:H,3,)),F1091,VLOOKUP(F1091,MODIFICACIONES_REALIZADAS!F:H,3,))</f>
        <v>SM-O-GEN-Inspector-NumeroPolizas-001-TotalAnual</v>
      </c>
      <c r="H1091">
        <v>20140101</v>
      </c>
      <c r="I1091">
        <v>22000101</v>
      </c>
    </row>
    <row r="1092" spans="1:11" x14ac:dyDescent="0.25">
      <c r="A1092">
        <v>0</v>
      </c>
      <c r="B1092" t="s">
        <v>245</v>
      </c>
      <c r="C1092" t="s">
        <v>247</v>
      </c>
      <c r="D1092" t="s">
        <v>481</v>
      </c>
      <c r="E1092" t="b">
        <f t="shared" si="100"/>
        <v>1</v>
      </c>
      <c r="F1092" t="s">
        <v>966</v>
      </c>
      <c r="G1092" t="str">
        <f>IF(ISERROR(VLOOKUP(F1092,MODIFICACIONES_REALIZADAS!F:H,3,)),F1092,VLOOKUP(F1092,MODIFICACIONES_REALIZADAS!F:H,3,))</f>
        <v>SM-O-GEN-Inspector-NumeroPolizas-002-TotalAnual</v>
      </c>
      <c r="H1092">
        <v>20140101</v>
      </c>
      <c r="I1092">
        <v>22000101</v>
      </c>
    </row>
    <row r="1093" spans="1:11" x14ac:dyDescent="0.25">
      <c r="A1093">
        <v>0</v>
      </c>
      <c r="B1093" t="s">
        <v>245</v>
      </c>
      <c r="C1093" t="s">
        <v>247</v>
      </c>
      <c r="D1093" t="s">
        <v>967</v>
      </c>
      <c r="E1093" t="b">
        <f t="shared" si="100"/>
        <v>1</v>
      </c>
      <c r="F1093" t="s">
        <v>968</v>
      </c>
      <c r="G1093" t="str">
        <f>IF(ISERROR(VLOOKUP(F1093,MODIFICACIONES_REALIZADAS!F:H,3,)),F1093,VLOOKUP(F1093,MODIFICACIONES_REALIZADAS!F:H,3,))</f>
        <v>SM-O-GEN-Inspector-NumeroPolizas-003-TotalAnual</v>
      </c>
      <c r="H1093">
        <v>20140101</v>
      </c>
      <c r="I1093">
        <v>22000101</v>
      </c>
    </row>
    <row r="1094" spans="1:11" x14ac:dyDescent="0.25">
      <c r="A1094">
        <v>0</v>
      </c>
      <c r="B1094" t="s">
        <v>245</v>
      </c>
      <c r="C1094" t="s">
        <v>247</v>
      </c>
      <c r="D1094" t="s">
        <v>969</v>
      </c>
      <c r="E1094" t="b">
        <f t="shared" si="100"/>
        <v>1</v>
      </c>
      <c r="F1094" t="s">
        <v>970</v>
      </c>
      <c r="G1094" t="str">
        <f>IF(ISERROR(VLOOKUP(F1094,MODIFICACIONES_REALIZADAS!F:H,3,)),F1094,VLOOKUP(F1094,MODIFICACIONES_REALIZADAS!F:H,3,))</f>
        <v>SM-O-GEN-Inspector-NumeroPolizas-004-TotalAnual</v>
      </c>
      <c r="H1094">
        <v>20140101</v>
      </c>
      <c r="I1094">
        <v>22000101</v>
      </c>
    </row>
    <row r="1095" spans="1:11" x14ac:dyDescent="0.25">
      <c r="A1095">
        <v>0</v>
      </c>
      <c r="B1095" t="s">
        <v>245</v>
      </c>
      <c r="C1095" t="s">
        <v>247</v>
      </c>
      <c r="D1095" t="s">
        <v>971</v>
      </c>
      <c r="E1095" t="b">
        <f t="shared" si="100"/>
        <v>1</v>
      </c>
      <c r="F1095" t="s">
        <v>972</v>
      </c>
      <c r="G1095" t="str">
        <f>IF(ISERROR(VLOOKUP(F1095,MODIFICACIONES_REALIZADAS!F:H,3,)),F1095,VLOOKUP(F1095,MODIFICACIONES_REALIZADAS!F:H,3,))</f>
        <v>SM-O-GEN-Inspector-NumeroPolizas-005-TotalAnual</v>
      </c>
      <c r="H1095">
        <v>20140101</v>
      </c>
      <c r="I1095">
        <v>22000101</v>
      </c>
    </row>
    <row r="1096" spans="1:11" x14ac:dyDescent="0.25">
      <c r="A1096">
        <v>0</v>
      </c>
      <c r="B1096" t="s">
        <v>245</v>
      </c>
      <c r="C1096" t="s">
        <v>247</v>
      </c>
      <c r="D1096" t="s">
        <v>973</v>
      </c>
      <c r="E1096" t="b">
        <f t="shared" si="100"/>
        <v>1</v>
      </c>
      <c r="F1096" t="s">
        <v>974</v>
      </c>
      <c r="G1096" t="str">
        <f>IF(ISERROR(VLOOKUP(F1096,MODIFICACIONES_REALIZADAS!F:H,3,)),F1096,VLOOKUP(F1096,MODIFICACIONES_REALIZADAS!F:H,3,))</f>
        <v>SM-O-GEN-Inspector-NumeroPolizas-006-TotalAnual</v>
      </c>
      <c r="H1096">
        <v>20140101</v>
      </c>
      <c r="I1096">
        <v>22000101</v>
      </c>
    </row>
    <row r="1097" spans="1:11" x14ac:dyDescent="0.25">
      <c r="A1097">
        <v>0</v>
      </c>
      <c r="B1097" t="s">
        <v>245</v>
      </c>
      <c r="C1097" t="s">
        <v>247</v>
      </c>
      <c r="D1097" t="s">
        <v>977</v>
      </c>
      <c r="E1097" t="b">
        <f t="shared" si="100"/>
        <v>1</v>
      </c>
      <c r="F1097" t="s">
        <v>1902</v>
      </c>
      <c r="G1097" t="str">
        <f>IF(ISERROR(VLOOKUP(F1097,MODIFICACIONES_REALIZADAS!F:H,3,)),F1097,VLOOKUP(F1097,MODIFICACIONES_REALIZADAS!F:H,3,))</f>
        <v>SM-O-GEN-Inspector-NumeroPolizas-007-TotalAnual</v>
      </c>
      <c r="H1097">
        <v>20140101</v>
      </c>
      <c r="I1097">
        <v>22000101</v>
      </c>
    </row>
    <row r="1098" spans="1:11" x14ac:dyDescent="0.25">
      <c r="A1098">
        <v>0</v>
      </c>
      <c r="B1098" t="s">
        <v>245</v>
      </c>
      <c r="C1098" t="s">
        <v>247</v>
      </c>
      <c r="D1098" t="s">
        <v>975</v>
      </c>
      <c r="E1098" t="b">
        <f t="shared" si="100"/>
        <v>1</v>
      </c>
      <c r="F1098" t="s">
        <v>976</v>
      </c>
      <c r="G1098" t="str">
        <f>IF(ISERROR(VLOOKUP(F1098,MODIFICACIONES_REALIZADAS!F:H,3,)),F1098,VLOOKUP(F1098,MODIFICACIONES_REALIZADAS!F:H,3,))</f>
        <v>SM-O-GEN-Inspector-NumeroPolizas-008-TotalAnual</v>
      </c>
      <c r="H1098">
        <v>20140101</v>
      </c>
      <c r="I1098">
        <v>22000101</v>
      </c>
    </row>
    <row r="1099" spans="1:11" x14ac:dyDescent="0.25">
      <c r="A1099">
        <v>0</v>
      </c>
      <c r="B1099" t="s">
        <v>245</v>
      </c>
      <c r="C1099" t="s">
        <v>247</v>
      </c>
      <c r="D1099" t="s">
        <v>1903</v>
      </c>
      <c r="E1099" t="b">
        <f t="shared" si="100"/>
        <v>1</v>
      </c>
      <c r="F1099" t="s">
        <v>978</v>
      </c>
      <c r="G1099" t="str">
        <f>IF(ISERROR(VLOOKUP(F1099,MODIFICACIONES_REALIZADAS!F:H,3,)),F1099,VLOOKUP(F1099,MODIFICACIONES_REALIZADAS!F:H,3,))</f>
        <v>SM-O-GEN-Inspector-NumeroPolizas-009-TotalAnual</v>
      </c>
      <c r="H1099">
        <v>20140101</v>
      </c>
      <c r="I1099">
        <v>22000101</v>
      </c>
    </row>
    <row r="1100" spans="1:11" x14ac:dyDescent="0.25">
      <c r="A1100">
        <v>0</v>
      </c>
      <c r="B1100" t="s">
        <v>245</v>
      </c>
      <c r="C1100" t="s">
        <v>247</v>
      </c>
      <c r="D1100" t="s">
        <v>483</v>
      </c>
      <c r="E1100" t="b">
        <f>F1100=G1100</f>
        <v>1</v>
      </c>
      <c r="F1100" t="s">
        <v>979</v>
      </c>
      <c r="G1100" t="str">
        <f>IF(ISERROR(VLOOKUP(F1100,MODIFICACIONES_REALIZADAS!F:H,3,)),F1100,VLOOKUP(F1100,MODIFICACIONES_REALIZADAS!F:H,3,))</f>
        <v>SM-O-GEN-Inspector-NumeroPolizas-906-TotalAnual</v>
      </c>
      <c r="H1100">
        <v>20140101</v>
      </c>
      <c r="I1100">
        <v>22000101</v>
      </c>
    </row>
    <row r="1101" spans="1:11" x14ac:dyDescent="0.25">
      <c r="A1101">
        <v>0</v>
      </c>
      <c r="B1101" t="s">
        <v>245</v>
      </c>
      <c r="C1101" t="s">
        <v>247</v>
      </c>
      <c r="D1101" t="s">
        <v>980</v>
      </c>
      <c r="E1101" t="b">
        <f t="shared" si="100"/>
        <v>1</v>
      </c>
      <c r="F1101" t="s">
        <v>981</v>
      </c>
      <c r="G1101" t="str">
        <f>IF(ISERROR(VLOOKUP(F1101,MODIFICACIONES_REALIZADAS!F:H,3,)),F1101,VLOOKUP(F1101,MODIFICACIONES_REALIZADAS!F:H,3,))</f>
        <v>SM-O-GEN-Inspector-NumeroPolizas-997-TotalAnual</v>
      </c>
      <c r="H1101">
        <v>20140101</v>
      </c>
      <c r="I1101">
        <v>22000101</v>
      </c>
    </row>
    <row r="1102" spans="1:11" x14ac:dyDescent="0.25">
      <c r="A1102">
        <v>0</v>
      </c>
      <c r="B1102" t="s">
        <v>245</v>
      </c>
      <c r="C1102" t="s">
        <v>247</v>
      </c>
      <c r="D1102" t="s">
        <v>487</v>
      </c>
      <c r="E1102" t="b">
        <f t="shared" si="100"/>
        <v>1</v>
      </c>
      <c r="F1102" t="s">
        <v>982</v>
      </c>
      <c r="G1102" t="str">
        <f>IF(ISERROR(VLOOKUP(F1102,MODIFICACIONES_REALIZADAS!F:H,3,)),F1102,VLOOKUP(F1102,MODIFICACIONES_REALIZADAS!F:H,3,))</f>
        <v>SM-O-GEN-Inspector-NumeroPolizas-998-TotalAnual</v>
      </c>
      <c r="H1102">
        <v>20140101</v>
      </c>
      <c r="I1102">
        <v>22000101</v>
      </c>
    </row>
    <row r="1103" spans="1:11" x14ac:dyDescent="0.25">
      <c r="A1103" s="22">
        <v>0</v>
      </c>
      <c r="B1103" s="22" t="s">
        <v>245</v>
      </c>
      <c r="C1103" s="22" t="s">
        <v>247</v>
      </c>
      <c r="D1103" s="22" t="s">
        <v>489</v>
      </c>
      <c r="E1103" s="22" t="b">
        <f t="shared" ref="E1103:E1111" si="101">F1103=G1103</f>
        <v>1</v>
      </c>
      <c r="F1103" s="22" t="s">
        <v>490</v>
      </c>
      <c r="G1103" s="22" t="str">
        <f>IF(ISERROR(VLOOKUP(F1103,MODIFICACIONES_REALIZADAS!F:H,3,)),F1103,VLOOKUP(F1103,MODIFICACIONES_REALIZADAS!F:H,3,))</f>
        <v>SM-O-GEN-Inspector-NumeroPolizasCorregidas-001-TotalAnual</v>
      </c>
      <c r="H1103" s="22">
        <v>20180101</v>
      </c>
      <c r="I1103" s="22">
        <v>22000101</v>
      </c>
      <c r="J1103" s="22" t="s">
        <v>1779</v>
      </c>
      <c r="K1103" s="22"/>
    </row>
    <row r="1104" spans="1:11" x14ac:dyDescent="0.25">
      <c r="A1104" s="22">
        <v>0</v>
      </c>
      <c r="B1104" s="22" t="s">
        <v>245</v>
      </c>
      <c r="C1104" s="22" t="s">
        <v>247</v>
      </c>
      <c r="D1104" s="22" t="s">
        <v>491</v>
      </c>
      <c r="E1104" s="22" t="b">
        <f t="shared" si="101"/>
        <v>1</v>
      </c>
      <c r="F1104" s="22" t="s">
        <v>492</v>
      </c>
      <c r="G1104" s="22" t="str">
        <f>IF(ISERROR(VLOOKUP(F1104,MODIFICACIONES_REALIZADAS!F:H,3,)),F1104,VLOOKUP(F1104,MODIFICACIONES_REALIZADAS!F:H,3,))</f>
        <v>SM-O-GEN-Inspector-NumeroPolizasCorregidas-002-TotalAnual</v>
      </c>
      <c r="H1104" s="22">
        <v>20180101</v>
      </c>
      <c r="I1104" s="22">
        <v>22000101</v>
      </c>
      <c r="J1104" s="22" t="s">
        <v>1779</v>
      </c>
      <c r="K1104" s="22"/>
    </row>
    <row r="1105" spans="1:11" x14ac:dyDescent="0.25">
      <c r="A1105" s="22">
        <v>0</v>
      </c>
      <c r="B1105" s="22" t="s">
        <v>245</v>
      </c>
      <c r="C1105" s="22" t="s">
        <v>247</v>
      </c>
      <c r="D1105" s="22" t="s">
        <v>1904</v>
      </c>
      <c r="E1105" s="22" t="b">
        <f t="shared" si="101"/>
        <v>1</v>
      </c>
      <c r="F1105" s="22" t="s">
        <v>1905</v>
      </c>
      <c r="G1105" s="22" t="str">
        <f>IF(ISERROR(VLOOKUP(F1105,MODIFICACIONES_REALIZADAS!F:H,3,)),F1105,VLOOKUP(F1105,MODIFICACIONES_REALIZADAS!F:H,3,))</f>
        <v>SM-O-GEN-Inspector-NumeroPolizasCorregidas-003-TotalAnual</v>
      </c>
      <c r="H1105" s="22">
        <v>20180101</v>
      </c>
      <c r="I1105" s="22">
        <v>22000101</v>
      </c>
      <c r="J1105" s="22" t="s">
        <v>1779</v>
      </c>
      <c r="K1105" s="22"/>
    </row>
    <row r="1106" spans="1:11" x14ac:dyDescent="0.25">
      <c r="A1106" s="22">
        <v>0</v>
      </c>
      <c r="B1106" s="22" t="s">
        <v>245</v>
      </c>
      <c r="C1106" s="22" t="s">
        <v>247</v>
      </c>
      <c r="D1106" s="22" t="s">
        <v>1906</v>
      </c>
      <c r="E1106" s="22" t="b">
        <f t="shared" si="101"/>
        <v>1</v>
      </c>
      <c r="F1106" s="22" t="s">
        <v>1907</v>
      </c>
      <c r="G1106" s="22" t="str">
        <f>IF(ISERROR(VLOOKUP(F1106,MODIFICACIONES_REALIZADAS!F:H,3,)),F1106,VLOOKUP(F1106,MODIFICACIONES_REALIZADAS!F:H,3,))</f>
        <v>SM-O-GEN-Inspector-NumeroPolizasCorregidas-004-TotalAnual</v>
      </c>
      <c r="H1106" s="22">
        <v>20180101</v>
      </c>
      <c r="I1106" s="22">
        <v>22000101</v>
      </c>
      <c r="J1106" s="22" t="s">
        <v>1779</v>
      </c>
      <c r="K1106" s="22"/>
    </row>
    <row r="1107" spans="1:11" x14ac:dyDescent="0.25">
      <c r="A1107" s="22">
        <v>0</v>
      </c>
      <c r="B1107" s="22" t="s">
        <v>245</v>
      </c>
      <c r="C1107" s="22" t="s">
        <v>247</v>
      </c>
      <c r="D1107" s="22" t="s">
        <v>1908</v>
      </c>
      <c r="E1107" s="22" t="b">
        <f t="shared" si="101"/>
        <v>1</v>
      </c>
      <c r="F1107" s="22" t="s">
        <v>1909</v>
      </c>
      <c r="G1107" s="22" t="str">
        <f>IF(ISERROR(VLOOKUP(F1107,MODIFICACIONES_REALIZADAS!F:H,3,)),F1107,VLOOKUP(F1107,MODIFICACIONES_REALIZADAS!F:H,3,))</f>
        <v>SM-O-GEN-Inspector-NumeroPolizasCorregidas-005-TotalAnual</v>
      </c>
      <c r="H1107" s="22">
        <v>20180101</v>
      </c>
      <c r="I1107" s="22">
        <v>22000101</v>
      </c>
      <c r="J1107" s="22" t="s">
        <v>1779</v>
      </c>
      <c r="K1107" s="22"/>
    </row>
    <row r="1108" spans="1:11" x14ac:dyDescent="0.25">
      <c r="A1108" s="22">
        <v>0</v>
      </c>
      <c r="B1108" s="22" t="s">
        <v>245</v>
      </c>
      <c r="C1108" s="22" t="s">
        <v>247</v>
      </c>
      <c r="D1108" s="22" t="s">
        <v>1910</v>
      </c>
      <c r="E1108" s="22" t="b">
        <f t="shared" si="101"/>
        <v>1</v>
      </c>
      <c r="F1108" s="22" t="s">
        <v>1911</v>
      </c>
      <c r="G1108" s="22" t="str">
        <f>IF(ISERROR(VLOOKUP(F1108,MODIFICACIONES_REALIZADAS!F:H,3,)),F1108,VLOOKUP(F1108,MODIFICACIONES_REALIZADAS!F:H,3,))</f>
        <v>SM-O-GEN-Inspector-NumeroPolizasCorregidas-006-TotalAnual</v>
      </c>
      <c r="H1108" s="22">
        <v>20180101</v>
      </c>
      <c r="I1108" s="22">
        <v>22000101</v>
      </c>
      <c r="J1108" s="22" t="s">
        <v>1779</v>
      </c>
      <c r="K1108" s="22"/>
    </row>
    <row r="1109" spans="1:11" x14ac:dyDescent="0.25">
      <c r="A1109" s="22">
        <v>0</v>
      </c>
      <c r="B1109" s="22" t="s">
        <v>245</v>
      </c>
      <c r="C1109" s="22" t="s">
        <v>247</v>
      </c>
      <c r="D1109" s="22" t="s">
        <v>1912</v>
      </c>
      <c r="E1109" s="22" t="b">
        <f t="shared" si="101"/>
        <v>1</v>
      </c>
      <c r="F1109" s="22" t="s">
        <v>1913</v>
      </c>
      <c r="G1109" s="22" t="str">
        <f>IF(ISERROR(VLOOKUP(F1109,MODIFICACIONES_REALIZADAS!F:H,3,)),F1109,VLOOKUP(F1109,MODIFICACIONES_REALIZADAS!F:H,3,))</f>
        <v>SM-O-GEN-Inspector-NumeroPolizasCorregidas-007-TotalAnual</v>
      </c>
      <c r="H1109" s="22">
        <v>20180101</v>
      </c>
      <c r="I1109" s="22">
        <v>22000101</v>
      </c>
      <c r="J1109" s="22" t="s">
        <v>1779</v>
      </c>
      <c r="K1109" s="22"/>
    </row>
    <row r="1110" spans="1:11" x14ac:dyDescent="0.25">
      <c r="A1110" s="22">
        <v>0</v>
      </c>
      <c r="B1110" s="22" t="s">
        <v>245</v>
      </c>
      <c r="C1110" s="22" t="s">
        <v>247</v>
      </c>
      <c r="D1110" s="22" t="s">
        <v>1914</v>
      </c>
      <c r="E1110" s="22" t="b">
        <f t="shared" si="101"/>
        <v>1</v>
      </c>
      <c r="F1110" s="22" t="s">
        <v>1915</v>
      </c>
      <c r="G1110" s="22" t="str">
        <f>IF(ISERROR(VLOOKUP(F1110,MODIFICACIONES_REALIZADAS!F:H,3,)),F1110,VLOOKUP(F1110,MODIFICACIONES_REALIZADAS!F:H,3,))</f>
        <v>SM-O-GEN-Inspector-NumeroPolizasCorregidas-008-TotalAnual</v>
      </c>
      <c r="H1110" s="22">
        <v>20180101</v>
      </c>
      <c r="I1110" s="22">
        <v>22000101</v>
      </c>
      <c r="J1110" s="22" t="s">
        <v>1779</v>
      </c>
      <c r="K1110" s="22"/>
    </row>
    <row r="1111" spans="1:11" x14ac:dyDescent="0.25">
      <c r="A1111" s="22">
        <v>0</v>
      </c>
      <c r="B1111" s="22" t="s">
        <v>245</v>
      </c>
      <c r="C1111" s="22" t="s">
        <v>247</v>
      </c>
      <c r="D1111" s="22" t="s">
        <v>1916</v>
      </c>
      <c r="E1111" s="22" t="b">
        <f t="shared" si="101"/>
        <v>1</v>
      </c>
      <c r="F1111" s="22" t="s">
        <v>1917</v>
      </c>
      <c r="G1111" s="22" t="str">
        <f>IF(ISERROR(VLOOKUP(F1111,MODIFICACIONES_REALIZADAS!F:H,3,)),F1111,VLOOKUP(F1111,MODIFICACIONES_REALIZADAS!F:H,3,))</f>
        <v>SM-O-GEN-Inspector-NumeroPolizasCorregidas-009-TotalAnual</v>
      </c>
      <c r="H1111" s="22">
        <v>20180101</v>
      </c>
      <c r="I1111" s="22">
        <v>22000101</v>
      </c>
      <c r="J1111" s="22" t="s">
        <v>1779</v>
      </c>
      <c r="K1111" s="22"/>
    </row>
    <row r="1112" spans="1:11" x14ac:dyDescent="0.25">
      <c r="A1112" s="22">
        <v>0</v>
      </c>
      <c r="B1112" s="22" t="s">
        <v>245</v>
      </c>
      <c r="C1112" s="22" t="s">
        <v>247</v>
      </c>
      <c r="D1112" s="22" t="s">
        <v>493</v>
      </c>
      <c r="E1112" s="22" t="b">
        <f>F1112=G1112</f>
        <v>1</v>
      </c>
      <c r="F1112" s="22" t="s">
        <v>494</v>
      </c>
      <c r="G1112" s="22" t="str">
        <f>IF(ISERROR(VLOOKUP(F1112,MODIFICACIONES_REALIZADAS!F:H,3,)),F1112,VLOOKUP(F1112,MODIFICACIONES_REALIZADAS!F:H,3,))</f>
        <v>SM-O-GEN-Inspector-NumeroPolizasCorregidas-906-TotalAnual</v>
      </c>
      <c r="H1112" s="22">
        <v>20180101</v>
      </c>
      <c r="I1112" s="22">
        <v>22000101</v>
      </c>
      <c r="J1112" s="22" t="s">
        <v>1779</v>
      </c>
      <c r="K1112" s="22"/>
    </row>
    <row r="1113" spans="1:11" x14ac:dyDescent="0.25">
      <c r="A1113" s="22">
        <v>0</v>
      </c>
      <c r="B1113" s="22" t="s">
        <v>245</v>
      </c>
      <c r="C1113" s="22" t="s">
        <v>247</v>
      </c>
      <c r="D1113" s="22" t="s">
        <v>1918</v>
      </c>
      <c r="E1113" s="22" t="b">
        <f>F1113=G1113</f>
        <v>1</v>
      </c>
      <c r="F1113" s="22" t="s">
        <v>1405</v>
      </c>
      <c r="G1113" s="22" t="str">
        <f>IF(ISERROR(VLOOKUP(F1113,MODIFICACIONES_REALIZADAS!F:H,3,)),F1113,VLOOKUP(F1113,MODIFICACIONES_REALIZADAS!F:H,3,))</f>
        <v>SM-O-GEN-Inspector-NumeroPolizasCorregidas-997-TotalAnual</v>
      </c>
      <c r="H1113" s="22">
        <v>20180101</v>
      </c>
      <c r="I1113" s="22">
        <v>22000101</v>
      </c>
      <c r="J1113" s="22" t="s">
        <v>1779</v>
      </c>
      <c r="K1113" s="22"/>
    </row>
    <row r="1114" spans="1:11" x14ac:dyDescent="0.25">
      <c r="A1114" s="22">
        <v>0</v>
      </c>
      <c r="B1114" s="22" t="s">
        <v>245</v>
      </c>
      <c r="C1114" s="22" t="s">
        <v>247</v>
      </c>
      <c r="D1114" s="22" t="s">
        <v>503</v>
      </c>
      <c r="E1114" s="22" t="b">
        <f>F1114=G1114</f>
        <v>1</v>
      </c>
      <c r="F1114" s="22" t="s">
        <v>504</v>
      </c>
      <c r="G1114" s="22" t="str">
        <f>IF(ISERROR(VLOOKUP(F1114,MODIFICACIONES_REALIZADAS!F:H,3,)),F1114,VLOOKUP(F1114,MODIFICACIONES_REALIZADAS!F:H,3,))</f>
        <v>SM-O-GEN-Inspector-NumeroPolizasCorregidas-998-TotalAnual</v>
      </c>
      <c r="H1114" s="22">
        <v>20180101</v>
      </c>
      <c r="I1114" s="22">
        <v>22000101</v>
      </c>
      <c r="J1114" s="22" t="s">
        <v>1779</v>
      </c>
      <c r="K1114" s="22"/>
    </row>
    <row r="1115" spans="1:11" x14ac:dyDescent="0.25">
      <c r="A1115">
        <v>0</v>
      </c>
      <c r="B1115" t="s">
        <v>245</v>
      </c>
      <c r="C1115" t="s">
        <v>247</v>
      </c>
      <c r="D1115" t="s">
        <v>1919</v>
      </c>
      <c r="E1115" t="b">
        <f t="shared" si="100"/>
        <v>1</v>
      </c>
      <c r="F1115" t="s">
        <v>1920</v>
      </c>
      <c r="G1115" t="str">
        <f>IF(ISERROR(VLOOKUP(F1115,MODIFICACIONES_REALIZADAS!F:H,3,)),F1115,VLOOKUP(F1115,MODIFICACIONES_REALIZADAS!F:H,3,))</f>
        <v>SM-O-GEN-Inspector-Prima-001-TotalAnual</v>
      </c>
      <c r="H1115">
        <v>20140101</v>
      </c>
      <c r="I1115">
        <v>22000101</v>
      </c>
    </row>
    <row r="1116" spans="1:11" x14ac:dyDescent="0.25">
      <c r="A1116">
        <v>0</v>
      </c>
      <c r="B1116" t="s">
        <v>245</v>
      </c>
      <c r="C1116" t="s">
        <v>247</v>
      </c>
      <c r="D1116" t="s">
        <v>1921</v>
      </c>
      <c r="E1116" t="b">
        <f t="shared" si="100"/>
        <v>1</v>
      </c>
      <c r="F1116" t="s">
        <v>1276</v>
      </c>
      <c r="G1116" t="str">
        <f>IF(ISERROR(VLOOKUP(F1116,MODIFICACIONES_REALIZADAS!F:H,3,)),F1116,VLOOKUP(F1116,MODIFICACIONES_REALIZADAS!F:H,3,))</f>
        <v>SM-O-GEN-Inspector-Prima-002-TotalAnual</v>
      </c>
      <c r="H1116">
        <v>20140101</v>
      </c>
      <c r="I1116">
        <v>22000101</v>
      </c>
    </row>
    <row r="1117" spans="1:11" x14ac:dyDescent="0.25">
      <c r="A1117">
        <v>0</v>
      </c>
      <c r="B1117" t="s">
        <v>245</v>
      </c>
      <c r="C1117" t="s">
        <v>247</v>
      </c>
      <c r="D1117" t="s">
        <v>1922</v>
      </c>
      <c r="E1117" t="b">
        <f t="shared" si="100"/>
        <v>1</v>
      </c>
      <c r="F1117" t="s">
        <v>1923</v>
      </c>
      <c r="G1117" t="str">
        <f>IF(ISERROR(VLOOKUP(F1117,MODIFICACIONES_REALIZADAS!F:H,3,)),F1117,VLOOKUP(F1117,MODIFICACIONES_REALIZADAS!F:H,3,))</f>
        <v>SM-O-GEN-Inspector-Prima-003-TotalAnual</v>
      </c>
      <c r="H1117">
        <v>20140101</v>
      </c>
      <c r="I1117">
        <v>22000101</v>
      </c>
    </row>
    <row r="1118" spans="1:11" x14ac:dyDescent="0.25">
      <c r="A1118">
        <v>0</v>
      </c>
      <c r="B1118" t="s">
        <v>245</v>
      </c>
      <c r="C1118" t="s">
        <v>247</v>
      </c>
      <c r="D1118" t="s">
        <v>1924</v>
      </c>
      <c r="E1118" t="b">
        <f t="shared" si="100"/>
        <v>1</v>
      </c>
      <c r="F1118" t="s">
        <v>1925</v>
      </c>
      <c r="G1118" t="str">
        <f>IF(ISERROR(VLOOKUP(F1118,MODIFICACIONES_REALIZADAS!F:H,3,)),F1118,VLOOKUP(F1118,MODIFICACIONES_REALIZADAS!F:H,3,))</f>
        <v>SM-O-GEN-Inspector-Prima-004-TotalAnual</v>
      </c>
      <c r="H1118">
        <v>20140101</v>
      </c>
      <c r="I1118">
        <v>22000101</v>
      </c>
    </row>
    <row r="1119" spans="1:11" x14ac:dyDescent="0.25">
      <c r="A1119">
        <v>0</v>
      </c>
      <c r="B1119" t="s">
        <v>245</v>
      </c>
      <c r="C1119" t="s">
        <v>247</v>
      </c>
      <c r="D1119" t="s">
        <v>1926</v>
      </c>
      <c r="E1119" t="b">
        <f t="shared" si="100"/>
        <v>1</v>
      </c>
      <c r="F1119" t="s">
        <v>1927</v>
      </c>
      <c r="G1119" t="str">
        <f>IF(ISERROR(VLOOKUP(F1119,MODIFICACIONES_REALIZADAS!F:H,3,)),F1119,VLOOKUP(F1119,MODIFICACIONES_REALIZADAS!F:H,3,))</f>
        <v>SM-O-GEN-Inspector-Prima-005-TotalAnual</v>
      </c>
      <c r="H1119">
        <v>20140101</v>
      </c>
      <c r="I1119">
        <v>22000101</v>
      </c>
    </row>
    <row r="1120" spans="1:11" x14ac:dyDescent="0.25">
      <c r="A1120">
        <v>0</v>
      </c>
      <c r="B1120" t="s">
        <v>245</v>
      </c>
      <c r="C1120" t="s">
        <v>247</v>
      </c>
      <c r="D1120" t="s">
        <v>1928</v>
      </c>
      <c r="E1120" t="b">
        <f t="shared" si="100"/>
        <v>1</v>
      </c>
      <c r="F1120" t="s">
        <v>1929</v>
      </c>
      <c r="G1120" t="str">
        <f>IF(ISERROR(VLOOKUP(F1120,MODIFICACIONES_REALIZADAS!F:H,3,)),F1120,VLOOKUP(F1120,MODIFICACIONES_REALIZADAS!F:H,3,))</f>
        <v>SM-O-GEN-Inspector-Prima-006-TotalAnual</v>
      </c>
      <c r="H1120">
        <v>20140101</v>
      </c>
      <c r="I1120">
        <v>22000101</v>
      </c>
    </row>
    <row r="1121" spans="1:9" x14ac:dyDescent="0.25">
      <c r="A1121">
        <v>0</v>
      </c>
      <c r="B1121" t="s">
        <v>245</v>
      </c>
      <c r="C1121" t="s">
        <v>247</v>
      </c>
      <c r="D1121" t="s">
        <v>1930</v>
      </c>
      <c r="E1121" t="b">
        <f t="shared" si="100"/>
        <v>1</v>
      </c>
      <c r="F1121" t="s">
        <v>1931</v>
      </c>
      <c r="G1121" t="str">
        <f>IF(ISERROR(VLOOKUP(F1121,MODIFICACIONES_REALIZADAS!F:H,3,)),F1121,VLOOKUP(F1121,MODIFICACIONES_REALIZADAS!F:H,3,))</f>
        <v>SM-O-GEN-Inspector-Prima-007-TotalAnual</v>
      </c>
      <c r="H1121">
        <v>20140101</v>
      </c>
      <c r="I1121">
        <v>22000101</v>
      </c>
    </row>
    <row r="1122" spans="1:9" x14ac:dyDescent="0.25">
      <c r="A1122">
        <v>0</v>
      </c>
      <c r="B1122" t="s">
        <v>245</v>
      </c>
      <c r="C1122" t="s">
        <v>247</v>
      </c>
      <c r="D1122" t="s">
        <v>1932</v>
      </c>
      <c r="E1122" t="b">
        <f t="shared" si="100"/>
        <v>1</v>
      </c>
      <c r="F1122" t="s">
        <v>1933</v>
      </c>
      <c r="G1122" t="str">
        <f>IF(ISERROR(VLOOKUP(F1122,MODIFICACIONES_REALIZADAS!F:H,3,)),F1122,VLOOKUP(F1122,MODIFICACIONES_REALIZADAS!F:H,3,))</f>
        <v>SM-O-GEN-Inspector-Prima-008-TotalAnual</v>
      </c>
      <c r="H1122">
        <v>20140101</v>
      </c>
      <c r="I1122">
        <v>22000101</v>
      </c>
    </row>
    <row r="1123" spans="1:9" x14ac:dyDescent="0.25">
      <c r="A1123">
        <v>0</v>
      </c>
      <c r="B1123" t="s">
        <v>245</v>
      </c>
      <c r="C1123" t="s">
        <v>247</v>
      </c>
      <c r="D1123" t="s">
        <v>1934</v>
      </c>
      <c r="E1123" t="b">
        <f t="shared" si="100"/>
        <v>1</v>
      </c>
      <c r="F1123" t="s">
        <v>1935</v>
      </c>
      <c r="G1123" t="str">
        <f>IF(ISERROR(VLOOKUP(F1123,MODIFICACIONES_REALIZADAS!F:H,3,)),F1123,VLOOKUP(F1123,MODIFICACIONES_REALIZADAS!F:H,3,))</f>
        <v>SM-O-GEN-Inspector-Prima-009-TotalAnual</v>
      </c>
      <c r="H1123">
        <v>20140101</v>
      </c>
      <c r="I1123">
        <v>22000101</v>
      </c>
    </row>
    <row r="1124" spans="1:9" x14ac:dyDescent="0.25">
      <c r="A1124">
        <v>0</v>
      </c>
      <c r="B1124" t="s">
        <v>245</v>
      </c>
      <c r="C1124" t="s">
        <v>247</v>
      </c>
      <c r="D1124" t="s">
        <v>1936</v>
      </c>
      <c r="E1124" t="b">
        <f>F1124=G1124</f>
        <v>1</v>
      </c>
      <c r="F1124" t="s">
        <v>1288</v>
      </c>
      <c r="G1124" t="str">
        <f>IF(ISERROR(VLOOKUP(F1124,MODIFICACIONES_REALIZADAS!F:H,3,)),F1124,VLOOKUP(F1124,MODIFICACIONES_REALIZADAS!F:H,3,))</f>
        <v>SM-O-GEN-Inspector-Prima-906-TotalAnual</v>
      </c>
      <c r="H1124">
        <v>20140101</v>
      </c>
      <c r="I1124">
        <v>22000101</v>
      </c>
    </row>
    <row r="1125" spans="1:9" x14ac:dyDescent="0.25">
      <c r="A1125">
        <v>0</v>
      </c>
      <c r="B1125" t="s">
        <v>245</v>
      </c>
      <c r="C1125" t="s">
        <v>247</v>
      </c>
      <c r="D1125" t="s">
        <v>1937</v>
      </c>
      <c r="E1125" t="b">
        <f t="shared" si="100"/>
        <v>1</v>
      </c>
      <c r="F1125" t="s">
        <v>1938</v>
      </c>
      <c r="G1125" t="str">
        <f>IF(ISERROR(VLOOKUP(F1125,MODIFICACIONES_REALIZADAS!F:H,3,)),F1125,VLOOKUP(F1125,MODIFICACIONES_REALIZADAS!F:H,3,))</f>
        <v>SM-O-GEN-Inspector-Prima-997-TotalAnual</v>
      </c>
      <c r="H1125">
        <v>20140101</v>
      </c>
      <c r="I1125">
        <v>22000101</v>
      </c>
    </row>
    <row r="1126" spans="1:9" x14ac:dyDescent="0.25">
      <c r="A1126">
        <v>0</v>
      </c>
      <c r="B1126" t="s">
        <v>245</v>
      </c>
      <c r="C1126" t="s">
        <v>247</v>
      </c>
      <c r="D1126" t="s">
        <v>1939</v>
      </c>
      <c r="E1126" t="b">
        <f t="shared" si="100"/>
        <v>1</v>
      </c>
      <c r="F1126" t="s">
        <v>1940</v>
      </c>
      <c r="G1126" t="str">
        <f>IF(ISERROR(VLOOKUP(F1126,MODIFICACIONES_REALIZADAS!F:H,3,)),F1126,VLOOKUP(F1126,MODIFICACIONES_REALIZADAS!F:H,3,))</f>
        <v>SM-O-GEN-Inspector-Prima-998-TotalAnual</v>
      </c>
      <c r="H1126">
        <v>20140101</v>
      </c>
      <c r="I1126">
        <v>22000101</v>
      </c>
    </row>
    <row r="1127" spans="1:9" x14ac:dyDescent="0.25">
      <c r="A1127">
        <v>0</v>
      </c>
      <c r="B1127" t="s">
        <v>245</v>
      </c>
      <c r="C1127" t="s">
        <v>247</v>
      </c>
      <c r="D1127" t="s">
        <v>983</v>
      </c>
      <c r="E1127" t="b">
        <f t="shared" si="100"/>
        <v>1</v>
      </c>
      <c r="F1127" t="s">
        <v>984</v>
      </c>
      <c r="G1127" t="str">
        <f>IF(ISERROR(VLOOKUP(F1127,MODIFICACIONES_REALIZADAS!F:H,3,)),F1127,VLOOKUP(F1127,MODIFICACIONES_REALIZADAS!F:H,3,))</f>
        <v>SM-O-GEN-Inspector-PrimaCorregida-001-TotalAnual</v>
      </c>
      <c r="H1127">
        <v>20140101</v>
      </c>
      <c r="I1127">
        <v>22000101</v>
      </c>
    </row>
    <row r="1128" spans="1:9" x14ac:dyDescent="0.25">
      <c r="A1128">
        <v>0</v>
      </c>
      <c r="B1128" t="s">
        <v>245</v>
      </c>
      <c r="C1128" t="s">
        <v>247</v>
      </c>
      <c r="D1128" t="s">
        <v>985</v>
      </c>
      <c r="E1128" t="b">
        <f t="shared" si="100"/>
        <v>1</v>
      </c>
      <c r="F1128" t="s">
        <v>986</v>
      </c>
      <c r="G1128" t="str">
        <f>IF(ISERROR(VLOOKUP(F1128,MODIFICACIONES_REALIZADAS!F:H,3,)),F1128,VLOOKUP(F1128,MODIFICACIONES_REALIZADAS!F:H,3,))</f>
        <v>SM-O-GEN-Inspector-PrimaCorregida-002-TotalAnual</v>
      </c>
      <c r="H1128">
        <v>20140101</v>
      </c>
      <c r="I1128">
        <v>22000101</v>
      </c>
    </row>
    <row r="1129" spans="1:9" x14ac:dyDescent="0.25">
      <c r="A1129">
        <v>0</v>
      </c>
      <c r="B1129" t="s">
        <v>245</v>
      </c>
      <c r="C1129" t="s">
        <v>247</v>
      </c>
      <c r="D1129" t="s">
        <v>987</v>
      </c>
      <c r="E1129" t="b">
        <f t="shared" si="100"/>
        <v>1</v>
      </c>
      <c r="F1129" t="s">
        <v>988</v>
      </c>
      <c r="G1129" t="str">
        <f>IF(ISERROR(VLOOKUP(F1129,MODIFICACIONES_REALIZADAS!F:H,3,)),F1129,VLOOKUP(F1129,MODIFICACIONES_REALIZADAS!F:H,3,))</f>
        <v>SM-O-GEN-Inspector-PrimaCorregida-003-TotalAnual</v>
      </c>
      <c r="H1129">
        <v>20140101</v>
      </c>
      <c r="I1129">
        <v>22000101</v>
      </c>
    </row>
    <row r="1130" spans="1:9" x14ac:dyDescent="0.25">
      <c r="A1130">
        <v>0</v>
      </c>
      <c r="B1130" t="s">
        <v>245</v>
      </c>
      <c r="C1130" t="s">
        <v>247</v>
      </c>
      <c r="D1130" t="s">
        <v>989</v>
      </c>
      <c r="E1130" t="b">
        <f t="shared" si="100"/>
        <v>1</v>
      </c>
      <c r="F1130" t="s">
        <v>990</v>
      </c>
      <c r="G1130" t="str">
        <f>IF(ISERROR(VLOOKUP(F1130,MODIFICACIONES_REALIZADAS!F:H,3,)),F1130,VLOOKUP(F1130,MODIFICACIONES_REALIZADAS!F:H,3,))</f>
        <v>SM-O-GEN-Inspector-PrimaCorregida-004-TotalAnual</v>
      </c>
      <c r="H1130">
        <v>20140101</v>
      </c>
      <c r="I1130">
        <v>22000101</v>
      </c>
    </row>
    <row r="1131" spans="1:9" x14ac:dyDescent="0.25">
      <c r="A1131">
        <v>0</v>
      </c>
      <c r="B1131" t="s">
        <v>245</v>
      </c>
      <c r="C1131" t="s">
        <v>247</v>
      </c>
      <c r="D1131" t="s">
        <v>991</v>
      </c>
      <c r="E1131" t="b">
        <f t="shared" si="100"/>
        <v>1</v>
      </c>
      <c r="F1131" t="s">
        <v>992</v>
      </c>
      <c r="G1131" t="str">
        <f>IF(ISERROR(VLOOKUP(F1131,MODIFICACIONES_REALIZADAS!F:H,3,)),F1131,VLOOKUP(F1131,MODIFICACIONES_REALIZADAS!F:H,3,))</f>
        <v>SM-O-GEN-Inspector-PrimaCorregida-005-TotalAnual</v>
      </c>
      <c r="H1131">
        <v>20140101</v>
      </c>
      <c r="I1131">
        <v>22000101</v>
      </c>
    </row>
    <row r="1132" spans="1:9" x14ac:dyDescent="0.25">
      <c r="A1132">
        <v>0</v>
      </c>
      <c r="B1132" t="s">
        <v>245</v>
      </c>
      <c r="C1132" t="s">
        <v>247</v>
      </c>
      <c r="D1132" t="s">
        <v>993</v>
      </c>
      <c r="E1132" t="b">
        <f t="shared" si="100"/>
        <v>1</v>
      </c>
      <c r="F1132" t="s">
        <v>994</v>
      </c>
      <c r="G1132" t="str">
        <f>IF(ISERROR(VLOOKUP(F1132,MODIFICACIONES_REALIZADAS!F:H,3,)),F1132,VLOOKUP(F1132,MODIFICACIONES_REALIZADAS!F:H,3,))</f>
        <v>SM-O-GEN-Inspector-PrimaCorregida-006-TotalAnual</v>
      </c>
      <c r="H1132">
        <v>20140101</v>
      </c>
      <c r="I1132">
        <v>22000101</v>
      </c>
    </row>
    <row r="1133" spans="1:9" x14ac:dyDescent="0.25">
      <c r="A1133">
        <v>0</v>
      </c>
      <c r="B1133" t="s">
        <v>245</v>
      </c>
      <c r="C1133" t="s">
        <v>247</v>
      </c>
      <c r="D1133" t="s">
        <v>999</v>
      </c>
      <c r="E1133" t="b">
        <f t="shared" si="100"/>
        <v>1</v>
      </c>
      <c r="F1133" t="s">
        <v>996</v>
      </c>
      <c r="G1133" t="str">
        <f>IF(ISERROR(VLOOKUP(F1133,MODIFICACIONES_REALIZADAS!F:H,3,)),F1133,VLOOKUP(F1133,MODIFICACIONES_REALIZADAS!F:H,3,))</f>
        <v>SM-O-GEN-Inspector-PrimaCorregida-007-TotalAnual</v>
      </c>
      <c r="H1133">
        <v>20140101</v>
      </c>
      <c r="I1133">
        <v>22000101</v>
      </c>
    </row>
    <row r="1134" spans="1:9" x14ac:dyDescent="0.25">
      <c r="A1134">
        <v>0</v>
      </c>
      <c r="B1134" t="s">
        <v>245</v>
      </c>
      <c r="C1134" t="s">
        <v>247</v>
      </c>
      <c r="D1134" t="s">
        <v>997</v>
      </c>
      <c r="E1134" t="b">
        <f t="shared" si="100"/>
        <v>1</v>
      </c>
      <c r="F1134" t="s">
        <v>998</v>
      </c>
      <c r="G1134" t="str">
        <f>IF(ISERROR(VLOOKUP(F1134,MODIFICACIONES_REALIZADAS!F:H,3,)),F1134,VLOOKUP(F1134,MODIFICACIONES_REALIZADAS!F:H,3,))</f>
        <v>SM-O-GEN-Inspector-PrimaCorregida-008-TotalAnual</v>
      </c>
      <c r="H1134">
        <v>20140101</v>
      </c>
      <c r="I1134">
        <v>22000101</v>
      </c>
    </row>
    <row r="1135" spans="1:9" x14ac:dyDescent="0.25">
      <c r="A1135">
        <v>0</v>
      </c>
      <c r="B1135" t="s">
        <v>245</v>
      </c>
      <c r="C1135" t="s">
        <v>247</v>
      </c>
      <c r="D1135" t="s">
        <v>1941</v>
      </c>
      <c r="E1135" t="b">
        <f t="shared" si="100"/>
        <v>1</v>
      </c>
      <c r="F1135" t="s">
        <v>1000</v>
      </c>
      <c r="G1135" t="str">
        <f>IF(ISERROR(VLOOKUP(F1135,MODIFICACIONES_REALIZADAS!F:H,3,)),F1135,VLOOKUP(F1135,MODIFICACIONES_REALIZADAS!F:H,3,))</f>
        <v>SM-O-GEN-Inspector-PrimaCorregida-009-TotalAnual</v>
      </c>
      <c r="H1135">
        <v>20140101</v>
      </c>
      <c r="I1135">
        <v>22000101</v>
      </c>
    </row>
    <row r="1136" spans="1:9" x14ac:dyDescent="0.25">
      <c r="A1136">
        <v>0</v>
      </c>
      <c r="B1136" t="s">
        <v>245</v>
      </c>
      <c r="C1136" t="s">
        <v>247</v>
      </c>
      <c r="D1136" t="s">
        <v>1001</v>
      </c>
      <c r="E1136" t="b">
        <f>F1136=G1136</f>
        <v>1</v>
      </c>
      <c r="F1136" t="s">
        <v>1002</v>
      </c>
      <c r="G1136" t="str">
        <f>IF(ISERROR(VLOOKUP(F1136,MODIFICACIONES_REALIZADAS!F:H,3,)),F1136,VLOOKUP(F1136,MODIFICACIONES_REALIZADAS!F:H,3,))</f>
        <v>SM-O-GEN-Inspector-PrimaCorregida-906-TotalAnual</v>
      </c>
      <c r="H1136">
        <v>20140101</v>
      </c>
      <c r="I1136">
        <v>22000101</v>
      </c>
    </row>
    <row r="1137" spans="1:11" x14ac:dyDescent="0.25">
      <c r="A1137">
        <v>0</v>
      </c>
      <c r="B1137" t="s">
        <v>245</v>
      </c>
      <c r="C1137" t="s">
        <v>247</v>
      </c>
      <c r="D1137" t="s">
        <v>1003</v>
      </c>
      <c r="E1137" t="b">
        <f t="shared" si="100"/>
        <v>1</v>
      </c>
      <c r="F1137" t="s">
        <v>1004</v>
      </c>
      <c r="G1137" t="str">
        <f>IF(ISERROR(VLOOKUP(F1137,MODIFICACIONES_REALIZADAS!F:H,3,)),F1137,VLOOKUP(F1137,MODIFICACIONES_REALIZADAS!F:H,3,))</f>
        <v>SM-O-GEN-Inspector-PrimaCorregida-997-TotalAnual</v>
      </c>
      <c r="H1137">
        <v>20140101</v>
      </c>
      <c r="I1137">
        <v>22000101</v>
      </c>
    </row>
    <row r="1138" spans="1:11" x14ac:dyDescent="0.25">
      <c r="A1138">
        <v>0</v>
      </c>
      <c r="B1138" t="s">
        <v>245</v>
      </c>
      <c r="C1138" t="s">
        <v>247</v>
      </c>
      <c r="D1138" t="s">
        <v>501</v>
      </c>
      <c r="E1138" t="b">
        <f t="shared" si="100"/>
        <v>1</v>
      </c>
      <c r="F1138" t="s">
        <v>1005</v>
      </c>
      <c r="G1138" t="str">
        <f>IF(ISERROR(VLOOKUP(F1138,MODIFICACIONES_REALIZADAS!F:H,3,)),F1138,VLOOKUP(F1138,MODIFICACIONES_REALIZADAS!F:H,3,))</f>
        <v>SM-O-GEN-Inspector-PrimaCorregida-998-TotalAnual</v>
      </c>
      <c r="H1138">
        <v>20140101</v>
      </c>
      <c r="I1138">
        <v>22000101</v>
      </c>
    </row>
    <row r="1139" spans="1:11" x14ac:dyDescent="0.25">
      <c r="A1139" s="25">
        <v>0</v>
      </c>
      <c r="B1139" s="25" t="s">
        <v>249</v>
      </c>
      <c r="C1139" s="25" t="s">
        <v>251</v>
      </c>
      <c r="D1139" s="25" t="s">
        <v>1820</v>
      </c>
      <c r="E1139" s="25" t="b">
        <f t="shared" si="100"/>
        <v>1</v>
      </c>
      <c r="F1139" s="25" t="s">
        <v>1701</v>
      </c>
      <c r="G1139" s="25" t="str">
        <f>IF(ISERROR(VLOOKUP(F1139,[2]MODIFICACIONES_REALIZADAS!F:H,3,)),F1139,VLOOKUP(F1139,[2]MODIFICACIONES_REALIZADAS!F:H,3,))</f>
        <v>DC-O-GEN-Inspector-NumeroPolizas-998</v>
      </c>
      <c r="H1139" s="25">
        <v>20140101</v>
      </c>
      <c r="I1139" s="25">
        <v>22000101</v>
      </c>
      <c r="J1139" s="25" t="s">
        <v>1316</v>
      </c>
      <c r="K1139" s="25"/>
    </row>
    <row r="1140" spans="1:11" x14ac:dyDescent="0.25">
      <c r="A1140" s="25">
        <v>0</v>
      </c>
      <c r="B1140" s="25" t="s">
        <v>249</v>
      </c>
      <c r="C1140" s="25" t="s">
        <v>251</v>
      </c>
      <c r="D1140" s="25" t="s">
        <v>1820</v>
      </c>
      <c r="E1140" s="25" t="b">
        <f t="shared" si="100"/>
        <v>1</v>
      </c>
      <c r="F1140" s="25" t="s">
        <v>1702</v>
      </c>
      <c r="G1140" s="25" t="str">
        <f>IF(ISERROR(VLOOKUP(F1140,[2]MODIFICACIONES_REALIZADAS!F:H,3,)),F1140,VLOOKUP(F1140,[2]MODIFICACIONES_REALIZADAS!F:H,3,))</f>
        <v>IC-O-GEN-Inspector-NumeroPolizas-998</v>
      </c>
      <c r="H1140" s="25">
        <v>20140101</v>
      </c>
      <c r="I1140" s="25">
        <v>22000101</v>
      </c>
      <c r="J1140" s="25" t="s">
        <v>1316</v>
      </c>
      <c r="K1140" s="25"/>
    </row>
    <row r="1141" spans="1:11" x14ac:dyDescent="0.25">
      <c r="A1141" s="25">
        <v>0</v>
      </c>
      <c r="B1141" s="25" t="s">
        <v>249</v>
      </c>
      <c r="C1141" s="25" t="s">
        <v>251</v>
      </c>
      <c r="D1141" s="25" t="s">
        <v>1942</v>
      </c>
      <c r="E1141" s="25" t="b">
        <f t="shared" si="100"/>
        <v>1</v>
      </c>
      <c r="F1141" s="25" t="s">
        <v>1705</v>
      </c>
      <c r="G1141" s="25" t="str">
        <f>IF(ISERROR(VLOOKUP(F1141,[2]MODIFICACIONES_REALIZADAS!F:H,3,)),F1141,VLOOKUP(F1141,[2]MODIFICACIONES_REALIZADAS!F:H,3,))</f>
        <v>DC-O-GEN-Inspector-PrimaCorregida-998</v>
      </c>
      <c r="H1141" s="25">
        <v>20140101</v>
      </c>
      <c r="I1141" s="25">
        <v>22000101</v>
      </c>
      <c r="J1141" s="25" t="s">
        <v>1316</v>
      </c>
      <c r="K1141" s="25"/>
    </row>
    <row r="1142" spans="1:11" x14ac:dyDescent="0.25">
      <c r="A1142" s="25">
        <v>0</v>
      </c>
      <c r="B1142" s="25" t="s">
        <v>249</v>
      </c>
      <c r="C1142" s="25" t="s">
        <v>251</v>
      </c>
      <c r="D1142" s="25" t="s">
        <v>1942</v>
      </c>
      <c r="E1142" s="25" t="b">
        <f t="shared" si="100"/>
        <v>1</v>
      </c>
      <c r="F1142" s="25" t="s">
        <v>1706</v>
      </c>
      <c r="G1142" s="25" t="str">
        <f>IF(ISERROR(VLOOKUP(F1142,[2]MODIFICACIONES_REALIZADAS!F:H,3,)),F1142,VLOOKUP(F1142,[2]MODIFICACIONES_REALIZADAS!F:H,3,))</f>
        <v>IC-O-GEN-Inspector-PrimaCorregida-998</v>
      </c>
      <c r="H1142" s="25">
        <v>20140101</v>
      </c>
      <c r="I1142" s="25">
        <v>22000101</v>
      </c>
      <c r="J1142" s="25" t="s">
        <v>1316</v>
      </c>
      <c r="K1142" s="25"/>
    </row>
    <row r="1143" spans="1:11" x14ac:dyDescent="0.25">
      <c r="A1143" s="2">
        <v>0</v>
      </c>
      <c r="B1143" s="2" t="s">
        <v>252</v>
      </c>
      <c r="C1143" s="2" t="s">
        <v>254</v>
      </c>
      <c r="D1143" s="2" t="s">
        <v>1943</v>
      </c>
      <c r="E1143" s="2" t="b">
        <f t="shared" ref="E1143:E1154" si="102">F1143=G1143</f>
        <v>1</v>
      </c>
      <c r="F1143" s="2" t="s">
        <v>1944</v>
      </c>
      <c r="G1143" s="2" t="str">
        <f>IF(ISERROR(VLOOKUP(F1143,MODIFICACIONES_REALIZADAS!F:H,3,)),F1143,VLOOKUP(F1143,MODIFICACIONES_REALIZADAS!F:H,3,))</f>
        <v>SM-E-GEN-Agente-NumeroPolizas-001-TotalMes</v>
      </c>
      <c r="H1143" s="2">
        <v>20140101</v>
      </c>
      <c r="I1143" s="2">
        <v>20180101</v>
      </c>
      <c r="J1143" s="2" t="s">
        <v>1779</v>
      </c>
      <c r="K1143" s="2"/>
    </row>
    <row r="1144" spans="1:11" x14ac:dyDescent="0.25">
      <c r="A1144" s="2">
        <v>0</v>
      </c>
      <c r="B1144" s="2" t="s">
        <v>252</v>
      </c>
      <c r="C1144" s="2" t="s">
        <v>254</v>
      </c>
      <c r="D1144" s="2" t="s">
        <v>1945</v>
      </c>
      <c r="E1144" s="2" t="b">
        <f t="shared" si="102"/>
        <v>1</v>
      </c>
      <c r="F1144" s="2" t="s">
        <v>1946</v>
      </c>
      <c r="G1144" s="2" t="str">
        <f>IF(ISERROR(VLOOKUP(F1144,MODIFICACIONES_REALIZADAS!F:H,3,)),F1144,VLOOKUP(F1144,MODIFICACIONES_REALIZADAS!F:H,3,))</f>
        <v>SM-E-GEN-Agente-NumeroPolizas-004-TotalMes</v>
      </c>
      <c r="H1144" s="2">
        <v>20140101</v>
      </c>
      <c r="I1144" s="2">
        <v>20180101</v>
      </c>
      <c r="J1144" s="2" t="s">
        <v>1779</v>
      </c>
      <c r="K1144" s="2"/>
    </row>
    <row r="1145" spans="1:11" x14ac:dyDescent="0.25">
      <c r="A1145" s="2">
        <v>0</v>
      </c>
      <c r="B1145" s="2" t="s">
        <v>252</v>
      </c>
      <c r="C1145" s="2" t="s">
        <v>254</v>
      </c>
      <c r="D1145" s="2" t="s">
        <v>1947</v>
      </c>
      <c r="E1145" s="2" t="b">
        <f t="shared" si="102"/>
        <v>1</v>
      </c>
      <c r="F1145" s="2" t="s">
        <v>1948</v>
      </c>
      <c r="G1145" s="2" t="str">
        <f>IF(ISERROR(VLOOKUP(F1145,MODIFICACIONES_REALIZADAS!F:H,3,)),F1145,VLOOKUP(F1145,MODIFICACIONES_REALIZADAS!F:H,3,))</f>
        <v>SM-E-GEN-Agente-NumeroPolizas-006-TotalMes</v>
      </c>
      <c r="H1145" s="2">
        <v>20140101</v>
      </c>
      <c r="I1145" s="2">
        <v>20180101</v>
      </c>
      <c r="J1145" s="2" t="s">
        <v>1779</v>
      </c>
      <c r="K1145" s="2"/>
    </row>
    <row r="1146" spans="1:11" x14ac:dyDescent="0.25">
      <c r="A1146" s="2">
        <v>0</v>
      </c>
      <c r="B1146" s="2" t="s">
        <v>252</v>
      </c>
      <c r="C1146" s="2" t="s">
        <v>254</v>
      </c>
      <c r="D1146" s="2" t="s">
        <v>1949</v>
      </c>
      <c r="E1146" s="2" t="b">
        <f t="shared" si="102"/>
        <v>1</v>
      </c>
      <c r="F1146" s="2" t="s">
        <v>1950</v>
      </c>
      <c r="G1146" s="2" t="str">
        <f>IF(ISERROR(VLOOKUP(F1146,MODIFICACIONES_REALIZADAS!F:H,3,)),F1146,VLOOKUP(F1146,MODIFICACIONES_REALIZADAS!F:H,3,))</f>
        <v>SM-E-GEN-Agente-NumeroPolizas-998</v>
      </c>
      <c r="H1146" s="2">
        <v>20140101</v>
      </c>
      <c r="I1146" s="2">
        <v>20180101</v>
      </c>
      <c r="J1146" s="2" t="s">
        <v>1779</v>
      </c>
      <c r="K1146" s="2"/>
    </row>
    <row r="1147" spans="1:11" x14ac:dyDescent="0.25">
      <c r="A1147" s="2">
        <v>0</v>
      </c>
      <c r="B1147" s="2" t="s">
        <v>252</v>
      </c>
      <c r="C1147" s="2" t="s">
        <v>254</v>
      </c>
      <c r="D1147" s="2" t="s">
        <v>1951</v>
      </c>
      <c r="E1147" s="2" t="b">
        <f t="shared" si="102"/>
        <v>1</v>
      </c>
      <c r="F1147" s="2" t="s">
        <v>1952</v>
      </c>
      <c r="G1147" s="2" t="str">
        <f>IF(ISERROR(VLOOKUP(F1147,MODIFICACIONES_REALIZADAS!F:H,3,)),F1147,VLOOKUP(F1147,MODIFICACIONES_REALIZADAS!F:H,3,))</f>
        <v>SM-E-GEN-Agente-NumeroPolizasCorregidas-001-TotalMes</v>
      </c>
      <c r="H1147" s="2">
        <v>20140101</v>
      </c>
      <c r="I1147" s="2">
        <v>20180101</v>
      </c>
      <c r="J1147" s="2" t="s">
        <v>1779</v>
      </c>
      <c r="K1147" s="2"/>
    </row>
    <row r="1148" spans="1:11" x14ac:dyDescent="0.25">
      <c r="A1148" s="2">
        <v>0</v>
      </c>
      <c r="B1148" s="2" t="s">
        <v>252</v>
      </c>
      <c r="C1148" s="2" t="s">
        <v>254</v>
      </c>
      <c r="D1148" s="2" t="s">
        <v>1953</v>
      </c>
      <c r="E1148" s="2" t="b">
        <f t="shared" si="102"/>
        <v>1</v>
      </c>
      <c r="F1148" s="2" t="s">
        <v>1954</v>
      </c>
      <c r="G1148" s="2" t="str">
        <f>IF(ISERROR(VLOOKUP(F1148,MODIFICACIONES_REALIZADAS!F:H,3,)),F1148,VLOOKUP(F1148,MODIFICACIONES_REALIZADAS!F:H,3,))</f>
        <v>SM-E-GEN-Agente-NumeroPolizasCorregidas-004-TotalMes</v>
      </c>
      <c r="H1148" s="2">
        <v>20140101</v>
      </c>
      <c r="I1148" s="2">
        <v>20180101</v>
      </c>
      <c r="J1148" s="2" t="s">
        <v>1779</v>
      </c>
      <c r="K1148" s="2"/>
    </row>
    <row r="1149" spans="1:11" x14ac:dyDescent="0.25">
      <c r="A1149" s="2">
        <v>0</v>
      </c>
      <c r="B1149" s="2" t="s">
        <v>252</v>
      </c>
      <c r="C1149" s="2" t="s">
        <v>254</v>
      </c>
      <c r="D1149" s="2" t="s">
        <v>1955</v>
      </c>
      <c r="E1149" s="2" t="b">
        <f t="shared" si="102"/>
        <v>1</v>
      </c>
      <c r="F1149" s="2" t="s">
        <v>1956</v>
      </c>
      <c r="G1149" s="2" t="str">
        <f>IF(ISERROR(VLOOKUP(F1149,MODIFICACIONES_REALIZADAS!F:H,3,)),F1149,VLOOKUP(F1149,MODIFICACIONES_REALIZADAS!F:H,3,))</f>
        <v>SM-E-GEN-Agente-NumeroPolizasCorregidas-006-TotalMes</v>
      </c>
      <c r="H1149" s="2">
        <v>20140101</v>
      </c>
      <c r="I1149" s="2">
        <v>20180101</v>
      </c>
      <c r="J1149" s="2" t="s">
        <v>1779</v>
      </c>
      <c r="K1149" s="2"/>
    </row>
    <row r="1150" spans="1:11" x14ac:dyDescent="0.25">
      <c r="A1150" s="2">
        <v>0</v>
      </c>
      <c r="B1150" s="2" t="s">
        <v>252</v>
      </c>
      <c r="C1150" s="2" t="s">
        <v>254</v>
      </c>
      <c r="D1150" s="2" t="s">
        <v>1957</v>
      </c>
      <c r="E1150" s="2" t="b">
        <f t="shared" si="102"/>
        <v>1</v>
      </c>
      <c r="F1150" s="2" t="s">
        <v>1958</v>
      </c>
      <c r="G1150" s="2" t="str">
        <f>IF(ISERROR(VLOOKUP(F1150,MODIFICACIONES_REALIZADAS!F:H,3,)),F1150,VLOOKUP(F1150,MODIFICACIONES_REALIZADAS!F:H,3,))</f>
        <v>SM-E-GEN-Agente-NumeroPolizasCorregidas-998-TotalMes</v>
      </c>
      <c r="H1150" s="2">
        <v>20140101</v>
      </c>
      <c r="I1150" s="2">
        <v>20180101</v>
      </c>
      <c r="J1150" s="2" t="s">
        <v>1779</v>
      </c>
      <c r="K1150" s="2"/>
    </row>
    <row r="1151" spans="1:11" x14ac:dyDescent="0.25">
      <c r="A1151" s="2">
        <v>0</v>
      </c>
      <c r="B1151" s="2" t="s">
        <v>252</v>
      </c>
      <c r="C1151" s="2" t="s">
        <v>254</v>
      </c>
      <c r="D1151" s="2" t="s">
        <v>1959</v>
      </c>
      <c r="E1151" s="2" t="b">
        <f t="shared" si="102"/>
        <v>1</v>
      </c>
      <c r="F1151" s="2" t="s">
        <v>1960</v>
      </c>
      <c r="G1151" s="2" t="str">
        <f>IF(ISERROR(VLOOKUP(F1151,MODIFICACIONES_REALIZADAS!F:H,3,)),F1151,VLOOKUP(F1151,MODIFICACIONES_REALIZADAS!F:H,3,))</f>
        <v>SM-E-GEN-Agente-PrimaCorregida-001-TotalMes</v>
      </c>
      <c r="H1151" s="2">
        <v>20140101</v>
      </c>
      <c r="I1151" s="2">
        <v>20180101</v>
      </c>
      <c r="J1151" s="2" t="s">
        <v>1779</v>
      </c>
      <c r="K1151" s="2"/>
    </row>
    <row r="1152" spans="1:11" x14ac:dyDescent="0.25">
      <c r="A1152" s="2">
        <v>0</v>
      </c>
      <c r="B1152" s="2" t="s">
        <v>252</v>
      </c>
      <c r="C1152" s="2" t="s">
        <v>254</v>
      </c>
      <c r="D1152" s="2" t="s">
        <v>1961</v>
      </c>
      <c r="E1152" s="2" t="b">
        <f t="shared" si="102"/>
        <v>1</v>
      </c>
      <c r="F1152" s="2" t="s">
        <v>1962</v>
      </c>
      <c r="G1152" s="2" t="str">
        <f>IF(ISERROR(VLOOKUP(F1152,MODIFICACIONES_REALIZADAS!F:H,3,)),F1152,VLOOKUP(F1152,MODIFICACIONES_REALIZADAS!F:H,3,))</f>
        <v>SM-E-GEN-Agente-PrimaCorregida-004-TotalMes</v>
      </c>
      <c r="H1152" s="2">
        <v>20140101</v>
      </c>
      <c r="I1152" s="2">
        <v>20180101</v>
      </c>
      <c r="J1152" s="2" t="s">
        <v>1779</v>
      </c>
      <c r="K1152" s="2"/>
    </row>
    <row r="1153" spans="1:11" x14ac:dyDescent="0.25">
      <c r="A1153" s="2">
        <v>0</v>
      </c>
      <c r="B1153" s="2" t="s">
        <v>252</v>
      </c>
      <c r="C1153" s="2" t="s">
        <v>254</v>
      </c>
      <c r="D1153" s="2" t="s">
        <v>1963</v>
      </c>
      <c r="E1153" s="2" t="b">
        <f t="shared" si="102"/>
        <v>1</v>
      </c>
      <c r="F1153" s="2" t="s">
        <v>1964</v>
      </c>
      <c r="G1153" s="2" t="str">
        <f>IF(ISERROR(VLOOKUP(F1153,MODIFICACIONES_REALIZADAS!F:H,3,)),F1153,VLOOKUP(F1153,MODIFICACIONES_REALIZADAS!F:H,3,))</f>
        <v>SM-E-GEN-Agente-PrimaCorregida-006-TotalMes</v>
      </c>
      <c r="H1153" s="2">
        <v>20140101</v>
      </c>
      <c r="I1153" s="2">
        <v>20180101</v>
      </c>
      <c r="J1153" s="2" t="s">
        <v>1779</v>
      </c>
      <c r="K1153" s="2"/>
    </row>
    <row r="1154" spans="1:11" x14ac:dyDescent="0.25">
      <c r="A1154" s="2">
        <v>0</v>
      </c>
      <c r="B1154" s="2" t="s">
        <v>252</v>
      </c>
      <c r="C1154" s="2" t="s">
        <v>254</v>
      </c>
      <c r="D1154" s="2" t="s">
        <v>1965</v>
      </c>
      <c r="E1154" s="2" t="b">
        <f t="shared" si="102"/>
        <v>1</v>
      </c>
      <c r="F1154" s="2" t="s">
        <v>1966</v>
      </c>
      <c r="G1154" s="2" t="str">
        <f>IF(ISERROR(VLOOKUP(F1154,MODIFICACIONES_REALIZADAS!F:H,3,)),F1154,VLOOKUP(F1154,MODIFICACIONES_REALIZADAS!F:H,3,))</f>
        <v>SM-E-GEN-Agente-PrimaCorregida-998-TotalMes</v>
      </c>
      <c r="H1154" s="2">
        <v>20140101</v>
      </c>
      <c r="I1154" s="2">
        <v>20180101</v>
      </c>
      <c r="J1154" s="2" t="s">
        <v>1779</v>
      </c>
      <c r="K1154" s="2"/>
    </row>
    <row r="1155" spans="1:11" x14ac:dyDescent="0.25">
      <c r="A1155" s="2">
        <v>0</v>
      </c>
      <c r="B1155" s="2" t="s">
        <v>252</v>
      </c>
      <c r="C1155" s="2" t="s">
        <v>254</v>
      </c>
      <c r="D1155" s="2" t="s">
        <v>1967</v>
      </c>
      <c r="E1155" s="2" t="b">
        <f t="shared" ref="E1155:E1174" si="103">F1155=G1155</f>
        <v>1</v>
      </c>
      <c r="F1155" s="2" t="s">
        <v>1968</v>
      </c>
      <c r="G1155" s="2" t="str">
        <f>IF(ISERROR(VLOOKUP(F1155,MODIFICACIONES_REALIZADAS!F:H,3,)),F1155,VLOOKUP(F1155,MODIFICACIONES_REALIZADAS!F:H,3,))</f>
        <v>SM-E-GEN-Agente-NumeroPolizas-001-TotalAnual</v>
      </c>
      <c r="H1155" s="2">
        <v>20140101</v>
      </c>
      <c r="I1155" s="2">
        <v>20180101</v>
      </c>
      <c r="J1155" s="2" t="s">
        <v>1779</v>
      </c>
      <c r="K1155" s="2"/>
    </row>
    <row r="1156" spans="1:11" x14ac:dyDescent="0.25">
      <c r="A1156" s="2">
        <v>0</v>
      </c>
      <c r="B1156" s="2" t="s">
        <v>252</v>
      </c>
      <c r="C1156" s="2" t="s">
        <v>254</v>
      </c>
      <c r="D1156" s="2" t="s">
        <v>1969</v>
      </c>
      <c r="E1156" s="2" t="b">
        <f t="shared" si="103"/>
        <v>1</v>
      </c>
      <c r="F1156" s="2" t="s">
        <v>1970</v>
      </c>
      <c r="G1156" s="2" t="str">
        <f>IF(ISERROR(VLOOKUP(F1156,MODIFICACIONES_REALIZADAS!F:H,3,)),F1156,VLOOKUP(F1156,MODIFICACIONES_REALIZADAS!F:H,3,))</f>
        <v>SM-E-GEN-Agente-NumeroPolizas-004-TotalAnual</v>
      </c>
      <c r="H1156" s="2">
        <v>20140101</v>
      </c>
      <c r="I1156" s="2">
        <v>20180101</v>
      </c>
      <c r="J1156" s="2" t="s">
        <v>1779</v>
      </c>
      <c r="K1156" s="2"/>
    </row>
    <row r="1157" spans="1:11" x14ac:dyDescent="0.25">
      <c r="A1157" s="2">
        <v>0</v>
      </c>
      <c r="B1157" s="2" t="s">
        <v>252</v>
      </c>
      <c r="C1157" s="2" t="s">
        <v>254</v>
      </c>
      <c r="D1157" s="2" t="s">
        <v>1971</v>
      </c>
      <c r="E1157" s="2" t="b">
        <f t="shared" si="103"/>
        <v>1</v>
      </c>
      <c r="F1157" s="2" t="s">
        <v>1972</v>
      </c>
      <c r="G1157" s="2" t="str">
        <f>IF(ISERROR(VLOOKUP(F1157,MODIFICACIONES_REALIZADAS!F:H,3,)),F1157,VLOOKUP(F1157,MODIFICACIONES_REALIZADAS!F:H,3,))</f>
        <v>SM-E-GEN-Agente-NumeroPolizas-006-TotalAnual</v>
      </c>
      <c r="H1157" s="2">
        <v>20140101</v>
      </c>
      <c r="I1157" s="2">
        <v>20180101</v>
      </c>
      <c r="J1157" s="2" t="s">
        <v>1779</v>
      </c>
      <c r="K1157" s="2"/>
    </row>
    <row r="1158" spans="1:11" x14ac:dyDescent="0.25">
      <c r="A1158" s="2">
        <v>0</v>
      </c>
      <c r="B1158" s="2" t="s">
        <v>252</v>
      </c>
      <c r="C1158" s="2" t="s">
        <v>254</v>
      </c>
      <c r="D1158" s="2" t="s">
        <v>1973</v>
      </c>
      <c r="E1158" s="2" t="b">
        <f t="shared" si="103"/>
        <v>1</v>
      </c>
      <c r="F1158" s="2" t="s">
        <v>1974</v>
      </c>
      <c r="G1158" s="2" t="str">
        <f>IF(ISERROR(VLOOKUP(F1158,MODIFICACIONES_REALIZADAS!F:H,3,)),F1158,VLOOKUP(F1158,MODIFICACIONES_REALIZADAS!F:H,3,))</f>
        <v>SM-E-GEN-Agente-NumeroPolizas-998-TotalAnual</v>
      </c>
      <c r="H1158" s="2">
        <v>20140101</v>
      </c>
      <c r="I1158" s="2">
        <v>20180101</v>
      </c>
      <c r="J1158" s="2" t="s">
        <v>1779</v>
      </c>
      <c r="K1158" s="2"/>
    </row>
    <row r="1159" spans="1:11" x14ac:dyDescent="0.25">
      <c r="A1159" s="2">
        <v>0</v>
      </c>
      <c r="B1159" s="2" t="s">
        <v>252</v>
      </c>
      <c r="C1159" s="2" t="s">
        <v>254</v>
      </c>
      <c r="D1159" s="2" t="s">
        <v>1975</v>
      </c>
      <c r="E1159" s="2" t="b">
        <f t="shared" si="103"/>
        <v>1</v>
      </c>
      <c r="F1159" s="2" t="s">
        <v>1976</v>
      </c>
      <c r="G1159" s="2" t="str">
        <f>IF(ISERROR(VLOOKUP(F1159,MODIFICACIONES_REALIZADAS!F:H,3,)),F1159,VLOOKUP(F1159,MODIFICACIONES_REALIZADAS!F:H,3,))</f>
        <v>SM-E-GEN-Agente-NumeroPolizasCorregidas-001-TotalAnual</v>
      </c>
      <c r="H1159" s="2">
        <v>20140101</v>
      </c>
      <c r="I1159" s="2">
        <v>20180101</v>
      </c>
      <c r="J1159" s="2" t="s">
        <v>1779</v>
      </c>
      <c r="K1159" s="2"/>
    </row>
    <row r="1160" spans="1:11" x14ac:dyDescent="0.25">
      <c r="A1160" s="2">
        <v>0</v>
      </c>
      <c r="B1160" s="2" t="s">
        <v>252</v>
      </c>
      <c r="C1160" s="2" t="s">
        <v>254</v>
      </c>
      <c r="D1160" s="2" t="s">
        <v>1977</v>
      </c>
      <c r="E1160" s="2" t="b">
        <f t="shared" si="103"/>
        <v>1</v>
      </c>
      <c r="F1160" s="2" t="s">
        <v>1978</v>
      </c>
      <c r="G1160" s="2" t="str">
        <f>IF(ISERROR(VLOOKUP(F1160,MODIFICACIONES_REALIZADAS!F:H,3,)),F1160,VLOOKUP(F1160,MODIFICACIONES_REALIZADAS!F:H,3,))</f>
        <v>SM-E-GEN-Agente-NumeroPolizasCorregidas-004-TotalAnual</v>
      </c>
      <c r="H1160" s="2">
        <v>20140101</v>
      </c>
      <c r="I1160" s="2">
        <v>20180101</v>
      </c>
      <c r="J1160" s="2" t="s">
        <v>1779</v>
      </c>
      <c r="K1160" s="2"/>
    </row>
    <row r="1161" spans="1:11" x14ac:dyDescent="0.25">
      <c r="A1161" s="2">
        <v>0</v>
      </c>
      <c r="B1161" s="2" t="s">
        <v>252</v>
      </c>
      <c r="C1161" s="2" t="s">
        <v>254</v>
      </c>
      <c r="D1161" s="2" t="s">
        <v>1979</v>
      </c>
      <c r="E1161" s="2" t="b">
        <f t="shared" si="103"/>
        <v>1</v>
      </c>
      <c r="F1161" s="2" t="s">
        <v>1980</v>
      </c>
      <c r="G1161" s="2" t="str">
        <f>IF(ISERROR(VLOOKUP(F1161,MODIFICACIONES_REALIZADAS!F:H,3,)),F1161,VLOOKUP(F1161,MODIFICACIONES_REALIZADAS!F:H,3,))</f>
        <v>SM-E-GEN-Agente-NumeroPolizasCorregidas-006-TotalAnual</v>
      </c>
      <c r="H1161" s="2">
        <v>20140101</v>
      </c>
      <c r="I1161" s="2">
        <v>20180101</v>
      </c>
      <c r="J1161" s="2" t="s">
        <v>1779</v>
      </c>
      <c r="K1161" s="2"/>
    </row>
    <row r="1162" spans="1:11" x14ac:dyDescent="0.25">
      <c r="A1162" s="2">
        <v>0</v>
      </c>
      <c r="B1162" s="2" t="s">
        <v>252</v>
      </c>
      <c r="C1162" s="2" t="s">
        <v>254</v>
      </c>
      <c r="D1162" s="2" t="s">
        <v>1981</v>
      </c>
      <c r="E1162" s="2" t="b">
        <f t="shared" si="103"/>
        <v>1</v>
      </c>
      <c r="F1162" s="2" t="s">
        <v>1982</v>
      </c>
      <c r="G1162" s="2" t="str">
        <f>IF(ISERROR(VLOOKUP(F1162,MODIFICACIONES_REALIZADAS!F:H,3,)),F1162,VLOOKUP(F1162,MODIFICACIONES_REALIZADAS!F:H,3,))</f>
        <v>SM-E-GEN-Agente-NumeroPolizasCorregidas-998-TotalAnual</v>
      </c>
      <c r="H1162" s="2">
        <v>20140101</v>
      </c>
      <c r="I1162" s="2">
        <v>20180101</v>
      </c>
      <c r="J1162" s="2" t="s">
        <v>1779</v>
      </c>
      <c r="K1162" s="2"/>
    </row>
    <row r="1163" spans="1:11" x14ac:dyDescent="0.25">
      <c r="A1163" s="2">
        <v>0</v>
      </c>
      <c r="B1163" s="2" t="s">
        <v>252</v>
      </c>
      <c r="C1163" s="2" t="s">
        <v>254</v>
      </c>
      <c r="D1163" s="2" t="s">
        <v>1983</v>
      </c>
      <c r="E1163" s="2" t="b">
        <f t="shared" si="103"/>
        <v>1</v>
      </c>
      <c r="F1163" s="2" t="s">
        <v>1984</v>
      </c>
      <c r="G1163" s="2" t="str">
        <f>IF(ISERROR(VLOOKUP(F1163,MODIFICACIONES_REALIZADAS!F:H,3,)),F1163,VLOOKUP(F1163,MODIFICACIONES_REALIZADAS!F:H,3,))</f>
        <v>SM-E-GEN-Agente-PrimaCorregida-001-TotalAnual</v>
      </c>
      <c r="H1163" s="2">
        <v>20140101</v>
      </c>
      <c r="I1163" s="2">
        <v>20180101</v>
      </c>
      <c r="J1163" s="2" t="s">
        <v>1779</v>
      </c>
      <c r="K1163" s="2"/>
    </row>
    <row r="1164" spans="1:11" x14ac:dyDescent="0.25">
      <c r="A1164" s="2">
        <v>0</v>
      </c>
      <c r="B1164" s="2" t="s">
        <v>252</v>
      </c>
      <c r="C1164" s="2" t="s">
        <v>254</v>
      </c>
      <c r="D1164" s="2" t="s">
        <v>1985</v>
      </c>
      <c r="E1164" s="2" t="b">
        <f t="shared" si="103"/>
        <v>1</v>
      </c>
      <c r="F1164" s="2" t="s">
        <v>1986</v>
      </c>
      <c r="G1164" s="2" t="str">
        <f>IF(ISERROR(VLOOKUP(F1164,MODIFICACIONES_REALIZADAS!F:H,3,)),F1164,VLOOKUP(F1164,MODIFICACIONES_REALIZADAS!F:H,3,))</f>
        <v>SM-E-GEN-Agente-PrimaCorregida-004-TotalAnual</v>
      </c>
      <c r="H1164" s="2">
        <v>20140101</v>
      </c>
      <c r="I1164" s="2">
        <v>20180101</v>
      </c>
      <c r="J1164" s="2" t="s">
        <v>1779</v>
      </c>
      <c r="K1164" s="2"/>
    </row>
    <row r="1165" spans="1:11" x14ac:dyDescent="0.25">
      <c r="A1165" s="2">
        <v>0</v>
      </c>
      <c r="B1165" s="2" t="s">
        <v>252</v>
      </c>
      <c r="C1165" s="2" t="s">
        <v>254</v>
      </c>
      <c r="D1165" s="2" t="s">
        <v>1987</v>
      </c>
      <c r="E1165" s="2" t="b">
        <f t="shared" si="103"/>
        <v>1</v>
      </c>
      <c r="F1165" s="2" t="s">
        <v>1988</v>
      </c>
      <c r="G1165" s="2" t="str">
        <f>IF(ISERROR(VLOOKUP(F1165,MODIFICACIONES_REALIZADAS!F:H,3,)),F1165,VLOOKUP(F1165,MODIFICACIONES_REALIZADAS!F:H,3,))</f>
        <v>SM-E-GEN-Agente-PrimaCorregida-006-TotalAnual</v>
      </c>
      <c r="H1165" s="2">
        <v>20140101</v>
      </c>
      <c r="I1165" s="2">
        <v>20180101</v>
      </c>
      <c r="J1165" s="2" t="s">
        <v>1779</v>
      </c>
      <c r="K1165" s="2"/>
    </row>
    <row r="1166" spans="1:11" x14ac:dyDescent="0.25">
      <c r="A1166" s="2">
        <v>0</v>
      </c>
      <c r="B1166" s="2" t="s">
        <v>252</v>
      </c>
      <c r="C1166" s="2" t="s">
        <v>254</v>
      </c>
      <c r="D1166" s="2" t="s">
        <v>1989</v>
      </c>
      <c r="E1166" s="2" t="b">
        <f t="shared" si="103"/>
        <v>1</v>
      </c>
      <c r="F1166" s="2" t="s">
        <v>1990</v>
      </c>
      <c r="G1166" s="2" t="str">
        <f>IF(ISERROR(VLOOKUP(F1166,MODIFICACIONES_REALIZADAS!F:H,3,)),F1166,VLOOKUP(F1166,MODIFICACIONES_REALIZADAS!F:H,3,))</f>
        <v>SM-E-GEN-Agente-PrimaCorregida-998-TotalAnual</v>
      </c>
      <c r="H1166" s="2">
        <v>20140101</v>
      </c>
      <c r="I1166" s="2">
        <v>20180101</v>
      </c>
      <c r="J1166" s="2" t="s">
        <v>1779</v>
      </c>
      <c r="K1166" s="2"/>
    </row>
    <row r="1167" spans="1:11" x14ac:dyDescent="0.25">
      <c r="A1167" s="22">
        <v>0</v>
      </c>
      <c r="B1167" s="22" t="s">
        <v>252</v>
      </c>
      <c r="C1167" s="22" t="s">
        <v>254</v>
      </c>
      <c r="D1167" s="22" t="s">
        <v>637</v>
      </c>
      <c r="E1167" s="22" t="b">
        <f t="shared" si="103"/>
        <v>1</v>
      </c>
      <c r="F1167" s="22" t="s">
        <v>638</v>
      </c>
      <c r="G1167" s="22" t="str">
        <f>IF(ISERROR(VLOOKUP(F1167,MODIFICACIONES_REALIZADAS!F:H,3,)),F1167,VLOOKUP(F1167,MODIFICACIONES_REALIZADAS!F:H,3,))</f>
        <v>SM-E-GEN-Agente-NumeroPolizas-Accidente-TotalMes</v>
      </c>
      <c r="H1167" s="22">
        <v>20180101</v>
      </c>
      <c r="I1167" s="22">
        <v>22000101</v>
      </c>
      <c r="J1167" s="22" t="s">
        <v>1779</v>
      </c>
      <c r="K1167" s="22"/>
    </row>
    <row r="1168" spans="1:11" x14ac:dyDescent="0.25">
      <c r="A1168" s="22">
        <v>0</v>
      </c>
      <c r="B1168" s="22" t="s">
        <v>252</v>
      </c>
      <c r="C1168" s="22" t="s">
        <v>254</v>
      </c>
      <c r="D1168" s="22" t="s">
        <v>640</v>
      </c>
      <c r="E1168" s="22" t="b">
        <f t="shared" si="103"/>
        <v>1</v>
      </c>
      <c r="F1168" s="22" t="s">
        <v>641</v>
      </c>
      <c r="G1168" s="22" t="str">
        <f>IF(ISERROR(VLOOKUP(F1168,MODIFICACIONES_REALIZADAS!F:H,3,)),F1168,VLOOKUP(F1168,MODIFICACIONES_REALIZADAS!F:H,3,))</f>
        <v>SM-E-GEN-Agente-NumeroPolizas-Hogar-TotalMes</v>
      </c>
      <c r="H1168" s="22">
        <v>20180101</v>
      </c>
      <c r="I1168" s="22">
        <v>22000101</v>
      </c>
      <c r="J1168" s="22" t="s">
        <v>1779</v>
      </c>
      <c r="K1168" s="22"/>
    </row>
    <row r="1169" spans="1:11" x14ac:dyDescent="0.25">
      <c r="A1169" s="22">
        <v>0</v>
      </c>
      <c r="B1169" s="22" t="s">
        <v>252</v>
      </c>
      <c r="C1169" s="22" t="s">
        <v>254</v>
      </c>
      <c r="D1169" s="22" t="s">
        <v>642</v>
      </c>
      <c r="E1169" s="22" t="b">
        <f t="shared" si="103"/>
        <v>1</v>
      </c>
      <c r="F1169" s="22" t="s">
        <v>643</v>
      </c>
      <c r="G1169" s="22" t="str">
        <f>IF(ISERROR(VLOOKUP(F1169,MODIFICACIONES_REALIZADAS!F:H,3,)),F1169,VLOOKUP(F1169,MODIFICACIONES_REALIZADAS!F:H,3,))</f>
        <v>SM-E-GEN-Agente-NumeroPolizas-Comunidades-TotalMes</v>
      </c>
      <c r="H1169" s="22">
        <v>20180101</v>
      </c>
      <c r="I1169" s="22">
        <v>22000101</v>
      </c>
      <c r="J1169" s="22" t="s">
        <v>1779</v>
      </c>
      <c r="K1169" s="22"/>
    </row>
    <row r="1170" spans="1:11" x14ac:dyDescent="0.25">
      <c r="A1170" s="22">
        <v>0</v>
      </c>
      <c r="B1170" s="22" t="s">
        <v>252</v>
      </c>
      <c r="C1170" s="22" t="s">
        <v>254</v>
      </c>
      <c r="D1170" s="22" t="s">
        <v>1991</v>
      </c>
      <c r="E1170" s="22" t="b">
        <f t="shared" si="103"/>
        <v>1</v>
      </c>
      <c r="F1170" s="22" t="s">
        <v>1992</v>
      </c>
      <c r="G1170" s="22" t="str">
        <f>IF(ISERROR(VLOOKUP(F1170,MODIFICACIONES_REALIZADAS!F:H,3,)),F1170,VLOOKUP(F1170,MODIFICACIONES_REALIZADAS!F:H,3,))</f>
        <v>SM-E-GEN-Agente-NumeroPolizas-RRGG-TotalMes</v>
      </c>
      <c r="H1170" s="22">
        <v>20180101</v>
      </c>
      <c r="I1170" s="22">
        <v>22000101</v>
      </c>
      <c r="J1170" s="22" t="s">
        <v>1779</v>
      </c>
      <c r="K1170" s="22"/>
    </row>
    <row r="1171" spans="1:11" x14ac:dyDescent="0.25">
      <c r="A1171" s="22">
        <v>0</v>
      </c>
      <c r="B1171" s="22" t="s">
        <v>252</v>
      </c>
      <c r="C1171" s="22" t="s">
        <v>254</v>
      </c>
      <c r="D1171" s="22" t="s">
        <v>644</v>
      </c>
      <c r="E1171" s="22" t="b">
        <f t="shared" si="103"/>
        <v>1</v>
      </c>
      <c r="F1171" s="22" t="s">
        <v>645</v>
      </c>
      <c r="G1171" s="22" t="str">
        <f>IF(ISERROR(VLOOKUP(F1171,MODIFICACIONES_REALIZADAS!F:H,3,)),F1171,VLOOKUP(F1171,MODIFICACIONES_REALIZADAS!F:H,3,))</f>
        <v>SM-E-GEN-Agente-NumeroPolizas-Decesos-TotalMes</v>
      </c>
      <c r="H1171" s="22">
        <v>20180101</v>
      </c>
      <c r="I1171" s="22">
        <v>22000101</v>
      </c>
      <c r="J1171" s="22" t="s">
        <v>1779</v>
      </c>
      <c r="K1171" s="22"/>
    </row>
    <row r="1172" spans="1:11" x14ac:dyDescent="0.25">
      <c r="A1172" s="22">
        <v>0</v>
      </c>
      <c r="B1172" s="22" t="s">
        <v>252</v>
      </c>
      <c r="C1172" s="22" t="s">
        <v>254</v>
      </c>
      <c r="D1172" s="22" t="s">
        <v>646</v>
      </c>
      <c r="E1172" s="22" t="b">
        <f t="shared" si="103"/>
        <v>1</v>
      </c>
      <c r="F1172" s="22" t="s">
        <v>647</v>
      </c>
      <c r="G1172" s="22" t="str">
        <f>IF(ISERROR(VLOOKUP(F1172,MODIFICACIONES_REALIZADAS!F:H,3,)),F1172,VLOOKUP(F1172,MODIFICACIONES_REALIZADAS!F:H,3,))</f>
        <v>SM-E-GEN-Agente-NumeroPolizas-ProdPrioritarios-TotalMes</v>
      </c>
      <c r="H1172" s="22">
        <v>20180101</v>
      </c>
      <c r="I1172" s="22">
        <v>22000101</v>
      </c>
      <c r="J1172" s="22" t="s">
        <v>1779</v>
      </c>
      <c r="K1172" s="22"/>
    </row>
    <row r="1173" spans="1:11" x14ac:dyDescent="0.25">
      <c r="A1173" s="22">
        <v>0</v>
      </c>
      <c r="B1173" s="22" t="s">
        <v>252</v>
      </c>
      <c r="C1173" s="22" t="s">
        <v>254</v>
      </c>
      <c r="D1173" s="22" t="s">
        <v>1993</v>
      </c>
      <c r="E1173" s="22" t="b">
        <f t="shared" si="103"/>
        <v>1</v>
      </c>
      <c r="F1173" s="22" t="s">
        <v>1994</v>
      </c>
      <c r="G1173" s="22" t="str">
        <f>IF(ISERROR(VLOOKUP(F1173,MODIFICACIONES_REALIZADAS!F:H,3,)),F1173,VLOOKUP(F1173,MODIFICACIONES_REALIZADAS!F:H,3,))</f>
        <v>SM-E-GEN-Agente-NumeroPolizas-OtrosDecesos-TotalMes</v>
      </c>
      <c r="H1173" s="22">
        <v>20180101</v>
      </c>
      <c r="I1173" s="22">
        <v>22000101</v>
      </c>
      <c r="J1173" s="22" t="s">
        <v>1779</v>
      </c>
      <c r="K1173" s="22"/>
    </row>
    <row r="1174" spans="1:11" x14ac:dyDescent="0.25">
      <c r="A1174" s="22">
        <v>0</v>
      </c>
      <c r="B1174" s="22" t="s">
        <v>252</v>
      </c>
      <c r="C1174" s="22" t="s">
        <v>254</v>
      </c>
      <c r="D1174" s="22" t="s">
        <v>1265</v>
      </c>
      <c r="E1174" s="22" t="b">
        <f t="shared" si="103"/>
        <v>1</v>
      </c>
      <c r="F1174" s="22" t="s">
        <v>1995</v>
      </c>
      <c r="G1174" s="22" t="str">
        <f>IF(ISERROR(VLOOKUP(F1174,MODIFICACIONES_REALIZADAS!F:H,3,)),F1174,VLOOKUP(F1174,MODIFICACIONES_REALIZADAS!F:H,3,))</f>
        <v>SM-E-GEN-Agente-NumeroPolizas-TotalProduccion-TotalMes</v>
      </c>
      <c r="H1174" s="22">
        <v>20180101</v>
      </c>
      <c r="I1174" s="22">
        <v>22000101</v>
      </c>
      <c r="J1174" s="22" t="s">
        <v>1779</v>
      </c>
      <c r="K1174" s="22"/>
    </row>
    <row r="1175" spans="1:11" x14ac:dyDescent="0.25">
      <c r="A1175" s="22">
        <v>0</v>
      </c>
      <c r="B1175" s="22" t="s">
        <v>252</v>
      </c>
      <c r="C1175" s="22" t="s">
        <v>254</v>
      </c>
      <c r="D1175" s="22" t="s">
        <v>1759</v>
      </c>
      <c r="E1175" s="22" t="b">
        <f t="shared" ref="E1175:E1182" si="104">F1175=G1175</f>
        <v>1</v>
      </c>
      <c r="F1175" s="22" t="s">
        <v>1996</v>
      </c>
      <c r="G1175" s="22" t="str">
        <f>IF(ISERROR(VLOOKUP(F1175,MODIFICACIONES_REALIZADAS!F:H,3,)),F1175,VLOOKUP(F1175,MODIFICACIONES_REALIZADAS!F:H,3,))</f>
        <v>SM-E-GEN-Agente-NumeroPolizasCorregidas-Accidente-TotalMes</v>
      </c>
      <c r="H1175" s="22">
        <v>20180101</v>
      </c>
      <c r="I1175" s="22">
        <v>22000101</v>
      </c>
      <c r="J1175" s="22" t="s">
        <v>1779</v>
      </c>
      <c r="K1175" s="22"/>
    </row>
    <row r="1176" spans="1:11" x14ac:dyDescent="0.25">
      <c r="A1176" s="22">
        <v>0</v>
      </c>
      <c r="B1176" s="22" t="s">
        <v>252</v>
      </c>
      <c r="C1176" s="22" t="s">
        <v>254</v>
      </c>
      <c r="D1176" s="22" t="s">
        <v>1753</v>
      </c>
      <c r="E1176" s="22" t="b">
        <f t="shared" si="104"/>
        <v>1</v>
      </c>
      <c r="F1176" s="22" t="s">
        <v>1997</v>
      </c>
      <c r="G1176" s="22" t="str">
        <f>IF(ISERROR(VLOOKUP(F1176,MODIFICACIONES_REALIZADAS!F:H,3,)),F1176,VLOOKUP(F1176,MODIFICACIONES_REALIZADAS!F:H,3,))</f>
        <v>SM-E-GEN-Agente-NumeroPolizasCorregidas-Hogar-TotalMes</v>
      </c>
      <c r="H1176" s="22">
        <v>20180101</v>
      </c>
      <c r="I1176" s="22">
        <v>22000101</v>
      </c>
      <c r="J1176" s="22" t="s">
        <v>1779</v>
      </c>
      <c r="K1176" s="22"/>
    </row>
    <row r="1177" spans="1:11" x14ac:dyDescent="0.25">
      <c r="A1177" s="22">
        <v>0</v>
      </c>
      <c r="B1177" s="22" t="s">
        <v>252</v>
      </c>
      <c r="C1177" s="22" t="s">
        <v>254</v>
      </c>
      <c r="D1177" s="22" t="s">
        <v>1998</v>
      </c>
      <c r="E1177" s="22" t="b">
        <f t="shared" si="104"/>
        <v>1</v>
      </c>
      <c r="F1177" s="22" t="s">
        <v>1999</v>
      </c>
      <c r="G1177" s="22" t="str">
        <f>IF(ISERROR(VLOOKUP(F1177,MODIFICACIONES_REALIZADAS!F:H,3,)),F1177,VLOOKUP(F1177,MODIFICACIONES_REALIZADAS!F:H,3,))</f>
        <v>SM-E-GEN-Agente-NumeroPolizasCorregidas-Comunidades-TotalMes</v>
      </c>
      <c r="H1177" s="22">
        <v>20180101</v>
      </c>
      <c r="I1177" s="22">
        <v>22000101</v>
      </c>
      <c r="J1177" s="22" t="s">
        <v>1779</v>
      </c>
      <c r="K1177" s="22"/>
    </row>
    <row r="1178" spans="1:11" x14ac:dyDescent="0.25">
      <c r="A1178" s="22">
        <v>0</v>
      </c>
      <c r="B1178" s="22" t="s">
        <v>252</v>
      </c>
      <c r="C1178" s="22" t="s">
        <v>254</v>
      </c>
      <c r="D1178" s="22" t="s">
        <v>2000</v>
      </c>
      <c r="E1178" s="22" t="b">
        <f t="shared" si="104"/>
        <v>1</v>
      </c>
      <c r="F1178" s="22" t="s">
        <v>2001</v>
      </c>
      <c r="G1178" s="22" t="str">
        <f>IF(ISERROR(VLOOKUP(F1178,MODIFICACIONES_REALIZADAS!F:H,3,)),F1178,VLOOKUP(F1178,MODIFICACIONES_REALIZADAS!F:H,3,))</f>
        <v>SM-E-GEN-Agente-NumeroPolizasCorregidas-RRGG-TotalMes</v>
      </c>
      <c r="H1178" s="22">
        <v>20180101</v>
      </c>
      <c r="I1178" s="22">
        <v>22000101</v>
      </c>
      <c r="J1178" s="22" t="s">
        <v>1779</v>
      </c>
      <c r="K1178" s="22"/>
    </row>
    <row r="1179" spans="1:11" x14ac:dyDescent="0.25">
      <c r="A1179" s="22">
        <v>0</v>
      </c>
      <c r="B1179" s="22" t="s">
        <v>252</v>
      </c>
      <c r="C1179" s="22" t="s">
        <v>254</v>
      </c>
      <c r="D1179" s="22" t="s">
        <v>1751</v>
      </c>
      <c r="E1179" s="22" t="b">
        <f t="shared" si="104"/>
        <v>1</v>
      </c>
      <c r="F1179" s="22" t="s">
        <v>2002</v>
      </c>
      <c r="G1179" s="22" t="str">
        <f>IF(ISERROR(VLOOKUP(F1179,MODIFICACIONES_REALIZADAS!F:H,3,)),F1179,VLOOKUP(F1179,MODIFICACIONES_REALIZADAS!F:H,3,))</f>
        <v>SM-E-GEN-Agente-NumeroPolizasCorregidas-Decesos-TotalMes</v>
      </c>
      <c r="H1179" s="22">
        <v>20180101</v>
      </c>
      <c r="I1179" s="22">
        <v>22000101</v>
      </c>
      <c r="J1179" s="22" t="s">
        <v>1779</v>
      </c>
      <c r="K1179" s="22"/>
    </row>
    <row r="1180" spans="1:11" x14ac:dyDescent="0.25">
      <c r="A1180" s="22">
        <v>0</v>
      </c>
      <c r="B1180" s="22" t="s">
        <v>252</v>
      </c>
      <c r="C1180" s="22" t="s">
        <v>254</v>
      </c>
      <c r="D1180" s="22" t="s">
        <v>1763</v>
      </c>
      <c r="E1180" s="22" t="b">
        <f t="shared" si="104"/>
        <v>1</v>
      </c>
      <c r="F1180" s="22" t="s">
        <v>2003</v>
      </c>
      <c r="G1180" s="22" t="str">
        <f>IF(ISERROR(VLOOKUP(F1180,MODIFICACIONES_REALIZADAS!F:H,3,)),F1180,VLOOKUP(F1180,MODIFICACIONES_REALIZADAS!F:H,3,))</f>
        <v>SM-E-GEN-Agente-NumeroPolizasCorregidas-ProdPrioritarios-TotalMes</v>
      </c>
      <c r="H1180" s="22">
        <v>20180101</v>
      </c>
      <c r="I1180" s="22">
        <v>22000101</v>
      </c>
      <c r="J1180" s="22" t="s">
        <v>1779</v>
      </c>
      <c r="K1180" s="22"/>
    </row>
    <row r="1181" spans="1:11" x14ac:dyDescent="0.25">
      <c r="A1181" s="22">
        <v>0</v>
      </c>
      <c r="B1181" s="22" t="s">
        <v>252</v>
      </c>
      <c r="C1181" s="22" t="s">
        <v>254</v>
      </c>
      <c r="D1181" s="22" t="s">
        <v>2004</v>
      </c>
      <c r="E1181" s="22" t="b">
        <f t="shared" si="104"/>
        <v>1</v>
      </c>
      <c r="F1181" s="22" t="s">
        <v>2005</v>
      </c>
      <c r="G1181" s="22" t="str">
        <f>IF(ISERROR(VLOOKUP(F1181,MODIFICACIONES_REALIZADAS!F:H,3,)),F1181,VLOOKUP(F1181,MODIFICACIONES_REALIZADAS!F:H,3,))</f>
        <v>SM-E-GEN-Agente-NumeroPolizasCorregidas-OtrosDecesos-TotalMes</v>
      </c>
      <c r="H1181" s="22">
        <v>20180101</v>
      </c>
      <c r="I1181" s="22">
        <v>22000101</v>
      </c>
      <c r="J1181" s="22" t="s">
        <v>1779</v>
      </c>
      <c r="K1181" s="22"/>
    </row>
    <row r="1182" spans="1:11" x14ac:dyDescent="0.25">
      <c r="A1182" s="22">
        <v>0</v>
      </c>
      <c r="B1182" s="22" t="s">
        <v>252</v>
      </c>
      <c r="C1182" s="22" t="s">
        <v>254</v>
      </c>
      <c r="D1182" s="22" t="s">
        <v>753</v>
      </c>
      <c r="E1182" s="22" t="b">
        <f t="shared" si="104"/>
        <v>1</v>
      </c>
      <c r="F1182" s="22" t="s">
        <v>2006</v>
      </c>
      <c r="G1182" s="22" t="str">
        <f>IF(ISERROR(VLOOKUP(F1182,MODIFICACIONES_REALIZADAS!F:H,3,)),F1182,VLOOKUP(F1182,MODIFICACIONES_REALIZADAS!F:H,3,))</f>
        <v>SM-E-GEN-Agente-NumeroPolizasCorregidas-TotalProduccion-TotalMes</v>
      </c>
      <c r="H1182" s="22">
        <v>20180101</v>
      </c>
      <c r="I1182" s="22">
        <v>22000101</v>
      </c>
      <c r="J1182" s="22" t="s">
        <v>1779</v>
      </c>
      <c r="K1182" s="22"/>
    </row>
    <row r="1183" spans="1:11" x14ac:dyDescent="0.25">
      <c r="A1183" s="22">
        <v>0</v>
      </c>
      <c r="B1183" s="22" t="s">
        <v>252</v>
      </c>
      <c r="C1183" s="22" t="s">
        <v>254</v>
      </c>
      <c r="D1183" s="22" t="s">
        <v>2007</v>
      </c>
      <c r="E1183" s="22" t="b">
        <f t="shared" ref="E1183:E1190" si="105">F1183=G1183</f>
        <v>1</v>
      </c>
      <c r="F1183" s="22" t="s">
        <v>2008</v>
      </c>
      <c r="G1183" s="22" t="str">
        <f>IF(ISERROR(VLOOKUP(F1183,MODIFICACIONES_REALIZADAS!F:H,3,)),F1183,VLOOKUP(F1183,MODIFICACIONES_REALIZADAS!F:H,3,))</f>
        <v>SM-E-GEN-Agente-PrimaCorregida-Accidente-TotalMes</v>
      </c>
      <c r="H1183" s="22">
        <v>20180101</v>
      </c>
      <c r="I1183" s="22">
        <v>22000101</v>
      </c>
      <c r="J1183" s="22" t="s">
        <v>1779</v>
      </c>
      <c r="K1183" s="22"/>
    </row>
    <row r="1184" spans="1:11" x14ac:dyDescent="0.25">
      <c r="A1184" s="22">
        <v>0</v>
      </c>
      <c r="B1184" s="22" t="s">
        <v>252</v>
      </c>
      <c r="C1184" s="22" t="s">
        <v>254</v>
      </c>
      <c r="D1184" s="22" t="s">
        <v>2009</v>
      </c>
      <c r="E1184" s="22" t="b">
        <f t="shared" si="105"/>
        <v>1</v>
      </c>
      <c r="F1184" s="22" t="s">
        <v>2010</v>
      </c>
      <c r="G1184" s="22" t="str">
        <f>IF(ISERROR(VLOOKUP(F1184,MODIFICACIONES_REALIZADAS!F:H,3,)),F1184,VLOOKUP(F1184,MODIFICACIONES_REALIZADAS!F:H,3,))</f>
        <v>SM-E-GEN-Agente-PrimaCorregida-Hogar-TotalMes</v>
      </c>
      <c r="H1184" s="22">
        <v>20180101</v>
      </c>
      <c r="I1184" s="22">
        <v>22000101</v>
      </c>
      <c r="J1184" s="22" t="s">
        <v>1779</v>
      </c>
      <c r="K1184" s="22"/>
    </row>
    <row r="1185" spans="1:11" x14ac:dyDescent="0.25">
      <c r="A1185" s="22">
        <v>0</v>
      </c>
      <c r="B1185" s="22" t="s">
        <v>252</v>
      </c>
      <c r="C1185" s="22" t="s">
        <v>254</v>
      </c>
      <c r="D1185" s="22" t="s">
        <v>2011</v>
      </c>
      <c r="E1185" s="22" t="b">
        <f t="shared" si="105"/>
        <v>1</v>
      </c>
      <c r="F1185" s="22" t="s">
        <v>2012</v>
      </c>
      <c r="G1185" s="22" t="str">
        <f>IF(ISERROR(VLOOKUP(F1185,MODIFICACIONES_REALIZADAS!F:H,3,)),F1185,VLOOKUP(F1185,MODIFICACIONES_REALIZADAS!F:H,3,))</f>
        <v>SM-E-GEN-Agente-PrimaCorregida-Comunidades-TotalMes</v>
      </c>
      <c r="H1185" s="22">
        <v>20180101</v>
      </c>
      <c r="I1185" s="22">
        <v>22000101</v>
      </c>
      <c r="J1185" s="22" t="s">
        <v>1779</v>
      </c>
      <c r="K1185" s="22"/>
    </row>
    <row r="1186" spans="1:11" x14ac:dyDescent="0.25">
      <c r="A1186" s="22">
        <v>0</v>
      </c>
      <c r="B1186" s="22" t="s">
        <v>252</v>
      </c>
      <c r="C1186" s="22" t="s">
        <v>254</v>
      </c>
      <c r="D1186" s="22" t="s">
        <v>2013</v>
      </c>
      <c r="E1186" s="22" t="b">
        <f t="shared" si="105"/>
        <v>1</v>
      </c>
      <c r="F1186" s="22" t="s">
        <v>2014</v>
      </c>
      <c r="G1186" s="22" t="str">
        <f>IF(ISERROR(VLOOKUP(F1186,MODIFICACIONES_REALIZADAS!F:H,3,)),F1186,VLOOKUP(F1186,MODIFICACIONES_REALIZADAS!F:H,3,))</f>
        <v>SM-E-GEN-Agente-PrimaCorregida-RRGG-TotalMes</v>
      </c>
      <c r="H1186" s="22">
        <v>20180101</v>
      </c>
      <c r="I1186" s="22">
        <v>22000101</v>
      </c>
      <c r="J1186" s="22" t="s">
        <v>1779</v>
      </c>
      <c r="K1186" s="22"/>
    </row>
    <row r="1187" spans="1:11" x14ac:dyDescent="0.25">
      <c r="A1187" s="22">
        <v>0</v>
      </c>
      <c r="B1187" s="22" t="s">
        <v>252</v>
      </c>
      <c r="C1187" s="22" t="s">
        <v>254</v>
      </c>
      <c r="D1187" s="22" t="s">
        <v>2015</v>
      </c>
      <c r="E1187" s="22" t="b">
        <f t="shared" si="105"/>
        <v>1</v>
      </c>
      <c r="F1187" s="22" t="s">
        <v>2016</v>
      </c>
      <c r="G1187" s="22" t="str">
        <f>IF(ISERROR(VLOOKUP(F1187,MODIFICACIONES_REALIZADAS!F:H,3,)),F1187,VLOOKUP(F1187,MODIFICACIONES_REALIZADAS!F:H,3,))</f>
        <v>SM-E-GEN-Agente-PrimaCorregida-Decesos-TotalMes</v>
      </c>
      <c r="H1187" s="22">
        <v>20180101</v>
      </c>
      <c r="I1187" s="22">
        <v>22000101</v>
      </c>
      <c r="J1187" s="22" t="s">
        <v>1779</v>
      </c>
      <c r="K1187" s="22"/>
    </row>
    <row r="1188" spans="1:11" x14ac:dyDescent="0.25">
      <c r="A1188" s="22">
        <v>0</v>
      </c>
      <c r="B1188" s="22" t="s">
        <v>252</v>
      </c>
      <c r="C1188" s="22" t="s">
        <v>254</v>
      </c>
      <c r="D1188" s="22" t="s">
        <v>2017</v>
      </c>
      <c r="E1188" s="22" t="b">
        <f t="shared" si="105"/>
        <v>1</v>
      </c>
      <c r="F1188" s="22" t="s">
        <v>2018</v>
      </c>
      <c r="G1188" s="22" t="str">
        <f>IF(ISERROR(VLOOKUP(F1188,MODIFICACIONES_REALIZADAS!F:H,3,)),F1188,VLOOKUP(F1188,MODIFICACIONES_REALIZADAS!F:H,3,))</f>
        <v>SM-E-GEN-Agente-PrimaCorregida-ProdPrioritarios-TotalMes</v>
      </c>
      <c r="H1188" s="22">
        <v>20180101</v>
      </c>
      <c r="I1188" s="22">
        <v>22000101</v>
      </c>
      <c r="J1188" s="22" t="s">
        <v>1779</v>
      </c>
      <c r="K1188" s="22"/>
    </row>
    <row r="1189" spans="1:11" x14ac:dyDescent="0.25">
      <c r="A1189" s="22">
        <v>0</v>
      </c>
      <c r="B1189" s="22" t="s">
        <v>252</v>
      </c>
      <c r="C1189" s="22" t="s">
        <v>254</v>
      </c>
      <c r="D1189" s="22" t="s">
        <v>2019</v>
      </c>
      <c r="E1189" s="22" t="b">
        <f t="shared" si="105"/>
        <v>1</v>
      </c>
      <c r="F1189" s="22" t="s">
        <v>2020</v>
      </c>
      <c r="G1189" s="22" t="str">
        <f>IF(ISERROR(VLOOKUP(F1189,MODIFICACIONES_REALIZADAS!F:H,3,)),F1189,VLOOKUP(F1189,MODIFICACIONES_REALIZADAS!F:H,3,))</f>
        <v>SM-E-GEN-Agente-PrimaCorregida-OtrosDecesos-TotalMes</v>
      </c>
      <c r="H1189" s="22">
        <v>20180101</v>
      </c>
      <c r="I1189" s="22">
        <v>22000101</v>
      </c>
      <c r="J1189" s="22" t="s">
        <v>1779</v>
      </c>
      <c r="K1189" s="22"/>
    </row>
    <row r="1190" spans="1:11" x14ac:dyDescent="0.25">
      <c r="A1190" s="22">
        <v>0</v>
      </c>
      <c r="B1190" s="22" t="s">
        <v>252</v>
      </c>
      <c r="C1190" s="22" t="s">
        <v>254</v>
      </c>
      <c r="D1190" s="22" t="s">
        <v>2021</v>
      </c>
      <c r="E1190" s="22" t="b">
        <f t="shared" si="105"/>
        <v>1</v>
      </c>
      <c r="F1190" s="22" t="s">
        <v>2022</v>
      </c>
      <c r="G1190" s="22" t="str">
        <f>IF(ISERROR(VLOOKUP(F1190,MODIFICACIONES_REALIZADAS!F:H,3,)),F1190,VLOOKUP(F1190,MODIFICACIONES_REALIZADAS!F:H,3,))</f>
        <v>SM-E-GEN-Agente-PrimaCorregida-TotalProduccion-TotalMes</v>
      </c>
      <c r="H1190" s="22">
        <v>20180101</v>
      </c>
      <c r="I1190" s="22">
        <v>22000101</v>
      </c>
      <c r="J1190" s="22" t="s">
        <v>1779</v>
      </c>
      <c r="K1190" s="22"/>
    </row>
    <row r="1191" spans="1:11" x14ac:dyDescent="0.25">
      <c r="A1191" s="22">
        <v>0</v>
      </c>
      <c r="B1191" s="22" t="s">
        <v>252</v>
      </c>
      <c r="C1191" s="22" t="s">
        <v>254</v>
      </c>
      <c r="D1191" s="22" t="s">
        <v>651</v>
      </c>
      <c r="E1191" s="22" t="b">
        <f>F1191=G1191</f>
        <v>1</v>
      </c>
      <c r="F1191" s="22" t="s">
        <v>652</v>
      </c>
      <c r="G1191" s="22" t="str">
        <f>IF(ISERROR(VLOOKUP(F1191,MODIFICACIONES_REALIZADAS!F:H,3,)),F1191,VLOOKUP(F1191,MODIFICACIONES_REALIZADAS!F:H,3,))</f>
        <v>SM-E-GEN-Agente-NumAsegurados-TotalMes</v>
      </c>
      <c r="H1191" s="22">
        <v>20180101</v>
      </c>
      <c r="I1191" s="22">
        <v>22000101</v>
      </c>
      <c r="J1191" s="22" t="s">
        <v>1779</v>
      </c>
      <c r="K1191" s="22"/>
    </row>
    <row r="1192" spans="1:11" x14ac:dyDescent="0.25">
      <c r="A1192" s="22">
        <v>0</v>
      </c>
      <c r="B1192" s="22" t="s">
        <v>252</v>
      </c>
      <c r="C1192" s="22" t="s">
        <v>254</v>
      </c>
      <c r="D1192" s="22" t="s">
        <v>810</v>
      </c>
      <c r="E1192" s="22" t="b">
        <f>F1192=G1192</f>
        <v>1</v>
      </c>
      <c r="F1192" s="22" t="s">
        <v>2023</v>
      </c>
      <c r="G1192" s="22" t="str">
        <f>IF(ISERROR(VLOOKUP(F1192,MODIFICACIONES_REALIZADAS!F:H,3,)),F1192,VLOOKUP(F1192,MODIFICACIONES_REALIZADAS!F:H,3,))</f>
        <v>SM-E-GEN-Agente-NumAsegurados-TotalAnual</v>
      </c>
      <c r="H1192" s="22">
        <v>20180101</v>
      </c>
      <c r="I1192" s="22">
        <v>22000101</v>
      </c>
      <c r="J1192" s="22" t="s">
        <v>1779</v>
      </c>
      <c r="K1192" s="22"/>
    </row>
    <row r="1193" spans="1:11" x14ac:dyDescent="0.25">
      <c r="A1193" s="22">
        <v>0</v>
      </c>
      <c r="B1193" s="22" t="s">
        <v>252</v>
      </c>
      <c r="C1193" s="22" t="s">
        <v>254</v>
      </c>
      <c r="D1193" s="22" t="s">
        <v>1783</v>
      </c>
      <c r="E1193" s="22" t="b">
        <f t="shared" ref="E1193:E1216" si="106">F1193=G1193</f>
        <v>1</v>
      </c>
      <c r="F1193" s="22" t="s">
        <v>2024</v>
      </c>
      <c r="G1193" s="22" t="str">
        <f>IF(ISERROR(VLOOKUP(F1193,MODIFICACIONES_REALIZADAS!F:H,3,)),F1193,VLOOKUP(F1193,MODIFICACIONES_REALIZADAS!F:H,3,))</f>
        <v>SM-E-GEN-Agente-NumeroPolizas-Accidente-TotalAnual</v>
      </c>
      <c r="H1193" s="22">
        <v>20180101</v>
      </c>
      <c r="I1193" s="22">
        <v>22000101</v>
      </c>
      <c r="J1193" s="22" t="s">
        <v>1779</v>
      </c>
      <c r="K1193" s="22"/>
    </row>
    <row r="1194" spans="1:11" x14ac:dyDescent="0.25">
      <c r="A1194" s="22">
        <v>0</v>
      </c>
      <c r="B1194" s="22" t="s">
        <v>252</v>
      </c>
      <c r="C1194" s="22" t="s">
        <v>254</v>
      </c>
      <c r="D1194" s="22" t="s">
        <v>828</v>
      </c>
      <c r="E1194" s="22" t="b">
        <f t="shared" si="106"/>
        <v>1</v>
      </c>
      <c r="F1194" s="22" t="s">
        <v>2025</v>
      </c>
      <c r="G1194" s="22" t="str">
        <f>IF(ISERROR(VLOOKUP(F1194,MODIFICACIONES_REALIZADAS!F:H,3,)),F1194,VLOOKUP(F1194,MODIFICACIONES_REALIZADAS!F:H,3,))</f>
        <v>SM-E-GEN-Agente-NumeroPolizas-Hogar-TotalAnual</v>
      </c>
      <c r="H1194" s="22">
        <v>20180101</v>
      </c>
      <c r="I1194" s="22">
        <v>22000101</v>
      </c>
      <c r="J1194" s="22" t="s">
        <v>1779</v>
      </c>
      <c r="K1194" s="22"/>
    </row>
    <row r="1195" spans="1:11" x14ac:dyDescent="0.25">
      <c r="A1195" s="22">
        <v>0</v>
      </c>
      <c r="B1195" s="22" t="s">
        <v>252</v>
      </c>
      <c r="C1195" s="22" t="s">
        <v>254</v>
      </c>
      <c r="D1195" s="22" t="s">
        <v>2026</v>
      </c>
      <c r="E1195" s="22" t="b">
        <f t="shared" si="106"/>
        <v>1</v>
      </c>
      <c r="F1195" s="22" t="s">
        <v>2027</v>
      </c>
      <c r="G1195" s="22" t="str">
        <f>IF(ISERROR(VLOOKUP(F1195,MODIFICACIONES_REALIZADAS!F:H,3,)),F1195,VLOOKUP(F1195,MODIFICACIONES_REALIZADAS!F:H,3,))</f>
        <v>SM-E-GEN-Agente-NumeroPolizas-Comunidades-TotalAnual</v>
      </c>
      <c r="H1195" s="22">
        <v>20180101</v>
      </c>
      <c r="I1195" s="22">
        <v>22000101</v>
      </c>
      <c r="J1195" s="22" t="s">
        <v>1779</v>
      </c>
      <c r="K1195" s="22"/>
    </row>
    <row r="1196" spans="1:11" x14ac:dyDescent="0.25">
      <c r="A1196" s="22">
        <v>0</v>
      </c>
      <c r="B1196" s="22" t="s">
        <v>252</v>
      </c>
      <c r="C1196" s="22" t="s">
        <v>254</v>
      </c>
      <c r="D1196" s="22" t="s">
        <v>2028</v>
      </c>
      <c r="E1196" s="22" t="b">
        <f t="shared" si="106"/>
        <v>1</v>
      </c>
      <c r="F1196" s="22" t="s">
        <v>2029</v>
      </c>
      <c r="G1196" s="22" t="str">
        <f>IF(ISERROR(VLOOKUP(F1196,MODIFICACIONES_REALIZADAS!F:H,3,)),F1196,VLOOKUP(F1196,MODIFICACIONES_REALIZADAS!F:H,3,))</f>
        <v>SM-E-GEN-Agente-NumeroPolizas-RRGG-TotalAnual</v>
      </c>
      <c r="H1196" s="22">
        <v>20180101</v>
      </c>
      <c r="I1196" s="22">
        <v>22000101</v>
      </c>
      <c r="J1196" s="22" t="s">
        <v>1779</v>
      </c>
      <c r="K1196" s="22"/>
    </row>
    <row r="1197" spans="1:11" x14ac:dyDescent="0.25">
      <c r="A1197" s="22">
        <v>0</v>
      </c>
      <c r="B1197" s="22" t="s">
        <v>252</v>
      </c>
      <c r="C1197" s="22" t="s">
        <v>254</v>
      </c>
      <c r="D1197" s="22" t="s">
        <v>807</v>
      </c>
      <c r="E1197" s="22" t="b">
        <f t="shared" si="106"/>
        <v>1</v>
      </c>
      <c r="F1197" s="22" t="s">
        <v>2030</v>
      </c>
      <c r="G1197" s="22" t="str">
        <f>IF(ISERROR(VLOOKUP(F1197,MODIFICACIONES_REALIZADAS!F:H,3,)),F1197,VLOOKUP(F1197,MODIFICACIONES_REALIZADAS!F:H,3,))</f>
        <v>SM-E-GEN-Agente-NumeroPolizas-Decesos-TotalAnual</v>
      </c>
      <c r="H1197" s="22">
        <v>20180101</v>
      </c>
      <c r="I1197" s="22">
        <v>22000101</v>
      </c>
      <c r="J1197" s="22" t="s">
        <v>1779</v>
      </c>
      <c r="K1197" s="22"/>
    </row>
    <row r="1198" spans="1:11" x14ac:dyDescent="0.25">
      <c r="A1198" s="22">
        <v>0</v>
      </c>
      <c r="B1198" s="22" t="s">
        <v>252</v>
      </c>
      <c r="C1198" s="22" t="s">
        <v>254</v>
      </c>
      <c r="D1198" s="22" t="s">
        <v>1786</v>
      </c>
      <c r="E1198" s="22" t="b">
        <f t="shared" si="106"/>
        <v>1</v>
      </c>
      <c r="F1198" s="22" t="s">
        <v>2031</v>
      </c>
      <c r="G1198" s="22" t="str">
        <f>IF(ISERROR(VLOOKUP(F1198,MODIFICACIONES_REALIZADAS!F:H,3,)),F1198,VLOOKUP(F1198,MODIFICACIONES_REALIZADAS!F:H,3,))</f>
        <v>SM-E-GEN-Agente-NumeroPolizas-ProdPrioritarios-TotalAnual</v>
      </c>
      <c r="H1198" s="22">
        <v>20180101</v>
      </c>
      <c r="I1198" s="22">
        <v>22000101</v>
      </c>
      <c r="J1198" s="22" t="s">
        <v>1779</v>
      </c>
      <c r="K1198" s="22"/>
    </row>
    <row r="1199" spans="1:11" x14ac:dyDescent="0.25">
      <c r="A1199" s="22">
        <v>0</v>
      </c>
      <c r="B1199" s="22" t="s">
        <v>252</v>
      </c>
      <c r="C1199" s="22" t="s">
        <v>254</v>
      </c>
      <c r="D1199" s="22" t="s">
        <v>2032</v>
      </c>
      <c r="E1199" s="22" t="b">
        <f t="shared" si="106"/>
        <v>1</v>
      </c>
      <c r="F1199" s="22" t="s">
        <v>2033</v>
      </c>
      <c r="G1199" s="22" t="str">
        <f>IF(ISERROR(VLOOKUP(F1199,MODIFICACIONES_REALIZADAS!F:H,3,)),F1199,VLOOKUP(F1199,MODIFICACIONES_REALIZADAS!F:H,3,))</f>
        <v>SM-E-GEN-Agente-NumeroPolizas-OtrosDecesos-TotalAnual</v>
      </c>
      <c r="H1199" s="22">
        <v>20180101</v>
      </c>
      <c r="I1199" s="22">
        <v>22000101</v>
      </c>
      <c r="J1199" s="22" t="s">
        <v>1779</v>
      </c>
      <c r="K1199" s="22"/>
    </row>
    <row r="1200" spans="1:11" x14ac:dyDescent="0.25">
      <c r="A1200" s="22">
        <v>0</v>
      </c>
      <c r="B1200" s="22" t="s">
        <v>252</v>
      </c>
      <c r="C1200" s="22" t="s">
        <v>254</v>
      </c>
      <c r="D1200" s="22" t="s">
        <v>1788</v>
      </c>
      <c r="E1200" s="22" t="b">
        <f t="shared" si="106"/>
        <v>1</v>
      </c>
      <c r="F1200" s="22" t="s">
        <v>2034</v>
      </c>
      <c r="G1200" s="22" t="str">
        <f>IF(ISERROR(VLOOKUP(F1200,MODIFICACIONES_REALIZADAS!F:H,3,)),F1200,VLOOKUP(F1200,MODIFICACIONES_REALIZADAS!F:H,3,))</f>
        <v>SM-E-GEN-Agente-NumeroPolizas-TotalProduccion-TotalAnual</v>
      </c>
      <c r="H1200" s="22">
        <v>20180101</v>
      </c>
      <c r="I1200" s="22">
        <v>22000101</v>
      </c>
      <c r="J1200" s="22" t="s">
        <v>1779</v>
      </c>
      <c r="K1200" s="22"/>
    </row>
    <row r="1201" spans="1:11" x14ac:dyDescent="0.25">
      <c r="A1201" s="22">
        <v>0</v>
      </c>
      <c r="B1201" s="22" t="s">
        <v>252</v>
      </c>
      <c r="C1201" s="22" t="s">
        <v>254</v>
      </c>
      <c r="D1201" s="22" t="s">
        <v>1798</v>
      </c>
      <c r="E1201" s="22" t="b">
        <f t="shared" si="106"/>
        <v>1</v>
      </c>
      <c r="F1201" s="22" t="s">
        <v>2035</v>
      </c>
      <c r="G1201" s="22" t="str">
        <f>IF(ISERROR(VLOOKUP(F1201,MODIFICACIONES_REALIZADAS!F:H,3,)),F1201,VLOOKUP(F1201,MODIFICACIONES_REALIZADAS!F:H,3,))</f>
        <v>SM-E-GEN-Agente-NumeroPolizasCorregidas-Accidente-TotalAnual</v>
      </c>
      <c r="H1201" s="22">
        <v>20180101</v>
      </c>
      <c r="I1201" s="22">
        <v>22000101</v>
      </c>
      <c r="J1201" s="22" t="s">
        <v>1779</v>
      </c>
      <c r="K1201" s="22"/>
    </row>
    <row r="1202" spans="1:11" x14ac:dyDescent="0.25">
      <c r="A1202" s="22">
        <v>0</v>
      </c>
      <c r="B1202" s="22" t="s">
        <v>252</v>
      </c>
      <c r="C1202" s="22" t="s">
        <v>254</v>
      </c>
      <c r="D1202" s="22" t="s">
        <v>1792</v>
      </c>
      <c r="E1202" s="22" t="b">
        <f t="shared" si="106"/>
        <v>1</v>
      </c>
      <c r="F1202" s="22" t="s">
        <v>2036</v>
      </c>
      <c r="G1202" s="22" t="str">
        <f>IF(ISERROR(VLOOKUP(F1202,MODIFICACIONES_REALIZADAS!F:H,3,)),F1202,VLOOKUP(F1202,MODIFICACIONES_REALIZADAS!F:H,3,))</f>
        <v>SM-E-GEN-Agente-NumeroPolizasCorregidas-Hogar-TotalAnual</v>
      </c>
      <c r="H1202" s="22">
        <v>20180101</v>
      </c>
      <c r="I1202" s="22">
        <v>22000101</v>
      </c>
      <c r="J1202" s="22" t="s">
        <v>1779</v>
      </c>
      <c r="K1202" s="22"/>
    </row>
    <row r="1203" spans="1:11" x14ac:dyDescent="0.25">
      <c r="A1203" s="22">
        <v>0</v>
      </c>
      <c r="B1203" s="22" t="s">
        <v>252</v>
      </c>
      <c r="C1203" s="22" t="s">
        <v>254</v>
      </c>
      <c r="D1203" s="22" t="s">
        <v>2037</v>
      </c>
      <c r="E1203" s="22" t="b">
        <f t="shared" si="106"/>
        <v>1</v>
      </c>
      <c r="F1203" s="22" t="s">
        <v>2038</v>
      </c>
      <c r="G1203" s="22" t="str">
        <f>IF(ISERROR(VLOOKUP(F1203,MODIFICACIONES_REALIZADAS!F:H,3,)),F1203,VLOOKUP(F1203,MODIFICACIONES_REALIZADAS!F:H,3,))</f>
        <v>SM-E-GEN-Agente-NumeroPolizasCorregidas-Comunidades-TotalAnual</v>
      </c>
      <c r="H1203" s="22">
        <v>20180101</v>
      </c>
      <c r="I1203" s="22">
        <v>22000101</v>
      </c>
      <c r="J1203" s="22" t="s">
        <v>1779</v>
      </c>
      <c r="K1203" s="22"/>
    </row>
    <row r="1204" spans="1:11" x14ac:dyDescent="0.25">
      <c r="A1204" s="22">
        <v>0</v>
      </c>
      <c r="B1204" s="22" t="s">
        <v>252</v>
      </c>
      <c r="C1204" s="22" t="s">
        <v>254</v>
      </c>
      <c r="D1204" s="22" t="s">
        <v>2039</v>
      </c>
      <c r="E1204" s="22" t="b">
        <f t="shared" si="106"/>
        <v>1</v>
      </c>
      <c r="F1204" s="22" t="s">
        <v>2040</v>
      </c>
      <c r="G1204" s="22" t="str">
        <f>IF(ISERROR(VLOOKUP(F1204,MODIFICACIONES_REALIZADAS!F:H,3,)),F1204,VLOOKUP(F1204,MODIFICACIONES_REALIZADAS!F:H,3,))</f>
        <v>SM-E-GEN-Agente-NumeroPolizasCorregidas-RRGG-TotalAnual</v>
      </c>
      <c r="H1204" s="22">
        <v>20180101</v>
      </c>
      <c r="I1204" s="22">
        <v>22000101</v>
      </c>
      <c r="J1204" s="22" t="s">
        <v>1779</v>
      </c>
      <c r="K1204" s="22"/>
    </row>
    <row r="1205" spans="1:11" x14ac:dyDescent="0.25">
      <c r="A1205" s="22">
        <v>0</v>
      </c>
      <c r="B1205" s="22" t="s">
        <v>252</v>
      </c>
      <c r="C1205" s="22" t="s">
        <v>254</v>
      </c>
      <c r="D1205" s="22" t="s">
        <v>1790</v>
      </c>
      <c r="E1205" s="22" t="b">
        <f t="shared" si="106"/>
        <v>1</v>
      </c>
      <c r="F1205" s="22" t="s">
        <v>2041</v>
      </c>
      <c r="G1205" s="22" t="str">
        <f>IF(ISERROR(VLOOKUP(F1205,MODIFICACIONES_REALIZADAS!F:H,3,)),F1205,VLOOKUP(F1205,MODIFICACIONES_REALIZADAS!F:H,3,))</f>
        <v>SM-E-GEN-Agente-NumeroPolizasCorregidas-Decesos-TotalAnual</v>
      </c>
      <c r="H1205" s="22">
        <v>20180101</v>
      </c>
      <c r="I1205" s="22">
        <v>22000101</v>
      </c>
      <c r="J1205" s="22" t="s">
        <v>1779</v>
      </c>
      <c r="K1205" s="22"/>
    </row>
    <row r="1206" spans="1:11" x14ac:dyDescent="0.25">
      <c r="A1206" s="22">
        <v>0</v>
      </c>
      <c r="B1206" s="22" t="s">
        <v>252</v>
      </c>
      <c r="C1206" s="22" t="s">
        <v>254</v>
      </c>
      <c r="D1206" s="22" t="s">
        <v>1802</v>
      </c>
      <c r="E1206" s="22" t="b">
        <f t="shared" si="106"/>
        <v>1</v>
      </c>
      <c r="F1206" s="22" t="s">
        <v>2042</v>
      </c>
      <c r="G1206" s="22" t="str">
        <f>IF(ISERROR(VLOOKUP(F1206,MODIFICACIONES_REALIZADAS!F:H,3,)),F1206,VLOOKUP(F1206,MODIFICACIONES_REALIZADAS!F:H,3,))</f>
        <v>SM-E-GEN-Agente-NumeroPolizasCorregidas-ProdPrioritarios-TotalAnual</v>
      </c>
      <c r="H1206" s="22">
        <v>20180101</v>
      </c>
      <c r="I1206" s="22">
        <v>22000101</v>
      </c>
      <c r="J1206" s="22" t="s">
        <v>1779</v>
      </c>
      <c r="K1206" s="22"/>
    </row>
    <row r="1207" spans="1:11" x14ac:dyDescent="0.25">
      <c r="A1207" s="22">
        <v>0</v>
      </c>
      <c r="B1207" s="22" t="s">
        <v>252</v>
      </c>
      <c r="C1207" s="22" t="s">
        <v>254</v>
      </c>
      <c r="D1207" s="22" t="s">
        <v>2043</v>
      </c>
      <c r="E1207" s="22" t="b">
        <f t="shared" si="106"/>
        <v>1</v>
      </c>
      <c r="F1207" s="22" t="s">
        <v>2044</v>
      </c>
      <c r="G1207" s="22" t="str">
        <f>IF(ISERROR(VLOOKUP(F1207,MODIFICACIONES_REALIZADAS!F:H,3,)),F1207,VLOOKUP(F1207,MODIFICACIONES_REALIZADAS!F:H,3,))</f>
        <v>SM-E-GEN-Agente-NumeroPolizasCorregidas-OtrosDecesos-TotalAnual</v>
      </c>
      <c r="H1207" s="22">
        <v>20180101</v>
      </c>
      <c r="I1207" s="22">
        <v>22000101</v>
      </c>
      <c r="J1207" s="22" t="s">
        <v>1779</v>
      </c>
      <c r="K1207" s="22"/>
    </row>
    <row r="1208" spans="1:11" x14ac:dyDescent="0.25">
      <c r="A1208" s="22">
        <v>0</v>
      </c>
      <c r="B1208" s="22" t="s">
        <v>252</v>
      </c>
      <c r="C1208" s="22" t="s">
        <v>254</v>
      </c>
      <c r="D1208" s="22" t="s">
        <v>1804</v>
      </c>
      <c r="E1208" s="22" t="b">
        <f t="shared" si="106"/>
        <v>1</v>
      </c>
      <c r="F1208" s="22" t="s">
        <v>2045</v>
      </c>
      <c r="G1208" s="22" t="str">
        <f>IF(ISERROR(VLOOKUP(F1208,MODIFICACIONES_REALIZADAS!F:H,3,)),F1208,VLOOKUP(F1208,MODIFICACIONES_REALIZADAS!F:H,3,))</f>
        <v>SM-E-GEN-Agente-NumeroPolizasCorregidas-TotalProduccion-TotalAnual</v>
      </c>
      <c r="H1208" s="22">
        <v>20180101</v>
      </c>
      <c r="I1208" s="22">
        <v>22000101</v>
      </c>
      <c r="J1208" s="22" t="s">
        <v>1779</v>
      </c>
      <c r="K1208" s="22"/>
    </row>
    <row r="1209" spans="1:11" x14ac:dyDescent="0.25">
      <c r="A1209" s="22">
        <v>0</v>
      </c>
      <c r="B1209" s="22" t="s">
        <v>252</v>
      </c>
      <c r="C1209" s="22" t="s">
        <v>254</v>
      </c>
      <c r="D1209" s="22" t="s">
        <v>2046</v>
      </c>
      <c r="E1209" s="22" t="b">
        <f t="shared" si="106"/>
        <v>1</v>
      </c>
      <c r="F1209" s="22" t="s">
        <v>2047</v>
      </c>
      <c r="G1209" s="22" t="str">
        <f>IF(ISERROR(VLOOKUP(F1209,MODIFICACIONES_REALIZADAS!F:H,3,)),F1209,VLOOKUP(F1209,MODIFICACIONES_REALIZADAS!F:H,3,))</f>
        <v>SM-E-GEN-Agente-PrimaCorregida-Accidente-TotalAnual</v>
      </c>
      <c r="H1209" s="22">
        <v>20180101</v>
      </c>
      <c r="I1209" s="22">
        <v>22000101</v>
      </c>
      <c r="J1209" s="22" t="s">
        <v>1779</v>
      </c>
      <c r="K1209" s="22"/>
    </row>
    <row r="1210" spans="1:11" x14ac:dyDescent="0.25">
      <c r="A1210" s="22">
        <v>0</v>
      </c>
      <c r="B1210" s="22" t="s">
        <v>252</v>
      </c>
      <c r="C1210" s="22" t="s">
        <v>254</v>
      </c>
      <c r="D1210" s="22" t="s">
        <v>2048</v>
      </c>
      <c r="E1210" s="22" t="b">
        <f t="shared" si="106"/>
        <v>1</v>
      </c>
      <c r="F1210" s="22" t="s">
        <v>2049</v>
      </c>
      <c r="G1210" s="22" t="str">
        <f>IF(ISERROR(VLOOKUP(F1210,MODIFICACIONES_REALIZADAS!F:H,3,)),F1210,VLOOKUP(F1210,MODIFICACIONES_REALIZADAS!F:H,3,))</f>
        <v>SM-E-GEN-Agente-PrimaCorregida-Hogar-TotalAnual</v>
      </c>
      <c r="H1210" s="22">
        <v>20180101</v>
      </c>
      <c r="I1210" s="22">
        <v>22000101</v>
      </c>
      <c r="J1210" s="22" t="s">
        <v>1779</v>
      </c>
      <c r="K1210" s="22"/>
    </row>
    <row r="1211" spans="1:11" x14ac:dyDescent="0.25">
      <c r="A1211" s="22">
        <v>0</v>
      </c>
      <c r="B1211" s="22" t="s">
        <v>252</v>
      </c>
      <c r="C1211" s="22" t="s">
        <v>254</v>
      </c>
      <c r="D1211" s="22" t="s">
        <v>2050</v>
      </c>
      <c r="E1211" s="22" t="b">
        <f t="shared" si="106"/>
        <v>1</v>
      </c>
      <c r="F1211" s="22" t="s">
        <v>2051</v>
      </c>
      <c r="G1211" s="22" t="str">
        <f>IF(ISERROR(VLOOKUP(F1211,MODIFICACIONES_REALIZADAS!F:H,3,)),F1211,VLOOKUP(F1211,MODIFICACIONES_REALIZADAS!F:H,3,))</f>
        <v>SM-E-GEN-Agente-PrimaCorregida-Comunidades-TotalAnual</v>
      </c>
      <c r="H1211" s="22">
        <v>20180101</v>
      </c>
      <c r="I1211" s="22">
        <v>22000101</v>
      </c>
      <c r="J1211" s="22" t="s">
        <v>1779</v>
      </c>
      <c r="K1211" s="22"/>
    </row>
    <row r="1212" spans="1:11" x14ac:dyDescent="0.25">
      <c r="A1212" s="22">
        <v>0</v>
      </c>
      <c r="B1212" s="22" t="s">
        <v>252</v>
      </c>
      <c r="C1212" s="22" t="s">
        <v>254</v>
      </c>
      <c r="D1212" s="22" t="s">
        <v>2052</v>
      </c>
      <c r="E1212" s="22" t="b">
        <f t="shared" si="106"/>
        <v>1</v>
      </c>
      <c r="F1212" s="22" t="s">
        <v>2053</v>
      </c>
      <c r="G1212" s="22" t="str">
        <f>IF(ISERROR(VLOOKUP(F1212,MODIFICACIONES_REALIZADAS!F:H,3,)),F1212,VLOOKUP(F1212,MODIFICACIONES_REALIZADAS!F:H,3,))</f>
        <v>SM-E-GEN-Agente-PrimaCorregida-RRGG-TotalAnual</v>
      </c>
      <c r="H1212" s="22">
        <v>20180101</v>
      </c>
      <c r="I1212" s="22">
        <v>22000101</v>
      </c>
      <c r="J1212" s="22" t="s">
        <v>1779</v>
      </c>
      <c r="K1212" s="22"/>
    </row>
    <row r="1213" spans="1:11" x14ac:dyDescent="0.25">
      <c r="A1213" s="22">
        <v>0</v>
      </c>
      <c r="B1213" s="22" t="s">
        <v>252</v>
      </c>
      <c r="C1213" s="22" t="s">
        <v>254</v>
      </c>
      <c r="D1213" s="22" t="s">
        <v>2054</v>
      </c>
      <c r="E1213" s="22" t="b">
        <f t="shared" si="106"/>
        <v>1</v>
      </c>
      <c r="F1213" s="22" t="s">
        <v>2055</v>
      </c>
      <c r="G1213" s="22" t="str">
        <f>IF(ISERROR(VLOOKUP(F1213,MODIFICACIONES_REALIZADAS!F:H,3,)),F1213,VLOOKUP(F1213,MODIFICACIONES_REALIZADAS!F:H,3,))</f>
        <v>SM-E-GEN-Agente-PrimaCorregida-Decesos-TotalAnual</v>
      </c>
      <c r="H1213" s="22">
        <v>20180101</v>
      </c>
      <c r="I1213" s="22">
        <v>22000101</v>
      </c>
      <c r="J1213" s="22" t="s">
        <v>1779</v>
      </c>
      <c r="K1213" s="22"/>
    </row>
    <row r="1214" spans="1:11" x14ac:dyDescent="0.25">
      <c r="A1214" s="22">
        <v>0</v>
      </c>
      <c r="B1214" s="22" t="s">
        <v>252</v>
      </c>
      <c r="C1214" s="22" t="s">
        <v>254</v>
      </c>
      <c r="D1214" s="22" t="s">
        <v>2056</v>
      </c>
      <c r="E1214" s="22" t="b">
        <f t="shared" si="106"/>
        <v>1</v>
      </c>
      <c r="F1214" s="22" t="s">
        <v>2057</v>
      </c>
      <c r="G1214" s="22" t="str">
        <f>IF(ISERROR(VLOOKUP(F1214,MODIFICACIONES_REALIZADAS!F:H,3,)),F1214,VLOOKUP(F1214,MODIFICACIONES_REALIZADAS!F:H,3,))</f>
        <v>SM-E-GEN-Agente-PrimaCorregida-ProdPrioritarios-TotalAnual</v>
      </c>
      <c r="H1214" s="22">
        <v>20180101</v>
      </c>
      <c r="I1214" s="22">
        <v>22000101</v>
      </c>
      <c r="J1214" s="22" t="s">
        <v>1779</v>
      </c>
      <c r="K1214" s="22"/>
    </row>
    <row r="1215" spans="1:11" x14ac:dyDescent="0.25">
      <c r="A1215" s="22">
        <v>0</v>
      </c>
      <c r="B1215" s="22" t="s">
        <v>252</v>
      </c>
      <c r="C1215" s="22" t="s">
        <v>254</v>
      </c>
      <c r="D1215" s="22" t="s">
        <v>2058</v>
      </c>
      <c r="E1215" s="22" t="b">
        <f t="shared" si="106"/>
        <v>1</v>
      </c>
      <c r="F1215" s="22" t="s">
        <v>2059</v>
      </c>
      <c r="G1215" s="22" t="str">
        <f>IF(ISERROR(VLOOKUP(F1215,MODIFICACIONES_REALIZADAS!F:H,3,)),F1215,VLOOKUP(F1215,MODIFICACIONES_REALIZADAS!F:H,3,))</f>
        <v>SM-E-GEN-Agente-PrimaCorregida-OtrosDecesos-TotalAnual</v>
      </c>
      <c r="H1215" s="22">
        <v>20180101</v>
      </c>
      <c r="I1215" s="22">
        <v>22000101</v>
      </c>
      <c r="J1215" s="22" t="s">
        <v>1779</v>
      </c>
      <c r="K1215" s="22"/>
    </row>
    <row r="1216" spans="1:11" x14ac:dyDescent="0.25">
      <c r="A1216" s="22">
        <v>0</v>
      </c>
      <c r="B1216" s="22" t="s">
        <v>252</v>
      </c>
      <c r="C1216" s="22" t="s">
        <v>254</v>
      </c>
      <c r="D1216" s="22" t="s">
        <v>2060</v>
      </c>
      <c r="E1216" s="22" t="b">
        <f t="shared" si="106"/>
        <v>1</v>
      </c>
      <c r="F1216" s="22" t="s">
        <v>2061</v>
      </c>
      <c r="G1216" s="22" t="str">
        <f>IF(ISERROR(VLOOKUP(F1216,MODIFICACIONES_REALIZADAS!F:H,3,)),F1216,VLOOKUP(F1216,MODIFICACIONES_REALIZADAS!F:H,3,))</f>
        <v>SM-E-GEN-Agente-PrimaCorregida-TotalProduccion-TotalAnual</v>
      </c>
      <c r="H1216" s="22">
        <v>20180101</v>
      </c>
      <c r="I1216" s="22">
        <v>22000101</v>
      </c>
      <c r="J1216" s="22" t="s">
        <v>1779</v>
      </c>
      <c r="K1216" s="22"/>
    </row>
    <row r="1217" spans="1:11" x14ac:dyDescent="0.25">
      <c r="A1217" s="25">
        <v>0</v>
      </c>
      <c r="B1217" s="25" t="s">
        <v>256</v>
      </c>
      <c r="C1217" s="25" t="s">
        <v>258</v>
      </c>
      <c r="D1217" s="25" t="s">
        <v>1820</v>
      </c>
      <c r="E1217" s="25" t="b">
        <f>F1217=G1217</f>
        <v>1</v>
      </c>
      <c r="F1217" s="25" t="s">
        <v>676</v>
      </c>
      <c r="G1217" s="25" t="str">
        <f>IF(ISERROR(VLOOKUP(F1217,MODIFICACIONES_REALIZADAS!F:H,3,)),F1217,VLOOKUP(F1217,MODIFICACIONES_REALIZADAS!F:H,3,))</f>
        <v>DC-E-GEN-Agente-NumeroPolizas-998</v>
      </c>
      <c r="H1217" s="25">
        <v>20140101</v>
      </c>
      <c r="I1217" s="25">
        <v>22000101</v>
      </c>
      <c r="J1217" s="25" t="s">
        <v>1316</v>
      </c>
      <c r="K1217" s="25"/>
    </row>
    <row r="1218" spans="1:11" x14ac:dyDescent="0.25">
      <c r="A1218" s="25">
        <v>0</v>
      </c>
      <c r="B1218" s="25" t="s">
        <v>256</v>
      </c>
      <c r="C1218" s="25" t="s">
        <v>258</v>
      </c>
      <c r="D1218" s="25" t="s">
        <v>1942</v>
      </c>
      <c r="E1218" s="25" t="b">
        <f>F1218=G1218</f>
        <v>1</v>
      </c>
      <c r="F1218" s="25" t="s">
        <v>2062</v>
      </c>
      <c r="G1218" s="25" t="str">
        <f>IF(ISERROR(VLOOKUP(F1218,MODIFICACIONES_REALIZADAS!F:H,3,)),F1218,VLOOKUP(F1218,MODIFICACIONES_REALIZADAS!F:H,3,))</f>
        <v>DC-E-GEN-Agente-PrimaCorregida-998</v>
      </c>
      <c r="H1218" s="25">
        <v>20140101</v>
      </c>
      <c r="I1218" s="25">
        <v>22000101</v>
      </c>
      <c r="J1218" s="25" t="s">
        <v>1316</v>
      </c>
      <c r="K1218" s="25"/>
    </row>
    <row r="1219" spans="1:11" x14ac:dyDescent="0.25">
      <c r="A1219" s="2">
        <v>0</v>
      </c>
      <c r="B1219" s="2" t="s">
        <v>259</v>
      </c>
      <c r="C1219" s="2" t="s">
        <v>261</v>
      </c>
      <c r="D1219" s="2" t="s">
        <v>1820</v>
      </c>
      <c r="E1219" s="2" t="b">
        <f>F1219=G1219</f>
        <v>1</v>
      </c>
      <c r="F1219" s="2" t="s">
        <v>2063</v>
      </c>
      <c r="G1219" s="2" t="str">
        <f>IF(ISERROR(VLOOKUP(F1219,MODIFICACIONES_REALIZADAS!F:H,3,)),F1219,VLOOKUP(F1219,MODIFICACIONES_REALIZADAS!F:H,3,))</f>
        <v>SM-E-GEN-Inspector-NumeroPolizas-001-TotalMes</v>
      </c>
      <c r="H1219" s="2">
        <v>20140101</v>
      </c>
      <c r="I1219" s="2">
        <v>20180101</v>
      </c>
      <c r="J1219" s="2" t="s">
        <v>1779</v>
      </c>
      <c r="K1219" s="2"/>
    </row>
    <row r="1220" spans="1:11" x14ac:dyDescent="0.25">
      <c r="A1220" s="2">
        <v>0</v>
      </c>
      <c r="B1220" s="2" t="s">
        <v>259</v>
      </c>
      <c r="C1220" s="2" t="s">
        <v>261</v>
      </c>
      <c r="D1220" s="2" t="s">
        <v>1820</v>
      </c>
      <c r="E1220" s="2" t="b">
        <f>F1220=G1220</f>
        <v>1</v>
      </c>
      <c r="F1220" s="2" t="s">
        <v>2064</v>
      </c>
      <c r="G1220" s="2" t="str">
        <f>IF(ISERROR(VLOOKUP(F1220,MODIFICACIONES_REALIZADAS!F:H,3,)),F1220,VLOOKUP(F1220,MODIFICACIONES_REALIZADAS!F:H,3,))</f>
        <v>SM-E-GEN-Inspector-NumeroPolizas-003-TotalMes</v>
      </c>
      <c r="H1220" s="2">
        <v>20140101</v>
      </c>
      <c r="I1220" s="2">
        <v>20180101</v>
      </c>
      <c r="J1220" s="2" t="s">
        <v>1779</v>
      </c>
      <c r="K1220" s="2"/>
    </row>
    <row r="1221" spans="1:11" x14ac:dyDescent="0.25">
      <c r="A1221" s="2">
        <v>0</v>
      </c>
      <c r="B1221" s="2" t="s">
        <v>259</v>
      </c>
      <c r="C1221" s="2" t="s">
        <v>261</v>
      </c>
      <c r="D1221" s="2" t="s">
        <v>1820</v>
      </c>
      <c r="E1221" s="2" t="b">
        <f t="shared" ref="E1221:E1226" si="107">F1221=G1221</f>
        <v>1</v>
      </c>
      <c r="F1221" s="2" t="s">
        <v>2065</v>
      </c>
      <c r="G1221" s="2" t="str">
        <f>IF(ISERROR(VLOOKUP(F1221,MODIFICACIONES_REALIZADAS!F:H,3,)),F1221,VLOOKUP(F1221,MODIFICACIONES_REALIZADAS!F:H,3,))</f>
        <v>SM-E-GEN-Inspector-NumeroPolizas-998-TotalMes</v>
      </c>
      <c r="H1221" s="2">
        <v>20140101</v>
      </c>
      <c r="I1221" s="2">
        <v>20180101</v>
      </c>
      <c r="J1221" s="2" t="s">
        <v>1779</v>
      </c>
      <c r="K1221" s="2"/>
    </row>
    <row r="1222" spans="1:11" x14ac:dyDescent="0.25">
      <c r="A1222" s="2">
        <v>0</v>
      </c>
      <c r="B1222" s="2" t="s">
        <v>259</v>
      </c>
      <c r="C1222" s="2" t="s">
        <v>261</v>
      </c>
      <c r="D1222" s="2" t="s">
        <v>1823</v>
      </c>
      <c r="E1222" s="2" t="b">
        <f>F1222=G1222</f>
        <v>1</v>
      </c>
      <c r="F1222" s="2" t="s">
        <v>2066</v>
      </c>
      <c r="G1222" s="2" t="str">
        <f>IF(ISERROR(VLOOKUP(F1222,MODIFICACIONES_REALIZADAS!F:H,3,)),F1222,VLOOKUP(F1222,MODIFICACIONES_REALIZADAS!F:H,3,))</f>
        <v>SM-E-GEN-Inspector-Prima-001-TotalMes</v>
      </c>
      <c r="H1222" s="2">
        <v>20140101</v>
      </c>
      <c r="I1222" s="2">
        <v>20180101</v>
      </c>
      <c r="J1222" s="2" t="s">
        <v>1779</v>
      </c>
      <c r="K1222" s="2"/>
    </row>
    <row r="1223" spans="1:11" x14ac:dyDescent="0.25">
      <c r="A1223" s="2">
        <v>0</v>
      </c>
      <c r="B1223" s="2" t="s">
        <v>259</v>
      </c>
      <c r="C1223" s="2" t="s">
        <v>261</v>
      </c>
      <c r="D1223" s="2" t="s">
        <v>1823</v>
      </c>
      <c r="E1223" s="2" t="b">
        <f>F1223=G1223</f>
        <v>1</v>
      </c>
      <c r="F1223" s="2" t="s">
        <v>2067</v>
      </c>
      <c r="G1223" s="2" t="str">
        <f>IF(ISERROR(VLOOKUP(F1223,MODIFICACIONES_REALIZADAS!F:H,3,)),F1223,VLOOKUP(F1223,MODIFICACIONES_REALIZADAS!F:H,3,))</f>
        <v>SM-E-GEN-Inspector-Prima-003-TotalMes</v>
      </c>
      <c r="H1223" s="2">
        <v>20140101</v>
      </c>
      <c r="I1223" s="2">
        <v>20180101</v>
      </c>
      <c r="J1223" s="2" t="s">
        <v>1779</v>
      </c>
      <c r="K1223" s="2"/>
    </row>
    <row r="1224" spans="1:11" x14ac:dyDescent="0.25">
      <c r="A1224" s="2">
        <v>0</v>
      </c>
      <c r="B1224" s="2" t="s">
        <v>259</v>
      </c>
      <c r="C1224" s="2" t="s">
        <v>261</v>
      </c>
      <c r="D1224" s="2" t="s">
        <v>1823</v>
      </c>
      <c r="E1224" s="2" t="b">
        <f>F1224=G1224</f>
        <v>1</v>
      </c>
      <c r="F1224" s="2" t="s">
        <v>2068</v>
      </c>
      <c r="G1224" s="2" t="str">
        <f>IF(ISERROR(VLOOKUP(F1224,MODIFICACIONES_REALIZADAS!F:H,3,)),F1224,VLOOKUP(F1224,MODIFICACIONES_REALIZADAS!F:H,3,))</f>
        <v>SM-E-GEN-Inspector-Prima-998-TotalMes</v>
      </c>
      <c r="H1224" s="2">
        <v>20140101</v>
      </c>
      <c r="I1224" s="2">
        <v>20180101</v>
      </c>
      <c r="J1224" s="2" t="s">
        <v>1779</v>
      </c>
      <c r="K1224" s="2"/>
    </row>
    <row r="1225" spans="1:11" x14ac:dyDescent="0.25">
      <c r="A1225" s="2">
        <v>0</v>
      </c>
      <c r="B1225" s="2" t="s">
        <v>259</v>
      </c>
      <c r="C1225" s="2" t="s">
        <v>261</v>
      </c>
      <c r="D1225" s="2" t="s">
        <v>1942</v>
      </c>
      <c r="E1225" s="2" t="b">
        <f t="shared" si="107"/>
        <v>1</v>
      </c>
      <c r="F1225" s="2" t="s">
        <v>2069</v>
      </c>
      <c r="G1225" s="2" t="str">
        <f>IF(ISERROR(VLOOKUP(F1225,MODIFICACIONES_REALIZADAS!F:H,3,)),F1225,VLOOKUP(F1225,MODIFICACIONES_REALIZADAS!F:H,3,))</f>
        <v>SM-E-GEN-Inspector-PrimaCorregida-001-TotalMes</v>
      </c>
      <c r="H1225" s="2">
        <v>20140101</v>
      </c>
      <c r="I1225" s="2">
        <v>20180101</v>
      </c>
      <c r="J1225" s="2" t="s">
        <v>1779</v>
      </c>
      <c r="K1225" s="2"/>
    </row>
    <row r="1226" spans="1:11" x14ac:dyDescent="0.25">
      <c r="A1226" s="2">
        <v>0</v>
      </c>
      <c r="B1226" s="2" t="s">
        <v>259</v>
      </c>
      <c r="C1226" s="2" t="s">
        <v>261</v>
      </c>
      <c r="D1226" s="2" t="s">
        <v>1942</v>
      </c>
      <c r="E1226" s="2" t="b">
        <f t="shared" si="107"/>
        <v>1</v>
      </c>
      <c r="F1226" s="2" t="s">
        <v>2070</v>
      </c>
      <c r="G1226" s="2" t="str">
        <f>IF(ISERROR(VLOOKUP(F1226,MODIFICACIONES_REALIZADAS!F:H,3,)),F1226,VLOOKUP(F1226,MODIFICACIONES_REALIZADAS!F:H,3,))</f>
        <v>SM-E-GEN-Inspector-PrimaCorregida-003-TotalMes</v>
      </c>
      <c r="H1226" s="2">
        <v>20140101</v>
      </c>
      <c r="I1226" s="2">
        <v>20180101</v>
      </c>
      <c r="J1226" s="2" t="s">
        <v>1779</v>
      </c>
      <c r="K1226" s="2"/>
    </row>
    <row r="1227" spans="1:11" x14ac:dyDescent="0.25">
      <c r="A1227" s="2">
        <v>0</v>
      </c>
      <c r="B1227" s="2" t="s">
        <v>259</v>
      </c>
      <c r="C1227" s="2" t="s">
        <v>261</v>
      </c>
      <c r="D1227" s="2" t="s">
        <v>1942</v>
      </c>
      <c r="E1227" s="2" t="b">
        <f t="shared" ref="E1227:E1235" si="108">F1227=G1227</f>
        <v>1</v>
      </c>
      <c r="F1227" s="2" t="s">
        <v>2071</v>
      </c>
      <c r="G1227" s="2" t="str">
        <f>IF(ISERROR(VLOOKUP(F1227,MODIFICACIONES_REALIZADAS!F:H,3,)),F1227,VLOOKUP(F1227,MODIFICACIONES_REALIZADAS!F:H,3,))</f>
        <v>SM-E-GEN-Inspector-PrimaCorregida-998-TotalMes</v>
      </c>
      <c r="H1227" s="2">
        <v>20140101</v>
      </c>
      <c r="I1227" s="2">
        <v>20180101</v>
      </c>
      <c r="J1227" s="2" t="s">
        <v>1779</v>
      </c>
      <c r="K1227" s="2"/>
    </row>
    <row r="1228" spans="1:11" x14ac:dyDescent="0.25">
      <c r="A1228" s="2">
        <v>0</v>
      </c>
      <c r="B1228" s="2" t="s">
        <v>259</v>
      </c>
      <c r="C1228" s="2" t="s">
        <v>261</v>
      </c>
      <c r="D1228" s="2" t="s">
        <v>2072</v>
      </c>
      <c r="E1228" s="2" t="b">
        <f t="shared" si="108"/>
        <v>1</v>
      </c>
      <c r="F1228" s="2" t="s">
        <v>2073</v>
      </c>
      <c r="G1228" s="2" t="str">
        <f>IF(ISERROR(VLOOKUP(F1228,MODIFICACIONES_REALIZADAS!F:H,3,)),F1228,VLOOKUP(F1228,MODIFICACIONES_REALIZADAS!F:H,3,))</f>
        <v>SM-E-GEN-Inspector-NumeroPolizas-001-TotalAnual</v>
      </c>
      <c r="H1228" s="2">
        <v>20140101</v>
      </c>
      <c r="I1228" s="2">
        <v>20180101</v>
      </c>
      <c r="J1228" s="2" t="s">
        <v>1779</v>
      </c>
      <c r="K1228" s="2"/>
    </row>
    <row r="1229" spans="1:11" x14ac:dyDescent="0.25">
      <c r="A1229" s="2">
        <v>0</v>
      </c>
      <c r="B1229" s="2" t="s">
        <v>259</v>
      </c>
      <c r="C1229" s="2" t="s">
        <v>261</v>
      </c>
      <c r="D1229" s="2" t="s">
        <v>2072</v>
      </c>
      <c r="E1229" s="2" t="b">
        <f t="shared" si="108"/>
        <v>1</v>
      </c>
      <c r="F1229" s="2" t="s">
        <v>2074</v>
      </c>
      <c r="G1229" s="2" t="str">
        <f>IF(ISERROR(VLOOKUP(F1229,MODIFICACIONES_REALIZADAS!F:H,3,)),F1229,VLOOKUP(F1229,MODIFICACIONES_REALIZADAS!F:H,3,))</f>
        <v>SM-E-GEN-Inspector-NumeroPolizas-003-TotalAnual</v>
      </c>
      <c r="H1229" s="2">
        <v>20140101</v>
      </c>
      <c r="I1229" s="2">
        <v>20180101</v>
      </c>
      <c r="J1229" s="2" t="s">
        <v>1779</v>
      </c>
      <c r="K1229" s="2"/>
    </row>
    <row r="1230" spans="1:11" x14ac:dyDescent="0.25">
      <c r="A1230" s="2">
        <v>0</v>
      </c>
      <c r="B1230" s="2" t="s">
        <v>259</v>
      </c>
      <c r="C1230" s="2" t="s">
        <v>261</v>
      </c>
      <c r="D1230" s="2" t="s">
        <v>2072</v>
      </c>
      <c r="E1230" s="2" t="b">
        <f t="shared" si="108"/>
        <v>1</v>
      </c>
      <c r="F1230" s="2" t="s">
        <v>2075</v>
      </c>
      <c r="G1230" s="2" t="str">
        <f>IF(ISERROR(VLOOKUP(F1230,MODIFICACIONES_REALIZADAS!F:H,3,)),F1230,VLOOKUP(F1230,MODIFICACIONES_REALIZADAS!F:H,3,))</f>
        <v>SM-E-GEN-Inspector-NumeroPolizas-998-TotalAnual</v>
      </c>
      <c r="H1230" s="2">
        <v>20140101</v>
      </c>
      <c r="I1230" s="2">
        <v>20180101</v>
      </c>
      <c r="J1230" s="2" t="s">
        <v>1779</v>
      </c>
      <c r="K1230" s="2"/>
    </row>
    <row r="1231" spans="1:11" x14ac:dyDescent="0.25">
      <c r="A1231" s="2">
        <v>0</v>
      </c>
      <c r="B1231" s="2" t="s">
        <v>259</v>
      </c>
      <c r="C1231" s="2" t="s">
        <v>261</v>
      </c>
      <c r="D1231" s="2" t="s">
        <v>2076</v>
      </c>
      <c r="E1231" s="2" t="b">
        <f>F1231=G1231</f>
        <v>1</v>
      </c>
      <c r="F1231" s="2" t="s">
        <v>2077</v>
      </c>
      <c r="G1231" s="2" t="str">
        <f>IF(ISERROR(VLOOKUP(F1231,MODIFICACIONES_REALIZADAS!F:H,3,)),F1231,VLOOKUP(F1231,MODIFICACIONES_REALIZADAS!F:H,3,))</f>
        <v>SM-E-GEN-Inspector-Prima-001-TotalAnual</v>
      </c>
      <c r="H1231" s="2">
        <v>20140101</v>
      </c>
      <c r="I1231" s="2">
        <v>20180101</v>
      </c>
      <c r="J1231" s="2" t="s">
        <v>1779</v>
      </c>
      <c r="K1231" s="2"/>
    </row>
    <row r="1232" spans="1:11" x14ac:dyDescent="0.25">
      <c r="A1232" s="2">
        <v>0</v>
      </c>
      <c r="B1232" s="2" t="s">
        <v>259</v>
      </c>
      <c r="C1232" s="2" t="s">
        <v>261</v>
      </c>
      <c r="D1232" s="2" t="s">
        <v>2076</v>
      </c>
      <c r="E1232" s="2" t="b">
        <f>F1232=G1232</f>
        <v>1</v>
      </c>
      <c r="F1232" s="2" t="s">
        <v>2078</v>
      </c>
      <c r="G1232" s="2" t="str">
        <f>IF(ISERROR(VLOOKUP(F1232,MODIFICACIONES_REALIZADAS!F:H,3,)),F1232,VLOOKUP(F1232,MODIFICACIONES_REALIZADAS!F:H,3,))</f>
        <v>SM-E-GEN-Inspector-Prima-003-TotalAnual</v>
      </c>
      <c r="H1232" s="2">
        <v>20140101</v>
      </c>
      <c r="I1232" s="2">
        <v>20180101</v>
      </c>
      <c r="J1232" s="2" t="s">
        <v>1779</v>
      </c>
      <c r="K1232" s="2"/>
    </row>
    <row r="1233" spans="1:11" x14ac:dyDescent="0.25">
      <c r="A1233" s="2">
        <v>0</v>
      </c>
      <c r="B1233" s="2" t="s">
        <v>259</v>
      </c>
      <c r="C1233" s="2" t="s">
        <v>261</v>
      </c>
      <c r="D1233" s="2" t="s">
        <v>2076</v>
      </c>
      <c r="E1233" s="2" t="b">
        <f>F1233=G1233</f>
        <v>1</v>
      </c>
      <c r="F1233" s="2" t="s">
        <v>2079</v>
      </c>
      <c r="G1233" s="2" t="str">
        <f>IF(ISERROR(VLOOKUP(F1233,MODIFICACIONES_REALIZADAS!F:H,3,)),F1233,VLOOKUP(F1233,MODIFICACIONES_REALIZADAS!F:H,3,))</f>
        <v>SM-E-GEN-Inspector-Prima-998-TotalAnual</v>
      </c>
      <c r="H1233" s="2">
        <v>20140101</v>
      </c>
      <c r="I1233" s="2">
        <v>20180101</v>
      </c>
      <c r="J1233" s="2" t="s">
        <v>1779</v>
      </c>
      <c r="K1233" s="2"/>
    </row>
    <row r="1234" spans="1:11" x14ac:dyDescent="0.25">
      <c r="A1234" s="2">
        <v>0</v>
      </c>
      <c r="B1234" s="2" t="s">
        <v>259</v>
      </c>
      <c r="C1234" s="2" t="s">
        <v>261</v>
      </c>
      <c r="D1234" s="2" t="s">
        <v>2080</v>
      </c>
      <c r="E1234" s="2" t="b">
        <f t="shared" si="108"/>
        <v>1</v>
      </c>
      <c r="F1234" s="2" t="s">
        <v>2081</v>
      </c>
      <c r="G1234" s="2" t="str">
        <f>IF(ISERROR(VLOOKUP(F1234,MODIFICACIONES_REALIZADAS!F:H,3,)),F1234,VLOOKUP(F1234,MODIFICACIONES_REALIZADAS!F:H,3,))</f>
        <v>SM-E-GEN-Inspector-PrimaCorregida-001-TotalAnual</v>
      </c>
      <c r="H1234" s="2">
        <v>20140101</v>
      </c>
      <c r="I1234" s="2">
        <v>20180101</v>
      </c>
      <c r="J1234" s="2" t="s">
        <v>1779</v>
      </c>
      <c r="K1234" s="2"/>
    </row>
    <row r="1235" spans="1:11" x14ac:dyDescent="0.25">
      <c r="A1235" s="2">
        <v>0</v>
      </c>
      <c r="B1235" s="2" t="s">
        <v>259</v>
      </c>
      <c r="C1235" s="2" t="s">
        <v>261</v>
      </c>
      <c r="D1235" s="2" t="s">
        <v>2080</v>
      </c>
      <c r="E1235" s="2" t="b">
        <f t="shared" si="108"/>
        <v>1</v>
      </c>
      <c r="F1235" s="2" t="s">
        <v>2082</v>
      </c>
      <c r="G1235" s="2" t="str">
        <f>IF(ISERROR(VLOOKUP(F1235,MODIFICACIONES_REALIZADAS!F:H,3,)),F1235,VLOOKUP(F1235,MODIFICACIONES_REALIZADAS!F:H,3,))</f>
        <v>SM-E-GEN-Inspector-PrimaCorregida-003-TotalAnual</v>
      </c>
      <c r="H1235" s="2">
        <v>20140101</v>
      </c>
      <c r="I1235" s="2">
        <v>20180101</v>
      </c>
      <c r="J1235" s="2" t="s">
        <v>1779</v>
      </c>
      <c r="K1235" s="2"/>
    </row>
    <row r="1236" spans="1:11" x14ac:dyDescent="0.25">
      <c r="A1236" s="2">
        <v>0</v>
      </c>
      <c r="B1236" s="2" t="s">
        <v>259</v>
      </c>
      <c r="C1236" s="2" t="s">
        <v>261</v>
      </c>
      <c r="D1236" s="2" t="s">
        <v>2080</v>
      </c>
      <c r="E1236" s="2" t="b">
        <f t="shared" ref="E1236:E1328" si="109">F1236=G1236</f>
        <v>1</v>
      </c>
      <c r="F1236" s="2" t="s">
        <v>2083</v>
      </c>
      <c r="G1236" s="2" t="str">
        <f>IF(ISERROR(VLOOKUP(F1236,MODIFICACIONES_REALIZADAS!F:H,3,)),F1236,VLOOKUP(F1236,MODIFICACIONES_REALIZADAS!F:H,3,))</f>
        <v>SM-E-GEN-Inspector-PrimaCorregida-998-TotalAnual</v>
      </c>
      <c r="H1236" s="2">
        <v>20140101</v>
      </c>
      <c r="I1236" s="2">
        <v>20180101</v>
      </c>
      <c r="J1236" s="2" t="s">
        <v>1779</v>
      </c>
      <c r="K1236" s="2"/>
    </row>
    <row r="1237" spans="1:11" x14ac:dyDescent="0.25">
      <c r="A1237" s="22">
        <v>0</v>
      </c>
      <c r="B1237" s="22" t="s">
        <v>259</v>
      </c>
      <c r="C1237" s="22" t="s">
        <v>261</v>
      </c>
      <c r="D1237" s="22" t="s">
        <v>1830</v>
      </c>
      <c r="E1237" s="22" t="b">
        <f t="shared" si="109"/>
        <v>1</v>
      </c>
      <c r="F1237" s="22" t="s">
        <v>2084</v>
      </c>
      <c r="G1237" s="22" t="str">
        <f>IF(ISERROR(VLOOKUP(F1237,MODIFICACIONES_REALIZADAS!F:H,3,)),F1237,VLOOKUP(F1237,MODIFICACIONES_REALIZADAS!F:H,3,))</f>
        <v>SM-E-GEN-Inspector-NumeroPolizas-Accidente-TotalMes</v>
      </c>
      <c r="H1237" s="22">
        <v>20180101</v>
      </c>
      <c r="I1237" s="22">
        <v>22000101</v>
      </c>
      <c r="J1237" s="22" t="s">
        <v>1779</v>
      </c>
      <c r="K1237" s="22"/>
    </row>
    <row r="1238" spans="1:11" x14ac:dyDescent="0.25">
      <c r="A1238" s="22">
        <v>0</v>
      </c>
      <c r="B1238" s="22" t="s">
        <v>259</v>
      </c>
      <c r="C1238" s="22" t="s">
        <v>261</v>
      </c>
      <c r="D1238" s="22" t="s">
        <v>415</v>
      </c>
      <c r="E1238" s="22" t="b">
        <f t="shared" si="109"/>
        <v>1</v>
      </c>
      <c r="F1238" s="22" t="s">
        <v>2085</v>
      </c>
      <c r="G1238" s="22" t="str">
        <f>IF(ISERROR(VLOOKUP(F1238,MODIFICACIONES_REALIZADAS!F:H,3,)),F1238,VLOOKUP(F1238,MODIFICACIONES_REALIZADAS!F:H,3,))</f>
        <v>SM-E-GEN-Inspector-NumeroPolizas-Hogar-TotalMes</v>
      </c>
      <c r="H1238" s="22">
        <v>20180101</v>
      </c>
      <c r="I1238" s="22">
        <v>22000101</v>
      </c>
      <c r="J1238" s="22" t="s">
        <v>1779</v>
      </c>
      <c r="K1238" s="22"/>
    </row>
    <row r="1239" spans="1:11" x14ac:dyDescent="0.25">
      <c r="A1239" s="22">
        <v>0</v>
      </c>
      <c r="B1239" s="22" t="s">
        <v>259</v>
      </c>
      <c r="C1239" s="22" t="s">
        <v>261</v>
      </c>
      <c r="D1239" s="22" t="s">
        <v>1836</v>
      </c>
      <c r="E1239" s="22" t="b">
        <f t="shared" si="109"/>
        <v>1</v>
      </c>
      <c r="F1239" s="22" t="s">
        <v>2086</v>
      </c>
      <c r="G1239" s="22" t="str">
        <f>IF(ISERROR(VLOOKUP(F1239,MODIFICACIONES_REALIZADAS!F:H,3,)),F1239,VLOOKUP(F1239,MODIFICACIONES_REALIZADAS!F:H,3,))</f>
        <v>SM-E-GEN-Inspector-NumeroPolizas-Comunidades-TotalMes</v>
      </c>
      <c r="H1239" s="22">
        <v>20180101</v>
      </c>
      <c r="I1239" s="22">
        <v>22000101</v>
      </c>
      <c r="J1239" s="22" t="s">
        <v>1779</v>
      </c>
      <c r="K1239" s="22"/>
    </row>
    <row r="1240" spans="1:11" x14ac:dyDescent="0.25">
      <c r="A1240" s="22">
        <v>0</v>
      </c>
      <c r="B1240" s="22" t="s">
        <v>259</v>
      </c>
      <c r="C1240" s="22" t="s">
        <v>261</v>
      </c>
      <c r="D1240" s="22" t="s">
        <v>2087</v>
      </c>
      <c r="E1240" s="22" t="b">
        <f t="shared" si="109"/>
        <v>1</v>
      </c>
      <c r="F1240" s="22" t="s">
        <v>2088</v>
      </c>
      <c r="G1240" s="22" t="str">
        <f>IF(ISERROR(VLOOKUP(F1240,MODIFICACIONES_REALIZADAS!F:H,3,)),F1240,VLOOKUP(F1240,MODIFICACIONES_REALIZADAS!F:H,3,))</f>
        <v>SM-E-GEN-Inspector-NumeroPolizas-RRGG-TotalMes</v>
      </c>
      <c r="H1240" s="22">
        <v>20180101</v>
      </c>
      <c r="I1240" s="22">
        <v>22000101</v>
      </c>
      <c r="J1240" s="22" t="s">
        <v>1779</v>
      </c>
      <c r="K1240" s="22"/>
    </row>
    <row r="1241" spans="1:11" x14ac:dyDescent="0.25">
      <c r="A1241" s="22">
        <v>0</v>
      </c>
      <c r="B1241" s="22" t="s">
        <v>259</v>
      </c>
      <c r="C1241" s="22" t="s">
        <v>261</v>
      </c>
      <c r="D1241" s="22" t="s">
        <v>413</v>
      </c>
      <c r="E1241" s="22" t="b">
        <f t="shared" si="109"/>
        <v>1</v>
      </c>
      <c r="F1241" s="22" t="s">
        <v>2089</v>
      </c>
      <c r="G1241" s="22" t="str">
        <f>IF(ISERROR(VLOOKUP(F1241,MODIFICACIONES_REALIZADAS!F:H,3,)),F1241,VLOOKUP(F1241,MODIFICACIONES_REALIZADAS!F:H,3,))</f>
        <v>SM-E-GEN-Inspector-NumeroPolizas-Decesos-TotalMes</v>
      </c>
      <c r="H1241" s="22">
        <v>20180101</v>
      </c>
      <c r="I1241" s="22">
        <v>22000101</v>
      </c>
      <c r="J1241" s="22" t="s">
        <v>1779</v>
      </c>
      <c r="K1241" s="22"/>
    </row>
    <row r="1242" spans="1:11" x14ac:dyDescent="0.25">
      <c r="A1242" s="22">
        <v>0</v>
      </c>
      <c r="B1242" s="22" t="s">
        <v>259</v>
      </c>
      <c r="C1242" s="22" t="s">
        <v>261</v>
      </c>
      <c r="D1242" s="22" t="s">
        <v>1840</v>
      </c>
      <c r="E1242" s="22" t="b">
        <f t="shared" si="109"/>
        <v>1</v>
      </c>
      <c r="F1242" s="22" t="s">
        <v>2090</v>
      </c>
      <c r="G1242" s="22" t="str">
        <f>IF(ISERROR(VLOOKUP(F1242,MODIFICACIONES_REALIZADAS!F:H,3,)),F1242,VLOOKUP(F1242,MODIFICACIONES_REALIZADAS!F:H,3,))</f>
        <v>SM-E-GEN-Inspector-NumeroPolizas-ProdPrioritarios-TotalMes</v>
      </c>
      <c r="H1242" s="22">
        <v>20180101</v>
      </c>
      <c r="I1242" s="22">
        <v>22000101</v>
      </c>
      <c r="J1242" s="22" t="s">
        <v>1779</v>
      </c>
      <c r="K1242" s="22"/>
    </row>
    <row r="1243" spans="1:11" x14ac:dyDescent="0.25">
      <c r="A1243" s="22">
        <v>0</v>
      </c>
      <c r="B1243" s="22" t="s">
        <v>259</v>
      </c>
      <c r="C1243" s="22" t="s">
        <v>261</v>
      </c>
      <c r="D1243" s="22" t="s">
        <v>2091</v>
      </c>
      <c r="E1243" s="22" t="b">
        <f t="shared" si="109"/>
        <v>1</v>
      </c>
      <c r="F1243" s="22" t="s">
        <v>2092</v>
      </c>
      <c r="G1243" s="22" t="str">
        <f>IF(ISERROR(VLOOKUP(F1243,MODIFICACIONES_REALIZADAS!F:H,3,)),F1243,VLOOKUP(F1243,MODIFICACIONES_REALIZADAS!F:H,3,))</f>
        <v>SM-E-GEN-Inspector-NumeroPolizas-OtrosDecesos-TotalMes</v>
      </c>
      <c r="H1243" s="22">
        <v>20180101</v>
      </c>
      <c r="I1243" s="22">
        <v>22000101</v>
      </c>
      <c r="J1243" s="22" t="s">
        <v>1779</v>
      </c>
      <c r="K1243" s="22"/>
    </row>
    <row r="1244" spans="1:11" x14ac:dyDescent="0.25">
      <c r="A1244" s="22">
        <v>0</v>
      </c>
      <c r="B1244" s="22" t="s">
        <v>259</v>
      </c>
      <c r="C1244" s="22" t="s">
        <v>261</v>
      </c>
      <c r="D1244" s="22" t="s">
        <v>419</v>
      </c>
      <c r="E1244" s="22" t="b">
        <f t="shared" si="109"/>
        <v>1</v>
      </c>
      <c r="F1244" s="22" t="s">
        <v>2093</v>
      </c>
      <c r="G1244" s="22" t="str">
        <f>IF(ISERROR(VLOOKUP(F1244,MODIFICACIONES_REALIZADAS!F:H,3,)),F1244,VLOOKUP(F1244,MODIFICACIONES_REALIZADAS!F:H,3,))</f>
        <v>SM-E-GEN-Inspector-NumeroPolizas-TotalProduccion-TotalMes</v>
      </c>
      <c r="H1244" s="22">
        <v>20180101</v>
      </c>
      <c r="I1244" s="22">
        <v>22000101</v>
      </c>
      <c r="J1244" s="22" t="s">
        <v>1779</v>
      </c>
      <c r="K1244" s="22"/>
    </row>
    <row r="1245" spans="1:11" x14ac:dyDescent="0.25">
      <c r="A1245" s="22">
        <v>0</v>
      </c>
      <c r="B1245" s="22" t="s">
        <v>259</v>
      </c>
      <c r="C1245" s="22" t="s">
        <v>261</v>
      </c>
      <c r="D1245" s="22" t="s">
        <v>1847</v>
      </c>
      <c r="E1245" s="22" t="b">
        <f t="shared" si="109"/>
        <v>1</v>
      </c>
      <c r="F1245" s="22" t="s">
        <v>2094</v>
      </c>
      <c r="G1245" s="22" t="str">
        <f>IF(ISERROR(VLOOKUP(F1245,MODIFICACIONES_REALIZADAS!F:H,3,)),F1245,VLOOKUP(F1245,MODIFICACIONES_REALIZADAS!F:H,3,))</f>
        <v>SM-E-GEN-Inspector-NumeroPolizasCorregidas-Accidente-TotalMes</v>
      </c>
      <c r="H1245" s="22">
        <v>20180101</v>
      </c>
      <c r="I1245" s="22">
        <v>22000101</v>
      </c>
      <c r="J1245" s="22" t="s">
        <v>1779</v>
      </c>
      <c r="K1245" s="22"/>
    </row>
    <row r="1246" spans="1:11" x14ac:dyDescent="0.25">
      <c r="A1246" s="22">
        <v>0</v>
      </c>
      <c r="B1246" s="22" t="s">
        <v>259</v>
      </c>
      <c r="C1246" s="22" t="s">
        <v>261</v>
      </c>
      <c r="D1246" s="22" t="s">
        <v>423</v>
      </c>
      <c r="E1246" s="22" t="b">
        <f t="shared" si="109"/>
        <v>1</v>
      </c>
      <c r="F1246" s="22" t="s">
        <v>2095</v>
      </c>
      <c r="G1246" s="22" t="str">
        <f>IF(ISERROR(VLOOKUP(F1246,MODIFICACIONES_REALIZADAS!F:H,3,)),F1246,VLOOKUP(F1246,MODIFICACIONES_REALIZADAS!F:H,3,))</f>
        <v>SM-E-GEN-Inspector-NumeroPolizasCorregidas-Hogar-TotalMes</v>
      </c>
      <c r="H1246" s="22">
        <v>20180101</v>
      </c>
      <c r="I1246" s="22">
        <v>22000101</v>
      </c>
      <c r="J1246" s="22" t="s">
        <v>1779</v>
      </c>
      <c r="K1246" s="22"/>
    </row>
    <row r="1247" spans="1:11" x14ac:dyDescent="0.25">
      <c r="A1247" s="22">
        <v>0</v>
      </c>
      <c r="B1247" s="22" t="s">
        <v>259</v>
      </c>
      <c r="C1247" s="22" t="s">
        <v>261</v>
      </c>
      <c r="D1247" s="22" t="s">
        <v>1853</v>
      </c>
      <c r="E1247" s="22" t="b">
        <f t="shared" si="109"/>
        <v>1</v>
      </c>
      <c r="F1247" s="22" t="s">
        <v>2096</v>
      </c>
      <c r="G1247" s="22" t="str">
        <f>IF(ISERROR(VLOOKUP(F1247,MODIFICACIONES_REALIZADAS!F:H,3,)),F1247,VLOOKUP(F1247,MODIFICACIONES_REALIZADAS!F:H,3,))</f>
        <v>SM-E-GEN-Inspector-NumeroPolizasCorregidas-Comunidades-TotalMes</v>
      </c>
      <c r="H1247" s="22">
        <v>20180101</v>
      </c>
      <c r="I1247" s="22">
        <v>22000101</v>
      </c>
      <c r="J1247" s="22" t="s">
        <v>1779</v>
      </c>
      <c r="K1247" s="22"/>
    </row>
    <row r="1248" spans="1:11" x14ac:dyDescent="0.25">
      <c r="A1248" s="22">
        <v>0</v>
      </c>
      <c r="B1248" s="22" t="s">
        <v>259</v>
      </c>
      <c r="C1248" s="22" t="s">
        <v>261</v>
      </c>
      <c r="D1248" s="22" t="s">
        <v>2097</v>
      </c>
      <c r="E1248" s="22" t="b">
        <f t="shared" si="109"/>
        <v>1</v>
      </c>
      <c r="F1248" s="22" t="s">
        <v>2098</v>
      </c>
      <c r="G1248" s="22" t="str">
        <f>IF(ISERROR(VLOOKUP(F1248,MODIFICACIONES_REALIZADAS!F:H,3,)),F1248,VLOOKUP(F1248,MODIFICACIONES_REALIZADAS!F:H,3,))</f>
        <v>SM-E-GEN-Inspector-NumeroPolizasCorregidas-RRGG-TotalMes</v>
      </c>
      <c r="H1248" s="22">
        <v>20180101</v>
      </c>
      <c r="I1248" s="22">
        <v>22000101</v>
      </c>
      <c r="J1248" s="22" t="s">
        <v>1779</v>
      </c>
      <c r="K1248" s="22"/>
    </row>
    <row r="1249" spans="1:11" x14ac:dyDescent="0.25">
      <c r="A1249" s="22">
        <v>0</v>
      </c>
      <c r="B1249" s="22" t="s">
        <v>259</v>
      </c>
      <c r="C1249" s="22" t="s">
        <v>261</v>
      </c>
      <c r="D1249" s="22" t="s">
        <v>421</v>
      </c>
      <c r="E1249" s="22" t="b">
        <f t="shared" si="109"/>
        <v>1</v>
      </c>
      <c r="F1249" s="22" t="s">
        <v>2099</v>
      </c>
      <c r="G1249" s="22" t="str">
        <f>IF(ISERROR(VLOOKUP(F1249,MODIFICACIONES_REALIZADAS!F:H,3,)),F1249,VLOOKUP(F1249,MODIFICACIONES_REALIZADAS!F:H,3,))</f>
        <v>SM-E-GEN-Inspector-NumeroPolizasCorregidas-Decesos-TotalMes</v>
      </c>
      <c r="H1249" s="22">
        <v>20180101</v>
      </c>
      <c r="I1249" s="22">
        <v>22000101</v>
      </c>
      <c r="J1249" s="22" t="s">
        <v>1779</v>
      </c>
      <c r="K1249" s="22"/>
    </row>
    <row r="1250" spans="1:11" x14ac:dyDescent="0.25">
      <c r="A1250" s="22">
        <v>0</v>
      </c>
      <c r="B1250" s="22" t="s">
        <v>259</v>
      </c>
      <c r="C1250" s="22" t="s">
        <v>261</v>
      </c>
      <c r="D1250" s="22" t="s">
        <v>566</v>
      </c>
      <c r="E1250" s="22" t="b">
        <f t="shared" si="109"/>
        <v>1</v>
      </c>
      <c r="F1250" s="22" t="s">
        <v>567</v>
      </c>
      <c r="G1250" s="22" t="str">
        <f>IF(ISERROR(VLOOKUP(F1250,MODIFICACIONES_REALIZADAS!F:H,3,)),F1250,VLOOKUP(F1250,MODIFICACIONES_REALIZADAS!F:H,3,))</f>
        <v>SM-E-GEN-Inspector-NumeroPolizasCorregidas-ProdPrioritarios-TotalMes</v>
      </c>
      <c r="H1250" s="22">
        <v>20180101</v>
      </c>
      <c r="I1250" s="22">
        <v>22000101</v>
      </c>
      <c r="J1250" s="22" t="s">
        <v>1779</v>
      </c>
      <c r="K1250" s="22"/>
    </row>
    <row r="1251" spans="1:11" x14ac:dyDescent="0.25">
      <c r="A1251" s="22">
        <v>0</v>
      </c>
      <c r="B1251" s="22" t="s">
        <v>259</v>
      </c>
      <c r="C1251" s="22" t="s">
        <v>261</v>
      </c>
      <c r="D1251" s="22" t="s">
        <v>2100</v>
      </c>
      <c r="E1251" s="22" t="b">
        <f t="shared" si="109"/>
        <v>1</v>
      </c>
      <c r="F1251" s="22" t="s">
        <v>2101</v>
      </c>
      <c r="G1251" s="22" t="str">
        <f>IF(ISERROR(VLOOKUP(F1251,MODIFICACIONES_REALIZADAS!F:H,3,)),F1251,VLOOKUP(F1251,MODIFICACIONES_REALIZADAS!F:H,3,))</f>
        <v>SM-E-GEN-Inspector-NumeroPolizasCorregidas-OtrosDecesos-TotalMes</v>
      </c>
      <c r="H1251" s="22">
        <v>20180101</v>
      </c>
      <c r="I1251" s="22">
        <v>22000101</v>
      </c>
      <c r="J1251" s="22" t="s">
        <v>1779</v>
      </c>
      <c r="K1251" s="22"/>
    </row>
    <row r="1252" spans="1:11" x14ac:dyDescent="0.25">
      <c r="A1252" s="22">
        <v>0</v>
      </c>
      <c r="B1252" s="22" t="s">
        <v>259</v>
      </c>
      <c r="C1252" s="22" t="s">
        <v>261</v>
      </c>
      <c r="D1252" s="22" t="s">
        <v>431</v>
      </c>
      <c r="E1252" s="22" t="b">
        <f t="shared" si="109"/>
        <v>1</v>
      </c>
      <c r="F1252" s="22" t="s">
        <v>2102</v>
      </c>
      <c r="G1252" s="22" t="str">
        <f>IF(ISERROR(VLOOKUP(F1252,MODIFICACIONES_REALIZADAS!F:H,3,)),F1252,VLOOKUP(F1252,MODIFICACIONES_REALIZADAS!F:H,3,))</f>
        <v>SM-E-GEN-Inspector-NumeroPolizasCorregidas-TotalProduccion-TotalMes</v>
      </c>
      <c r="H1252" s="22">
        <v>20180101</v>
      </c>
      <c r="I1252" s="22">
        <v>22000101</v>
      </c>
      <c r="J1252" s="22" t="s">
        <v>1779</v>
      </c>
      <c r="K1252" s="22"/>
    </row>
    <row r="1253" spans="1:11" x14ac:dyDescent="0.25">
      <c r="A1253" s="22">
        <v>0</v>
      </c>
      <c r="B1253" s="22" t="s">
        <v>259</v>
      </c>
      <c r="C1253" s="22" t="s">
        <v>261</v>
      </c>
      <c r="D1253" s="22" t="s">
        <v>1866</v>
      </c>
      <c r="E1253" s="22" t="b">
        <f t="shared" si="109"/>
        <v>1</v>
      </c>
      <c r="F1253" s="22" t="s">
        <v>2103</v>
      </c>
      <c r="G1253" s="22" t="str">
        <f>IF(ISERROR(VLOOKUP(F1253,MODIFICACIONES_REALIZADAS!F:H,3,)),F1253,VLOOKUP(F1253,MODIFICACIONES_REALIZADAS!F:H,3,))</f>
        <v>SM-E-GEN-Inspector-Prima-Accidente-TotalMes</v>
      </c>
      <c r="H1253" s="22">
        <v>20180101</v>
      </c>
      <c r="I1253" s="22">
        <v>22000101</v>
      </c>
      <c r="J1253" s="22" t="s">
        <v>1779</v>
      </c>
      <c r="K1253" s="22"/>
    </row>
    <row r="1254" spans="1:11" x14ac:dyDescent="0.25">
      <c r="A1254" s="22">
        <v>0</v>
      </c>
      <c r="B1254" s="22" t="s">
        <v>259</v>
      </c>
      <c r="C1254" s="22" t="s">
        <v>261</v>
      </c>
      <c r="D1254" s="22" t="s">
        <v>1860</v>
      </c>
      <c r="E1254" s="22" t="b">
        <f t="shared" si="109"/>
        <v>1</v>
      </c>
      <c r="F1254" s="22" t="s">
        <v>2104</v>
      </c>
      <c r="G1254" s="22" t="str">
        <f>IF(ISERROR(VLOOKUP(F1254,MODIFICACIONES_REALIZADAS!F:H,3,)),F1254,VLOOKUP(F1254,MODIFICACIONES_REALIZADAS!F:H,3,))</f>
        <v>SM-E-GEN-Inspector-Prima-Hogar-TotalMes</v>
      </c>
      <c r="H1254" s="22">
        <v>20180101</v>
      </c>
      <c r="I1254" s="22">
        <v>22000101</v>
      </c>
      <c r="J1254" s="22" t="s">
        <v>1779</v>
      </c>
      <c r="K1254" s="22"/>
    </row>
    <row r="1255" spans="1:11" x14ac:dyDescent="0.25">
      <c r="A1255" s="22">
        <v>0</v>
      </c>
      <c r="B1255" s="22" t="s">
        <v>259</v>
      </c>
      <c r="C1255" s="22" t="s">
        <v>261</v>
      </c>
      <c r="D1255" s="22" t="s">
        <v>1872</v>
      </c>
      <c r="E1255" s="22" t="b">
        <f t="shared" si="109"/>
        <v>1</v>
      </c>
      <c r="F1255" s="22" t="s">
        <v>2105</v>
      </c>
      <c r="G1255" s="22" t="str">
        <f>IF(ISERROR(VLOOKUP(F1255,MODIFICACIONES_REALIZADAS!F:H,3,)),F1255,VLOOKUP(F1255,MODIFICACIONES_REALIZADAS!F:H,3,))</f>
        <v>SM-E-GEN-Inspector-Prima-Comunidades-TotalMes</v>
      </c>
      <c r="H1255" s="22">
        <v>20180101</v>
      </c>
      <c r="I1255" s="22">
        <v>22000101</v>
      </c>
      <c r="J1255" s="22" t="s">
        <v>1779</v>
      </c>
      <c r="K1255" s="22"/>
    </row>
    <row r="1256" spans="1:11" x14ac:dyDescent="0.25">
      <c r="A1256" s="22">
        <v>0</v>
      </c>
      <c r="B1256" s="22" t="s">
        <v>259</v>
      </c>
      <c r="C1256" s="22" t="s">
        <v>261</v>
      </c>
      <c r="D1256" s="22" t="s">
        <v>2106</v>
      </c>
      <c r="E1256" s="22" t="b">
        <f t="shared" si="109"/>
        <v>1</v>
      </c>
      <c r="F1256" s="22" t="s">
        <v>2107</v>
      </c>
      <c r="G1256" s="22" t="str">
        <f>IF(ISERROR(VLOOKUP(F1256,MODIFICACIONES_REALIZADAS!F:H,3,)),F1256,VLOOKUP(F1256,MODIFICACIONES_REALIZADAS!F:H,3,))</f>
        <v>SM-E-GEN-Inspector-Prima-RRGG-TotalMes</v>
      </c>
      <c r="H1256" s="22">
        <v>20180101</v>
      </c>
      <c r="I1256" s="22">
        <v>22000101</v>
      </c>
      <c r="J1256" s="22" t="s">
        <v>1779</v>
      </c>
      <c r="K1256" s="22"/>
    </row>
    <row r="1257" spans="1:11" x14ac:dyDescent="0.25">
      <c r="A1257" s="22">
        <v>0</v>
      </c>
      <c r="B1257" s="22" t="s">
        <v>259</v>
      </c>
      <c r="C1257" s="22" t="s">
        <v>261</v>
      </c>
      <c r="D1257" s="22" t="s">
        <v>1858</v>
      </c>
      <c r="E1257" s="22" t="b">
        <f t="shared" si="109"/>
        <v>1</v>
      </c>
      <c r="F1257" s="22" t="s">
        <v>2108</v>
      </c>
      <c r="G1257" s="22" t="str">
        <f>IF(ISERROR(VLOOKUP(F1257,MODIFICACIONES_REALIZADAS!F:H,3,)),F1257,VLOOKUP(F1257,MODIFICACIONES_REALIZADAS!F:H,3,))</f>
        <v>SM-E-GEN-Inspector-Prima-Decesos-TotalMes</v>
      </c>
      <c r="H1257" s="22">
        <v>20180101</v>
      </c>
      <c r="I1257" s="22">
        <v>22000101</v>
      </c>
      <c r="J1257" s="22" t="s">
        <v>1779</v>
      </c>
      <c r="K1257" s="22"/>
    </row>
    <row r="1258" spans="1:11" x14ac:dyDescent="0.25">
      <c r="A1258" s="22">
        <v>0</v>
      </c>
      <c r="B1258" s="22" t="s">
        <v>259</v>
      </c>
      <c r="C1258" s="22" t="s">
        <v>261</v>
      </c>
      <c r="D1258" s="22" t="s">
        <v>1878</v>
      </c>
      <c r="E1258" s="22" t="b">
        <f t="shared" si="109"/>
        <v>1</v>
      </c>
      <c r="F1258" s="22" t="s">
        <v>2109</v>
      </c>
      <c r="G1258" s="22" t="str">
        <f>IF(ISERROR(VLOOKUP(F1258,MODIFICACIONES_REALIZADAS!F:H,3,)),F1258,VLOOKUP(F1258,MODIFICACIONES_REALIZADAS!F:H,3,))</f>
        <v>SM-E-GEN-Inspector-Prima-ProdPrioritarios-TotalMes</v>
      </c>
      <c r="H1258" s="22">
        <v>20180101</v>
      </c>
      <c r="I1258" s="22">
        <v>22000101</v>
      </c>
      <c r="J1258" s="22" t="s">
        <v>1779</v>
      </c>
      <c r="K1258" s="22"/>
    </row>
    <row r="1259" spans="1:11" x14ac:dyDescent="0.25">
      <c r="A1259" s="22">
        <v>0</v>
      </c>
      <c r="B1259" s="22" t="s">
        <v>259</v>
      </c>
      <c r="C1259" s="22" t="s">
        <v>261</v>
      </c>
      <c r="D1259" s="22" t="s">
        <v>2110</v>
      </c>
      <c r="E1259" s="22" t="b">
        <f t="shared" si="109"/>
        <v>1</v>
      </c>
      <c r="F1259" s="22" t="s">
        <v>2111</v>
      </c>
      <c r="G1259" s="22" t="str">
        <f>IF(ISERROR(VLOOKUP(F1259,MODIFICACIONES_REALIZADAS!F:H,3,)),F1259,VLOOKUP(F1259,MODIFICACIONES_REALIZADAS!F:H,3,))</f>
        <v>SM-E-GEN-Inspector-Prima-OtrosDecesos-TotalMes</v>
      </c>
      <c r="H1259" s="22">
        <v>20180101</v>
      </c>
      <c r="I1259" s="22">
        <v>22000101</v>
      </c>
      <c r="J1259" s="22" t="s">
        <v>1779</v>
      </c>
      <c r="K1259" s="22"/>
    </row>
    <row r="1260" spans="1:11" x14ac:dyDescent="0.25">
      <c r="A1260" s="22">
        <v>0</v>
      </c>
      <c r="B1260" s="22" t="s">
        <v>259</v>
      </c>
      <c r="C1260" s="22" t="s">
        <v>261</v>
      </c>
      <c r="D1260" s="22" t="s">
        <v>1880</v>
      </c>
      <c r="E1260" s="22" t="b">
        <f t="shared" si="109"/>
        <v>1</v>
      </c>
      <c r="F1260" s="22" t="s">
        <v>2112</v>
      </c>
      <c r="G1260" s="22" t="str">
        <f>IF(ISERROR(VLOOKUP(F1260,MODIFICACIONES_REALIZADAS!F:H,3,)),F1260,VLOOKUP(F1260,MODIFICACIONES_REALIZADAS!F:H,3,))</f>
        <v>SM-E-GEN-Inspector-Prima-TotalProduccion-TotalMes</v>
      </c>
      <c r="H1260" s="22">
        <v>20180101</v>
      </c>
      <c r="I1260" s="22">
        <v>22000101</v>
      </c>
      <c r="J1260" s="22" t="s">
        <v>1779</v>
      </c>
      <c r="K1260" s="22"/>
    </row>
    <row r="1261" spans="1:11" x14ac:dyDescent="0.25">
      <c r="A1261" s="22">
        <v>0</v>
      </c>
      <c r="B1261" s="22" t="s">
        <v>259</v>
      </c>
      <c r="C1261" s="22" t="s">
        <v>261</v>
      </c>
      <c r="D1261" s="22" t="s">
        <v>1889</v>
      </c>
      <c r="E1261" s="22" t="b">
        <f t="shared" ref="E1261:E1268" si="110">F1261=G1261</f>
        <v>1</v>
      </c>
      <c r="F1261" s="22" t="s">
        <v>2113</v>
      </c>
      <c r="G1261" s="22" t="str">
        <f>IF(ISERROR(VLOOKUP(F1261,MODIFICACIONES_REALIZADAS!F:H,3,)),F1261,VLOOKUP(F1261,MODIFICACIONES_REALIZADAS!F:H,3,))</f>
        <v>SM-E-GEN-Inspector-PrimaCorregida-Accidente-TotalMes</v>
      </c>
      <c r="H1261" s="22">
        <v>20180101</v>
      </c>
      <c r="I1261" s="22">
        <v>22000101</v>
      </c>
      <c r="J1261" s="22" t="s">
        <v>1779</v>
      </c>
      <c r="K1261" s="22"/>
    </row>
    <row r="1262" spans="1:11" x14ac:dyDescent="0.25">
      <c r="A1262" s="22">
        <v>0</v>
      </c>
      <c r="B1262" s="22" t="s">
        <v>259</v>
      </c>
      <c r="C1262" s="22" t="s">
        <v>261</v>
      </c>
      <c r="D1262" s="22" t="s">
        <v>1883</v>
      </c>
      <c r="E1262" s="22" t="b">
        <f t="shared" si="110"/>
        <v>1</v>
      </c>
      <c r="F1262" s="22" t="s">
        <v>2114</v>
      </c>
      <c r="G1262" s="22" t="str">
        <f>IF(ISERROR(VLOOKUP(F1262,MODIFICACIONES_REALIZADAS!F:H,3,)),F1262,VLOOKUP(F1262,MODIFICACIONES_REALIZADAS!F:H,3,))</f>
        <v>SM-E-GEN-Inspector-PrimaCorregida-Hogar-TotalMes</v>
      </c>
      <c r="H1262" s="22">
        <v>20180101</v>
      </c>
      <c r="I1262" s="22">
        <v>22000101</v>
      </c>
      <c r="J1262" s="22" t="s">
        <v>1779</v>
      </c>
      <c r="K1262" s="22"/>
    </row>
    <row r="1263" spans="1:11" x14ac:dyDescent="0.25">
      <c r="A1263" s="22">
        <v>0</v>
      </c>
      <c r="B1263" s="22" t="s">
        <v>259</v>
      </c>
      <c r="C1263" s="22" t="s">
        <v>261</v>
      </c>
      <c r="D1263" s="22" t="s">
        <v>1895</v>
      </c>
      <c r="E1263" s="22" t="b">
        <f t="shared" si="110"/>
        <v>1</v>
      </c>
      <c r="F1263" s="22" t="s">
        <v>2115</v>
      </c>
      <c r="G1263" s="22" t="str">
        <f>IF(ISERROR(VLOOKUP(F1263,MODIFICACIONES_REALIZADAS!F:H,3,)),F1263,VLOOKUP(F1263,MODIFICACIONES_REALIZADAS!F:H,3,))</f>
        <v>SM-E-GEN-Inspector-PrimaCorregida-Comunidades-TotalMes</v>
      </c>
      <c r="H1263" s="22">
        <v>20180101</v>
      </c>
      <c r="I1263" s="22">
        <v>22000101</v>
      </c>
      <c r="J1263" s="22" t="s">
        <v>1779</v>
      </c>
      <c r="K1263" s="22"/>
    </row>
    <row r="1264" spans="1:11" x14ac:dyDescent="0.25">
      <c r="A1264" s="22">
        <v>0</v>
      </c>
      <c r="B1264" s="22" t="s">
        <v>259</v>
      </c>
      <c r="C1264" s="22" t="s">
        <v>261</v>
      </c>
      <c r="D1264" s="22" t="s">
        <v>2116</v>
      </c>
      <c r="E1264" s="22" t="b">
        <f t="shared" si="110"/>
        <v>1</v>
      </c>
      <c r="F1264" s="22" t="s">
        <v>2117</v>
      </c>
      <c r="G1264" s="22" t="str">
        <f>IF(ISERROR(VLOOKUP(F1264,MODIFICACIONES_REALIZADAS!F:H,3,)),F1264,VLOOKUP(F1264,MODIFICACIONES_REALIZADAS!F:H,3,))</f>
        <v>SM-E-GEN-Inspector-PrimaCorregida-RRGG-TotalMes</v>
      </c>
      <c r="H1264" s="22">
        <v>20180101</v>
      </c>
      <c r="I1264" s="22">
        <v>22000101</v>
      </c>
      <c r="J1264" s="22" t="s">
        <v>1779</v>
      </c>
      <c r="K1264" s="22"/>
    </row>
    <row r="1265" spans="1:11" x14ac:dyDescent="0.25">
      <c r="A1265" s="22">
        <v>0</v>
      </c>
      <c r="B1265" s="22" t="s">
        <v>259</v>
      </c>
      <c r="C1265" s="22" t="s">
        <v>261</v>
      </c>
      <c r="D1265" s="22" t="s">
        <v>2118</v>
      </c>
      <c r="E1265" s="22" t="b">
        <f t="shared" si="110"/>
        <v>1</v>
      </c>
      <c r="F1265" s="22" t="s">
        <v>2119</v>
      </c>
      <c r="G1265" s="22" t="str">
        <f>IF(ISERROR(VLOOKUP(F1265,MODIFICACIONES_REALIZADAS!F:H,3,)),F1265,VLOOKUP(F1265,MODIFICACIONES_REALIZADAS!F:H,3,))</f>
        <v>SM-E-GEN-Inspector-PrimaCorregida-Decesos-TotalMes</v>
      </c>
      <c r="H1265" s="22">
        <v>20180101</v>
      </c>
      <c r="I1265" s="22">
        <v>22000101</v>
      </c>
      <c r="J1265" s="22" t="s">
        <v>1779</v>
      </c>
      <c r="K1265" s="22"/>
    </row>
    <row r="1266" spans="1:11" x14ac:dyDescent="0.25">
      <c r="A1266" s="22">
        <v>0</v>
      </c>
      <c r="B1266" s="22" t="s">
        <v>259</v>
      </c>
      <c r="C1266" s="22" t="s">
        <v>261</v>
      </c>
      <c r="D1266" s="22" t="s">
        <v>570</v>
      </c>
      <c r="E1266" s="22" t="b">
        <f t="shared" si="110"/>
        <v>1</v>
      </c>
      <c r="F1266" s="22" t="s">
        <v>571</v>
      </c>
      <c r="G1266" s="22" t="str">
        <f>IF(ISERROR(VLOOKUP(F1266,MODIFICACIONES_REALIZADAS!F:H,3,)),F1266,VLOOKUP(F1266,MODIFICACIONES_REALIZADAS!F:H,3,))</f>
        <v>SM-E-GEN-Inspector-PrimaCorregida-ProdPrioritarios-TotalMes</v>
      </c>
      <c r="H1266" s="22">
        <v>20180101</v>
      </c>
      <c r="I1266" s="22">
        <v>22000101</v>
      </c>
      <c r="J1266" s="22" t="s">
        <v>1779</v>
      </c>
      <c r="K1266" s="22"/>
    </row>
    <row r="1267" spans="1:11" x14ac:dyDescent="0.25">
      <c r="A1267" s="22">
        <v>0</v>
      </c>
      <c r="B1267" s="22" t="s">
        <v>259</v>
      </c>
      <c r="C1267" s="22" t="s">
        <v>261</v>
      </c>
      <c r="D1267" s="22" t="s">
        <v>2120</v>
      </c>
      <c r="E1267" s="22" t="b">
        <f t="shared" si="110"/>
        <v>1</v>
      </c>
      <c r="F1267" s="22" t="s">
        <v>2121</v>
      </c>
      <c r="G1267" s="22" t="str">
        <f>IF(ISERROR(VLOOKUP(F1267,MODIFICACIONES_REALIZADAS!F:H,3,)),F1267,VLOOKUP(F1267,MODIFICACIONES_REALIZADAS!F:H,3,))</f>
        <v>SM-E-GEN-Inspector-PrimaCorregida-OtrosDecesos-TotalMes</v>
      </c>
      <c r="H1267" s="22">
        <v>20180101</v>
      </c>
      <c r="I1267" s="22">
        <v>22000101</v>
      </c>
      <c r="J1267" s="22" t="s">
        <v>1779</v>
      </c>
      <c r="K1267" s="22"/>
    </row>
    <row r="1268" spans="1:11" x14ac:dyDescent="0.25">
      <c r="A1268" s="22">
        <v>0</v>
      </c>
      <c r="B1268" s="22" t="s">
        <v>259</v>
      </c>
      <c r="C1268" s="22" t="s">
        <v>261</v>
      </c>
      <c r="D1268" s="22" t="s">
        <v>429</v>
      </c>
      <c r="E1268" s="22" t="b">
        <f t="shared" si="110"/>
        <v>1</v>
      </c>
      <c r="F1268" s="22" t="s">
        <v>2122</v>
      </c>
      <c r="G1268" s="22" t="str">
        <f>IF(ISERROR(VLOOKUP(F1268,MODIFICACIONES_REALIZADAS!F:H,3,)),F1268,VLOOKUP(F1268,MODIFICACIONES_REALIZADAS!F:H,3,))</f>
        <v>SM-E-GEN-Inspector-PrimaCorregida-TotalProduccion-TotalMes</v>
      </c>
      <c r="H1268" s="22">
        <v>20180101</v>
      </c>
      <c r="I1268" s="22">
        <v>22000101</v>
      </c>
      <c r="J1268" s="22" t="s">
        <v>1779</v>
      </c>
      <c r="K1268" s="22"/>
    </row>
    <row r="1269" spans="1:11" x14ac:dyDescent="0.25">
      <c r="A1269" s="22">
        <v>0</v>
      </c>
      <c r="B1269" s="22" t="s">
        <v>259</v>
      </c>
      <c r="C1269" s="22" t="s">
        <v>261</v>
      </c>
      <c r="D1269" s="22" t="s">
        <v>433</v>
      </c>
      <c r="E1269" s="22" t="b">
        <f t="shared" si="109"/>
        <v>1</v>
      </c>
      <c r="F1269" s="22" t="s">
        <v>2123</v>
      </c>
      <c r="G1269" s="22" t="str">
        <f>IF(ISERROR(VLOOKUP(F1269,MODIFICACIONES_REALIZADAS!F:H,3,)),F1269,VLOOKUP(F1269,MODIFICACIONES_REALIZADAS!F:H,3,))</f>
        <v>SM-E-GEN-Inspector-NumAsegurados-TotalMes</v>
      </c>
      <c r="H1269" s="22">
        <v>20180101</v>
      </c>
      <c r="I1269" s="22">
        <v>22000101</v>
      </c>
      <c r="J1269" s="22" t="s">
        <v>1779</v>
      </c>
      <c r="K1269" s="22"/>
    </row>
    <row r="1270" spans="1:11" x14ac:dyDescent="0.25">
      <c r="A1270" s="22">
        <v>0</v>
      </c>
      <c r="B1270" s="22" t="s">
        <v>259</v>
      </c>
      <c r="C1270" s="22" t="s">
        <v>261</v>
      </c>
      <c r="D1270" s="22" t="s">
        <v>505</v>
      </c>
      <c r="E1270" s="22" t="b">
        <f t="shared" si="109"/>
        <v>1</v>
      </c>
      <c r="F1270" s="22" t="s">
        <v>2124</v>
      </c>
      <c r="G1270" s="22" t="str">
        <f>IF(ISERROR(VLOOKUP(F1270,MODIFICACIONES_REALIZADAS!F:H,3,)),F1270,VLOOKUP(F1270,MODIFICACIONES_REALIZADAS!F:H,3,))</f>
        <v>SM-E-GEN-Inspector-NumAsegurados-TotalAnual</v>
      </c>
      <c r="H1270" s="22">
        <v>20180101</v>
      </c>
      <c r="I1270" s="22">
        <v>22000101</v>
      </c>
      <c r="J1270" s="22" t="s">
        <v>1779</v>
      </c>
      <c r="K1270" s="22"/>
    </row>
    <row r="1271" spans="1:11" x14ac:dyDescent="0.25">
      <c r="A1271" s="22">
        <v>0</v>
      </c>
      <c r="B1271" s="22" t="s">
        <v>259</v>
      </c>
      <c r="C1271" s="22" t="s">
        <v>261</v>
      </c>
      <c r="D1271" s="22" t="s">
        <v>971</v>
      </c>
      <c r="E1271" s="22" t="b">
        <f t="shared" si="109"/>
        <v>1</v>
      </c>
      <c r="F1271" s="22" t="s">
        <v>2125</v>
      </c>
      <c r="G1271" s="22" t="str">
        <f>IF(ISERROR(VLOOKUP(F1271,MODIFICACIONES_REALIZADAS!F:H,3,)),F1271,VLOOKUP(F1271,MODIFICACIONES_REALIZADAS!F:H,3,))</f>
        <v>SM-E-GEN-Inspector-NumeroPolizas-Accidente-TotalAnual</v>
      </c>
      <c r="H1271" s="22">
        <v>20180101</v>
      </c>
      <c r="I1271" s="22">
        <v>22000101</v>
      </c>
      <c r="J1271" s="22" t="s">
        <v>1779</v>
      </c>
      <c r="K1271" s="22"/>
    </row>
    <row r="1272" spans="1:11" x14ac:dyDescent="0.25">
      <c r="A1272" s="22">
        <v>0</v>
      </c>
      <c r="B1272" s="22" t="s">
        <v>259</v>
      </c>
      <c r="C1272" s="22" t="s">
        <v>261</v>
      </c>
      <c r="D1272" s="22" t="s">
        <v>481</v>
      </c>
      <c r="E1272" s="22" t="b">
        <f t="shared" si="109"/>
        <v>1</v>
      </c>
      <c r="F1272" s="22" t="s">
        <v>2126</v>
      </c>
      <c r="G1272" s="22" t="str">
        <f>IF(ISERROR(VLOOKUP(F1272,MODIFICACIONES_REALIZADAS!F:H,3,)),F1272,VLOOKUP(F1272,MODIFICACIONES_REALIZADAS!F:H,3,))</f>
        <v>SM-E-GEN-Inspector-NumeroPolizas-Hogar-TotalAnual</v>
      </c>
      <c r="H1272" s="22">
        <v>20180101</v>
      </c>
      <c r="I1272" s="22">
        <v>22000101</v>
      </c>
      <c r="J1272" s="22" t="s">
        <v>1779</v>
      </c>
      <c r="K1272" s="22"/>
    </row>
    <row r="1273" spans="1:11" x14ac:dyDescent="0.25">
      <c r="A1273" s="22">
        <v>0</v>
      </c>
      <c r="B1273" s="22" t="s">
        <v>259</v>
      </c>
      <c r="C1273" s="22" t="s">
        <v>261</v>
      </c>
      <c r="D1273" s="22" t="s">
        <v>975</v>
      </c>
      <c r="E1273" s="22" t="b">
        <f t="shared" si="109"/>
        <v>1</v>
      </c>
      <c r="F1273" s="22" t="s">
        <v>2127</v>
      </c>
      <c r="G1273" s="22" t="str">
        <f>IF(ISERROR(VLOOKUP(F1273,MODIFICACIONES_REALIZADAS!F:H,3,)),F1273,VLOOKUP(F1273,MODIFICACIONES_REALIZADAS!F:H,3,))</f>
        <v>SM-E-GEN-Inspector-NumeroPolizas-Comunidades-TotalAnual</v>
      </c>
      <c r="H1273" s="22">
        <v>20180101</v>
      </c>
      <c r="I1273" s="22">
        <v>22000101</v>
      </c>
      <c r="J1273" s="22" t="s">
        <v>1779</v>
      </c>
      <c r="K1273" s="22"/>
    </row>
    <row r="1274" spans="1:11" x14ac:dyDescent="0.25">
      <c r="A1274" s="22">
        <v>0</v>
      </c>
      <c r="B1274" s="22" t="s">
        <v>259</v>
      </c>
      <c r="C1274" s="22" t="s">
        <v>261</v>
      </c>
      <c r="D1274" s="22" t="s">
        <v>2128</v>
      </c>
      <c r="E1274" s="22" t="b">
        <f t="shared" si="109"/>
        <v>1</v>
      </c>
      <c r="F1274" s="22" t="s">
        <v>2129</v>
      </c>
      <c r="G1274" s="22" t="str">
        <f>IF(ISERROR(VLOOKUP(F1274,MODIFICACIONES_REALIZADAS!F:H,3,)),F1274,VLOOKUP(F1274,MODIFICACIONES_REALIZADAS!F:H,3,))</f>
        <v>SM-E-GEN-Inspector-NumeroPolizas-RRGG-TotalAnual</v>
      </c>
      <c r="H1274" s="22">
        <v>20180101</v>
      </c>
      <c r="I1274" s="22">
        <v>22000101</v>
      </c>
      <c r="J1274" s="22" t="s">
        <v>1779</v>
      </c>
      <c r="K1274" s="22"/>
    </row>
    <row r="1275" spans="1:11" x14ac:dyDescent="0.25">
      <c r="A1275" s="22">
        <v>0</v>
      </c>
      <c r="B1275" s="22" t="s">
        <v>259</v>
      </c>
      <c r="C1275" s="22" t="s">
        <v>261</v>
      </c>
      <c r="D1275" s="22" t="s">
        <v>478</v>
      </c>
      <c r="E1275" s="22" t="b">
        <f t="shared" si="109"/>
        <v>1</v>
      </c>
      <c r="F1275" s="22" t="s">
        <v>2130</v>
      </c>
      <c r="G1275" s="22" t="str">
        <f>IF(ISERROR(VLOOKUP(F1275,MODIFICACIONES_REALIZADAS!F:H,3,)),F1275,VLOOKUP(F1275,MODIFICACIONES_REALIZADAS!F:H,3,))</f>
        <v>SM-E-GEN-Inspector-NumeroPolizas-Decesos-TotalAnual</v>
      </c>
      <c r="H1275" s="22">
        <v>20180101</v>
      </c>
      <c r="I1275" s="22">
        <v>22000101</v>
      </c>
      <c r="J1275" s="22" t="s">
        <v>1779</v>
      </c>
      <c r="K1275" s="22"/>
    </row>
    <row r="1276" spans="1:11" x14ac:dyDescent="0.25">
      <c r="A1276" s="22">
        <v>0</v>
      </c>
      <c r="B1276" s="22" t="s">
        <v>259</v>
      </c>
      <c r="C1276" s="22" t="s">
        <v>261</v>
      </c>
      <c r="D1276" s="22" t="s">
        <v>980</v>
      </c>
      <c r="E1276" s="22" t="b">
        <f t="shared" si="109"/>
        <v>1</v>
      </c>
      <c r="F1276" s="22" t="s">
        <v>2131</v>
      </c>
      <c r="G1276" s="22" t="str">
        <f>IF(ISERROR(VLOOKUP(F1276,MODIFICACIONES_REALIZADAS!F:H,3,)),F1276,VLOOKUP(F1276,MODIFICACIONES_REALIZADAS!F:H,3,))</f>
        <v>SM-E-GEN-Inspector-NumeroPolizas-ProdPrioritarios-TotalAnual</v>
      </c>
      <c r="H1276" s="22">
        <v>20180101</v>
      </c>
      <c r="I1276" s="22">
        <v>22000101</v>
      </c>
      <c r="J1276" s="22" t="s">
        <v>1779</v>
      </c>
      <c r="K1276" s="22"/>
    </row>
    <row r="1277" spans="1:11" x14ac:dyDescent="0.25">
      <c r="A1277" s="22">
        <v>0</v>
      </c>
      <c r="B1277" s="22" t="s">
        <v>259</v>
      </c>
      <c r="C1277" s="22" t="s">
        <v>261</v>
      </c>
      <c r="D1277" s="22" t="s">
        <v>2132</v>
      </c>
      <c r="E1277" s="22" t="b">
        <f t="shared" si="109"/>
        <v>1</v>
      </c>
      <c r="F1277" s="22" t="s">
        <v>2133</v>
      </c>
      <c r="G1277" s="22" t="str">
        <f>IF(ISERROR(VLOOKUP(F1277,MODIFICACIONES_REALIZADAS!F:H,3,)),F1277,VLOOKUP(F1277,MODIFICACIONES_REALIZADAS!F:H,3,))</f>
        <v>SM-E-GEN-Inspector-NumeroPolizas-OtrosDecesos-TotalAnual</v>
      </c>
      <c r="H1277" s="22">
        <v>20180101</v>
      </c>
      <c r="I1277" s="22">
        <v>22000101</v>
      </c>
      <c r="J1277" s="22" t="s">
        <v>1779</v>
      </c>
      <c r="K1277" s="22"/>
    </row>
    <row r="1278" spans="1:11" x14ac:dyDescent="0.25">
      <c r="A1278" s="22">
        <v>0</v>
      </c>
      <c r="B1278" s="22" t="s">
        <v>259</v>
      </c>
      <c r="C1278" s="22" t="s">
        <v>261</v>
      </c>
      <c r="D1278" s="22" t="s">
        <v>487</v>
      </c>
      <c r="E1278" s="22" t="b">
        <f t="shared" si="109"/>
        <v>1</v>
      </c>
      <c r="F1278" s="22" t="s">
        <v>2134</v>
      </c>
      <c r="G1278" s="22" t="str">
        <f>IF(ISERROR(VLOOKUP(F1278,MODIFICACIONES_REALIZADAS!F:H,3,)),F1278,VLOOKUP(F1278,MODIFICACIONES_REALIZADAS!F:H,3,))</f>
        <v>SM-E-GEN-Inspector-NumeroPolizas-TotalProduccion-TotalAnual</v>
      </c>
      <c r="H1278" s="22">
        <v>20180101</v>
      </c>
      <c r="I1278" s="22">
        <v>22000101</v>
      </c>
      <c r="J1278" s="22" t="s">
        <v>1779</v>
      </c>
      <c r="K1278" s="22"/>
    </row>
    <row r="1279" spans="1:11" x14ac:dyDescent="0.25">
      <c r="A1279" s="22">
        <v>0</v>
      </c>
      <c r="B1279" s="22" t="s">
        <v>259</v>
      </c>
      <c r="C1279" s="22" t="s">
        <v>261</v>
      </c>
      <c r="D1279" s="22" t="s">
        <v>1908</v>
      </c>
      <c r="E1279" s="22" t="b">
        <f t="shared" si="109"/>
        <v>1</v>
      </c>
      <c r="F1279" s="22" t="s">
        <v>1612</v>
      </c>
      <c r="G1279" s="22" t="str">
        <f>IF(ISERROR(VLOOKUP(F1279,MODIFICACIONES_REALIZADAS!F:H,3,)),F1279,VLOOKUP(F1279,MODIFICACIONES_REALIZADAS!F:H,3,))</f>
        <v>SM-E-GEN-Inspector-NumeroPolizasCorregidas-Accidente-TotalAnual</v>
      </c>
      <c r="H1279" s="22">
        <v>20180101</v>
      </c>
      <c r="I1279" s="22">
        <v>22000101</v>
      </c>
      <c r="J1279" s="22" t="s">
        <v>1779</v>
      </c>
      <c r="K1279" s="22"/>
    </row>
    <row r="1280" spans="1:11" x14ac:dyDescent="0.25">
      <c r="A1280" s="22">
        <v>0</v>
      </c>
      <c r="B1280" s="22" t="s">
        <v>259</v>
      </c>
      <c r="C1280" s="22" t="s">
        <v>261</v>
      </c>
      <c r="D1280" s="22" t="s">
        <v>491</v>
      </c>
      <c r="E1280" s="22" t="b">
        <f t="shared" si="109"/>
        <v>1</v>
      </c>
      <c r="F1280" s="22" t="s">
        <v>1608</v>
      </c>
      <c r="G1280" s="22" t="str">
        <f>IF(ISERROR(VLOOKUP(F1280,MODIFICACIONES_REALIZADAS!F:H,3,)),F1280,VLOOKUP(F1280,MODIFICACIONES_REALIZADAS!F:H,3,))</f>
        <v>SM-E-GEN-Inspector-NumeroPolizasCorregidas-Hogar-TotalAnual</v>
      </c>
      <c r="H1280" s="22">
        <v>20180101</v>
      </c>
      <c r="I1280" s="22">
        <v>22000101</v>
      </c>
      <c r="J1280" s="22" t="s">
        <v>1779</v>
      </c>
      <c r="K1280" s="22"/>
    </row>
    <row r="1281" spans="1:11" x14ac:dyDescent="0.25">
      <c r="A1281" s="22">
        <v>0</v>
      </c>
      <c r="B1281" s="22" t="s">
        <v>259</v>
      </c>
      <c r="C1281" s="22" t="s">
        <v>261</v>
      </c>
      <c r="D1281" s="22" t="s">
        <v>1914</v>
      </c>
      <c r="E1281" s="22" t="b">
        <f t="shared" si="109"/>
        <v>1</v>
      </c>
      <c r="F1281" s="22" t="s">
        <v>1610</v>
      </c>
      <c r="G1281" s="22" t="str">
        <f>IF(ISERROR(VLOOKUP(F1281,MODIFICACIONES_REALIZADAS!F:H,3,)),F1281,VLOOKUP(F1281,MODIFICACIONES_REALIZADAS!F:H,3,))</f>
        <v>SM-E-GEN-Inspector-NumeroPolizasCorregidas-Comunidades-TotalAnual</v>
      </c>
      <c r="H1281" s="22">
        <v>20180101</v>
      </c>
      <c r="I1281" s="22">
        <v>22000101</v>
      </c>
      <c r="J1281" s="22" t="s">
        <v>1779</v>
      </c>
      <c r="K1281" s="22"/>
    </row>
    <row r="1282" spans="1:11" x14ac:dyDescent="0.25">
      <c r="A1282" s="22">
        <v>0</v>
      </c>
      <c r="B1282" s="22" t="s">
        <v>259</v>
      </c>
      <c r="C1282" s="22" t="s">
        <v>261</v>
      </c>
      <c r="D1282" s="22" t="s">
        <v>2135</v>
      </c>
      <c r="E1282" s="22" t="b">
        <f t="shared" si="109"/>
        <v>1</v>
      </c>
      <c r="F1282" s="22" t="s">
        <v>2136</v>
      </c>
      <c r="G1282" s="22" t="str">
        <f>IF(ISERROR(VLOOKUP(F1282,MODIFICACIONES_REALIZADAS!F:H,3,)),F1282,VLOOKUP(F1282,MODIFICACIONES_REALIZADAS!F:H,3,))</f>
        <v>SM-E-GEN-Inspector-NumeroPolizasCorregidas-RRGG-TotalAnual</v>
      </c>
      <c r="H1282" s="22">
        <v>20180101</v>
      </c>
      <c r="I1282" s="22">
        <v>22000101</v>
      </c>
      <c r="J1282" s="22" t="s">
        <v>1779</v>
      </c>
      <c r="K1282" s="22"/>
    </row>
    <row r="1283" spans="1:11" x14ac:dyDescent="0.25">
      <c r="A1283" s="22">
        <v>0</v>
      </c>
      <c r="B1283" s="22" t="s">
        <v>259</v>
      </c>
      <c r="C1283" s="22" t="s">
        <v>261</v>
      </c>
      <c r="D1283" s="22" t="s">
        <v>489</v>
      </c>
      <c r="E1283" s="22" t="b">
        <f t="shared" si="109"/>
        <v>1</v>
      </c>
      <c r="F1283" s="22" t="s">
        <v>1606</v>
      </c>
      <c r="G1283" s="22" t="str">
        <f>IF(ISERROR(VLOOKUP(F1283,MODIFICACIONES_REALIZADAS!F:H,3,)),F1283,VLOOKUP(F1283,MODIFICACIONES_REALIZADAS!F:H,3,))</f>
        <v>SM-E-GEN-Inspector-NumeroPolizasCorregidas-Decesos-TotalAnual</v>
      </c>
      <c r="H1283" s="22">
        <v>20180101</v>
      </c>
      <c r="I1283" s="22">
        <v>22000101</v>
      </c>
      <c r="J1283" s="22" t="s">
        <v>1779</v>
      </c>
      <c r="K1283" s="22"/>
    </row>
    <row r="1284" spans="1:11" x14ac:dyDescent="0.25">
      <c r="A1284" s="22">
        <v>0</v>
      </c>
      <c r="B1284" s="22" t="s">
        <v>259</v>
      </c>
      <c r="C1284" s="22" t="s">
        <v>261</v>
      </c>
      <c r="D1284" s="22" t="s">
        <v>1918</v>
      </c>
      <c r="E1284" s="22" t="b">
        <f t="shared" si="109"/>
        <v>1</v>
      </c>
      <c r="F1284" s="22" t="s">
        <v>1614</v>
      </c>
      <c r="G1284" s="22" t="str">
        <f>IF(ISERROR(VLOOKUP(F1284,MODIFICACIONES_REALIZADAS!F:H,3,)),F1284,VLOOKUP(F1284,MODIFICACIONES_REALIZADAS!F:H,3,))</f>
        <v>SM-E-GEN-Inspector-NumeroPolizasCorregidas-ProdPrioritarios-TotalAnual</v>
      </c>
      <c r="H1284" s="22">
        <v>20180101</v>
      </c>
      <c r="I1284" s="22">
        <v>22000101</v>
      </c>
      <c r="J1284" s="22" t="s">
        <v>1779</v>
      </c>
      <c r="K1284" s="22"/>
    </row>
    <row r="1285" spans="1:11" x14ac:dyDescent="0.25">
      <c r="A1285" s="22">
        <v>0</v>
      </c>
      <c r="B1285" s="22" t="s">
        <v>259</v>
      </c>
      <c r="C1285" s="22" t="s">
        <v>261</v>
      </c>
      <c r="D1285" s="22" t="s">
        <v>2137</v>
      </c>
      <c r="E1285" s="22" t="b">
        <f t="shared" si="109"/>
        <v>1</v>
      </c>
      <c r="F1285" s="22" t="s">
        <v>2138</v>
      </c>
      <c r="G1285" s="22" t="str">
        <f>IF(ISERROR(VLOOKUP(F1285,MODIFICACIONES_REALIZADAS!F:H,3,)),F1285,VLOOKUP(F1285,MODIFICACIONES_REALIZADAS!F:H,3,))</f>
        <v>SM-E-GEN-Inspector-NumeroPolizasCorregidas-OtrosDecesos-TotalAnual</v>
      </c>
      <c r="H1285" s="22">
        <v>20180101</v>
      </c>
      <c r="I1285" s="22">
        <v>22000101</v>
      </c>
      <c r="J1285" s="22" t="s">
        <v>1779</v>
      </c>
      <c r="K1285" s="22"/>
    </row>
    <row r="1286" spans="1:11" x14ac:dyDescent="0.25">
      <c r="A1286" s="22">
        <v>0</v>
      </c>
      <c r="B1286" s="22" t="s">
        <v>259</v>
      </c>
      <c r="C1286" s="22" t="s">
        <v>261</v>
      </c>
      <c r="D1286" s="22" t="s">
        <v>503</v>
      </c>
      <c r="E1286" s="22" t="b">
        <f t="shared" si="109"/>
        <v>1</v>
      </c>
      <c r="F1286" s="22" t="s">
        <v>1633</v>
      </c>
      <c r="G1286" s="22" t="str">
        <f>IF(ISERROR(VLOOKUP(F1286,MODIFICACIONES_REALIZADAS!F:H,3,)),F1286,VLOOKUP(F1286,MODIFICACIONES_REALIZADAS!F:H,3,))</f>
        <v>SM-E-GEN-Inspector-NumeroPolizasCorregidas-TotalProduccion-TotalAnual</v>
      </c>
      <c r="H1286" s="22">
        <v>20180101</v>
      </c>
      <c r="I1286" s="22">
        <v>22000101</v>
      </c>
      <c r="J1286" s="22" t="s">
        <v>1779</v>
      </c>
      <c r="K1286" s="22"/>
    </row>
    <row r="1287" spans="1:11" x14ac:dyDescent="0.25">
      <c r="A1287" s="22">
        <v>0</v>
      </c>
      <c r="B1287" s="22" t="s">
        <v>259</v>
      </c>
      <c r="C1287" s="22" t="s">
        <v>261</v>
      </c>
      <c r="D1287" s="22" t="s">
        <v>1926</v>
      </c>
      <c r="E1287" s="22" t="b">
        <f t="shared" si="109"/>
        <v>1</v>
      </c>
      <c r="F1287" s="22" t="s">
        <v>2139</v>
      </c>
      <c r="G1287" s="22" t="str">
        <f>IF(ISERROR(VLOOKUP(F1287,MODIFICACIONES_REALIZADAS!F:H,3,)),F1287,VLOOKUP(F1287,MODIFICACIONES_REALIZADAS!F:H,3,))</f>
        <v>SM-E-GEN-Inspector-Prima-Accidente-TotalAnual</v>
      </c>
      <c r="H1287" s="22">
        <v>20180101</v>
      </c>
      <c r="I1287" s="22">
        <v>22000101</v>
      </c>
      <c r="J1287" s="22" t="s">
        <v>1779</v>
      </c>
      <c r="K1287" s="22"/>
    </row>
    <row r="1288" spans="1:11" x14ac:dyDescent="0.25">
      <c r="A1288" s="22">
        <v>0</v>
      </c>
      <c r="B1288" s="22" t="s">
        <v>259</v>
      </c>
      <c r="C1288" s="22" t="s">
        <v>261</v>
      </c>
      <c r="D1288" s="22" t="s">
        <v>1921</v>
      </c>
      <c r="E1288" s="22" t="b">
        <f t="shared" si="109"/>
        <v>1</v>
      </c>
      <c r="F1288" s="22" t="s">
        <v>2140</v>
      </c>
      <c r="G1288" s="22" t="str">
        <f>IF(ISERROR(VLOOKUP(F1288,MODIFICACIONES_REALIZADAS!F:H,3,)),F1288,VLOOKUP(F1288,MODIFICACIONES_REALIZADAS!F:H,3,))</f>
        <v>SM-E-GEN-Inspector-Prima-Hogar-TotalAnual</v>
      </c>
      <c r="H1288" s="22">
        <v>20180101</v>
      </c>
      <c r="I1288" s="22">
        <v>22000101</v>
      </c>
      <c r="J1288" s="22" t="s">
        <v>1779</v>
      </c>
      <c r="K1288" s="22"/>
    </row>
    <row r="1289" spans="1:11" x14ac:dyDescent="0.25">
      <c r="A1289" s="22">
        <v>0</v>
      </c>
      <c r="B1289" s="22" t="s">
        <v>259</v>
      </c>
      <c r="C1289" s="22" t="s">
        <v>261</v>
      </c>
      <c r="D1289" s="22" t="s">
        <v>1932</v>
      </c>
      <c r="E1289" s="22" t="b">
        <f t="shared" si="109"/>
        <v>1</v>
      </c>
      <c r="F1289" s="22" t="s">
        <v>2141</v>
      </c>
      <c r="G1289" s="22" t="str">
        <f>IF(ISERROR(VLOOKUP(F1289,MODIFICACIONES_REALIZADAS!F:H,3,)),F1289,VLOOKUP(F1289,MODIFICACIONES_REALIZADAS!F:H,3,))</f>
        <v>SM-E-GEN-Inspector-Prima-Comunidades-TotalAnual</v>
      </c>
      <c r="H1289" s="22">
        <v>20180101</v>
      </c>
      <c r="I1289" s="22">
        <v>22000101</v>
      </c>
      <c r="J1289" s="22" t="s">
        <v>1779</v>
      </c>
      <c r="K1289" s="22"/>
    </row>
    <row r="1290" spans="1:11" x14ac:dyDescent="0.25">
      <c r="A1290" s="22">
        <v>0</v>
      </c>
      <c r="B1290" s="22" t="s">
        <v>259</v>
      </c>
      <c r="C1290" s="22" t="s">
        <v>261</v>
      </c>
      <c r="D1290" s="22" t="s">
        <v>2142</v>
      </c>
      <c r="E1290" s="22" t="b">
        <f t="shared" si="109"/>
        <v>1</v>
      </c>
      <c r="F1290" s="22" t="s">
        <v>2143</v>
      </c>
      <c r="G1290" s="22" t="str">
        <f>IF(ISERROR(VLOOKUP(F1290,MODIFICACIONES_REALIZADAS!F:H,3,)),F1290,VLOOKUP(F1290,MODIFICACIONES_REALIZADAS!F:H,3,))</f>
        <v>SM-E-GEN-Inspector-Prima-RRGG-TotalAnual</v>
      </c>
      <c r="H1290" s="22">
        <v>20180101</v>
      </c>
      <c r="I1290" s="22">
        <v>22000101</v>
      </c>
      <c r="J1290" s="22" t="s">
        <v>1779</v>
      </c>
      <c r="K1290" s="22"/>
    </row>
    <row r="1291" spans="1:11" x14ac:dyDescent="0.25">
      <c r="A1291" s="22">
        <v>0</v>
      </c>
      <c r="B1291" s="22" t="s">
        <v>259</v>
      </c>
      <c r="C1291" s="22" t="s">
        <v>261</v>
      </c>
      <c r="D1291" s="22" t="s">
        <v>1919</v>
      </c>
      <c r="E1291" s="22" t="b">
        <f t="shared" si="109"/>
        <v>1</v>
      </c>
      <c r="F1291" s="22" t="s">
        <v>2144</v>
      </c>
      <c r="G1291" s="22" t="str">
        <f>IF(ISERROR(VLOOKUP(F1291,MODIFICACIONES_REALIZADAS!F:H,3,)),F1291,VLOOKUP(F1291,MODIFICACIONES_REALIZADAS!F:H,3,))</f>
        <v>SM-E-GEN-Inspector-Prima-Decesos-TotalAnual</v>
      </c>
      <c r="H1291" s="22">
        <v>20180101</v>
      </c>
      <c r="I1291" s="22">
        <v>22000101</v>
      </c>
      <c r="J1291" s="22" t="s">
        <v>1779</v>
      </c>
      <c r="K1291" s="22"/>
    </row>
    <row r="1292" spans="1:11" x14ac:dyDescent="0.25">
      <c r="A1292" s="22">
        <v>0</v>
      </c>
      <c r="B1292" s="22" t="s">
        <v>259</v>
      </c>
      <c r="C1292" s="22" t="s">
        <v>261</v>
      </c>
      <c r="D1292" s="22" t="s">
        <v>1937</v>
      </c>
      <c r="E1292" s="22" t="b">
        <f t="shared" si="109"/>
        <v>1</v>
      </c>
      <c r="F1292" s="22" t="s">
        <v>2145</v>
      </c>
      <c r="G1292" s="22" t="str">
        <f>IF(ISERROR(VLOOKUP(F1292,MODIFICACIONES_REALIZADAS!F:H,3,)),F1292,VLOOKUP(F1292,MODIFICACIONES_REALIZADAS!F:H,3,))</f>
        <v>SM-E-GEN-Inspector-Prima-ProdPrioritarios-TotalAnual</v>
      </c>
      <c r="H1292" s="22">
        <v>20180101</v>
      </c>
      <c r="I1292" s="22">
        <v>22000101</v>
      </c>
      <c r="J1292" s="22" t="s">
        <v>1779</v>
      </c>
      <c r="K1292" s="22"/>
    </row>
    <row r="1293" spans="1:11" x14ac:dyDescent="0.25">
      <c r="A1293" s="22">
        <v>0</v>
      </c>
      <c r="B1293" s="22" t="s">
        <v>259</v>
      </c>
      <c r="C1293" s="22" t="s">
        <v>261</v>
      </c>
      <c r="D1293" s="22" t="s">
        <v>2146</v>
      </c>
      <c r="E1293" s="22" t="b">
        <f t="shared" si="109"/>
        <v>1</v>
      </c>
      <c r="F1293" s="22" t="s">
        <v>2147</v>
      </c>
      <c r="G1293" s="22" t="str">
        <f>IF(ISERROR(VLOOKUP(F1293,MODIFICACIONES_REALIZADAS!F:H,3,)),F1293,VLOOKUP(F1293,MODIFICACIONES_REALIZADAS!F:H,3,))</f>
        <v>SM-E-GEN-Inspector-Prima-OtrosDecesos-TotalAnual</v>
      </c>
      <c r="H1293" s="22">
        <v>20180101</v>
      </c>
      <c r="I1293" s="22">
        <v>22000101</v>
      </c>
      <c r="J1293" s="22" t="s">
        <v>1779</v>
      </c>
      <c r="K1293" s="22"/>
    </row>
    <row r="1294" spans="1:11" x14ac:dyDescent="0.25">
      <c r="A1294" s="22">
        <v>0</v>
      </c>
      <c r="B1294" s="22" t="s">
        <v>259</v>
      </c>
      <c r="C1294" s="22" t="s">
        <v>261</v>
      </c>
      <c r="D1294" s="22" t="s">
        <v>1939</v>
      </c>
      <c r="E1294" s="22" t="b">
        <f t="shared" si="109"/>
        <v>1</v>
      </c>
      <c r="F1294" s="22" t="s">
        <v>2148</v>
      </c>
      <c r="G1294" s="22" t="str">
        <f>IF(ISERROR(VLOOKUP(F1294,MODIFICACIONES_REALIZADAS!F:H,3,)),F1294,VLOOKUP(F1294,MODIFICACIONES_REALIZADAS!F:H,3,))</f>
        <v>SM-E-GEN-Inspector-Prima-TotalProduccion-TotalAnual</v>
      </c>
      <c r="H1294" s="22">
        <v>20180101</v>
      </c>
      <c r="I1294" s="22">
        <v>22000101</v>
      </c>
      <c r="J1294" s="22" t="s">
        <v>1779</v>
      </c>
      <c r="K1294" s="22"/>
    </row>
    <row r="1295" spans="1:11" x14ac:dyDescent="0.25">
      <c r="A1295" s="22">
        <v>0</v>
      </c>
      <c r="B1295" s="22" t="s">
        <v>259</v>
      </c>
      <c r="C1295" s="22" t="s">
        <v>261</v>
      </c>
      <c r="D1295" s="22" t="s">
        <v>991</v>
      </c>
      <c r="E1295" s="22" t="b">
        <f t="shared" ref="E1295:E1302" si="111">F1295=G1295</f>
        <v>1</v>
      </c>
      <c r="F1295" s="22" t="s">
        <v>2149</v>
      </c>
      <c r="G1295" s="22" t="str">
        <f>IF(ISERROR(VLOOKUP(F1295,MODIFICACIONES_REALIZADAS!F:H,3,)),F1295,VLOOKUP(F1295,MODIFICACIONES_REALIZADAS!F:H,3,))</f>
        <v>SM-E-GEN-Inspector-PrimaCorregida-Accidente-TotalAnual</v>
      </c>
      <c r="H1295" s="22">
        <v>20180101</v>
      </c>
      <c r="I1295" s="22">
        <v>22000101</v>
      </c>
      <c r="J1295" s="22" t="s">
        <v>1779</v>
      </c>
      <c r="K1295" s="22"/>
    </row>
    <row r="1296" spans="1:11" x14ac:dyDescent="0.25">
      <c r="A1296" s="22">
        <v>0</v>
      </c>
      <c r="B1296" s="22" t="s">
        <v>259</v>
      </c>
      <c r="C1296" s="22" t="s">
        <v>261</v>
      </c>
      <c r="D1296" s="22" t="s">
        <v>985</v>
      </c>
      <c r="E1296" s="22" t="b">
        <f t="shared" si="111"/>
        <v>1</v>
      </c>
      <c r="F1296" s="22" t="s">
        <v>2150</v>
      </c>
      <c r="G1296" s="22" t="str">
        <f>IF(ISERROR(VLOOKUP(F1296,MODIFICACIONES_REALIZADAS!F:H,3,)),F1296,VLOOKUP(F1296,MODIFICACIONES_REALIZADAS!F:H,3,))</f>
        <v>SM-E-GEN-Inspector-PrimaCorregida-Hogar-TotalAnual</v>
      </c>
      <c r="H1296" s="22">
        <v>20180101</v>
      </c>
      <c r="I1296" s="22">
        <v>22000101</v>
      </c>
      <c r="J1296" s="22" t="s">
        <v>1779</v>
      </c>
      <c r="K1296" s="22"/>
    </row>
    <row r="1297" spans="1:11" x14ac:dyDescent="0.25">
      <c r="A1297" s="22">
        <v>0</v>
      </c>
      <c r="B1297" s="22" t="s">
        <v>259</v>
      </c>
      <c r="C1297" s="22" t="s">
        <v>261</v>
      </c>
      <c r="D1297" s="22" t="s">
        <v>997</v>
      </c>
      <c r="E1297" s="22" t="b">
        <f t="shared" si="111"/>
        <v>1</v>
      </c>
      <c r="F1297" s="22" t="s">
        <v>2151</v>
      </c>
      <c r="G1297" s="22" t="str">
        <f>IF(ISERROR(VLOOKUP(F1297,MODIFICACIONES_REALIZADAS!F:H,3,)),F1297,VLOOKUP(F1297,MODIFICACIONES_REALIZADAS!F:H,3,))</f>
        <v>SM-E-GEN-Inspector-PrimaCorregida-Comunidades-TotalAnual</v>
      </c>
      <c r="H1297" s="22">
        <v>20180101</v>
      </c>
      <c r="I1297" s="22">
        <v>22000101</v>
      </c>
      <c r="J1297" s="22" t="s">
        <v>1779</v>
      </c>
      <c r="K1297" s="22"/>
    </row>
    <row r="1298" spans="1:11" x14ac:dyDescent="0.25">
      <c r="A1298" s="22">
        <v>0</v>
      </c>
      <c r="B1298" s="22" t="s">
        <v>259</v>
      </c>
      <c r="C1298" s="22" t="s">
        <v>261</v>
      </c>
      <c r="D1298" s="22" t="s">
        <v>2152</v>
      </c>
      <c r="E1298" s="22" t="b">
        <f t="shared" si="111"/>
        <v>1</v>
      </c>
      <c r="F1298" s="22" t="s">
        <v>2153</v>
      </c>
      <c r="G1298" s="22" t="str">
        <f>IF(ISERROR(VLOOKUP(F1298,MODIFICACIONES_REALIZADAS!F:H,3,)),F1298,VLOOKUP(F1298,MODIFICACIONES_REALIZADAS!F:H,3,))</f>
        <v>SM-E-GEN-Inspector-PrimaCorregida-RRGG-TotalAnual</v>
      </c>
      <c r="H1298" s="22">
        <v>20180101</v>
      </c>
      <c r="I1298" s="22">
        <v>22000101</v>
      </c>
      <c r="J1298" s="22" t="s">
        <v>1779</v>
      </c>
      <c r="K1298" s="22"/>
    </row>
    <row r="1299" spans="1:11" x14ac:dyDescent="0.25">
      <c r="A1299" s="22">
        <v>0</v>
      </c>
      <c r="B1299" s="22" t="s">
        <v>259</v>
      </c>
      <c r="C1299" s="22" t="s">
        <v>261</v>
      </c>
      <c r="D1299" s="22" t="s">
        <v>983</v>
      </c>
      <c r="E1299" s="22" t="b">
        <f t="shared" si="111"/>
        <v>1</v>
      </c>
      <c r="F1299" s="22" t="s">
        <v>2154</v>
      </c>
      <c r="G1299" s="22" t="str">
        <f>IF(ISERROR(VLOOKUP(F1299,MODIFICACIONES_REALIZADAS!F:H,3,)),F1299,VLOOKUP(F1299,MODIFICACIONES_REALIZADAS!F:H,3,))</f>
        <v>SM-E-GEN-Inspector-PrimaCorregida-Decesos-TotalAnual</v>
      </c>
      <c r="H1299" s="22">
        <v>20180101</v>
      </c>
      <c r="I1299" s="22">
        <v>22000101</v>
      </c>
      <c r="J1299" s="22" t="s">
        <v>1779</v>
      </c>
      <c r="K1299" s="22"/>
    </row>
    <row r="1300" spans="1:11" x14ac:dyDescent="0.25">
      <c r="A1300" s="22">
        <v>0</v>
      </c>
      <c r="B1300" s="22" t="s">
        <v>259</v>
      </c>
      <c r="C1300" s="22" t="s">
        <v>261</v>
      </c>
      <c r="D1300" s="22" t="s">
        <v>1003</v>
      </c>
      <c r="E1300" s="22" t="b">
        <f t="shared" si="111"/>
        <v>1</v>
      </c>
      <c r="F1300" s="22" t="s">
        <v>1603</v>
      </c>
      <c r="G1300" s="22" t="str">
        <f>IF(ISERROR(VLOOKUP(F1300,MODIFICACIONES_REALIZADAS!F:H,3,)),F1300,VLOOKUP(F1300,MODIFICACIONES_REALIZADAS!F:H,3,))</f>
        <v>SM-E-GEN-Inspector-PrimaCorregida-ProdPrioritarios-TotalAnual</v>
      </c>
      <c r="H1300" s="22">
        <v>20180101</v>
      </c>
      <c r="I1300" s="22">
        <v>22000101</v>
      </c>
      <c r="J1300" s="22" t="s">
        <v>1779</v>
      </c>
      <c r="K1300" s="22"/>
    </row>
    <row r="1301" spans="1:11" x14ac:dyDescent="0.25">
      <c r="A1301" s="22">
        <v>0</v>
      </c>
      <c r="B1301" s="22" t="s">
        <v>259</v>
      </c>
      <c r="C1301" s="22" t="s">
        <v>261</v>
      </c>
      <c r="D1301" s="22" t="s">
        <v>2155</v>
      </c>
      <c r="E1301" s="22" t="b">
        <f t="shared" si="111"/>
        <v>1</v>
      </c>
      <c r="F1301" s="22" t="s">
        <v>2156</v>
      </c>
      <c r="G1301" s="22" t="str">
        <f>IF(ISERROR(VLOOKUP(F1301,MODIFICACIONES_REALIZADAS!F:H,3,)),F1301,VLOOKUP(F1301,MODIFICACIONES_REALIZADAS!F:H,3,))</f>
        <v>SM-E-GEN-Inspector-PrimaCorregida-OtrosDecesos-TotalAnual</v>
      </c>
      <c r="H1301" s="22">
        <v>20180101</v>
      </c>
      <c r="I1301" s="22">
        <v>22000101</v>
      </c>
      <c r="J1301" s="22" t="s">
        <v>1779</v>
      </c>
      <c r="K1301" s="22"/>
    </row>
    <row r="1302" spans="1:11" x14ac:dyDescent="0.25">
      <c r="A1302" s="22">
        <v>0</v>
      </c>
      <c r="B1302" s="22" t="s">
        <v>259</v>
      </c>
      <c r="C1302" s="22" t="s">
        <v>261</v>
      </c>
      <c r="D1302" s="22" t="s">
        <v>501</v>
      </c>
      <c r="E1302" s="22" t="b">
        <f t="shared" si="111"/>
        <v>1</v>
      </c>
      <c r="F1302" s="22" t="s">
        <v>1636</v>
      </c>
      <c r="G1302" s="22" t="str">
        <f>IF(ISERROR(VLOOKUP(F1302,MODIFICACIONES_REALIZADAS!F:H,3,)),F1302,VLOOKUP(F1302,MODIFICACIONES_REALIZADAS!F:H,3,))</f>
        <v>SM-E-GEN-Inspector-PrimaCorregida-TotalProduccion-TotalAnual</v>
      </c>
      <c r="H1302" s="22">
        <v>20180101</v>
      </c>
      <c r="I1302" s="22">
        <v>22000101</v>
      </c>
      <c r="J1302" s="22" t="s">
        <v>1779</v>
      </c>
      <c r="K1302" s="22"/>
    </row>
    <row r="1303" spans="1:11" x14ac:dyDescent="0.25">
      <c r="A1303" s="25">
        <v>0</v>
      </c>
      <c r="B1303" s="25" t="s">
        <v>263</v>
      </c>
      <c r="C1303" s="25" t="s">
        <v>265</v>
      </c>
      <c r="D1303" s="25" t="s">
        <v>1942</v>
      </c>
      <c r="E1303" s="25" t="b">
        <f t="shared" si="109"/>
        <v>1</v>
      </c>
      <c r="F1303" s="25" t="s">
        <v>590</v>
      </c>
      <c r="G1303" s="25" t="str">
        <f>IF(ISERROR(VLOOKUP(F1303,MODIFICACIONES_REALIZADAS!F:H,3,)),F1303,VLOOKUP(F1303,MODIFICACIONES_REALIZADAS!F:H,3,))</f>
        <v>DC-E-GEN-Inspector-PrimaCorregida-998</v>
      </c>
      <c r="H1303" s="25">
        <v>20140101</v>
      </c>
      <c r="I1303" s="25">
        <v>22000101</v>
      </c>
      <c r="J1303" s="25" t="s">
        <v>1316</v>
      </c>
      <c r="K1303" s="25"/>
    </row>
    <row r="1304" spans="1:11" x14ac:dyDescent="0.25">
      <c r="A1304" s="25">
        <v>0</v>
      </c>
      <c r="B1304" s="25" t="s">
        <v>263</v>
      </c>
      <c r="C1304" s="25" t="s">
        <v>265</v>
      </c>
      <c r="D1304" s="25" t="s">
        <v>1942</v>
      </c>
      <c r="E1304" s="25" t="b">
        <f t="shared" si="109"/>
        <v>1</v>
      </c>
      <c r="F1304" s="25" t="s">
        <v>592</v>
      </c>
      <c r="G1304" s="25" t="str">
        <f>IF(ISERROR(VLOOKUP(F1304,MODIFICACIONES_REALIZADAS!F:H,3,)),F1304,VLOOKUP(F1304,MODIFICACIONES_REALIZADAS!F:H,3,))</f>
        <v>IC-E-GEN-Inspector-PrimaCorregida-998</v>
      </c>
      <c r="H1304" s="25">
        <v>20140101</v>
      </c>
      <c r="I1304" s="25">
        <v>22000101</v>
      </c>
      <c r="J1304" s="25" t="s">
        <v>1316</v>
      </c>
      <c r="K1304" s="25"/>
    </row>
    <row r="1305" spans="1:11" x14ac:dyDescent="0.25">
      <c r="A1305" s="25">
        <v>0</v>
      </c>
      <c r="B1305" s="25" t="s">
        <v>263</v>
      </c>
      <c r="C1305" s="25" t="s">
        <v>265</v>
      </c>
      <c r="D1305" s="25" t="s">
        <v>1820</v>
      </c>
      <c r="E1305" s="25" t="b">
        <f t="shared" si="109"/>
        <v>1</v>
      </c>
      <c r="F1305" s="25" t="s">
        <v>594</v>
      </c>
      <c r="G1305" s="25" t="str">
        <f>IF(ISERROR(VLOOKUP(F1305,MODIFICACIONES_REALIZADAS!F:H,3,)),F1305,VLOOKUP(F1305,MODIFICACIONES_REALIZADAS!F:H,3,))</f>
        <v>DC-E-GEN-Inspector-NumeroPolizas-998</v>
      </c>
      <c r="H1305" s="25">
        <v>20140101</v>
      </c>
      <c r="I1305" s="25">
        <v>22000101</v>
      </c>
      <c r="J1305" s="25" t="s">
        <v>1316</v>
      </c>
      <c r="K1305" s="25"/>
    </row>
    <row r="1306" spans="1:11" x14ac:dyDescent="0.25">
      <c r="A1306" s="25">
        <v>0</v>
      </c>
      <c r="B1306" s="25" t="s">
        <v>263</v>
      </c>
      <c r="C1306" s="25" t="s">
        <v>265</v>
      </c>
      <c r="D1306" s="25" t="s">
        <v>1820</v>
      </c>
      <c r="E1306" s="25" t="b">
        <f t="shared" si="109"/>
        <v>1</v>
      </c>
      <c r="F1306" s="25" t="s">
        <v>596</v>
      </c>
      <c r="G1306" s="25" t="str">
        <f>IF(ISERROR(VLOOKUP(F1306,MODIFICACIONES_REALIZADAS!F:H,3,)),F1306,VLOOKUP(F1306,MODIFICACIONES_REALIZADAS!F:H,3,))</f>
        <v>IC-E-GEN-Inspector-NumeroPolizas-998</v>
      </c>
      <c r="H1306" s="25">
        <v>20140101</v>
      </c>
      <c r="I1306" s="25">
        <v>22000101</v>
      </c>
      <c r="J1306" s="25" t="s">
        <v>1316</v>
      </c>
      <c r="K1306" s="25"/>
    </row>
    <row r="1307" spans="1:11" x14ac:dyDescent="0.25">
      <c r="A1307" s="22">
        <v>0</v>
      </c>
      <c r="B1307" s="22" t="s">
        <v>270</v>
      </c>
      <c r="C1307" s="22" t="s">
        <v>272</v>
      </c>
      <c r="D1307" s="22" t="s">
        <v>2157</v>
      </c>
      <c r="E1307" s="22" t="b">
        <f t="shared" si="109"/>
        <v>1</v>
      </c>
      <c r="F1307" s="22" t="s">
        <v>895</v>
      </c>
      <c r="G1307" s="22" t="str">
        <f>IF(ISERROR(VLOOKUP(F1307,MODIFICACIONES_REALIZADAS!F:H,3,)),F1307,VLOOKUP(F1307,MODIFICACIONES_REALIZADAS!F:H,3,))</f>
        <v>DC-O-GEN-Agente-NumeroPolizas-998</v>
      </c>
      <c r="H1307" s="22">
        <v>20170101</v>
      </c>
      <c r="I1307" s="22">
        <v>22000101</v>
      </c>
      <c r="J1307" s="22" t="s">
        <v>1316</v>
      </c>
      <c r="K1307" s="22"/>
    </row>
    <row r="1308" spans="1:11" x14ac:dyDescent="0.25">
      <c r="A1308" s="22">
        <v>0</v>
      </c>
      <c r="B1308" s="22" t="s">
        <v>270</v>
      </c>
      <c r="C1308" s="22" t="s">
        <v>272</v>
      </c>
      <c r="D1308" s="22" t="s">
        <v>2158</v>
      </c>
      <c r="E1308" s="22" t="b">
        <f t="shared" ref="E1308:E1322" si="112">F1308=G1308</f>
        <v>1</v>
      </c>
      <c r="F1308" s="22" t="s">
        <v>899</v>
      </c>
      <c r="G1308" s="22" t="str">
        <f>IF(ISERROR(VLOOKUP(F1308,MODIFICACIONES_REALIZADAS!F:H,3,)),F1308,VLOOKUP(F1308,MODIFICACIONES_REALIZADAS!F:H,3,))</f>
        <v>DC-O-GEN-Agente-NumeroPolizas-998-Renov</v>
      </c>
      <c r="H1308" s="22">
        <v>20170101</v>
      </c>
      <c r="I1308" s="22">
        <v>22000101</v>
      </c>
      <c r="J1308" s="22" t="s">
        <v>1316</v>
      </c>
      <c r="K1308" s="22"/>
    </row>
    <row r="1309" spans="1:11" x14ac:dyDescent="0.25">
      <c r="A1309" s="22">
        <v>0</v>
      </c>
      <c r="B1309" s="22" t="s">
        <v>270</v>
      </c>
      <c r="C1309" s="22" t="s">
        <v>272</v>
      </c>
      <c r="D1309" s="22" t="s">
        <v>2159</v>
      </c>
      <c r="E1309" s="22" t="b">
        <f t="shared" si="112"/>
        <v>1</v>
      </c>
      <c r="F1309" s="22" t="s">
        <v>897</v>
      </c>
      <c r="G1309" s="22" t="str">
        <f>IF(ISERROR(VLOOKUP(F1309,MODIFICACIONES_REALIZADAS!F:H,3,)),F1309,VLOOKUP(F1309,MODIFICACIONES_REALIZADAS!F:H,3,))</f>
        <v>DC-O-GEN-Agente-NumeroPolizas-998-Recup</v>
      </c>
      <c r="H1309" s="22">
        <v>20170101</v>
      </c>
      <c r="I1309" s="22">
        <v>22000101</v>
      </c>
      <c r="J1309" s="22" t="s">
        <v>1316</v>
      </c>
      <c r="K1309" s="22"/>
    </row>
    <row r="1310" spans="1:11" x14ac:dyDescent="0.25">
      <c r="A1310" s="22">
        <v>0</v>
      </c>
      <c r="B1310" s="22" t="s">
        <v>270</v>
      </c>
      <c r="C1310" s="22" t="s">
        <v>272</v>
      </c>
      <c r="D1310" s="22" t="s">
        <v>2160</v>
      </c>
      <c r="E1310" s="22" t="b">
        <f t="shared" si="112"/>
        <v>1</v>
      </c>
      <c r="F1310" s="22" t="s">
        <v>893</v>
      </c>
      <c r="G1310" s="22" t="str">
        <f>IF(ISERROR(VLOOKUP(F1310,MODIFICACIONES_REALIZADAS!F:H,3,)),F1310,VLOOKUP(F1310,MODIFICACIONES_REALIZADAS!F:H,3,))</f>
        <v>DC-O-GEN-Agente-Prima-998</v>
      </c>
      <c r="H1310" s="22">
        <v>20170101</v>
      </c>
      <c r="I1310" s="22">
        <v>22000101</v>
      </c>
      <c r="J1310" s="22" t="s">
        <v>1316</v>
      </c>
      <c r="K1310" s="22"/>
    </row>
    <row r="1311" spans="1:11" x14ac:dyDescent="0.25">
      <c r="A1311" s="22">
        <v>0</v>
      </c>
      <c r="B1311" s="22" t="s">
        <v>270</v>
      </c>
      <c r="C1311" s="22" t="s">
        <v>272</v>
      </c>
      <c r="D1311" s="22" t="s">
        <v>2161</v>
      </c>
      <c r="E1311" s="22" t="b">
        <f t="shared" si="112"/>
        <v>1</v>
      </c>
      <c r="F1311" s="22" t="s">
        <v>1701</v>
      </c>
      <c r="G1311" s="22" t="str">
        <f>IF(ISERROR(VLOOKUP(F1311,MODIFICACIONES_REALIZADAS!F:H,3,)),F1311,VLOOKUP(F1311,MODIFICACIONES_REALIZADAS!F:H,3,))</f>
        <v>DC-O-GEN-Inspector-NumeroPolizas-998</v>
      </c>
      <c r="H1311" s="22">
        <v>20170101</v>
      </c>
      <c r="I1311" s="22">
        <v>22000101</v>
      </c>
      <c r="J1311" s="22" t="s">
        <v>1316</v>
      </c>
      <c r="K1311" s="22"/>
    </row>
    <row r="1312" spans="1:11" x14ac:dyDescent="0.25">
      <c r="A1312" s="22">
        <v>0</v>
      </c>
      <c r="B1312" s="22" t="s">
        <v>270</v>
      </c>
      <c r="C1312" s="22" t="s">
        <v>272</v>
      </c>
      <c r="D1312" s="22" t="s">
        <v>2162</v>
      </c>
      <c r="E1312" s="22" t="b">
        <f t="shared" ref="E1312" si="113">F1312=G1312</f>
        <v>1</v>
      </c>
      <c r="F1312" s="22" t="s">
        <v>1703</v>
      </c>
      <c r="G1312" s="22" t="str">
        <f>IF(ISERROR(VLOOKUP(F1312,MODIFICACIONES_REALIZADAS!F:H,3,)),F1312,VLOOKUP(F1312,MODIFICACIONES_REALIZADAS!F:H,3,))</f>
        <v>DC-O-GEN-Inspector-NumeroPolizas-998-Renov</v>
      </c>
      <c r="H1312" s="22">
        <v>20180101</v>
      </c>
      <c r="I1312" s="22">
        <v>22000101</v>
      </c>
      <c r="J1312" s="22" t="s">
        <v>480</v>
      </c>
      <c r="K1312" s="22"/>
    </row>
    <row r="1313" spans="1:11" x14ac:dyDescent="0.25">
      <c r="A1313" s="22">
        <v>0</v>
      </c>
      <c r="B1313" s="22" t="s">
        <v>270</v>
      </c>
      <c r="C1313" s="22" t="s">
        <v>272</v>
      </c>
      <c r="D1313" s="22" t="s">
        <v>2163</v>
      </c>
      <c r="E1313" s="22" t="b">
        <f t="shared" si="112"/>
        <v>1</v>
      </c>
      <c r="F1313" s="22" t="s">
        <v>1705</v>
      </c>
      <c r="G1313" s="22" t="str">
        <f>IF(ISERROR(VLOOKUP(F1313,MODIFICACIONES_REALIZADAS!F:H,3,)),F1313,VLOOKUP(F1313,MODIFICACIONES_REALIZADAS!F:H,3,))</f>
        <v>DC-O-GEN-Inspector-PrimaCorregida-998</v>
      </c>
      <c r="H1313" s="22">
        <v>20170101</v>
      </c>
      <c r="I1313" s="22">
        <v>22000101</v>
      </c>
      <c r="J1313" s="22" t="s">
        <v>1316</v>
      </c>
      <c r="K1313" s="22"/>
    </row>
    <row r="1314" spans="1:11" x14ac:dyDescent="0.25">
      <c r="A1314" s="22">
        <v>0</v>
      </c>
      <c r="B1314" s="22" t="s">
        <v>270</v>
      </c>
      <c r="C1314" s="22" t="s">
        <v>272</v>
      </c>
      <c r="D1314" s="22" t="s">
        <v>900</v>
      </c>
      <c r="E1314" s="22" t="b">
        <f t="shared" si="112"/>
        <v>1</v>
      </c>
      <c r="F1314" s="22" t="s">
        <v>901</v>
      </c>
      <c r="G1314" s="22" t="str">
        <f>IF(ISERROR(VLOOKUP(F1314,MODIFICACIONES_REALIZADAS!F:H,3,)),F1314,VLOOKUP(F1314,MODIFICACIONES_REALIZADAS!F:H,3,))</f>
        <v>DC-O-GEN-Agente-NumAsegurados</v>
      </c>
      <c r="H1314" s="22">
        <v>20180101</v>
      </c>
      <c r="I1314" s="22">
        <v>22000101</v>
      </c>
      <c r="J1314" s="22" t="s">
        <v>1316</v>
      </c>
      <c r="K1314" s="22"/>
    </row>
    <row r="1315" spans="1:11" x14ac:dyDescent="0.25">
      <c r="A1315" s="22">
        <v>0</v>
      </c>
      <c r="B1315" s="22" t="s">
        <v>278</v>
      </c>
      <c r="C1315" s="22" t="s">
        <v>280</v>
      </c>
      <c r="D1315" s="22" t="s">
        <v>2164</v>
      </c>
      <c r="E1315" s="22" t="b">
        <f t="shared" si="112"/>
        <v>1</v>
      </c>
      <c r="F1315" s="22" t="s">
        <v>1701</v>
      </c>
      <c r="G1315" s="22" t="str">
        <f>IF(ISERROR(VLOOKUP(F1315,MODIFICACIONES_REALIZADAS!F:H,3,)),F1315,VLOOKUP(F1315,MODIFICACIONES_REALIZADAS!F:H,3,))</f>
        <v>DC-O-GEN-Inspector-NumeroPolizas-998</v>
      </c>
      <c r="H1315" s="22">
        <v>20170101</v>
      </c>
      <c r="I1315" s="22">
        <v>22000101</v>
      </c>
      <c r="J1315" s="22" t="s">
        <v>1316</v>
      </c>
      <c r="K1315" s="22"/>
    </row>
    <row r="1316" spans="1:11" x14ac:dyDescent="0.25">
      <c r="A1316" s="22">
        <v>0</v>
      </c>
      <c r="B1316" s="22" t="s">
        <v>278</v>
      </c>
      <c r="C1316" s="22" t="s">
        <v>280</v>
      </c>
      <c r="D1316" s="22" t="s">
        <v>2165</v>
      </c>
      <c r="E1316" s="22" t="b">
        <f t="shared" si="112"/>
        <v>1</v>
      </c>
      <c r="F1316" s="22" t="s">
        <v>1702</v>
      </c>
      <c r="G1316" s="22" t="str">
        <f>IF(ISERROR(VLOOKUP(F1316,MODIFICACIONES_REALIZADAS!F:H,3,)),F1316,VLOOKUP(F1316,MODIFICACIONES_REALIZADAS!F:H,3,))</f>
        <v>IC-O-GEN-Inspector-NumeroPolizas-998</v>
      </c>
      <c r="H1316" s="22">
        <v>20170101</v>
      </c>
      <c r="I1316" s="22">
        <v>22000101</v>
      </c>
      <c r="J1316" s="22" t="s">
        <v>1316</v>
      </c>
      <c r="K1316" s="22"/>
    </row>
    <row r="1317" spans="1:11" x14ac:dyDescent="0.25">
      <c r="A1317" s="22">
        <v>0</v>
      </c>
      <c r="B1317" s="22" t="s">
        <v>278</v>
      </c>
      <c r="C1317" s="22" t="s">
        <v>280</v>
      </c>
      <c r="D1317" s="22" t="s">
        <v>2166</v>
      </c>
      <c r="E1317" s="22" t="b">
        <f t="shared" si="112"/>
        <v>1</v>
      </c>
      <c r="F1317" s="22" t="s">
        <v>1703</v>
      </c>
      <c r="G1317" s="22" t="str">
        <f>IF(ISERROR(VLOOKUP(F1317,MODIFICACIONES_REALIZADAS!F:H,3,)),F1317,VLOOKUP(F1317,MODIFICACIONES_REALIZADAS!F:H,3,))</f>
        <v>DC-O-GEN-Inspector-NumeroPolizas-998-Renov</v>
      </c>
      <c r="H1317" s="22">
        <v>20180101</v>
      </c>
      <c r="I1317" s="22">
        <v>22000101</v>
      </c>
      <c r="J1317" s="22" t="s">
        <v>1279</v>
      </c>
      <c r="K1317" s="22"/>
    </row>
    <row r="1318" spans="1:11" x14ac:dyDescent="0.25">
      <c r="A1318" s="22">
        <v>0</v>
      </c>
      <c r="B1318" s="22" t="s">
        <v>278</v>
      </c>
      <c r="C1318" s="22" t="s">
        <v>280</v>
      </c>
      <c r="D1318" s="22" t="s">
        <v>2167</v>
      </c>
      <c r="E1318" s="22" t="b">
        <f t="shared" si="112"/>
        <v>1</v>
      </c>
      <c r="F1318" s="22" t="s">
        <v>1704</v>
      </c>
      <c r="G1318" s="22" t="str">
        <f>IF(ISERROR(VLOOKUP(F1318,MODIFICACIONES_REALIZADAS!F:H,3,)),F1318,VLOOKUP(F1318,MODIFICACIONES_REALIZADAS!F:H,3,))</f>
        <v>IC-O-GEN-Inspector-NumeroPolizas-998-Renov</v>
      </c>
      <c r="H1318" s="22">
        <v>20180101</v>
      </c>
      <c r="I1318" s="22">
        <v>22000101</v>
      </c>
      <c r="J1318" s="22" t="s">
        <v>1279</v>
      </c>
      <c r="K1318" s="22"/>
    </row>
    <row r="1319" spans="1:11" x14ac:dyDescent="0.25">
      <c r="A1319" s="22">
        <v>0</v>
      </c>
      <c r="B1319" s="22" t="s">
        <v>278</v>
      </c>
      <c r="C1319" s="22" t="s">
        <v>280</v>
      </c>
      <c r="D1319" s="22" t="s">
        <v>2168</v>
      </c>
      <c r="E1319" s="22" t="b">
        <f t="shared" si="112"/>
        <v>1</v>
      </c>
      <c r="F1319" s="22" t="s">
        <v>1705</v>
      </c>
      <c r="G1319" s="22" t="str">
        <f>IF(ISERROR(VLOOKUP(F1319,MODIFICACIONES_REALIZADAS!F:H,3,)),F1319,VLOOKUP(F1319,MODIFICACIONES_REALIZADAS!F:H,3,))</f>
        <v>DC-O-GEN-Inspector-PrimaCorregida-998</v>
      </c>
      <c r="H1319" s="22">
        <v>20170101</v>
      </c>
      <c r="I1319" s="22">
        <v>22000101</v>
      </c>
      <c r="J1319" s="22" t="s">
        <v>1316</v>
      </c>
      <c r="K1319" s="22"/>
    </row>
    <row r="1320" spans="1:11" x14ac:dyDescent="0.25">
      <c r="A1320" s="22">
        <v>0</v>
      </c>
      <c r="B1320" s="22" t="s">
        <v>278</v>
      </c>
      <c r="C1320" s="22" t="s">
        <v>280</v>
      </c>
      <c r="D1320" s="22" t="s">
        <v>2169</v>
      </c>
      <c r="E1320" s="22" t="b">
        <f t="shared" si="112"/>
        <v>1</v>
      </c>
      <c r="F1320" s="22" t="s">
        <v>1706</v>
      </c>
      <c r="G1320" s="22" t="str">
        <f>IF(ISERROR(VLOOKUP(F1320,MODIFICACIONES_REALIZADAS!F:H,3,)),F1320,VLOOKUP(F1320,MODIFICACIONES_REALIZADAS!F:H,3,))</f>
        <v>IC-O-GEN-Inspector-PrimaCorregida-998</v>
      </c>
      <c r="H1320" s="22">
        <v>20170101</v>
      </c>
      <c r="I1320" s="22">
        <v>22000101</v>
      </c>
      <c r="J1320" s="22" t="s">
        <v>1316</v>
      </c>
      <c r="K1320" s="22"/>
    </row>
    <row r="1321" spans="1:11" x14ac:dyDescent="0.25">
      <c r="A1321" s="22">
        <v>0</v>
      </c>
      <c r="B1321" s="22" t="s">
        <v>278</v>
      </c>
      <c r="C1321" s="22" t="s">
        <v>280</v>
      </c>
      <c r="D1321" s="22" t="s">
        <v>900</v>
      </c>
      <c r="E1321" s="22" t="b">
        <f t="shared" si="112"/>
        <v>1</v>
      </c>
      <c r="F1321" s="22" t="s">
        <v>901</v>
      </c>
      <c r="G1321" s="22" t="str">
        <f>IF(ISERROR(VLOOKUP(F1321,MODIFICACIONES_REALIZADAS!F:H,3,)),F1321,VLOOKUP(F1321,MODIFICACIONES_REALIZADAS!F:H,3,))</f>
        <v>DC-O-GEN-Agente-NumAsegurados</v>
      </c>
      <c r="H1321" s="22">
        <v>20180101</v>
      </c>
      <c r="I1321" s="22">
        <v>22000101</v>
      </c>
      <c r="J1321" s="22" t="s">
        <v>1316</v>
      </c>
      <c r="K1321" s="22"/>
    </row>
    <row r="1322" spans="1:11" x14ac:dyDescent="0.25">
      <c r="A1322" s="22">
        <v>0</v>
      </c>
      <c r="B1322" s="22" t="s">
        <v>278</v>
      </c>
      <c r="C1322" s="22" t="s">
        <v>280</v>
      </c>
      <c r="D1322" s="22" t="s">
        <v>1707</v>
      </c>
      <c r="E1322" s="22" t="b">
        <f t="shared" si="112"/>
        <v>1</v>
      </c>
      <c r="F1322" s="22" t="s">
        <v>1708</v>
      </c>
      <c r="G1322" s="22" t="str">
        <f>IF(ISERROR(VLOOKUP(F1322,MODIFICACIONES_REALIZADAS!F:H,3,)),F1322,VLOOKUP(F1322,MODIFICACIONES_REALIZADAS!F:H,3,))</f>
        <v>IC-O-GEN-Inspector-NumAsegurados</v>
      </c>
      <c r="H1322" s="22">
        <v>20180101</v>
      </c>
      <c r="I1322" s="22">
        <v>22000101</v>
      </c>
      <c r="J1322" s="22" t="s">
        <v>1316</v>
      </c>
      <c r="K1322" s="22"/>
    </row>
    <row r="1323" spans="1:11" x14ac:dyDescent="0.25">
      <c r="A1323">
        <v>0</v>
      </c>
      <c r="B1323" t="s">
        <v>286</v>
      </c>
      <c r="C1323" t="s">
        <v>288</v>
      </c>
      <c r="D1323" t="s">
        <v>419</v>
      </c>
      <c r="E1323" t="b">
        <f t="shared" si="109"/>
        <v>1</v>
      </c>
      <c r="F1323" t="s">
        <v>1842</v>
      </c>
      <c r="G1323" t="str">
        <f>IF(ISERROR(VLOOKUP(F1323,MODIFICACIONES_REALIZADAS!F:H,3,)),F1323,VLOOKUP(F1323,MODIFICACIONES_REALIZADAS!F:H,3,))</f>
        <v>SM-O-GEN-Inspector-NumeroPolizas-998-TotalMes</v>
      </c>
      <c r="H1323">
        <v>20170101</v>
      </c>
      <c r="I1323">
        <v>22000101</v>
      </c>
    </row>
    <row r="1324" spans="1:11" x14ac:dyDescent="0.25">
      <c r="A1324" s="22">
        <v>0</v>
      </c>
      <c r="B1324" s="22" t="s">
        <v>286</v>
      </c>
      <c r="C1324" s="22" t="s">
        <v>288</v>
      </c>
      <c r="D1324" s="22" t="s">
        <v>431</v>
      </c>
      <c r="E1324" s="22" t="b">
        <f t="shared" ref="E1324" si="114">F1324=G1324</f>
        <v>1</v>
      </c>
      <c r="F1324" s="22" t="s">
        <v>432</v>
      </c>
      <c r="G1324" s="22" t="str">
        <f>IF(ISERROR(VLOOKUP(F1324,MODIFICACIONES_REALIZADAS!F:H,3,)),F1324,VLOOKUP(F1324,MODIFICACIONES_REALIZADAS!F:H,3,))</f>
        <v>SM-O-GEN-Inspector-NumeroPolizasCorregidas-998-TotalMes</v>
      </c>
      <c r="H1324" s="22">
        <v>20180101</v>
      </c>
      <c r="I1324" s="22">
        <v>22000101</v>
      </c>
      <c r="J1324" s="22" t="s">
        <v>2170</v>
      </c>
      <c r="K1324" s="22"/>
    </row>
    <row r="1325" spans="1:11" x14ac:dyDescent="0.25">
      <c r="A1325">
        <v>0</v>
      </c>
      <c r="B1325" t="s">
        <v>286</v>
      </c>
      <c r="C1325" t="s">
        <v>288</v>
      </c>
      <c r="D1325" t="s">
        <v>429</v>
      </c>
      <c r="E1325" t="b">
        <f t="shared" si="109"/>
        <v>1</v>
      </c>
      <c r="F1325" t="s">
        <v>1098</v>
      </c>
      <c r="G1325" t="str">
        <f>IF(ISERROR(VLOOKUP(F1325,MODIFICACIONES_REALIZADAS!F:H,3,)),F1325,VLOOKUP(F1325,MODIFICACIONES_REALIZADAS!F:H,3,))</f>
        <v>SM-O-GEN-Inspector-PrimaCorregida-998-TotalMes</v>
      </c>
      <c r="H1325">
        <v>20170101</v>
      </c>
      <c r="I1325">
        <v>22000101</v>
      </c>
    </row>
    <row r="1326" spans="1:11" x14ac:dyDescent="0.25">
      <c r="A1326">
        <v>0</v>
      </c>
      <c r="B1326" t="s">
        <v>286</v>
      </c>
      <c r="C1326" t="s">
        <v>288</v>
      </c>
      <c r="D1326" t="s">
        <v>2171</v>
      </c>
      <c r="E1326" t="b">
        <f t="shared" si="109"/>
        <v>1</v>
      </c>
      <c r="F1326" t="s">
        <v>1881</v>
      </c>
      <c r="G1326" t="str">
        <f>IF(ISERROR(VLOOKUP(F1326,MODIFICACIONES_REALIZADAS!F:H,3,)),F1326,VLOOKUP(F1326,MODIFICACIONES_REALIZADAS!F:H,3,))</f>
        <v>SM-O-GEN-Inspector-Prima-998-TotalMes</v>
      </c>
      <c r="H1326">
        <v>20170101</v>
      </c>
      <c r="I1326">
        <v>22000101</v>
      </c>
    </row>
    <row r="1327" spans="1:11" x14ac:dyDescent="0.25">
      <c r="A1327">
        <v>0</v>
      </c>
      <c r="B1327" t="s">
        <v>286</v>
      </c>
      <c r="C1327" t="s">
        <v>288</v>
      </c>
      <c r="D1327" t="s">
        <v>2172</v>
      </c>
      <c r="E1327" t="b">
        <f t="shared" si="109"/>
        <v>1</v>
      </c>
      <c r="F1327" t="s">
        <v>332</v>
      </c>
      <c r="G1327" t="str">
        <f>IF(ISERROR(VLOOKUP(F1327,MODIFICACIONES_REALIZADAS!F:H,3,)),F1327,VLOOKUP(F1327,MODIFICACIONES_REALIZADAS!F:H,3,))</f>
        <v>SM-O-RPP-Inspector-ObjetivoAnual-NumPolizas-998</v>
      </c>
      <c r="H1327">
        <v>20170101</v>
      </c>
      <c r="I1327">
        <v>22000101</v>
      </c>
    </row>
    <row r="1328" spans="1:11" x14ac:dyDescent="0.25">
      <c r="A1328">
        <v>0</v>
      </c>
      <c r="B1328" t="s">
        <v>286</v>
      </c>
      <c r="C1328" t="s">
        <v>288</v>
      </c>
      <c r="D1328" t="s">
        <v>2173</v>
      </c>
      <c r="E1328" t="b">
        <f t="shared" si="109"/>
        <v>1</v>
      </c>
      <c r="F1328" t="s">
        <v>334</v>
      </c>
      <c r="G1328" t="str">
        <f>IF(ISERROR(VLOOKUP(F1328,MODIFICACIONES_REALIZADAS!F:H,3,)),F1328,VLOOKUP(F1328,MODIFICACIONES_REALIZADAS!F:H,3,))</f>
        <v>SM-O-RPP-Inspector-ObjetivoUnicoAnual-PrimaCorregida</v>
      </c>
      <c r="H1328">
        <v>20170101</v>
      </c>
      <c r="I1328">
        <v>22000101</v>
      </c>
    </row>
    <row r="1329" spans="1:11" x14ac:dyDescent="0.25">
      <c r="A1329" s="22">
        <v>0</v>
      </c>
      <c r="B1329" s="22" t="s">
        <v>290</v>
      </c>
      <c r="C1329" s="22" t="s">
        <v>292</v>
      </c>
      <c r="D1329" s="22" t="s">
        <v>719</v>
      </c>
      <c r="E1329" s="22" t="b">
        <f>F1329=G1329</f>
        <v>1</v>
      </c>
      <c r="F1329" s="22" t="s">
        <v>2174</v>
      </c>
      <c r="G1329" s="22" t="str">
        <f>IF(ISERROR(VLOOKUP(F1329,MODIFICACIONES_REALIZADAS!F:H,3,)),F1329,VLOOKUP(F1329,MODIFICACIONES_REALIZADAS!F:H,3,))</f>
        <v>PM-E-GEN-Agente-NumAsegurados</v>
      </c>
      <c r="H1329" s="22">
        <v>20180101</v>
      </c>
      <c r="I1329" s="22">
        <v>22000101</v>
      </c>
      <c r="J1329" s="22" t="s">
        <v>2175</v>
      </c>
      <c r="K1329" s="22"/>
    </row>
    <row r="1330" spans="1:11" x14ac:dyDescent="0.25">
      <c r="A1330" s="22">
        <v>0</v>
      </c>
      <c r="B1330" s="22" t="s">
        <v>290</v>
      </c>
      <c r="C1330" s="22" t="s">
        <v>292</v>
      </c>
      <c r="D1330" s="22" t="s">
        <v>2176</v>
      </c>
      <c r="E1330" s="22" t="b">
        <f t="shared" ref="E1330:E1359" si="115">F1330=G1330</f>
        <v>1</v>
      </c>
      <c r="F1330" s="22" t="s">
        <v>2177</v>
      </c>
      <c r="G1330" s="22" t="str">
        <f>IF(ISERROR(VLOOKUP(F1330,MODIFICACIONES_REALIZADAS!F:H,3,)),F1330,VLOOKUP(F1330,MODIFICACIONES_REALIZADAS!F:H,3,))</f>
        <v>PM-E-GEN-Inspector-NumeroPolizas-Accidente-Propia</v>
      </c>
      <c r="H1330" s="22">
        <v>20180101</v>
      </c>
      <c r="I1330" s="22">
        <v>22000101</v>
      </c>
      <c r="J1330" s="22" t="s">
        <v>2175</v>
      </c>
      <c r="K1330" s="22"/>
    </row>
    <row r="1331" spans="1:11" x14ac:dyDescent="0.25">
      <c r="A1331" s="22">
        <v>0</v>
      </c>
      <c r="B1331" s="22" t="s">
        <v>290</v>
      </c>
      <c r="C1331" s="22" t="s">
        <v>292</v>
      </c>
      <c r="D1331" s="22" t="s">
        <v>2178</v>
      </c>
      <c r="E1331" s="22" t="b">
        <f t="shared" si="115"/>
        <v>1</v>
      </c>
      <c r="F1331" s="22" t="s">
        <v>2179</v>
      </c>
      <c r="G1331" s="22" t="str">
        <f>IF(ISERROR(VLOOKUP(F1331,MODIFICACIONES_REALIZADAS!F:H,3,)),F1331,VLOOKUP(F1331,MODIFICACIONES_REALIZADAS!F:H,3,))</f>
        <v>PM-E-GEN-Inspector-NumeroPolizas-Hogar-Propia</v>
      </c>
      <c r="H1331" s="22">
        <v>20180101</v>
      </c>
      <c r="I1331" s="22">
        <v>22000101</v>
      </c>
      <c r="J1331" s="22" t="s">
        <v>2175</v>
      </c>
      <c r="K1331" s="22"/>
    </row>
    <row r="1332" spans="1:11" x14ac:dyDescent="0.25">
      <c r="A1332" s="22">
        <v>0</v>
      </c>
      <c r="B1332" s="22" t="s">
        <v>290</v>
      </c>
      <c r="C1332" s="22" t="s">
        <v>292</v>
      </c>
      <c r="D1332" s="22" t="s">
        <v>2180</v>
      </c>
      <c r="E1332" s="22" t="b">
        <f t="shared" si="115"/>
        <v>1</v>
      </c>
      <c r="F1332" s="22" t="s">
        <v>2181</v>
      </c>
      <c r="G1332" s="22" t="str">
        <f>IF(ISERROR(VLOOKUP(F1332,MODIFICACIONES_REALIZADAS!F:H,3,)),F1332,VLOOKUP(F1332,MODIFICACIONES_REALIZADAS!F:H,3,))</f>
        <v>PM-E-GEN-Inspector-NumeroPolizas-Comunidades-Propia</v>
      </c>
      <c r="H1332" s="22">
        <v>20180101</v>
      </c>
      <c r="I1332" s="22">
        <v>22000101</v>
      </c>
      <c r="J1332" s="22" t="s">
        <v>2175</v>
      </c>
      <c r="K1332" s="22"/>
    </row>
    <row r="1333" spans="1:11" x14ac:dyDescent="0.25">
      <c r="A1333" s="22">
        <v>0</v>
      </c>
      <c r="B1333" s="22" t="s">
        <v>290</v>
      </c>
      <c r="C1333" s="22" t="s">
        <v>292</v>
      </c>
      <c r="D1333" s="22" t="s">
        <v>2182</v>
      </c>
      <c r="E1333" s="22" t="b">
        <f t="shared" si="115"/>
        <v>1</v>
      </c>
      <c r="F1333" s="22" t="s">
        <v>2183</v>
      </c>
      <c r="G1333" s="22" t="str">
        <f>IF(ISERROR(VLOOKUP(F1333,MODIFICACIONES_REALIZADAS!F:H,3,)),F1333,VLOOKUP(F1333,MODIFICACIONES_REALIZADAS!F:H,3,))</f>
        <v>PM-E-GEN-Inspector-NumeroPolizas-RRGG-Propia</v>
      </c>
      <c r="H1333" s="22">
        <v>20180101</v>
      </c>
      <c r="I1333" s="22">
        <v>22000101</v>
      </c>
      <c r="J1333" s="22" t="s">
        <v>2175</v>
      </c>
      <c r="K1333" s="22"/>
    </row>
    <row r="1334" spans="1:11" x14ac:dyDescent="0.25">
      <c r="A1334" s="22">
        <v>0</v>
      </c>
      <c r="B1334" s="22" t="s">
        <v>290</v>
      </c>
      <c r="C1334" s="22" t="s">
        <v>292</v>
      </c>
      <c r="D1334" s="22" t="s">
        <v>2184</v>
      </c>
      <c r="E1334" s="22" t="b">
        <f t="shared" si="115"/>
        <v>1</v>
      </c>
      <c r="F1334" s="22" t="s">
        <v>2185</v>
      </c>
      <c r="G1334" s="22" t="str">
        <f>IF(ISERROR(VLOOKUP(F1334,MODIFICACIONES_REALIZADAS!F:H,3,)),F1334,VLOOKUP(F1334,MODIFICACIONES_REALIZADAS!F:H,3,))</f>
        <v>PM-E-GEN-Inspector-NumeroPolizas-Decesos-Propia</v>
      </c>
      <c r="H1334" s="22">
        <v>20180101</v>
      </c>
      <c r="I1334" s="22">
        <v>22000101</v>
      </c>
      <c r="J1334" s="22" t="s">
        <v>2175</v>
      </c>
      <c r="K1334" s="22"/>
    </row>
    <row r="1335" spans="1:11" x14ac:dyDescent="0.25">
      <c r="A1335" s="22">
        <v>0</v>
      </c>
      <c r="B1335" s="22" t="s">
        <v>290</v>
      </c>
      <c r="C1335" s="22" t="s">
        <v>292</v>
      </c>
      <c r="D1335" s="22" t="s">
        <v>2186</v>
      </c>
      <c r="E1335" s="22" t="b">
        <f t="shared" si="115"/>
        <v>1</v>
      </c>
      <c r="F1335" s="22" t="s">
        <v>2187</v>
      </c>
      <c r="G1335" s="22" t="str">
        <f>IF(ISERROR(VLOOKUP(F1335,MODIFICACIONES_REALIZADAS!F:H,3,)),F1335,VLOOKUP(F1335,MODIFICACIONES_REALIZADAS!F:H,3,))</f>
        <v>PM-E-GEN-Inspector-NumeroPolizas-ProdPrioritarios-Propia</v>
      </c>
      <c r="H1335" s="22">
        <v>20180101</v>
      </c>
      <c r="I1335" s="22">
        <v>22000101</v>
      </c>
      <c r="J1335" s="22" t="s">
        <v>2175</v>
      </c>
      <c r="K1335" s="22"/>
    </row>
    <row r="1336" spans="1:11" x14ac:dyDescent="0.25">
      <c r="A1336" s="22">
        <v>0</v>
      </c>
      <c r="B1336" s="22" t="s">
        <v>290</v>
      </c>
      <c r="C1336" s="22" t="s">
        <v>292</v>
      </c>
      <c r="D1336" s="22" t="s">
        <v>2188</v>
      </c>
      <c r="E1336" s="22" t="b">
        <f t="shared" si="115"/>
        <v>1</v>
      </c>
      <c r="F1336" s="22" t="s">
        <v>2189</v>
      </c>
      <c r="G1336" s="22" t="str">
        <f>IF(ISERROR(VLOOKUP(F1336,MODIFICACIONES_REALIZADAS!F:H,3,)),F1336,VLOOKUP(F1336,MODIFICACIONES_REALIZADAS!F:H,3,))</f>
        <v>PM-E-GEN-Inspector-NumeroPolizas-OtrosDecesos-Propia</v>
      </c>
      <c r="H1336" s="22">
        <v>20180101</v>
      </c>
      <c r="I1336" s="22">
        <v>22000101</v>
      </c>
      <c r="J1336" s="22" t="s">
        <v>2175</v>
      </c>
      <c r="K1336" s="22"/>
    </row>
    <row r="1337" spans="1:11" x14ac:dyDescent="0.25">
      <c r="A1337" s="22">
        <v>0</v>
      </c>
      <c r="B1337" s="22" t="s">
        <v>290</v>
      </c>
      <c r="C1337" s="22" t="s">
        <v>292</v>
      </c>
      <c r="D1337" s="22" t="s">
        <v>2190</v>
      </c>
      <c r="E1337" s="22" t="b">
        <f t="shared" si="115"/>
        <v>1</v>
      </c>
      <c r="F1337" s="22" t="s">
        <v>2191</v>
      </c>
      <c r="G1337" s="22" t="str">
        <f>IF(ISERROR(VLOOKUP(F1337,MODIFICACIONES_REALIZADAS!F:H,3,)),F1337,VLOOKUP(F1337,MODIFICACIONES_REALIZADAS!F:H,3,))</f>
        <v>PM-E-GEN-Inspector-NumeroPolizas-TotalProduccion-Propia</v>
      </c>
      <c r="H1337" s="22">
        <v>20180101</v>
      </c>
      <c r="I1337" s="22">
        <v>22000101</v>
      </c>
      <c r="J1337" s="22" t="s">
        <v>2175</v>
      </c>
      <c r="K1337" s="22"/>
    </row>
    <row r="1338" spans="1:11" x14ac:dyDescent="0.25">
      <c r="A1338" s="22">
        <v>0</v>
      </c>
      <c r="B1338" s="22" t="s">
        <v>290</v>
      </c>
      <c r="C1338" s="22" t="s">
        <v>292</v>
      </c>
      <c r="D1338" s="22" t="s">
        <v>2192</v>
      </c>
      <c r="E1338" s="22" t="b">
        <f t="shared" si="115"/>
        <v>1</v>
      </c>
      <c r="F1338" s="22" t="s">
        <v>2193</v>
      </c>
      <c r="G1338" s="22" t="str">
        <f>IF(ISERROR(VLOOKUP(F1338,MODIFICACIONES_REALIZADAS!F:H,3,)),F1338,VLOOKUP(F1338,MODIFICACIONES_REALIZADAS!F:H,3,))</f>
        <v>PM-E-GEN-Inspector-NumeroPolizasCorregidas-Accidente-Propia</v>
      </c>
      <c r="H1338" s="22">
        <v>20180101</v>
      </c>
      <c r="I1338" s="22">
        <v>22000101</v>
      </c>
      <c r="J1338" s="22" t="s">
        <v>2175</v>
      </c>
      <c r="K1338" s="22"/>
    </row>
    <row r="1339" spans="1:11" x14ac:dyDescent="0.25">
      <c r="A1339" s="22">
        <v>0</v>
      </c>
      <c r="B1339" s="22" t="s">
        <v>290</v>
      </c>
      <c r="C1339" s="22" t="s">
        <v>292</v>
      </c>
      <c r="D1339" s="22" t="s">
        <v>2194</v>
      </c>
      <c r="E1339" s="22" t="b">
        <f t="shared" si="115"/>
        <v>1</v>
      </c>
      <c r="F1339" s="22" t="s">
        <v>2195</v>
      </c>
      <c r="G1339" s="22" t="str">
        <f>IF(ISERROR(VLOOKUP(F1339,MODIFICACIONES_REALIZADAS!F:H,3,)),F1339,VLOOKUP(F1339,MODIFICACIONES_REALIZADAS!F:H,3,))</f>
        <v>PM-E-GEN-Inspector-NumeroPolizasCorregidas-Hogar-Propia</v>
      </c>
      <c r="H1339" s="22">
        <v>20180101</v>
      </c>
      <c r="I1339" s="22">
        <v>22000101</v>
      </c>
      <c r="J1339" s="22" t="s">
        <v>2175</v>
      </c>
      <c r="K1339" s="22"/>
    </row>
    <row r="1340" spans="1:11" x14ac:dyDescent="0.25">
      <c r="A1340" s="22">
        <v>0</v>
      </c>
      <c r="B1340" s="22" t="s">
        <v>290</v>
      </c>
      <c r="C1340" s="22" t="s">
        <v>292</v>
      </c>
      <c r="D1340" s="22" t="s">
        <v>2196</v>
      </c>
      <c r="E1340" s="22" t="b">
        <f t="shared" si="115"/>
        <v>1</v>
      </c>
      <c r="F1340" s="22" t="s">
        <v>2197</v>
      </c>
      <c r="G1340" s="22" t="str">
        <f>IF(ISERROR(VLOOKUP(F1340,MODIFICACIONES_REALIZADAS!F:H,3,)),F1340,VLOOKUP(F1340,MODIFICACIONES_REALIZADAS!F:H,3,))</f>
        <v>PM-E-GEN-Inspector-NumeroPolizasCorregidas-Comunidades-Propia</v>
      </c>
      <c r="H1340" s="22">
        <v>20180101</v>
      </c>
      <c r="I1340" s="22">
        <v>22000101</v>
      </c>
      <c r="J1340" s="22" t="s">
        <v>2175</v>
      </c>
      <c r="K1340" s="22"/>
    </row>
    <row r="1341" spans="1:11" x14ac:dyDescent="0.25">
      <c r="A1341" s="22">
        <v>0</v>
      </c>
      <c r="B1341" s="22" t="s">
        <v>290</v>
      </c>
      <c r="C1341" s="22" t="s">
        <v>292</v>
      </c>
      <c r="D1341" s="22" t="s">
        <v>2198</v>
      </c>
      <c r="E1341" s="22" t="b">
        <f t="shared" si="115"/>
        <v>1</v>
      </c>
      <c r="F1341" s="22" t="s">
        <v>2199</v>
      </c>
      <c r="G1341" s="22" t="str">
        <f>IF(ISERROR(VLOOKUP(F1341,MODIFICACIONES_REALIZADAS!F:H,3,)),F1341,VLOOKUP(F1341,MODIFICACIONES_REALIZADAS!F:H,3,))</f>
        <v>PM-E-GEN-Inspector-NumeroPolizasCorregidas-RRGG-Propia</v>
      </c>
      <c r="H1341" s="22">
        <v>20180101</v>
      </c>
      <c r="I1341" s="22">
        <v>22000101</v>
      </c>
      <c r="J1341" s="22" t="s">
        <v>2175</v>
      </c>
      <c r="K1341" s="22"/>
    </row>
    <row r="1342" spans="1:11" x14ac:dyDescent="0.25">
      <c r="A1342" s="22">
        <v>0</v>
      </c>
      <c r="B1342" s="22" t="s">
        <v>290</v>
      </c>
      <c r="C1342" s="22" t="s">
        <v>292</v>
      </c>
      <c r="D1342" s="22" t="s">
        <v>548</v>
      </c>
      <c r="E1342" s="22" t="b">
        <f t="shared" si="115"/>
        <v>1</v>
      </c>
      <c r="F1342" s="22" t="s">
        <v>549</v>
      </c>
      <c r="G1342" s="22" t="str">
        <f>IF(ISERROR(VLOOKUP(F1342,MODIFICACIONES_REALIZADAS!F:H,3,)),F1342,VLOOKUP(F1342,MODIFICACIONES_REALIZADAS!F:H,3,))</f>
        <v>PM-E-GEN-Inspector-NumeroPolizasCorregidas-Decesos-Propia</v>
      </c>
      <c r="H1342" s="22">
        <v>20180101</v>
      </c>
      <c r="I1342" s="22">
        <v>22000101</v>
      </c>
      <c r="J1342" s="22" t="s">
        <v>2175</v>
      </c>
      <c r="K1342" s="22"/>
    </row>
    <row r="1343" spans="1:11" x14ac:dyDescent="0.25">
      <c r="A1343" s="22">
        <v>0</v>
      </c>
      <c r="B1343" s="22" t="s">
        <v>290</v>
      </c>
      <c r="C1343" s="22" t="s">
        <v>292</v>
      </c>
      <c r="D1343" s="22" t="s">
        <v>552</v>
      </c>
      <c r="E1343" s="22" t="b">
        <f t="shared" si="115"/>
        <v>1</v>
      </c>
      <c r="F1343" s="22" t="s">
        <v>553</v>
      </c>
      <c r="G1343" s="22" t="str">
        <f>IF(ISERROR(VLOOKUP(F1343,MODIFICACIONES_REALIZADAS!F:H,3,)),F1343,VLOOKUP(F1343,MODIFICACIONES_REALIZADAS!F:H,3,))</f>
        <v>PM-E-GEN-Inspector-NumeroPolizasCorregidas-ProdPrioritarios-Propia</v>
      </c>
      <c r="H1343" s="22">
        <v>20180101</v>
      </c>
      <c r="I1343" s="22">
        <v>22000101</v>
      </c>
      <c r="J1343" s="22" t="s">
        <v>2175</v>
      </c>
      <c r="K1343" s="22"/>
    </row>
    <row r="1344" spans="1:11" x14ac:dyDescent="0.25">
      <c r="A1344" s="22">
        <v>0</v>
      </c>
      <c r="B1344" s="22" t="s">
        <v>290</v>
      </c>
      <c r="C1344" s="22" t="s">
        <v>292</v>
      </c>
      <c r="D1344" s="22" t="s">
        <v>2200</v>
      </c>
      <c r="E1344" s="22" t="b">
        <f t="shared" si="115"/>
        <v>1</v>
      </c>
      <c r="F1344" s="22" t="s">
        <v>2201</v>
      </c>
      <c r="G1344" s="22" t="str">
        <f>IF(ISERROR(VLOOKUP(F1344,MODIFICACIONES_REALIZADAS!F:H,3,)),F1344,VLOOKUP(F1344,MODIFICACIONES_REALIZADAS!F:H,3,))</f>
        <v>PM-E-GEN-Inspector-NumeroPolizasCorregidas-OtrosDecesos-Propia</v>
      </c>
      <c r="H1344" s="22">
        <v>20180101</v>
      </c>
      <c r="I1344" s="22">
        <v>22000101</v>
      </c>
      <c r="J1344" s="22" t="s">
        <v>2175</v>
      </c>
      <c r="K1344" s="22"/>
    </row>
    <row r="1345" spans="1:11" x14ac:dyDescent="0.25">
      <c r="A1345" s="22">
        <v>0</v>
      </c>
      <c r="B1345" s="22" t="s">
        <v>290</v>
      </c>
      <c r="C1345" s="22" t="s">
        <v>292</v>
      </c>
      <c r="D1345" s="22" t="s">
        <v>2202</v>
      </c>
      <c r="E1345" s="22" t="b">
        <f t="shared" si="115"/>
        <v>1</v>
      </c>
      <c r="F1345" s="22" t="s">
        <v>2203</v>
      </c>
      <c r="G1345" s="22" t="str">
        <f>IF(ISERROR(VLOOKUP(F1345,MODIFICACIONES_REALIZADAS!F:H,3,)),F1345,VLOOKUP(F1345,MODIFICACIONES_REALIZADAS!F:H,3,))</f>
        <v>PM-E-GEN-Inspector-NumeroPolizasCorregidas-TotalProduccion-Propia</v>
      </c>
      <c r="H1345" s="22">
        <v>20180101</v>
      </c>
      <c r="I1345" s="22">
        <v>22000101</v>
      </c>
      <c r="J1345" s="22" t="s">
        <v>2175</v>
      </c>
      <c r="K1345" s="22"/>
    </row>
    <row r="1346" spans="1:11" x14ac:dyDescent="0.25">
      <c r="A1346" s="22">
        <v>0</v>
      </c>
      <c r="B1346" s="22" t="s">
        <v>290</v>
      </c>
      <c r="C1346" s="22" t="s">
        <v>292</v>
      </c>
      <c r="D1346" s="22" t="s">
        <v>2204</v>
      </c>
      <c r="E1346" s="22" t="b">
        <f t="shared" si="115"/>
        <v>1</v>
      </c>
      <c r="F1346" s="22" t="s">
        <v>2205</v>
      </c>
      <c r="G1346" s="22" t="str">
        <f>IF(ISERROR(VLOOKUP(F1346,MODIFICACIONES_REALIZADAS!F:H,3,)),F1346,VLOOKUP(F1346,MODIFICACIONES_REALIZADAS!F:H,3,))</f>
        <v>PM-E-GEN-Inspector-Prima-Accidente-Propia</v>
      </c>
      <c r="H1346" s="22">
        <v>20180101</v>
      </c>
      <c r="I1346" s="22">
        <v>22000101</v>
      </c>
      <c r="J1346" s="22" t="s">
        <v>2175</v>
      </c>
      <c r="K1346" s="22"/>
    </row>
    <row r="1347" spans="1:11" x14ac:dyDescent="0.25">
      <c r="A1347" s="25">
        <v>0</v>
      </c>
      <c r="B1347" s="25" t="s">
        <v>290</v>
      </c>
      <c r="C1347" s="25" t="s">
        <v>292</v>
      </c>
      <c r="D1347" s="25" t="s">
        <v>2206</v>
      </c>
      <c r="E1347" s="25" t="b">
        <f t="shared" si="115"/>
        <v>1</v>
      </c>
      <c r="F1347" s="25" t="s">
        <v>2207</v>
      </c>
      <c r="G1347" s="25" t="str">
        <f>IF(ISERROR(VLOOKUP(F1347,MODIFICACIONES_REALIZADAS!F:H,3,)),F1347,VLOOKUP(F1347,MODIFICACIONES_REALIZADAS!F:H,3,))</f>
        <v xml:space="preserve">PM-E-GEN-Inspector-Prima-Hogar-Propia </v>
      </c>
      <c r="H1347" s="25">
        <v>20180101</v>
      </c>
      <c r="I1347" s="25">
        <v>20180401</v>
      </c>
      <c r="J1347" s="25" t="s">
        <v>2208</v>
      </c>
      <c r="K1347" s="25"/>
    </row>
    <row r="1348" spans="1:11" x14ac:dyDescent="0.25">
      <c r="A1348" s="25">
        <v>0</v>
      </c>
      <c r="B1348" s="25" t="s">
        <v>290</v>
      </c>
      <c r="C1348" s="25" t="s">
        <v>292</v>
      </c>
      <c r="D1348" s="25" t="s">
        <v>2206</v>
      </c>
      <c r="E1348" s="25" t="b">
        <f t="shared" ref="E1348" si="116">F1348=G1348</f>
        <v>1</v>
      </c>
      <c r="F1348" s="25" t="s">
        <v>2209</v>
      </c>
      <c r="G1348" s="25" t="str">
        <f>IF(ISERROR(VLOOKUP(F1348,MODIFICACIONES_REALIZADAS!F:H,3,)),F1348,VLOOKUP(F1348,MODIFICACIONES_REALIZADAS!F:H,3,))</f>
        <v>PM-E-GEN-Inspector-Prima-Hogar-Propia</v>
      </c>
      <c r="H1348" s="25">
        <v>20180401</v>
      </c>
      <c r="I1348" s="25">
        <v>22000101</v>
      </c>
      <c r="J1348" s="25" t="s">
        <v>2208</v>
      </c>
      <c r="K1348" s="25"/>
    </row>
    <row r="1349" spans="1:11" x14ac:dyDescent="0.25">
      <c r="A1349" s="22">
        <v>0</v>
      </c>
      <c r="B1349" s="22" t="s">
        <v>290</v>
      </c>
      <c r="C1349" s="22" t="s">
        <v>292</v>
      </c>
      <c r="D1349" s="22" t="s">
        <v>2210</v>
      </c>
      <c r="E1349" s="22" t="b">
        <f t="shared" si="115"/>
        <v>1</v>
      </c>
      <c r="F1349" s="22" t="s">
        <v>2211</v>
      </c>
      <c r="G1349" s="22" t="str">
        <f>IF(ISERROR(VLOOKUP(F1349,MODIFICACIONES_REALIZADAS!F:H,3,)),F1349,VLOOKUP(F1349,MODIFICACIONES_REALIZADAS!F:H,3,))</f>
        <v>PM-E-GEN-Inspector-Prima-Comunidades-Propia</v>
      </c>
      <c r="H1349" s="22">
        <v>20180101</v>
      </c>
      <c r="I1349" s="22">
        <v>22000101</v>
      </c>
      <c r="J1349" s="22" t="s">
        <v>2175</v>
      </c>
      <c r="K1349" s="22"/>
    </row>
    <row r="1350" spans="1:11" x14ac:dyDescent="0.25">
      <c r="A1350" s="22">
        <v>0</v>
      </c>
      <c r="B1350" s="22" t="s">
        <v>290</v>
      </c>
      <c r="C1350" s="22" t="s">
        <v>292</v>
      </c>
      <c r="D1350" s="22" t="s">
        <v>2212</v>
      </c>
      <c r="E1350" s="22" t="b">
        <f t="shared" si="115"/>
        <v>1</v>
      </c>
      <c r="F1350" s="22" t="s">
        <v>2213</v>
      </c>
      <c r="G1350" s="22" t="str">
        <f>IF(ISERROR(VLOOKUP(F1350,MODIFICACIONES_REALIZADAS!F:H,3,)),F1350,VLOOKUP(F1350,MODIFICACIONES_REALIZADAS!F:H,3,))</f>
        <v>PM-E-GEN-Inspector-Prima-RRGG-Propia</v>
      </c>
      <c r="H1350" s="22">
        <v>20180101</v>
      </c>
      <c r="I1350" s="22">
        <v>22000101</v>
      </c>
      <c r="J1350" s="22" t="s">
        <v>2175</v>
      </c>
      <c r="K1350" s="22"/>
    </row>
    <row r="1351" spans="1:11" x14ac:dyDescent="0.25">
      <c r="A1351" s="22">
        <v>0</v>
      </c>
      <c r="B1351" s="22" t="s">
        <v>290</v>
      </c>
      <c r="C1351" s="22" t="s">
        <v>292</v>
      </c>
      <c r="D1351" s="22" t="s">
        <v>2214</v>
      </c>
      <c r="E1351" s="22" t="b">
        <f t="shared" si="115"/>
        <v>1</v>
      </c>
      <c r="F1351" s="22" t="s">
        <v>2215</v>
      </c>
      <c r="G1351" s="22" t="str">
        <f>IF(ISERROR(VLOOKUP(F1351,MODIFICACIONES_REALIZADAS!F:H,3,)),F1351,VLOOKUP(F1351,MODIFICACIONES_REALIZADAS!F:H,3,))</f>
        <v>PM-E-GEN-Inspector-Prima-Decesos-Propia</v>
      </c>
      <c r="H1351" s="22">
        <v>20180101</v>
      </c>
      <c r="I1351" s="22">
        <v>22000101</v>
      </c>
      <c r="J1351" s="22" t="s">
        <v>2175</v>
      </c>
      <c r="K1351" s="22"/>
    </row>
    <row r="1352" spans="1:11" x14ac:dyDescent="0.25">
      <c r="A1352" s="22">
        <v>0</v>
      </c>
      <c r="B1352" s="22" t="s">
        <v>290</v>
      </c>
      <c r="C1352" s="22" t="s">
        <v>292</v>
      </c>
      <c r="D1352" s="22" t="s">
        <v>2216</v>
      </c>
      <c r="E1352" s="22" t="b">
        <f t="shared" si="115"/>
        <v>1</v>
      </c>
      <c r="F1352" s="22" t="s">
        <v>2217</v>
      </c>
      <c r="G1352" s="22" t="str">
        <f>IF(ISERROR(VLOOKUP(F1352,MODIFICACIONES_REALIZADAS!F:H,3,)),F1352,VLOOKUP(F1352,MODIFICACIONES_REALIZADAS!F:H,3,))</f>
        <v>PM-E-GEN-Inspector-Prima-ProdPrioritarios-Propia</v>
      </c>
      <c r="H1352" s="22">
        <v>20180101</v>
      </c>
      <c r="I1352" s="22">
        <v>22000101</v>
      </c>
      <c r="J1352" s="22" t="s">
        <v>2175</v>
      </c>
      <c r="K1352" s="22"/>
    </row>
    <row r="1353" spans="1:11" x14ac:dyDescent="0.25">
      <c r="A1353" s="22">
        <v>0</v>
      </c>
      <c r="B1353" s="22" t="s">
        <v>290</v>
      </c>
      <c r="C1353" s="22" t="s">
        <v>292</v>
      </c>
      <c r="D1353" s="22" t="s">
        <v>2218</v>
      </c>
      <c r="E1353" s="22" t="b">
        <f t="shared" si="115"/>
        <v>1</v>
      </c>
      <c r="F1353" s="22" t="s">
        <v>2219</v>
      </c>
      <c r="G1353" s="22" t="str">
        <f>IF(ISERROR(VLOOKUP(F1353,MODIFICACIONES_REALIZADAS!F:H,3,)),F1353,VLOOKUP(F1353,MODIFICACIONES_REALIZADAS!F:H,3,))</f>
        <v>PM-E-GEN-Inspector-Prima-OtrosDecesos-Propia</v>
      </c>
      <c r="H1353" s="22">
        <v>20180101</v>
      </c>
      <c r="I1353" s="22">
        <v>22000101</v>
      </c>
      <c r="J1353" s="22" t="s">
        <v>2175</v>
      </c>
      <c r="K1353" s="22"/>
    </row>
    <row r="1354" spans="1:11" x14ac:dyDescent="0.25">
      <c r="A1354" s="22">
        <v>0</v>
      </c>
      <c r="B1354" s="22" t="s">
        <v>290</v>
      </c>
      <c r="C1354" s="22" t="s">
        <v>292</v>
      </c>
      <c r="D1354" s="22" t="s">
        <v>2220</v>
      </c>
      <c r="E1354" s="22" t="b">
        <f t="shared" si="115"/>
        <v>1</v>
      </c>
      <c r="F1354" s="22" t="s">
        <v>2221</v>
      </c>
      <c r="G1354" s="22" t="str">
        <f>IF(ISERROR(VLOOKUP(F1354,MODIFICACIONES_REALIZADAS!F:H,3,)),F1354,VLOOKUP(F1354,MODIFICACIONES_REALIZADAS!F:H,3,))</f>
        <v>PM-E-GEN-Inspector-Prima-TotalProduccion-Propia</v>
      </c>
      <c r="H1354" s="22">
        <v>20180101</v>
      </c>
      <c r="I1354" s="22">
        <v>22000101</v>
      </c>
      <c r="J1354" s="22" t="s">
        <v>2175</v>
      </c>
      <c r="K1354" s="22"/>
    </row>
    <row r="1355" spans="1:11" ht="15.75" customHeight="1" x14ac:dyDescent="0.25">
      <c r="A1355" s="22">
        <v>0</v>
      </c>
      <c r="B1355" s="22" t="s">
        <v>294</v>
      </c>
      <c r="C1355" s="22" t="s">
        <v>296</v>
      </c>
      <c r="D1355" s="22" t="s">
        <v>2222</v>
      </c>
      <c r="E1355" s="22" t="b">
        <f t="shared" si="115"/>
        <v>1</v>
      </c>
      <c r="F1355" s="22" t="s">
        <v>2223</v>
      </c>
      <c r="G1355" s="22" t="str">
        <f>IF(ISERROR(VLOOKUP(F1355,MODIFICACIONES_REALIZADAS!F:H,3,)),F1355,VLOOKUP(F1355,MODIFICACIONES_REALIZADAS!F:H,3,))</f>
        <v>SM-O-CSA-Agente-Prima-TotalMes</v>
      </c>
      <c r="H1355" s="22">
        <v>20210901</v>
      </c>
      <c r="I1355" s="22">
        <v>22000101</v>
      </c>
      <c r="J1355" s="22" t="s">
        <v>2224</v>
      </c>
      <c r="K1355" s="22"/>
    </row>
    <row r="1356" spans="1:11" ht="15.75" customHeight="1" x14ac:dyDescent="0.25">
      <c r="A1356" s="22">
        <v>0</v>
      </c>
      <c r="B1356" s="22" t="s">
        <v>294</v>
      </c>
      <c r="C1356" s="22" t="s">
        <v>296</v>
      </c>
      <c r="D1356" s="22" t="s">
        <v>2225</v>
      </c>
      <c r="E1356" s="22" t="b">
        <f t="shared" si="115"/>
        <v>1</v>
      </c>
      <c r="F1356" s="22" t="s">
        <v>2226</v>
      </c>
      <c r="G1356" s="22" t="str">
        <f>IF(ISERROR(VLOOKUP(F1356,MODIFICACIONES_REALIZADAS!F:H,3,)),F1356,VLOOKUP(F1356,MODIFICACIONES_REALIZADAS!F:H,3,))</f>
        <v>SM-O-CSA-Agente-Prima-Acum</v>
      </c>
      <c r="H1356" s="22">
        <v>20210901</v>
      </c>
      <c r="I1356" s="22">
        <v>22000101</v>
      </c>
      <c r="J1356" s="22" t="s">
        <v>2224</v>
      </c>
      <c r="K1356" s="22"/>
    </row>
    <row r="1357" spans="1:11" ht="15.75" customHeight="1" x14ac:dyDescent="0.25">
      <c r="A1357" s="22">
        <v>0</v>
      </c>
      <c r="B1357" s="22" t="s">
        <v>298</v>
      </c>
      <c r="C1357" s="22" t="s">
        <v>300</v>
      </c>
      <c r="D1357" s="22" t="s">
        <v>2227</v>
      </c>
      <c r="E1357" s="22" t="b">
        <f t="shared" si="115"/>
        <v>1</v>
      </c>
      <c r="F1357" s="22" t="s">
        <v>2228</v>
      </c>
      <c r="G1357" s="22" t="str">
        <f>IF(ISERROR(VLOOKUP(F1357,MODIFICACIONES_REALIZADAS!F:H,3,)),F1357,VLOOKUP(F1357,MODIFICACIONES_REALIZADAS!F:H,3,))</f>
        <v>PM-O-CSA-Agente-Prima</v>
      </c>
      <c r="H1357" s="22">
        <v>20210901</v>
      </c>
      <c r="I1357" s="22">
        <v>22000101</v>
      </c>
      <c r="J1357" s="22" t="s">
        <v>2224</v>
      </c>
      <c r="K1357" s="22"/>
    </row>
    <row r="1358" spans="1:11" x14ac:dyDescent="0.25">
      <c r="A1358" s="22">
        <v>0</v>
      </c>
      <c r="B1358" s="22" t="s">
        <v>232</v>
      </c>
      <c r="C1358" s="22" t="s">
        <v>234</v>
      </c>
      <c r="D1358" s="22" t="s">
        <v>1700</v>
      </c>
      <c r="E1358" s="22" t="b">
        <f t="shared" si="115"/>
        <v>1</v>
      </c>
      <c r="F1358" s="22" t="s">
        <v>2229</v>
      </c>
      <c r="G1358" s="22" t="s">
        <v>2229</v>
      </c>
      <c r="H1358" s="22">
        <v>20220101</v>
      </c>
      <c r="I1358" s="22">
        <v>22000101</v>
      </c>
      <c r="J1358" s="22" t="s">
        <v>2230</v>
      </c>
      <c r="K1358" s="22"/>
    </row>
    <row r="1359" spans="1:11" s="35" customFormat="1" x14ac:dyDescent="0.25">
      <c r="A1359" s="26">
        <v>0</v>
      </c>
      <c r="B1359" s="26" t="s">
        <v>205</v>
      </c>
      <c r="C1359" s="26" t="s">
        <v>207</v>
      </c>
      <c r="D1359" s="26" t="s">
        <v>2231</v>
      </c>
      <c r="E1359" s="26" t="b">
        <f t="shared" si="115"/>
        <v>1</v>
      </c>
      <c r="F1359" s="26" t="s">
        <v>2232</v>
      </c>
      <c r="G1359" s="26" t="s">
        <v>2232</v>
      </c>
      <c r="H1359" s="26">
        <v>20220201</v>
      </c>
      <c r="I1359" s="26">
        <v>22000101</v>
      </c>
      <c r="J1359" s="26" t="s">
        <v>2233</v>
      </c>
      <c r="K1359" s="26"/>
    </row>
    <row r="1360" spans="1:11" s="35" customFormat="1" x14ac:dyDescent="0.25">
      <c r="A1360" s="26">
        <v>0</v>
      </c>
      <c r="B1360" s="26" t="s">
        <v>205</v>
      </c>
      <c r="C1360" s="26" t="s">
        <v>207</v>
      </c>
      <c r="D1360" s="26" t="s">
        <v>2231</v>
      </c>
      <c r="E1360" s="26" t="b">
        <f t="shared" ref="E1360:E1366" si="117">F1360=G1360</f>
        <v>1</v>
      </c>
      <c r="F1360" s="26" t="s">
        <v>2234</v>
      </c>
      <c r="G1360" s="26" t="s">
        <v>2234</v>
      </c>
      <c r="H1360" s="26">
        <v>20220101</v>
      </c>
      <c r="I1360" s="26">
        <v>20220201</v>
      </c>
      <c r="J1360" s="26" t="s">
        <v>2233</v>
      </c>
      <c r="K1360" s="26"/>
    </row>
    <row r="1361" spans="1:11" ht="15.75" customHeight="1" x14ac:dyDescent="0.25">
      <c r="A1361" s="22">
        <v>0</v>
      </c>
      <c r="B1361" s="22" t="s">
        <v>301</v>
      </c>
      <c r="C1361" s="22" t="s">
        <v>303</v>
      </c>
      <c r="D1361" s="22" t="s">
        <v>2235</v>
      </c>
      <c r="E1361" s="22" t="b">
        <f t="shared" si="117"/>
        <v>1</v>
      </c>
      <c r="F1361" s="22" t="s">
        <v>2236</v>
      </c>
      <c r="G1361" s="22" t="str">
        <f>IF(ISERROR(VLOOKUP(F1361,MODIFICACIONES_REALIZADAS!F:H,3,)),F1361,VLOOKUP(F1361,MODIFICACIONES_REALIZADAS!F:H,3,))</f>
        <v>SM-O-COM-GestionExplotacion-PorcentajeConsecucion</v>
      </c>
      <c r="H1361" s="26">
        <v>20220501</v>
      </c>
      <c r="I1361" s="22">
        <v>22000101</v>
      </c>
      <c r="J1361" s="22" t="s">
        <v>2237</v>
      </c>
      <c r="K1361" s="22"/>
    </row>
    <row r="1362" spans="1:11" ht="15.75" customHeight="1" x14ac:dyDescent="0.25">
      <c r="A1362" s="22">
        <v>0</v>
      </c>
      <c r="B1362" s="22" t="s">
        <v>301</v>
      </c>
      <c r="C1362" s="22" t="s">
        <v>303</v>
      </c>
      <c r="D1362" s="22" t="s">
        <v>2238</v>
      </c>
      <c r="E1362" s="22" t="b">
        <f t="shared" si="117"/>
        <v>1</v>
      </c>
      <c r="F1362" s="22" t="s">
        <v>2239</v>
      </c>
      <c r="G1362" s="22" t="str">
        <f>IF(ISERROR(VLOOKUP(F1362,MODIFICACIONES_REALIZADAS!F:H,3,)),F1362,VLOOKUP(F1362,MODIFICACIONES_REALIZADAS!F:H,3,))</f>
        <v>SM-O-COM-GestionExplotacion</v>
      </c>
      <c r="H1362" s="26">
        <v>20220501</v>
      </c>
      <c r="I1362" s="22">
        <v>22000101</v>
      </c>
      <c r="J1362" s="22" t="s">
        <v>2237</v>
      </c>
      <c r="K1362" s="22"/>
    </row>
    <row r="1363" spans="1:11" ht="15.75" customHeight="1" x14ac:dyDescent="0.25">
      <c r="A1363" s="22">
        <v>0</v>
      </c>
      <c r="B1363" s="22" t="s">
        <v>301</v>
      </c>
      <c r="C1363" s="22" t="s">
        <v>303</v>
      </c>
      <c r="D1363" s="22" t="s">
        <v>2240</v>
      </c>
      <c r="E1363" s="22" t="b">
        <f t="shared" ref="E1363:E1364" si="118">F1363=G1363</f>
        <v>1</v>
      </c>
      <c r="F1363" s="22" t="s">
        <v>2241</v>
      </c>
      <c r="G1363" s="22" t="str">
        <f>IF(ISERROR(VLOOKUP(F1363,MODIFICACIONES_REALIZADAS!F:H,3,)),F1363,VLOOKUP(F1363,MODIFICACIONES_REALIZADAS!F:H,3,))</f>
        <v>SM-O-COM-GestionExplotacion-PorcentajePagoFinal</v>
      </c>
      <c r="H1363" s="26">
        <v>20220501</v>
      </c>
      <c r="I1363" s="22">
        <v>22000101</v>
      </c>
      <c r="J1363" s="22" t="s">
        <v>2237</v>
      </c>
      <c r="K1363" s="22"/>
    </row>
    <row r="1364" spans="1:11" ht="15.75" customHeight="1" x14ac:dyDescent="0.25">
      <c r="A1364" s="22">
        <v>0</v>
      </c>
      <c r="B1364" s="22" t="s">
        <v>301</v>
      </c>
      <c r="C1364" s="22" t="s">
        <v>303</v>
      </c>
      <c r="D1364" s="22" t="s">
        <v>1108</v>
      </c>
      <c r="E1364" s="22" t="b">
        <f t="shared" si="118"/>
        <v>1</v>
      </c>
      <c r="F1364" s="22" t="s">
        <v>2242</v>
      </c>
      <c r="G1364" s="22" t="str">
        <f>IF(ISERROR(VLOOKUP(F1364,MODIFICACIONES_REALIZADAS!F:H,3,)),F1364,VLOOKUP(F1364,MODIFICACIONES_REALIZADAS!F:H,3,))</f>
        <v>SM-O-COM-GestionExplotacion-ImportePago</v>
      </c>
      <c r="H1364" s="26">
        <v>20220501</v>
      </c>
      <c r="I1364" s="22">
        <v>22000101</v>
      </c>
      <c r="J1364" s="22" t="s">
        <v>2237</v>
      </c>
      <c r="K1364" s="22"/>
    </row>
    <row r="1365" spans="1:11" ht="15.75" customHeight="1" x14ac:dyDescent="0.25">
      <c r="A1365" s="22">
        <v>0</v>
      </c>
      <c r="B1365" s="22" t="s">
        <v>305</v>
      </c>
      <c r="C1365" s="22" t="s">
        <v>307</v>
      </c>
      <c r="D1365" s="22" t="s">
        <v>2243</v>
      </c>
      <c r="E1365" s="22" t="b">
        <f t="shared" si="117"/>
        <v>1</v>
      </c>
      <c r="F1365" s="26" t="s">
        <v>2232</v>
      </c>
      <c r="G1365" s="22" t="str">
        <f>IF(ISERROR(VLOOKUP(F1365,MODIFICACIONES_REALIZADAS!F:H,3,)),F1365,VLOOKUP(F1365,MODIFICACIONES_REALIZADAS!F:H,3,))</f>
        <v>DC-O-COM-GestionExplotacion</v>
      </c>
      <c r="H1365" s="26">
        <v>20220501</v>
      </c>
      <c r="I1365" s="22">
        <v>22000101</v>
      </c>
      <c r="J1365" s="22" t="s">
        <v>2237</v>
      </c>
      <c r="K1365" s="22"/>
    </row>
    <row r="1366" spans="1:11" s="22" customFormat="1" x14ac:dyDescent="0.25">
      <c r="A1366" s="22">
        <v>0</v>
      </c>
      <c r="B1366" s="22" t="s">
        <v>33</v>
      </c>
      <c r="C1366" s="22" t="s">
        <v>35</v>
      </c>
      <c r="D1366" s="22" t="s">
        <v>2244</v>
      </c>
      <c r="E1366" s="22" t="b">
        <f t="shared" si="117"/>
        <v>1</v>
      </c>
      <c r="F1366" s="22" t="s">
        <v>2244</v>
      </c>
      <c r="G1366" s="22" t="str">
        <f>IF(ISERROR(VLOOKUP(F1366,MODIFICACIONES_REALIZADAS!F:H,3,)),F1366,VLOOKUP(F1366,MODIFICACIONES_REALIZADAS!F:H,3,))</f>
        <v>SM-E-GEN-Agente-NumPolCorregidas-ProdPrioritarios-TotalSemestre</v>
      </c>
      <c r="H1366" s="22">
        <v>20230101</v>
      </c>
      <c r="I1366" s="22">
        <v>22000101</v>
      </c>
      <c r="J1366" s="22" t="s">
        <v>2245</v>
      </c>
    </row>
    <row r="1367" spans="1:11" s="22" customFormat="1" x14ac:dyDescent="0.25">
      <c r="A1367" s="22">
        <v>0</v>
      </c>
      <c r="B1367" s="22" t="s">
        <v>33</v>
      </c>
      <c r="C1367" s="22" t="s">
        <v>35</v>
      </c>
      <c r="D1367" s="22" t="s">
        <v>2246</v>
      </c>
      <c r="E1367" s="22" t="b">
        <f t="shared" ref="E1367:E1368" si="119">F1367=G1367</f>
        <v>1</v>
      </c>
      <c r="F1367" s="22" t="s">
        <v>2246</v>
      </c>
      <c r="G1367" s="22" t="str">
        <f>IF(ISERROR(VLOOKUP(F1367,MODIFICACIONES_REALIZADAS!F:H,3,)),F1367,VLOOKUP(F1367,MODIFICACIONES_REALIZADAS!F:H,3,))</f>
        <v>SM-E-RSemestral-Agente-Pago</v>
      </c>
      <c r="H1367" s="22">
        <v>20230101</v>
      </c>
      <c r="I1367" s="22">
        <v>22000101</v>
      </c>
      <c r="J1367" s="22" t="s">
        <v>2245</v>
      </c>
    </row>
    <row r="1368" spans="1:11" x14ac:dyDescent="0.25">
      <c r="A1368" s="22">
        <v>2</v>
      </c>
      <c r="B1368" s="22" t="s">
        <v>48</v>
      </c>
      <c r="C1368" s="22" t="s">
        <v>50</v>
      </c>
      <c r="D1368" s="22" t="s">
        <v>2247</v>
      </c>
      <c r="E1368" s="22" t="b">
        <f t="shared" si="119"/>
        <v>1</v>
      </c>
      <c r="F1368" s="22" t="s">
        <v>2247</v>
      </c>
      <c r="G1368" s="22" t="str">
        <f>IF(ISERROR(VLOOKUP(F1368,MODIFICACIONES_REALIZADAS!F:H,3,)),F1368,VLOOKUP(F1368,MODIFICACIONES_REALIZADAS!F:H,3,))</f>
        <v>SM-O-RPP-Agente-Rappel-Pago-MensualXXL</v>
      </c>
      <c r="H1368" s="22">
        <v>20230101</v>
      </c>
      <c r="I1368" s="22">
        <v>22000101</v>
      </c>
      <c r="J1368" s="22" t="s">
        <v>2248</v>
      </c>
      <c r="K1368" s="22"/>
    </row>
    <row r="1369" spans="1:11" x14ac:dyDescent="0.25">
      <c r="A1369" s="22">
        <v>2</v>
      </c>
      <c r="B1369" s="22" t="s">
        <v>48</v>
      </c>
      <c r="C1369" s="22" t="s">
        <v>50</v>
      </c>
      <c r="D1369" s="22" t="s">
        <v>2249</v>
      </c>
      <c r="E1369" s="22" t="b">
        <f t="shared" ref="E1369:E1372" si="120">F1369=G1369</f>
        <v>1</v>
      </c>
      <c r="F1369" s="22" t="s">
        <v>2249</v>
      </c>
      <c r="G1369" s="22" t="str">
        <f>IF(ISERROR(VLOOKUP(F1369,MODIFICACIONES_REALIZADAS!F:H,3,)),F1369,VLOOKUP(F1369,MODIFICACIONES_REALIZADAS!F:H,3,))</f>
        <v>SM-O-RPP-Agente-Rappel-Pago-MensualXL</v>
      </c>
      <c r="H1369" s="22">
        <v>20230101</v>
      </c>
      <c r="I1369" s="22">
        <v>22000101</v>
      </c>
      <c r="J1369" s="22" t="s">
        <v>2248</v>
      </c>
      <c r="K1369" s="22"/>
    </row>
    <row r="1370" spans="1:11" x14ac:dyDescent="0.25">
      <c r="A1370" s="22">
        <v>4</v>
      </c>
      <c r="B1370" s="22" t="s">
        <v>131</v>
      </c>
      <c r="C1370" s="22" t="s">
        <v>133</v>
      </c>
      <c r="D1370" s="22" t="s">
        <v>2247</v>
      </c>
      <c r="E1370" s="22" t="b">
        <f t="shared" si="120"/>
        <v>1</v>
      </c>
      <c r="F1370" s="22" t="s">
        <v>2247</v>
      </c>
      <c r="G1370" s="22" t="str">
        <f>IF(ISERROR(VLOOKUP(F1370,MODIFICACIONES_REALIZADAS!F:H,3,)),F1370,VLOOKUP(F1370,MODIFICACIONES_REALIZADAS!F:H,3,))</f>
        <v>SM-O-RPP-Agente-Rappel-Pago-MensualXXL</v>
      </c>
      <c r="H1370" s="22">
        <v>20230101</v>
      </c>
      <c r="I1370" s="22">
        <v>22000101</v>
      </c>
      <c r="J1370" s="22" t="s">
        <v>873</v>
      </c>
      <c r="K1370" s="22"/>
    </row>
    <row r="1371" spans="1:11" x14ac:dyDescent="0.25">
      <c r="A1371" s="22">
        <v>4</v>
      </c>
      <c r="B1371" s="22" t="s">
        <v>131</v>
      </c>
      <c r="C1371" s="22" t="s">
        <v>133</v>
      </c>
      <c r="D1371" s="22" t="s">
        <v>2249</v>
      </c>
      <c r="E1371" s="22" t="b">
        <f t="shared" si="120"/>
        <v>1</v>
      </c>
      <c r="F1371" s="22" t="s">
        <v>2249</v>
      </c>
      <c r="G1371" s="22" t="str">
        <f>IF(ISERROR(VLOOKUP(F1371,MODIFICACIONES_REALIZADAS!F:H,3,)),F1371,VLOOKUP(F1371,MODIFICACIONES_REALIZADAS!F:H,3,))</f>
        <v>SM-O-RPP-Agente-Rappel-Pago-MensualXL</v>
      </c>
      <c r="H1371" s="22">
        <v>20230101</v>
      </c>
      <c r="I1371" s="22">
        <v>22000101</v>
      </c>
      <c r="J1371" s="22" t="s">
        <v>873</v>
      </c>
      <c r="K1371" s="22"/>
    </row>
    <row r="1372" spans="1:11" x14ac:dyDescent="0.25">
      <c r="A1372" s="22">
        <v>0</v>
      </c>
      <c r="B1372" s="22" t="s">
        <v>214</v>
      </c>
      <c r="C1372" s="22" t="s">
        <v>216</v>
      </c>
      <c r="D1372" s="22" t="s">
        <v>1022</v>
      </c>
      <c r="E1372" s="22" t="b">
        <f t="shared" si="120"/>
        <v>1</v>
      </c>
      <c r="F1372" s="22" t="s">
        <v>2250</v>
      </c>
      <c r="G1372" s="22" t="str">
        <f>IF(ISERROR(VLOOKUP(F1372,MODIFICACIONES_REALIZADAS!F:H,3,)),F1372,VLOOKUP(F1372,MODIFICACIONES_REALIZADAS!F:H,3,))</f>
        <v>IC-O-GEN-Inspector-PrimaCorregida-998-Captacion</v>
      </c>
      <c r="H1372" s="22">
        <v>20230101</v>
      </c>
      <c r="I1372" s="22">
        <v>22000101</v>
      </c>
      <c r="J1372" s="22" t="s">
        <v>2245</v>
      </c>
      <c r="K1372" s="22"/>
    </row>
    <row r="1373" spans="1:11" x14ac:dyDescent="0.25">
      <c r="A1373" s="22">
        <v>0</v>
      </c>
      <c r="B1373" s="22" t="s">
        <v>214</v>
      </c>
      <c r="C1373" s="22" t="s">
        <v>216</v>
      </c>
      <c r="D1373" s="22" t="s">
        <v>1022</v>
      </c>
      <c r="E1373" s="22" t="b">
        <f t="shared" ref="E1373" si="121">F1373=G1373</f>
        <v>1</v>
      </c>
      <c r="F1373" s="22" t="s">
        <v>2251</v>
      </c>
      <c r="G1373" s="22" t="str">
        <f>IF(ISERROR(VLOOKUP(F1373,MODIFICACIONES_REALIZADAS!F:H,3,)),F1373,VLOOKUP(F1373,MODIFICACIONES_REALIZADAS!F:H,3,))</f>
        <v>IC-O-GEN-Inspector-NumeroPolizas-998-Captacion</v>
      </c>
      <c r="H1373" s="22">
        <v>20230101</v>
      </c>
      <c r="I1373" s="22">
        <v>22000101</v>
      </c>
      <c r="J1373" s="22" t="s">
        <v>2245</v>
      </c>
      <c r="K1373" s="22"/>
    </row>
    <row r="1374" spans="1:11" x14ac:dyDescent="0.25">
      <c r="A1374" s="22">
        <v>2</v>
      </c>
      <c r="B1374" s="22" t="s">
        <v>21</v>
      </c>
      <c r="C1374" s="22" t="s">
        <v>31</v>
      </c>
      <c r="D1374" s="22" t="s">
        <v>2252</v>
      </c>
      <c r="E1374" s="22" t="b">
        <f>F1374=G1374</f>
        <v>1</v>
      </c>
      <c r="F1374" s="22" t="s">
        <v>2252</v>
      </c>
      <c r="G1374" s="22" t="str">
        <f>IF(ISERROR(VLOOKUP(F1374,MODIFICACIONES_REALIZADAS!F:H,3,)),F1374,VLOOKUP(F1374,MODIFICACIONES_REALIZADAS!F:H,3,))</f>
        <v>SM-E-GEN-Inspector-NumPolCorregidas-ProdPrioritarios-TotalSemestre</v>
      </c>
      <c r="H1374" s="22">
        <v>20230101</v>
      </c>
      <c r="I1374" s="22">
        <v>22000101</v>
      </c>
      <c r="J1374" s="22" t="s">
        <v>2245</v>
      </c>
      <c r="K1374" s="22"/>
    </row>
    <row r="1375" spans="1:11" x14ac:dyDescent="0.25">
      <c r="A1375" s="22">
        <v>2</v>
      </c>
      <c r="B1375" s="22" t="s">
        <v>21</v>
      </c>
      <c r="C1375" s="22" t="s">
        <v>31</v>
      </c>
      <c r="D1375" s="22" t="s">
        <v>2253</v>
      </c>
      <c r="E1375" s="22" t="b">
        <f>F1375=G1375</f>
        <v>1</v>
      </c>
      <c r="F1375" s="22" t="s">
        <v>2254</v>
      </c>
      <c r="G1375" s="22" t="str">
        <f>IF(ISERROR(VLOOKUP(F1375,MODIFICACIONES_REALIZADAS!F:H,3,)),F1375,VLOOKUP(F1375,MODIFICACIONES_REALIZADAS!F:H,3,))</f>
        <v>SM-E-RSEM-AG-ImportePago</v>
      </c>
      <c r="H1375" s="22">
        <v>20230101</v>
      </c>
      <c r="I1375" s="22">
        <v>22000101</v>
      </c>
      <c r="J1375" s="22" t="s">
        <v>2245</v>
      </c>
      <c r="K1375" s="22"/>
    </row>
    <row r="1376" spans="1:11" x14ac:dyDescent="0.25">
      <c r="A1376" s="22">
        <v>2</v>
      </c>
      <c r="B1376" s="22" t="s">
        <v>48</v>
      </c>
      <c r="C1376" s="22" t="s">
        <v>50</v>
      </c>
      <c r="D1376" s="22" t="s">
        <v>2249</v>
      </c>
      <c r="E1376" s="22" t="b">
        <f t="shared" ref="E1376:E1381" si="122">F1376=G1376</f>
        <v>1</v>
      </c>
      <c r="F1376" s="22" t="s">
        <v>2249</v>
      </c>
      <c r="G1376" s="22" t="str">
        <f>IF(ISERROR(VLOOKUP(F1376,[3]MODIFICACIONES_REALIZADAS!F:H,3,)),F1376,VLOOKUP(F1376,[3]MODIFICACIONES_REALIZADAS!F:H,3,))</f>
        <v>SM-O-RPP-Agente-Rappel-Pago-MensualXL</v>
      </c>
      <c r="H1376" s="22">
        <v>20230101</v>
      </c>
      <c r="I1376" s="22">
        <v>22000101</v>
      </c>
      <c r="J1376" s="22" t="s">
        <v>2248</v>
      </c>
      <c r="K1376" s="22"/>
    </row>
    <row r="1377" spans="1:11" ht="15.75" customHeight="1" x14ac:dyDescent="0.25">
      <c r="A1377" s="22">
        <v>2</v>
      </c>
      <c r="B1377" s="22" t="s">
        <v>48</v>
      </c>
      <c r="C1377" s="22" t="s">
        <v>50</v>
      </c>
      <c r="D1377" s="22" t="s">
        <v>2235</v>
      </c>
      <c r="E1377" s="22" t="b">
        <f t="shared" si="122"/>
        <v>1</v>
      </c>
      <c r="F1377" s="22" t="s">
        <v>2236</v>
      </c>
      <c r="G1377" s="22" t="str">
        <f>IF(ISERROR(VLOOKUP(F1377,[3]MODIFICACIONES_REALIZADAS!F:H,3,)),F1377,VLOOKUP(F1377,[3]MODIFICACIONES_REALIZADAS!F:H,3,))</f>
        <v>SM-O-COM-GestionExplotacion-PorcentajeConsecucion</v>
      </c>
      <c r="H1377" s="26">
        <v>20230101</v>
      </c>
      <c r="I1377" s="22">
        <v>22000101</v>
      </c>
      <c r="J1377" s="22" t="s">
        <v>2255</v>
      </c>
      <c r="K1377" s="22"/>
    </row>
    <row r="1378" spans="1:11" ht="15.75" customHeight="1" x14ac:dyDescent="0.25">
      <c r="A1378" s="22">
        <v>2</v>
      </c>
      <c r="B1378" s="22" t="s">
        <v>48</v>
      </c>
      <c r="C1378" s="22" t="s">
        <v>50</v>
      </c>
      <c r="D1378" s="22" t="s">
        <v>2238</v>
      </c>
      <c r="E1378" s="22" t="b">
        <f t="shared" si="122"/>
        <v>1</v>
      </c>
      <c r="F1378" s="22" t="s">
        <v>2239</v>
      </c>
      <c r="G1378" s="22" t="str">
        <f>IF(ISERROR(VLOOKUP(F1378,[3]MODIFICACIONES_REALIZADAS!F:H,3,)),F1378,VLOOKUP(F1378,[3]MODIFICACIONES_REALIZADAS!F:H,3,))</f>
        <v>SM-O-COM-GestionExplotacion</v>
      </c>
      <c r="H1378" s="26">
        <v>20230101</v>
      </c>
      <c r="I1378" s="22">
        <v>22000101</v>
      </c>
      <c r="J1378" s="22" t="s">
        <v>2255</v>
      </c>
      <c r="K1378" s="22"/>
    </row>
    <row r="1379" spans="1:11" ht="15.75" customHeight="1" x14ac:dyDescent="0.25">
      <c r="A1379" s="22">
        <v>2</v>
      </c>
      <c r="B1379" s="22" t="s">
        <v>48</v>
      </c>
      <c r="C1379" s="22" t="s">
        <v>50</v>
      </c>
      <c r="D1379" s="22" t="s">
        <v>2240</v>
      </c>
      <c r="E1379" s="22" t="b">
        <f t="shared" si="122"/>
        <v>1</v>
      </c>
      <c r="F1379" s="22" t="s">
        <v>2241</v>
      </c>
      <c r="G1379" s="22" t="str">
        <f>IF(ISERROR(VLOOKUP(F1379,[3]MODIFICACIONES_REALIZADAS!F:H,3,)),F1379,VLOOKUP(F1379,[3]MODIFICACIONES_REALIZADAS!F:H,3,))</f>
        <v>SM-O-COM-GestionExplotacion-PorcentajePagoFinal</v>
      </c>
      <c r="H1379" s="26">
        <v>20230101</v>
      </c>
      <c r="I1379" s="22">
        <v>22000101</v>
      </c>
      <c r="J1379" s="22" t="s">
        <v>2255</v>
      </c>
      <c r="K1379" s="22"/>
    </row>
    <row r="1380" spans="1:11" ht="15.75" customHeight="1" x14ac:dyDescent="0.25">
      <c r="A1380" s="22">
        <v>2</v>
      </c>
      <c r="B1380" s="22" t="s">
        <v>48</v>
      </c>
      <c r="C1380" s="22" t="s">
        <v>50</v>
      </c>
      <c r="D1380" s="22" t="s">
        <v>1108</v>
      </c>
      <c r="E1380" s="22" t="b">
        <f t="shared" si="122"/>
        <v>1</v>
      </c>
      <c r="F1380" s="22" t="s">
        <v>2242</v>
      </c>
      <c r="G1380" s="22" t="str">
        <f>IF(ISERROR(VLOOKUP(F1380,[3]MODIFICACIONES_REALIZADAS!F:H,3,)),F1380,VLOOKUP(F1380,[3]MODIFICACIONES_REALIZADAS!F:H,3,))</f>
        <v>SM-O-COM-GestionExplotacion-ImportePago</v>
      </c>
      <c r="H1380" s="26">
        <v>20230101</v>
      </c>
      <c r="I1380" s="22">
        <v>22000101</v>
      </c>
      <c r="J1380" s="22" t="s">
        <v>2255</v>
      </c>
      <c r="K1380" s="22"/>
    </row>
    <row r="1381" spans="1:11" s="22" customFormat="1" x14ac:dyDescent="0.25">
      <c r="A1381" s="22">
        <v>0</v>
      </c>
      <c r="B1381" s="22" t="s">
        <v>33</v>
      </c>
      <c r="C1381" s="22" t="s">
        <v>35</v>
      </c>
      <c r="D1381" s="22" t="s">
        <v>2256</v>
      </c>
      <c r="E1381" s="22" t="b">
        <f t="shared" si="122"/>
        <v>1</v>
      </c>
      <c r="F1381" s="22" t="s">
        <v>2257</v>
      </c>
      <c r="G1381" s="22" t="str">
        <f>IF(ISERROR(VLOOKUP(F1381,MODIFICACIONES_REALIZADAS!F:H,3,)),F1381,VLOOKUP(F1381,MODIFICACIONES_REALIZADAS!F:H,3,))</f>
        <v>SM-E-GEN-Agente-PrimaCorregida-ProdPrioritarios-TotalTrimestre</v>
      </c>
      <c r="H1381" s="22">
        <v>20240101</v>
      </c>
      <c r="I1381" s="22">
        <v>22000101</v>
      </c>
      <c r="J1381" s="22" t="s">
        <v>2258</v>
      </c>
    </row>
    <row r="1382" spans="1:11" s="22" customFormat="1" x14ac:dyDescent="0.25">
      <c r="A1382" s="22">
        <v>0</v>
      </c>
      <c r="B1382" s="22" t="s">
        <v>33</v>
      </c>
      <c r="C1382" s="22" t="s">
        <v>35</v>
      </c>
      <c r="D1382" s="22" t="s">
        <v>2259</v>
      </c>
      <c r="E1382" s="22" t="b">
        <f t="shared" ref="E1382" si="123">F1382=G1382</f>
        <v>1</v>
      </c>
      <c r="F1382" s="22" t="s">
        <v>2260</v>
      </c>
      <c r="G1382" s="22" t="str">
        <f>IF(ISERROR(VLOOKUP(F1382,MODIFICACIONES_REALIZADAS!F:H,3,)),F1382,VLOOKUP(F1382,MODIFICACIONES_REALIZADAS!F:H,3,))</f>
        <v>SM-E-R-Agente-Pago-Primas-Trimestre</v>
      </c>
      <c r="H1382" s="22">
        <v>20240101</v>
      </c>
      <c r="I1382" s="22">
        <v>22000101</v>
      </c>
      <c r="J1382" s="22" t="s">
        <v>2258</v>
      </c>
    </row>
    <row r="1383" spans="1:11" x14ac:dyDescent="0.25">
      <c r="A1383">
        <v>4</v>
      </c>
      <c r="B1383" t="s">
        <v>119</v>
      </c>
      <c r="C1383" t="s">
        <v>121</v>
      </c>
      <c r="D1383" s="37" t="s">
        <v>2261</v>
      </c>
      <c r="E1383" t="b">
        <f>F1383=G1383</f>
        <v>1</v>
      </c>
      <c r="F1383" t="s">
        <v>2262</v>
      </c>
      <c r="G1383" t="str">
        <f>IF(ISERROR(VLOOKUP(F1383,MODIFICACIONES_REALIZADAS!F:H,3,)),F1383,VLOOKUP(F1383,MODIFICACIONES_REALIZADAS!F:H,3,))</f>
        <v>SM-O-REP-Inspector-NumeroPolizas-VidaAccidentes-TotalMes</v>
      </c>
      <c r="H1383" s="37">
        <v>20240301</v>
      </c>
      <c r="I1383" s="37">
        <v>22000101</v>
      </c>
      <c r="J1383" s="37" t="s">
        <v>2258</v>
      </c>
    </row>
    <row r="1384" spans="1:11" x14ac:dyDescent="0.25">
      <c r="A1384">
        <v>4</v>
      </c>
      <c r="B1384" t="s">
        <v>119</v>
      </c>
      <c r="C1384" t="s">
        <v>121</v>
      </c>
      <c r="D1384" s="37" t="s">
        <v>2263</v>
      </c>
      <c r="E1384" t="b">
        <f>F1384=G1384</f>
        <v>1</v>
      </c>
      <c r="F1384" t="s">
        <v>2264</v>
      </c>
      <c r="G1384" t="str">
        <f>IF(ISERROR(VLOOKUP(F1384,MODIFICACIONES_REALIZADAS!F:H,3,)),F1384,VLOOKUP(F1384,MODIFICACIONES_REALIZADAS!F:H,3,))</f>
        <v>SM-O-REP-Inspector-NumeroPolizasCorregidas-VidaAccidentes-TotalMes</v>
      </c>
      <c r="H1384" s="37">
        <v>20240301</v>
      </c>
      <c r="I1384" s="37">
        <v>22000101</v>
      </c>
      <c r="J1384" s="37" t="s">
        <v>2258</v>
      </c>
    </row>
    <row r="1385" spans="1:11" x14ac:dyDescent="0.25">
      <c r="A1385">
        <v>4</v>
      </c>
      <c r="B1385" t="s">
        <v>119</v>
      </c>
      <c r="C1385" t="s">
        <v>121</v>
      </c>
      <c r="D1385" s="37" t="s">
        <v>2265</v>
      </c>
      <c r="E1385" t="b">
        <f t="shared" ref="E1385:E1388" si="124">F1385=G1385</f>
        <v>1</v>
      </c>
      <c r="F1385" t="s">
        <v>2266</v>
      </c>
      <c r="G1385" t="str">
        <f>IF(ISERROR(VLOOKUP(F1385,MODIFICACIONES_REALIZADAS!F:H,3,)),F1385,VLOOKUP(F1385,MODIFICACIONES_REALIZADAS!F:H,3,))</f>
        <v>PM-O-REP-Inspector-NumeroPolizasCorregidas-VidaAccidentes</v>
      </c>
      <c r="H1385" s="37">
        <v>20240301</v>
      </c>
      <c r="I1385" s="37">
        <v>22000101</v>
      </c>
      <c r="J1385" s="37" t="s">
        <v>2258</v>
      </c>
    </row>
    <row r="1386" spans="1:11" x14ac:dyDescent="0.25">
      <c r="A1386">
        <v>4</v>
      </c>
      <c r="B1386" t="s">
        <v>119</v>
      </c>
      <c r="C1386" t="s">
        <v>121</v>
      </c>
      <c r="D1386" s="37" t="s">
        <v>2267</v>
      </c>
      <c r="E1386" t="b">
        <f t="shared" si="124"/>
        <v>1</v>
      </c>
      <c r="F1386" t="s">
        <v>2268</v>
      </c>
      <c r="G1386" t="str">
        <f>IF(ISERROR(VLOOKUP(F1386,MODIFICACIONES_REALIZADAS!F:H,3,)),F1386,VLOOKUP(F1386,MODIFICACIONES_REALIZADAS!F:H,3,))</f>
        <v>PM-O-REP-Inspector-NumeroPolizasCorregidas-VidaAccidentes-Agentes</v>
      </c>
      <c r="H1386" s="37">
        <v>20240301</v>
      </c>
      <c r="I1386" s="37">
        <v>22000101</v>
      </c>
      <c r="J1386" s="37" t="s">
        <v>2258</v>
      </c>
    </row>
    <row r="1387" spans="1:11" x14ac:dyDescent="0.25">
      <c r="A1387">
        <v>4</v>
      </c>
      <c r="B1387" t="s">
        <v>119</v>
      </c>
      <c r="C1387" t="s">
        <v>121</v>
      </c>
      <c r="D1387" s="37" t="s">
        <v>2269</v>
      </c>
      <c r="E1387" t="b">
        <f t="shared" si="124"/>
        <v>1</v>
      </c>
      <c r="F1387" t="s">
        <v>2270</v>
      </c>
      <c r="G1387" t="str">
        <f>IF(ISERROR(VLOOKUP(F1387,MODIFICACIONES_REALIZADAS!F:H,3,)),F1387,VLOOKUP(F1387,MODIFICACIONES_REALIZADAS!F:H,3,))</f>
        <v>SM-O-REP-Inspector-PrimaAnual-VidaAccidentes</v>
      </c>
      <c r="H1387" s="37">
        <v>20240301</v>
      </c>
      <c r="I1387" s="37">
        <v>22000101</v>
      </c>
      <c r="J1387" s="37" t="s">
        <v>2258</v>
      </c>
    </row>
    <row r="1388" spans="1:11" x14ac:dyDescent="0.25">
      <c r="A1388">
        <v>4</v>
      </c>
      <c r="B1388" t="s">
        <v>119</v>
      </c>
      <c r="C1388" t="s">
        <v>121</v>
      </c>
      <c r="D1388" t="s">
        <v>2271</v>
      </c>
      <c r="E1388" t="b">
        <f t="shared" si="124"/>
        <v>1</v>
      </c>
      <c r="F1388" t="s">
        <v>2272</v>
      </c>
      <c r="G1388" t="str">
        <f>IF(ISERROR(VLOOKUP(F1388,MODIFICACIONES_REALIZADAS!F:H,3,)),F1388,VLOOKUP(F1388,MODIFICACIONES_REALIZADAS!F:H,3,))</f>
        <v>PM-O-REP-Inspector-PrimaAnual-VidaAccidentes</v>
      </c>
      <c r="H1388" s="37">
        <v>20240301</v>
      </c>
      <c r="I1388" s="37">
        <v>22000101</v>
      </c>
      <c r="J1388" s="37" t="s">
        <v>2258</v>
      </c>
    </row>
    <row r="1389" spans="1:11" x14ac:dyDescent="0.25">
      <c r="A1389">
        <v>4</v>
      </c>
      <c r="B1389" t="s">
        <v>119</v>
      </c>
      <c r="C1389" t="s">
        <v>121</v>
      </c>
      <c r="D1389" t="s">
        <v>2273</v>
      </c>
      <c r="E1389" t="b">
        <f t="shared" ref="E1389" si="125">F1389=G1389</f>
        <v>1</v>
      </c>
      <c r="F1389" t="s">
        <v>2274</v>
      </c>
      <c r="G1389" t="str">
        <f>IF(ISERROR(VLOOKUP(F1389,MODIFICACIONES_REALIZADAS!F:H,3,)),F1389,VLOOKUP(F1389,MODIFICACIONES_REALIZADAS!F:H,3,))</f>
        <v>SM-O-REP-Inspector-PrimaAnual-VidaAccidentes-Trim</v>
      </c>
      <c r="H1389" s="37">
        <v>20240301</v>
      </c>
      <c r="I1389" s="37">
        <v>22000101</v>
      </c>
      <c r="J1389" s="37" t="s">
        <v>2258</v>
      </c>
    </row>
    <row r="1390" spans="1:11" x14ac:dyDescent="0.25">
      <c r="A1390">
        <v>4</v>
      </c>
      <c r="B1390" t="s">
        <v>119</v>
      </c>
      <c r="C1390" t="s">
        <v>121</v>
      </c>
      <c r="D1390" t="s">
        <v>2275</v>
      </c>
      <c r="E1390" t="b">
        <f t="shared" ref="E1390" si="126">F1390=G1390</f>
        <v>1</v>
      </c>
      <c r="F1390" t="s">
        <v>2276</v>
      </c>
      <c r="G1390" t="str">
        <f>IF(ISERROR(VLOOKUP(F1390,MODIFICACIONES_REALIZADAS!F:H,3,)),F1390,VLOOKUP(F1390,MODIFICACIONES_REALIZADAS!F:H,3,))</f>
        <v>SM-O-REAS-Inspector-Pago</v>
      </c>
      <c r="H1390" s="37">
        <v>20240301</v>
      </c>
      <c r="I1390" s="37">
        <v>22000101</v>
      </c>
      <c r="J1390" s="37" t="s">
        <v>2258</v>
      </c>
    </row>
    <row r="1391" spans="1:11" x14ac:dyDescent="0.25">
      <c r="A1391">
        <v>4</v>
      </c>
      <c r="B1391" t="s">
        <v>119</v>
      </c>
      <c r="C1391" t="s">
        <v>121</v>
      </c>
      <c r="D1391" t="s">
        <v>2277</v>
      </c>
      <c r="E1391" t="b">
        <f t="shared" ref="E1391" si="127">F1391=G1391</f>
        <v>1</v>
      </c>
      <c r="F1391" t="s">
        <v>2278</v>
      </c>
      <c r="G1391" t="str">
        <f>IF(ISERROR(VLOOKUP(F1391,MODIFICACIONES_REALIZADAS!F:H,3,)),F1391,VLOOKUP(F1391,MODIFICACIONES_REALIZADAS!F:H,3,))</f>
        <v>SM-O-REAS-Inspector-NumAsegurados-Trim</v>
      </c>
      <c r="H1391" s="37">
        <v>20240301</v>
      </c>
      <c r="I1391" s="37">
        <v>22000101</v>
      </c>
      <c r="J1391" s="37" t="s">
        <v>2258</v>
      </c>
    </row>
    <row r="1392" spans="1:11" x14ac:dyDescent="0.25">
      <c r="A1392">
        <v>4</v>
      </c>
      <c r="B1392" t="s">
        <v>33</v>
      </c>
      <c r="C1392" t="s">
        <v>35</v>
      </c>
      <c r="D1392" t="s">
        <v>2279</v>
      </c>
      <c r="E1392" t="b">
        <v>1</v>
      </c>
      <c r="F1392" t="s">
        <v>2279</v>
      </c>
      <c r="G1392" t="s">
        <v>2279</v>
      </c>
      <c r="H1392" s="37">
        <v>20240101</v>
      </c>
      <c r="I1392" s="37">
        <v>22000101</v>
      </c>
      <c r="J1392" s="37" t="s">
        <v>2258</v>
      </c>
    </row>
    <row r="1393" spans="1:10" x14ac:dyDescent="0.25">
      <c r="A1393">
        <v>0</v>
      </c>
      <c r="B1393" t="s">
        <v>163</v>
      </c>
      <c r="C1393" t="s">
        <v>12</v>
      </c>
      <c r="D1393" t="s">
        <v>2280</v>
      </c>
      <c r="E1393" t="b">
        <f t="shared" ref="E1393" si="128">F1393=G1393</f>
        <v>1</v>
      </c>
      <c r="F1393" t="s">
        <v>2280</v>
      </c>
      <c r="G1393" t="str">
        <f>IF(ISERROR(VLOOKUP(F1393,MODIFICACIONES_REALIZADAS!F:H,3,)),F1393,VLOOKUP(F1393,MODIFICACIONES_REALIZADAS!F:H,3,))</f>
        <v>SM-O-Inspector-Incentivo-Pago</v>
      </c>
      <c r="H1393">
        <v>20240101</v>
      </c>
      <c r="I1393">
        <v>22000101</v>
      </c>
      <c r="J1393" s="37" t="s">
        <v>2258</v>
      </c>
    </row>
    <row r="1394" spans="1:10" x14ac:dyDescent="0.25">
      <c r="A1394">
        <v>0</v>
      </c>
      <c r="B1394" t="s">
        <v>163</v>
      </c>
      <c r="C1394" t="s">
        <v>12</v>
      </c>
      <c r="D1394" t="s">
        <v>2281</v>
      </c>
      <c r="E1394" t="b">
        <f t="shared" ref="E1394:E1399" si="129">F1394=G1394</f>
        <v>1</v>
      </c>
      <c r="F1394" t="s">
        <v>2281</v>
      </c>
      <c r="G1394" t="str">
        <f>IF(ISERROR(VLOOKUP(F1394,MODIFICACIONES_REALIZADAS!F:H,3,)),F1394,VLOOKUP(F1394,MODIFICACIONES_REALIZADAS!F:H,3,))</f>
        <v>SM-O-Inspector-Incentivo-PremEspe</v>
      </c>
      <c r="H1394">
        <v>20240101</v>
      </c>
      <c r="I1394">
        <v>22000101</v>
      </c>
      <c r="J1394" s="37" t="s">
        <v>2258</v>
      </c>
    </row>
    <row r="1395" spans="1:10" x14ac:dyDescent="0.25">
      <c r="A1395">
        <v>0</v>
      </c>
      <c r="B1395" t="s">
        <v>163</v>
      </c>
      <c r="C1395" t="s">
        <v>12</v>
      </c>
      <c r="D1395" t="s">
        <v>2282</v>
      </c>
      <c r="E1395" t="b">
        <f t="shared" si="129"/>
        <v>1</v>
      </c>
      <c r="F1395" t="s">
        <v>2282</v>
      </c>
      <c r="G1395" t="str">
        <f>IF(ISERROR(VLOOKUP(F1395,MODIFICACIONES_REALIZADAS!F:H,3,)),F1395,VLOOKUP(F1395,MODIFICACIONES_REALIZADAS!F:H,3,))</f>
        <v>SM-O-Inspector-Incentivo-RegAnual</v>
      </c>
      <c r="H1395">
        <v>20240101</v>
      </c>
      <c r="I1395">
        <v>22000101</v>
      </c>
      <c r="J1395" s="37" t="s">
        <v>2258</v>
      </c>
    </row>
    <row r="1396" spans="1:10" x14ac:dyDescent="0.25">
      <c r="A1396">
        <v>0</v>
      </c>
      <c r="B1396" t="s">
        <v>163</v>
      </c>
      <c r="C1396" t="s">
        <v>12</v>
      </c>
      <c r="D1396" t="s">
        <v>2283</v>
      </c>
      <c r="E1396" t="b">
        <f t="shared" si="129"/>
        <v>1</v>
      </c>
      <c r="F1396" t="s">
        <v>2283</v>
      </c>
      <c r="G1396" t="str">
        <f>IF(ISERROR(VLOOKUP(F1396,MODIFICACIONES_REALIZADAS!F:H,3,)),F1396,VLOOKUP(F1396,MODIFICACIONES_REALIZADAS!F:H,3,))</f>
        <v>SM-O-Inspector-Incentivo-RRGG-Mes</v>
      </c>
      <c r="H1396">
        <v>20240101</v>
      </c>
      <c r="I1396">
        <v>22000101</v>
      </c>
      <c r="J1396" s="37" t="s">
        <v>2258</v>
      </c>
    </row>
    <row r="1397" spans="1:10" x14ac:dyDescent="0.25">
      <c r="A1397">
        <v>0</v>
      </c>
      <c r="B1397" t="s">
        <v>163</v>
      </c>
      <c r="C1397" t="s">
        <v>12</v>
      </c>
      <c r="D1397" t="s">
        <v>2284</v>
      </c>
      <c r="E1397" t="b">
        <f t="shared" si="129"/>
        <v>1</v>
      </c>
      <c r="F1397" t="s">
        <v>2284</v>
      </c>
      <c r="G1397" t="str">
        <f>IF(ISERROR(VLOOKUP(F1397,MODIFICACIONES_REALIZADAS!F:H,3,)),F1397,VLOOKUP(F1397,MODIFICACIONES_REALIZADAS!F:H,3,))</f>
        <v>SM-O-Inspector-Incentivo-RRGG-Pago</v>
      </c>
      <c r="H1397">
        <v>20240101</v>
      </c>
      <c r="I1397">
        <v>22000101</v>
      </c>
      <c r="J1397" s="37" t="s">
        <v>2258</v>
      </c>
    </row>
    <row r="1398" spans="1:10" x14ac:dyDescent="0.25">
      <c r="A1398">
        <v>0</v>
      </c>
      <c r="B1398" t="s">
        <v>163</v>
      </c>
      <c r="C1398" t="s">
        <v>12</v>
      </c>
      <c r="D1398" t="s">
        <v>2285</v>
      </c>
      <c r="E1398" t="b">
        <f t="shared" si="129"/>
        <v>1</v>
      </c>
      <c r="F1398" t="s">
        <v>2285</v>
      </c>
      <c r="G1398" t="str">
        <f>IF(ISERROR(VLOOKUP(F1398,MODIFICACIONES_REALIZADAS!F:H,3,)),F1398,VLOOKUP(F1398,MODIFICACIONES_REALIZADAS!F:H,3,))</f>
        <v>SM-O-Inspector-Incentivo-RRPP-Mes</v>
      </c>
      <c r="H1398">
        <v>20240101</v>
      </c>
      <c r="I1398">
        <v>22000101</v>
      </c>
      <c r="J1398" s="37" t="s">
        <v>2258</v>
      </c>
    </row>
    <row r="1399" spans="1:10" x14ac:dyDescent="0.25">
      <c r="A1399">
        <v>0</v>
      </c>
      <c r="B1399" t="s">
        <v>163</v>
      </c>
      <c r="C1399" t="s">
        <v>12</v>
      </c>
      <c r="D1399" t="s">
        <v>2286</v>
      </c>
      <c r="E1399" t="b">
        <f t="shared" si="129"/>
        <v>1</v>
      </c>
      <c r="F1399" t="s">
        <v>2286</v>
      </c>
      <c r="G1399" t="str">
        <f>IF(ISERROR(VLOOKUP(F1399,MODIFICACIONES_REALIZADAS!F:H,3,)),F1399,VLOOKUP(F1399,MODIFICACIONES_REALIZADAS!F:H,3,))</f>
        <v>SM-O-Inspector-Incentivo-RRPP-Pago</v>
      </c>
      <c r="H1399">
        <v>20240101</v>
      </c>
      <c r="I1399">
        <v>22000101</v>
      </c>
      <c r="J1399" s="37" t="s">
        <v>2258</v>
      </c>
    </row>
    <row r="1400" spans="1:10" x14ac:dyDescent="0.25">
      <c r="A1400">
        <v>0</v>
      </c>
      <c r="B1400" t="s">
        <v>163</v>
      </c>
      <c r="C1400" t="s">
        <v>12</v>
      </c>
      <c r="D1400" t="s">
        <v>2287</v>
      </c>
      <c r="E1400" t="b">
        <f t="shared" ref="E1400" si="130">F1400=G1400</f>
        <v>1</v>
      </c>
      <c r="F1400" t="s">
        <v>2287</v>
      </c>
      <c r="G1400" t="str">
        <f>IF(ISERROR(VLOOKUP(F1400,MODIFICACIONES_REALIZADAS!F:H,3,)),F1400,VLOOKUP(F1400,MODIFICACIONES_REALIZADAS!F:H,3,))</f>
        <v>SM-O-Inspector-Incentivo-Asegurados-Pago</v>
      </c>
      <c r="H1400">
        <v>20240101</v>
      </c>
      <c r="I1400">
        <v>22000101</v>
      </c>
      <c r="J1400" s="37" t="s">
        <v>2258</v>
      </c>
    </row>
    <row r="1401" spans="1:10" x14ac:dyDescent="0.25">
      <c r="A1401">
        <v>0</v>
      </c>
      <c r="B1401" t="s">
        <v>163</v>
      </c>
      <c r="C1401" t="s">
        <v>12</v>
      </c>
      <c r="D1401" t="s">
        <v>2288</v>
      </c>
      <c r="E1401" t="b">
        <f t="shared" ref="E1401:E1409" si="131">F1401=G1401</f>
        <v>1</v>
      </c>
      <c r="F1401" t="s">
        <v>2288</v>
      </c>
      <c r="G1401" t="str">
        <f>IF(ISERROR(VLOOKUP(F1401,MODIFICACIONES_REALIZADAS!F:H,3,)),F1401,VLOOKUP(F1401,MODIFICACIONES_REALIZADAS!F:H,3,))</f>
        <v>SM-O-Inspector-Incentivo-Asegurados-RegAnual</v>
      </c>
      <c r="H1401">
        <v>20240101</v>
      </c>
      <c r="I1401">
        <v>22000101</v>
      </c>
      <c r="J1401" s="37" t="s">
        <v>2258</v>
      </c>
    </row>
    <row r="1402" spans="1:10" ht="11.45" customHeight="1" x14ac:dyDescent="0.25">
      <c r="A1402">
        <v>0</v>
      </c>
      <c r="B1402" t="s">
        <v>205</v>
      </c>
      <c r="C1402" t="s">
        <v>207</v>
      </c>
      <c r="D1402" t="s">
        <v>2289</v>
      </c>
      <c r="E1402" t="b">
        <f t="shared" si="131"/>
        <v>1</v>
      </c>
      <c r="F1402" t="s">
        <v>2290</v>
      </c>
      <c r="G1402" t="s">
        <v>2290</v>
      </c>
      <c r="H1402">
        <v>20240101</v>
      </c>
      <c r="I1402">
        <v>22000101</v>
      </c>
      <c r="J1402" s="37" t="s">
        <v>2258</v>
      </c>
    </row>
    <row r="1403" spans="1:10" x14ac:dyDescent="0.25">
      <c r="A1403">
        <v>0</v>
      </c>
      <c r="B1403" t="s">
        <v>237</v>
      </c>
      <c r="C1403" t="s">
        <v>239</v>
      </c>
      <c r="D1403" t="s">
        <v>2291</v>
      </c>
      <c r="E1403" t="b">
        <f t="shared" si="131"/>
        <v>1</v>
      </c>
      <c r="F1403" t="s">
        <v>2291</v>
      </c>
      <c r="G1403" t="str">
        <f>IF(ISERROR(VLOOKUP(F1403,MODIFICACIONES_REALIZADAS!F:H,3,)),F1403,VLOOKUP(F1403,MODIFICACIONES_REALIZADAS!F:H,3,))</f>
        <v>SM-O-COM-AgenteZona</v>
      </c>
      <c r="H1403">
        <v>20240101</v>
      </c>
      <c r="I1403">
        <v>22000101</v>
      </c>
      <c r="J1403" s="37" t="s">
        <v>2292</v>
      </c>
    </row>
    <row r="1404" spans="1:10" x14ac:dyDescent="0.25">
      <c r="A1404">
        <v>0</v>
      </c>
      <c r="B1404" t="s">
        <v>205</v>
      </c>
      <c r="C1404" t="s">
        <v>207</v>
      </c>
      <c r="D1404" t="s">
        <v>1648</v>
      </c>
      <c r="E1404" t="b">
        <f t="shared" si="131"/>
        <v>1</v>
      </c>
      <c r="F1404" t="s">
        <v>2293</v>
      </c>
      <c r="G1404" t="str">
        <f>IF(ISERROR(VLOOKUP(F1404,MODIFICACIONES_REALIZADAS!F:H,3,)),F1404,VLOOKUP(F1404,MODIFICACIONES_REALIZADAS!F:H,3,))</f>
        <v>DC-O-COM-Conservacion-ComisionCalculada-N</v>
      </c>
      <c r="H1404">
        <v>20140101</v>
      </c>
      <c r="I1404">
        <v>22000101</v>
      </c>
      <c r="J1404" t="s">
        <v>2294</v>
      </c>
    </row>
    <row r="1405" spans="1:10" x14ac:dyDescent="0.25">
      <c r="A1405">
        <v>0</v>
      </c>
      <c r="B1405" t="s">
        <v>205</v>
      </c>
      <c r="C1405" t="s">
        <v>207</v>
      </c>
      <c r="D1405" t="s">
        <v>1648</v>
      </c>
      <c r="E1405" t="b">
        <f t="shared" si="131"/>
        <v>1</v>
      </c>
      <c r="F1405" t="s">
        <v>2295</v>
      </c>
      <c r="G1405" t="str">
        <f>IF(ISERROR(VLOOKUP(F1405,MODIFICACIONES_REALIZADAS!F:H,3,)),F1405,VLOOKUP(F1405,MODIFICACIONES_REALIZADAS!F:H,3,))</f>
        <v>DC-O-COM-Conservacion-PorcentajeFijo-N</v>
      </c>
      <c r="H1405">
        <v>20140101</v>
      </c>
      <c r="I1405">
        <v>22000101</v>
      </c>
      <c r="J1405" t="s">
        <v>2294</v>
      </c>
    </row>
    <row r="1406" spans="1:10" x14ac:dyDescent="0.25">
      <c r="A1406">
        <v>0</v>
      </c>
      <c r="B1406" t="s">
        <v>205</v>
      </c>
      <c r="C1406" t="s">
        <v>207</v>
      </c>
      <c r="D1406" t="s">
        <v>1648</v>
      </c>
      <c r="E1406" t="b">
        <f t="shared" si="131"/>
        <v>1</v>
      </c>
      <c r="F1406" t="s">
        <v>2296</v>
      </c>
      <c r="G1406" t="str">
        <f>IF(ISERROR(VLOOKUP(F1406,MODIFICACIONES_REALIZADAS!F:H,3,)),F1406,VLOOKUP(F1406,MODIFICACIONES_REALIZADAS!F:H,3,))</f>
        <v>DC-O-COM-Conservacion-RecalcularPorcentaje-N</v>
      </c>
      <c r="H1406">
        <v>20140101</v>
      </c>
      <c r="I1406">
        <v>22000101</v>
      </c>
      <c r="J1406" t="s">
        <v>2294</v>
      </c>
    </row>
    <row r="1407" spans="1:10" x14ac:dyDescent="0.25">
      <c r="A1407">
        <v>0</v>
      </c>
      <c r="B1407" t="s">
        <v>205</v>
      </c>
      <c r="C1407" t="s">
        <v>207</v>
      </c>
      <c r="D1407" t="s">
        <v>1648</v>
      </c>
      <c r="E1407" t="b">
        <f t="shared" si="131"/>
        <v>1</v>
      </c>
      <c r="F1407" t="s">
        <v>2297</v>
      </c>
      <c r="G1407" t="str">
        <f>IF(ISERROR(VLOOKUP(F1407,MODIFICACIONES_REALIZADAS!F:H,3,)),F1407,VLOOKUP(F1407,MODIFICACIONES_REALIZADAS!F:H,3,))</f>
        <v>DC-O-COM-NuevaProduccion-ComisionCalculada-N</v>
      </c>
      <c r="H1407">
        <v>20140101</v>
      </c>
      <c r="I1407">
        <v>22000101</v>
      </c>
      <c r="J1407" t="s">
        <v>2294</v>
      </c>
    </row>
    <row r="1408" spans="1:10" x14ac:dyDescent="0.25">
      <c r="A1408">
        <v>0</v>
      </c>
      <c r="B1408" t="s">
        <v>205</v>
      </c>
      <c r="C1408" t="s">
        <v>207</v>
      </c>
      <c r="D1408" t="s">
        <v>1648</v>
      </c>
      <c r="E1408" t="b">
        <f t="shared" si="131"/>
        <v>1</v>
      </c>
      <c r="F1408" t="s">
        <v>2298</v>
      </c>
      <c r="G1408" t="str">
        <f>IF(ISERROR(VLOOKUP(F1408,MODIFICACIONES_REALIZADAS!F:H,3,)),F1408,VLOOKUP(F1408,MODIFICACIONES_REALIZADAS!F:H,3,))</f>
        <v>DC-O-COM-NuevaProduccion-Emision-N</v>
      </c>
      <c r="H1408">
        <v>20140101</v>
      </c>
      <c r="I1408">
        <v>22000101</v>
      </c>
      <c r="J1408" t="s">
        <v>2294</v>
      </c>
    </row>
    <row r="1409" spans="1:10" x14ac:dyDescent="0.25">
      <c r="A1409">
        <v>0</v>
      </c>
      <c r="B1409" t="s">
        <v>205</v>
      </c>
      <c r="C1409" t="s">
        <v>207</v>
      </c>
      <c r="D1409" t="s">
        <v>1648</v>
      </c>
      <c r="E1409" t="b">
        <f t="shared" si="131"/>
        <v>1</v>
      </c>
      <c r="F1409" t="s">
        <v>2299</v>
      </c>
      <c r="G1409" t="str">
        <f>IF(ISERROR(VLOOKUP(F1409,MODIFICACIONES_REALIZADAS!F:H,3,)),F1409,VLOOKUP(F1409,MODIFICACIONES_REALIZADAS!F:H,3,))</f>
        <v>DC-O-COM-NuevaProduccion-PorcentajeFijo-N</v>
      </c>
      <c r="H1409">
        <v>20140101</v>
      </c>
      <c r="I1409">
        <v>22000101</v>
      </c>
      <c r="J1409" t="s">
        <v>2294</v>
      </c>
    </row>
  </sheetData>
  <sortState xmlns:xlrd2="http://schemas.microsoft.com/office/spreadsheetml/2017/richdata2" ref="A2:K186">
    <sortCondition ref="B2:B186"/>
    <sortCondition ref="C2:C186"/>
    <sortCondition ref="D2:D186"/>
    <sortCondition ref="F2:F186"/>
    <sortCondition ref="G2:G186"/>
  </sortState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I347"/>
  <sheetViews>
    <sheetView workbookViewId="0">
      <pane ySplit="1" topLeftCell="A316" activePane="bottomLeft" state="frozen"/>
      <selection pane="bottomLeft" activeCell="E325" sqref="E325"/>
    </sheetView>
  </sheetViews>
  <sheetFormatPr defaultColWidth="11.42578125" defaultRowHeight="15" x14ac:dyDescent="0.25"/>
  <cols>
    <col min="1" max="1" width="4.42578125" bestFit="1" customWidth="1"/>
    <col min="2" max="2" width="6.140625" bestFit="1" customWidth="1"/>
    <col min="3" max="3" width="12.42578125" customWidth="1"/>
    <col min="4" max="4" width="3.85546875" bestFit="1" customWidth="1"/>
    <col min="5" max="5" width="30.42578125" customWidth="1"/>
    <col min="6" max="6" width="43.140625" customWidth="1"/>
    <col min="7" max="7" width="44" customWidth="1"/>
    <col min="8" max="8" width="57.85546875" customWidth="1"/>
    <col min="9" max="9" width="28.85546875" customWidth="1"/>
  </cols>
  <sheetData>
    <row r="1" spans="1:9" x14ac:dyDescent="0.25">
      <c r="A1" s="5" t="s">
        <v>2300</v>
      </c>
      <c r="B1" s="5" t="s">
        <v>2301</v>
      </c>
      <c r="C1" s="5" t="s">
        <v>2302</v>
      </c>
      <c r="D1" s="5"/>
      <c r="E1" s="6" t="s">
        <v>2303</v>
      </c>
      <c r="F1" s="6" t="s">
        <v>2304</v>
      </c>
      <c r="G1" s="7" t="s">
        <v>2305</v>
      </c>
      <c r="H1" s="7" t="s">
        <v>2306</v>
      </c>
      <c r="I1" s="7" t="s">
        <v>2307</v>
      </c>
    </row>
    <row r="2" spans="1:9" ht="16.5" x14ac:dyDescent="0.3">
      <c r="A2" s="8">
        <v>1</v>
      </c>
      <c r="B2" s="9">
        <v>1</v>
      </c>
      <c r="C2" s="9" t="s">
        <v>2308</v>
      </c>
      <c r="D2" s="9" t="s">
        <v>2309</v>
      </c>
      <c r="E2" s="10" t="s">
        <v>2310</v>
      </c>
      <c r="F2" s="10" t="s">
        <v>2310</v>
      </c>
      <c r="G2" s="10" t="s">
        <v>2311</v>
      </c>
      <c r="H2" s="10" t="s">
        <v>2311</v>
      </c>
      <c r="I2" s="10" t="s">
        <v>2312</v>
      </c>
    </row>
    <row r="3" spans="1:9" ht="16.5" x14ac:dyDescent="0.3">
      <c r="A3" s="8">
        <v>2</v>
      </c>
      <c r="B3" s="9">
        <v>2</v>
      </c>
      <c r="C3" s="9" t="s">
        <v>2308</v>
      </c>
      <c r="D3" s="9" t="s">
        <v>2309</v>
      </c>
      <c r="E3" s="10" t="s">
        <v>1068</v>
      </c>
      <c r="F3" s="10" t="s">
        <v>1068</v>
      </c>
      <c r="G3" s="10" t="s">
        <v>2313</v>
      </c>
      <c r="H3" s="10" t="s">
        <v>2313</v>
      </c>
      <c r="I3" s="10" t="s">
        <v>2312</v>
      </c>
    </row>
    <row r="4" spans="1:9" ht="16.5" x14ac:dyDescent="0.3">
      <c r="A4" s="8">
        <v>3</v>
      </c>
      <c r="B4" s="9">
        <v>1</v>
      </c>
      <c r="C4" s="9" t="s">
        <v>2308</v>
      </c>
      <c r="D4" s="9" t="s">
        <v>2314</v>
      </c>
      <c r="E4" s="10" t="s">
        <v>2315</v>
      </c>
      <c r="F4" s="10" t="s">
        <v>2315</v>
      </c>
      <c r="G4" s="10" t="s">
        <v>2316</v>
      </c>
      <c r="H4" s="10" t="s">
        <v>2316</v>
      </c>
      <c r="I4" s="10" t="s">
        <v>2312</v>
      </c>
    </row>
    <row r="5" spans="1:9" ht="16.5" x14ac:dyDescent="0.3">
      <c r="A5" s="8">
        <v>4</v>
      </c>
      <c r="B5" s="9">
        <v>2</v>
      </c>
      <c r="C5" s="9" t="s">
        <v>2308</v>
      </c>
      <c r="D5" s="9" t="s">
        <v>2314</v>
      </c>
      <c r="E5" s="10" t="s">
        <v>1069</v>
      </c>
      <c r="F5" s="10" t="s">
        <v>1069</v>
      </c>
      <c r="G5" s="10" t="s">
        <v>2317</v>
      </c>
      <c r="H5" s="10" t="s">
        <v>2317</v>
      </c>
      <c r="I5" s="10" t="s">
        <v>2312</v>
      </c>
    </row>
    <row r="6" spans="1:9" ht="16.5" x14ac:dyDescent="0.3">
      <c r="A6" s="8">
        <v>5</v>
      </c>
      <c r="B6" s="9">
        <v>3</v>
      </c>
      <c r="C6" s="9" t="s">
        <v>2308</v>
      </c>
      <c r="D6" s="9" t="s">
        <v>2309</v>
      </c>
      <c r="E6" s="8"/>
      <c r="F6" s="10"/>
      <c r="G6" s="11" t="s">
        <v>2318</v>
      </c>
      <c r="H6" s="11" t="s">
        <v>2318</v>
      </c>
      <c r="I6" s="11" t="s">
        <v>2319</v>
      </c>
    </row>
    <row r="7" spans="1:9" ht="16.5" x14ac:dyDescent="0.3">
      <c r="A7" s="8">
        <v>6</v>
      </c>
      <c r="B7" s="9">
        <v>4</v>
      </c>
      <c r="C7" s="9" t="s">
        <v>2308</v>
      </c>
      <c r="D7" s="9" t="s">
        <v>2309</v>
      </c>
      <c r="E7" s="8"/>
      <c r="F7" s="10"/>
      <c r="G7" s="11" t="s">
        <v>2320</v>
      </c>
      <c r="H7" s="11" t="s">
        <v>2320</v>
      </c>
      <c r="I7" s="11" t="s">
        <v>2319</v>
      </c>
    </row>
    <row r="8" spans="1:9" ht="16.5" x14ac:dyDescent="0.3">
      <c r="A8" s="8">
        <v>7</v>
      </c>
      <c r="B8" s="9">
        <v>5</v>
      </c>
      <c r="C8" s="9" t="s">
        <v>2308</v>
      </c>
      <c r="D8" s="9" t="s">
        <v>2309</v>
      </c>
      <c r="E8" s="8"/>
      <c r="F8" s="10"/>
      <c r="G8" s="11" t="s">
        <v>2321</v>
      </c>
      <c r="H8" s="11" t="s">
        <v>2321</v>
      </c>
      <c r="I8" s="11" t="s">
        <v>2319</v>
      </c>
    </row>
    <row r="9" spans="1:9" ht="16.5" x14ac:dyDescent="0.3">
      <c r="A9" s="8">
        <v>8</v>
      </c>
      <c r="B9" s="9">
        <v>6</v>
      </c>
      <c r="C9" s="9" t="s">
        <v>2308</v>
      </c>
      <c r="D9" s="9" t="s">
        <v>2309</v>
      </c>
      <c r="E9" s="8"/>
      <c r="F9" s="10"/>
      <c r="G9" s="11" t="s">
        <v>2322</v>
      </c>
      <c r="H9" s="11" t="s">
        <v>2322</v>
      </c>
      <c r="I9" s="11" t="s">
        <v>2319</v>
      </c>
    </row>
    <row r="10" spans="1:9" ht="16.5" x14ac:dyDescent="0.3">
      <c r="A10" s="8">
        <v>9</v>
      </c>
      <c r="B10" s="9">
        <v>7</v>
      </c>
      <c r="C10" s="9" t="s">
        <v>2308</v>
      </c>
      <c r="D10" s="9" t="s">
        <v>2309</v>
      </c>
      <c r="E10" s="8"/>
      <c r="F10" s="10"/>
      <c r="G10" s="11" t="s">
        <v>2323</v>
      </c>
      <c r="H10" s="11" t="s">
        <v>2323</v>
      </c>
      <c r="I10" s="11" t="s">
        <v>2319</v>
      </c>
    </row>
    <row r="11" spans="1:9" ht="16.5" x14ac:dyDescent="0.3">
      <c r="A11" s="8">
        <v>10</v>
      </c>
      <c r="B11" s="9">
        <v>3</v>
      </c>
      <c r="C11" s="9" t="s">
        <v>2308</v>
      </c>
      <c r="D11" s="9" t="s">
        <v>2314</v>
      </c>
      <c r="E11" s="8"/>
      <c r="F11" s="10"/>
      <c r="G11" s="11" t="s">
        <v>2324</v>
      </c>
      <c r="H11" s="11" t="s">
        <v>2324</v>
      </c>
      <c r="I11" s="11" t="s">
        <v>2319</v>
      </c>
    </row>
    <row r="12" spans="1:9" ht="16.5" x14ac:dyDescent="0.3">
      <c r="A12" s="8">
        <v>11</v>
      </c>
      <c r="B12" s="9">
        <v>4</v>
      </c>
      <c r="C12" s="9" t="s">
        <v>2308</v>
      </c>
      <c r="D12" s="9" t="s">
        <v>2314</v>
      </c>
      <c r="E12" s="8"/>
      <c r="F12" s="10"/>
      <c r="G12" s="11" t="s">
        <v>2325</v>
      </c>
      <c r="H12" s="11" t="s">
        <v>2325</v>
      </c>
      <c r="I12" s="11" t="s">
        <v>2319</v>
      </c>
    </row>
    <row r="13" spans="1:9" ht="16.5" x14ac:dyDescent="0.3">
      <c r="A13" s="8">
        <v>12</v>
      </c>
      <c r="B13" s="9">
        <v>5</v>
      </c>
      <c r="C13" s="9" t="s">
        <v>2308</v>
      </c>
      <c r="D13" s="9" t="s">
        <v>2314</v>
      </c>
      <c r="E13" s="8"/>
      <c r="F13" s="10"/>
      <c r="G13" s="11" t="s">
        <v>2326</v>
      </c>
      <c r="H13" s="11" t="s">
        <v>2326</v>
      </c>
      <c r="I13" s="11" t="s">
        <v>2319</v>
      </c>
    </row>
    <row r="14" spans="1:9" ht="16.5" x14ac:dyDescent="0.3">
      <c r="A14" s="8">
        <v>13</v>
      </c>
      <c r="B14" s="9">
        <v>6</v>
      </c>
      <c r="C14" s="9" t="s">
        <v>2308</v>
      </c>
      <c r="D14" s="9" t="s">
        <v>2314</v>
      </c>
      <c r="E14" s="8"/>
      <c r="F14" s="10"/>
      <c r="G14" s="11" t="s">
        <v>2327</v>
      </c>
      <c r="H14" s="11" t="s">
        <v>2327</v>
      </c>
      <c r="I14" s="11" t="s">
        <v>2319</v>
      </c>
    </row>
    <row r="15" spans="1:9" ht="16.5" x14ac:dyDescent="0.3">
      <c r="A15" s="8">
        <v>14</v>
      </c>
      <c r="B15" s="9">
        <v>7</v>
      </c>
      <c r="C15" s="9" t="s">
        <v>2308</v>
      </c>
      <c r="D15" s="9" t="s">
        <v>2314</v>
      </c>
      <c r="E15" s="8"/>
      <c r="F15" s="10"/>
      <c r="G15" s="11" t="s">
        <v>2328</v>
      </c>
      <c r="H15" s="11" t="s">
        <v>2328</v>
      </c>
      <c r="I15" s="11" t="s">
        <v>2319</v>
      </c>
    </row>
    <row r="16" spans="1:9" ht="16.5" x14ac:dyDescent="0.3">
      <c r="A16" s="8">
        <v>15</v>
      </c>
      <c r="B16" s="9">
        <v>9</v>
      </c>
      <c r="C16" s="9" t="s">
        <v>2308</v>
      </c>
      <c r="D16" s="9" t="s">
        <v>2309</v>
      </c>
      <c r="E16" s="8"/>
      <c r="F16" s="10"/>
      <c r="G16" s="11" t="s">
        <v>2329</v>
      </c>
      <c r="H16" s="11" t="s">
        <v>2329</v>
      </c>
      <c r="I16" s="11" t="s">
        <v>2319</v>
      </c>
    </row>
    <row r="17" spans="1:9" ht="16.5" x14ac:dyDescent="0.3">
      <c r="A17" s="8">
        <v>16</v>
      </c>
      <c r="B17" s="9">
        <v>9</v>
      </c>
      <c r="C17" s="9" t="s">
        <v>2308</v>
      </c>
      <c r="D17" s="9" t="s">
        <v>2314</v>
      </c>
      <c r="E17" s="8"/>
      <c r="F17" s="10"/>
      <c r="G17" s="11" t="s">
        <v>2330</v>
      </c>
      <c r="H17" s="11" t="s">
        <v>2330</v>
      </c>
      <c r="I17" s="11" t="s">
        <v>2319</v>
      </c>
    </row>
    <row r="18" spans="1:9" ht="16.5" x14ac:dyDescent="0.3">
      <c r="A18" s="8">
        <v>17</v>
      </c>
      <c r="B18" s="9">
        <v>997</v>
      </c>
      <c r="C18" s="9" t="s">
        <v>2308</v>
      </c>
      <c r="D18" s="9" t="s">
        <v>2309</v>
      </c>
      <c r="E18" s="10" t="s">
        <v>2331</v>
      </c>
      <c r="F18" s="10" t="s">
        <v>2331</v>
      </c>
      <c r="G18" s="10" t="s">
        <v>2332</v>
      </c>
      <c r="H18" s="10" t="s">
        <v>1701</v>
      </c>
      <c r="I18" s="10" t="s">
        <v>2333</v>
      </c>
    </row>
    <row r="19" spans="1:9" ht="16.5" x14ac:dyDescent="0.3">
      <c r="A19" s="8">
        <v>18</v>
      </c>
      <c r="B19" s="9">
        <v>997</v>
      </c>
      <c r="C19" s="9" t="s">
        <v>2308</v>
      </c>
      <c r="D19" s="9" t="s">
        <v>2314</v>
      </c>
      <c r="E19" s="10" t="s">
        <v>2334</v>
      </c>
      <c r="F19" s="10" t="s">
        <v>2334</v>
      </c>
      <c r="G19" s="10" t="s">
        <v>2335</v>
      </c>
      <c r="H19" s="10" t="s">
        <v>1702</v>
      </c>
      <c r="I19" s="10" t="s">
        <v>2333</v>
      </c>
    </row>
    <row r="20" spans="1:9" ht="16.5" x14ac:dyDescent="0.3">
      <c r="A20" s="8">
        <v>19</v>
      </c>
      <c r="B20" s="9">
        <v>998</v>
      </c>
      <c r="C20" s="9" t="s">
        <v>2308</v>
      </c>
      <c r="D20" s="9" t="s">
        <v>2309</v>
      </c>
      <c r="E20" s="10" t="s">
        <v>537</v>
      </c>
      <c r="F20" s="10" t="s">
        <v>537</v>
      </c>
      <c r="G20" s="10" t="s">
        <v>1701</v>
      </c>
      <c r="H20" s="10" t="s">
        <v>1701</v>
      </c>
      <c r="I20" s="10" t="s">
        <v>2312</v>
      </c>
    </row>
    <row r="21" spans="1:9" ht="16.5" x14ac:dyDescent="0.3">
      <c r="A21" s="8">
        <v>20</v>
      </c>
      <c r="B21" s="9">
        <v>998</v>
      </c>
      <c r="C21" s="9" t="s">
        <v>2308</v>
      </c>
      <c r="D21" s="9" t="s">
        <v>2314</v>
      </c>
      <c r="E21" s="10" t="s">
        <v>539</v>
      </c>
      <c r="F21" s="10" t="s">
        <v>539</v>
      </c>
      <c r="G21" s="10" t="s">
        <v>1702</v>
      </c>
      <c r="H21" s="10" t="s">
        <v>1702</v>
      </c>
      <c r="I21" s="10" t="s">
        <v>2312</v>
      </c>
    </row>
    <row r="22" spans="1:9" ht="16.5" x14ac:dyDescent="0.3">
      <c r="A22" s="8">
        <v>21</v>
      </c>
      <c r="B22" s="9">
        <v>1</v>
      </c>
      <c r="C22" s="9" t="s">
        <v>2308</v>
      </c>
      <c r="D22" s="9" t="s">
        <v>2336</v>
      </c>
      <c r="E22" s="10" t="s">
        <v>394</v>
      </c>
      <c r="F22" s="10" t="s">
        <v>394</v>
      </c>
      <c r="G22" s="10" t="s">
        <v>1313</v>
      </c>
      <c r="H22" s="10" t="s">
        <v>1313</v>
      </c>
      <c r="I22" s="10" t="s">
        <v>2312</v>
      </c>
    </row>
    <row r="23" spans="1:9" ht="16.5" x14ac:dyDescent="0.3">
      <c r="A23" s="8">
        <v>22</v>
      </c>
      <c r="B23" s="9">
        <v>1</v>
      </c>
      <c r="C23" s="9" t="s">
        <v>2308</v>
      </c>
      <c r="D23" s="9" t="s">
        <v>2336</v>
      </c>
      <c r="E23" s="10" t="s">
        <v>372</v>
      </c>
      <c r="F23" s="10" t="s">
        <v>372</v>
      </c>
      <c r="G23" s="10" t="s">
        <v>1311</v>
      </c>
      <c r="H23" s="10" t="s">
        <v>1311</v>
      </c>
      <c r="I23" s="10" t="s">
        <v>2312</v>
      </c>
    </row>
    <row r="24" spans="1:9" ht="16.5" x14ac:dyDescent="0.3">
      <c r="A24" s="8">
        <v>23</v>
      </c>
      <c r="B24" s="9">
        <v>2</v>
      </c>
      <c r="C24" s="9" t="s">
        <v>2308</v>
      </c>
      <c r="D24" s="9" t="s">
        <v>2336</v>
      </c>
      <c r="E24" s="10" t="s">
        <v>396</v>
      </c>
      <c r="F24" s="10" t="s">
        <v>396</v>
      </c>
      <c r="G24" s="10" t="s">
        <v>1402</v>
      </c>
      <c r="H24" s="10" t="s">
        <v>1402</v>
      </c>
      <c r="I24" s="10" t="s">
        <v>2312</v>
      </c>
    </row>
    <row r="25" spans="1:9" ht="16.5" x14ac:dyDescent="0.3">
      <c r="A25" s="8">
        <v>24</v>
      </c>
      <c r="B25" s="9">
        <v>2</v>
      </c>
      <c r="C25" s="9" t="s">
        <v>2308</v>
      </c>
      <c r="D25" s="9" t="s">
        <v>2336</v>
      </c>
      <c r="E25" s="10" t="s">
        <v>375</v>
      </c>
      <c r="F25" s="10" t="s">
        <v>375</v>
      </c>
      <c r="G25" s="10" t="s">
        <v>1401</v>
      </c>
      <c r="H25" s="10" t="s">
        <v>1401</v>
      </c>
      <c r="I25" s="10" t="s">
        <v>2312</v>
      </c>
    </row>
    <row r="26" spans="1:9" ht="16.5" x14ac:dyDescent="0.3">
      <c r="A26" s="8">
        <v>25</v>
      </c>
      <c r="B26" s="9">
        <v>3</v>
      </c>
      <c r="C26" s="9" t="s">
        <v>2308</v>
      </c>
      <c r="D26" s="9" t="s">
        <v>2336</v>
      </c>
      <c r="E26" s="8"/>
      <c r="F26" s="9"/>
      <c r="G26" s="10" t="s">
        <v>2337</v>
      </c>
      <c r="H26" s="10" t="s">
        <v>2337</v>
      </c>
      <c r="I26" s="10" t="s">
        <v>2319</v>
      </c>
    </row>
    <row r="27" spans="1:9" ht="16.5" x14ac:dyDescent="0.3">
      <c r="A27" s="8">
        <v>26</v>
      </c>
      <c r="B27" s="9">
        <v>3</v>
      </c>
      <c r="C27" s="9" t="s">
        <v>2308</v>
      </c>
      <c r="D27" s="9" t="s">
        <v>2336</v>
      </c>
      <c r="E27" s="8"/>
      <c r="F27" s="9"/>
      <c r="G27" s="10" t="s">
        <v>2338</v>
      </c>
      <c r="H27" s="10" t="s">
        <v>2338</v>
      </c>
      <c r="I27" s="10" t="s">
        <v>2319</v>
      </c>
    </row>
    <row r="28" spans="1:9" ht="16.5" x14ac:dyDescent="0.3">
      <c r="A28" s="8">
        <v>27</v>
      </c>
      <c r="B28" s="9">
        <v>4</v>
      </c>
      <c r="C28" s="9" t="s">
        <v>2308</v>
      </c>
      <c r="D28" s="9" t="s">
        <v>2336</v>
      </c>
      <c r="E28" s="8"/>
      <c r="F28" s="9"/>
      <c r="G28" s="10" t="s">
        <v>2339</v>
      </c>
      <c r="H28" s="10" t="s">
        <v>2339</v>
      </c>
      <c r="I28" s="10" t="s">
        <v>2319</v>
      </c>
    </row>
    <row r="29" spans="1:9" ht="16.5" x14ac:dyDescent="0.3">
      <c r="A29" s="8">
        <v>28</v>
      </c>
      <c r="B29" s="9">
        <v>4</v>
      </c>
      <c r="C29" s="9" t="s">
        <v>2308</v>
      </c>
      <c r="D29" s="9" t="s">
        <v>2336</v>
      </c>
      <c r="E29" s="8"/>
      <c r="F29" s="9"/>
      <c r="G29" s="10" t="s">
        <v>2340</v>
      </c>
      <c r="H29" s="10" t="s">
        <v>2340</v>
      </c>
      <c r="I29" s="10" t="s">
        <v>2319</v>
      </c>
    </row>
    <row r="30" spans="1:9" ht="16.5" x14ac:dyDescent="0.3">
      <c r="A30" s="8">
        <v>29</v>
      </c>
      <c r="B30" s="9">
        <v>5</v>
      </c>
      <c r="C30" s="9" t="s">
        <v>2308</v>
      </c>
      <c r="D30" s="9" t="s">
        <v>2336</v>
      </c>
      <c r="E30" s="8"/>
      <c r="F30" s="9"/>
      <c r="G30" s="10" t="s">
        <v>2341</v>
      </c>
      <c r="H30" s="10" t="s">
        <v>2341</v>
      </c>
      <c r="I30" s="10" t="s">
        <v>2319</v>
      </c>
    </row>
    <row r="31" spans="1:9" ht="16.5" x14ac:dyDescent="0.3">
      <c r="A31" s="8">
        <v>30</v>
      </c>
      <c r="B31" s="9">
        <v>5</v>
      </c>
      <c r="C31" s="9" t="s">
        <v>2308</v>
      </c>
      <c r="D31" s="9" t="s">
        <v>2336</v>
      </c>
      <c r="E31" s="8"/>
      <c r="F31" s="9"/>
      <c r="G31" s="10" t="s">
        <v>2342</v>
      </c>
      <c r="H31" s="10" t="s">
        <v>2342</v>
      </c>
      <c r="I31" s="10" t="s">
        <v>2319</v>
      </c>
    </row>
    <row r="32" spans="1:9" ht="16.5" x14ac:dyDescent="0.3">
      <c r="A32" s="8">
        <v>31</v>
      </c>
      <c r="B32" s="9">
        <v>6</v>
      </c>
      <c r="C32" s="9" t="s">
        <v>2308</v>
      </c>
      <c r="D32" s="9" t="s">
        <v>2336</v>
      </c>
      <c r="E32" s="8"/>
      <c r="F32" s="9"/>
      <c r="G32" s="10" t="s">
        <v>2341</v>
      </c>
      <c r="H32" s="10" t="s">
        <v>2341</v>
      </c>
      <c r="I32" s="10" t="s">
        <v>2319</v>
      </c>
    </row>
    <row r="33" spans="1:9" ht="16.5" x14ac:dyDescent="0.3">
      <c r="A33" s="8">
        <v>32</v>
      </c>
      <c r="B33" s="9">
        <v>6</v>
      </c>
      <c r="C33" s="9" t="s">
        <v>2308</v>
      </c>
      <c r="D33" s="9" t="s">
        <v>2336</v>
      </c>
      <c r="E33" s="8"/>
      <c r="F33" s="9"/>
      <c r="G33" s="10" t="s">
        <v>2343</v>
      </c>
      <c r="H33" s="10" t="s">
        <v>2343</v>
      </c>
      <c r="I33" s="10" t="s">
        <v>2319</v>
      </c>
    </row>
    <row r="34" spans="1:9" ht="16.5" x14ac:dyDescent="0.3">
      <c r="A34" s="8">
        <v>33</v>
      </c>
      <c r="B34" s="9">
        <v>7</v>
      </c>
      <c r="C34" s="9" t="s">
        <v>2308</v>
      </c>
      <c r="D34" s="9" t="s">
        <v>2336</v>
      </c>
      <c r="E34" s="8"/>
      <c r="F34" s="9"/>
      <c r="G34" s="10" t="s">
        <v>2344</v>
      </c>
      <c r="H34" s="10" t="s">
        <v>2344</v>
      </c>
      <c r="I34" s="10" t="s">
        <v>2319</v>
      </c>
    </row>
    <row r="35" spans="1:9" ht="16.5" x14ac:dyDescent="0.3">
      <c r="A35" s="8">
        <v>34</v>
      </c>
      <c r="B35" s="9">
        <v>7</v>
      </c>
      <c r="C35" s="9" t="s">
        <v>2308</v>
      </c>
      <c r="D35" s="9" t="s">
        <v>2336</v>
      </c>
      <c r="E35" s="8"/>
      <c r="F35" s="9"/>
      <c r="G35" s="10" t="s">
        <v>2345</v>
      </c>
      <c r="H35" s="10" t="s">
        <v>2345</v>
      </c>
      <c r="I35" s="10" t="s">
        <v>2319</v>
      </c>
    </row>
    <row r="36" spans="1:9" ht="16.5" x14ac:dyDescent="0.3">
      <c r="A36" s="8">
        <v>35</v>
      </c>
      <c r="B36" s="9">
        <v>9</v>
      </c>
      <c r="C36" s="9" t="s">
        <v>2308</v>
      </c>
      <c r="D36" s="9" t="s">
        <v>2336</v>
      </c>
      <c r="E36" s="8"/>
      <c r="F36" s="9"/>
      <c r="G36" s="10" t="s">
        <v>2346</v>
      </c>
      <c r="H36" s="10" t="s">
        <v>2346</v>
      </c>
      <c r="I36" s="10" t="s">
        <v>2319</v>
      </c>
    </row>
    <row r="37" spans="1:9" ht="16.5" x14ac:dyDescent="0.3">
      <c r="A37" s="8">
        <v>36</v>
      </c>
      <c r="B37" s="9">
        <v>9</v>
      </c>
      <c r="C37" s="9" t="s">
        <v>2308</v>
      </c>
      <c r="D37" s="9" t="s">
        <v>2336</v>
      </c>
      <c r="E37" s="8"/>
      <c r="F37" s="9"/>
      <c r="G37" s="10" t="s">
        <v>2347</v>
      </c>
      <c r="H37" s="10" t="s">
        <v>2347</v>
      </c>
      <c r="I37" s="10" t="s">
        <v>2319</v>
      </c>
    </row>
    <row r="38" spans="1:9" ht="16.5" x14ac:dyDescent="0.3">
      <c r="A38" s="8">
        <v>37</v>
      </c>
      <c r="B38" s="9">
        <v>998</v>
      </c>
      <c r="C38" s="9" t="s">
        <v>2308</v>
      </c>
      <c r="D38" s="9" t="s">
        <v>2336</v>
      </c>
      <c r="E38" s="9" t="s">
        <v>400</v>
      </c>
      <c r="F38" s="9" t="s">
        <v>400</v>
      </c>
      <c r="G38" s="10" t="s">
        <v>1396</v>
      </c>
      <c r="H38" s="10" t="s">
        <v>1396</v>
      </c>
      <c r="I38" s="10" t="s">
        <v>2312</v>
      </c>
    </row>
    <row r="39" spans="1:9" ht="16.5" x14ac:dyDescent="0.3">
      <c r="A39" s="8">
        <v>38</v>
      </c>
      <c r="B39" s="9">
        <v>998</v>
      </c>
      <c r="C39" s="9" t="s">
        <v>2308</v>
      </c>
      <c r="D39" s="9" t="s">
        <v>2336</v>
      </c>
      <c r="E39" s="9" t="s">
        <v>379</v>
      </c>
      <c r="F39" s="9" t="s">
        <v>379</v>
      </c>
      <c r="G39" s="10" t="s">
        <v>1395</v>
      </c>
      <c r="H39" s="10" t="s">
        <v>1395</v>
      </c>
      <c r="I39" s="10" t="s">
        <v>2312</v>
      </c>
    </row>
    <row r="40" spans="1:9" ht="16.5" x14ac:dyDescent="0.3">
      <c r="A40" s="8">
        <v>39</v>
      </c>
      <c r="B40" s="9">
        <v>1</v>
      </c>
      <c r="C40" s="9" t="s">
        <v>2308</v>
      </c>
      <c r="D40" s="9" t="s">
        <v>2348</v>
      </c>
      <c r="E40" s="9" t="s">
        <v>414</v>
      </c>
      <c r="F40" s="9" t="s">
        <v>2349</v>
      </c>
      <c r="G40" s="10" t="s">
        <v>1293</v>
      </c>
      <c r="H40" s="10" t="s">
        <v>2350</v>
      </c>
      <c r="I40" s="10" t="s">
        <v>2312</v>
      </c>
    </row>
    <row r="41" spans="1:9" ht="16.5" x14ac:dyDescent="0.3">
      <c r="A41" s="8">
        <v>40</v>
      </c>
      <c r="B41" s="9">
        <v>1</v>
      </c>
      <c r="C41" s="9" t="s">
        <v>2308</v>
      </c>
      <c r="D41" s="9" t="s">
        <v>2348</v>
      </c>
      <c r="E41" s="9" t="s">
        <v>414</v>
      </c>
      <c r="F41" s="9" t="s">
        <v>2351</v>
      </c>
      <c r="G41" s="10" t="s">
        <v>1293</v>
      </c>
      <c r="H41" s="10" t="s">
        <v>2352</v>
      </c>
      <c r="I41" s="10" t="s">
        <v>2312</v>
      </c>
    </row>
    <row r="42" spans="1:9" ht="16.5" x14ac:dyDescent="0.3">
      <c r="A42" s="8">
        <v>41</v>
      </c>
      <c r="B42" s="9">
        <v>1</v>
      </c>
      <c r="C42" s="9" t="s">
        <v>2308</v>
      </c>
      <c r="D42" s="9" t="s">
        <v>2348</v>
      </c>
      <c r="E42" s="9" t="s">
        <v>414</v>
      </c>
      <c r="F42" s="9" t="s">
        <v>414</v>
      </c>
      <c r="G42" s="10" t="s">
        <v>1293</v>
      </c>
      <c r="H42" s="10" t="s">
        <v>1293</v>
      </c>
      <c r="I42" s="10" t="s">
        <v>2312</v>
      </c>
    </row>
    <row r="43" spans="1:9" ht="16.5" x14ac:dyDescent="0.3">
      <c r="A43" s="8">
        <v>42</v>
      </c>
      <c r="B43" s="9">
        <v>2</v>
      </c>
      <c r="C43" s="9" t="s">
        <v>2308</v>
      </c>
      <c r="D43" s="9" t="s">
        <v>2348</v>
      </c>
      <c r="E43" s="9" t="s">
        <v>416</v>
      </c>
      <c r="F43" s="9" t="s">
        <v>2353</v>
      </c>
      <c r="G43" s="10" t="s">
        <v>1271</v>
      </c>
      <c r="H43" s="10" t="s">
        <v>2354</v>
      </c>
      <c r="I43" s="10" t="s">
        <v>2312</v>
      </c>
    </row>
    <row r="44" spans="1:9" ht="16.5" x14ac:dyDescent="0.3">
      <c r="A44" s="8">
        <v>43</v>
      </c>
      <c r="B44" s="9">
        <v>2</v>
      </c>
      <c r="C44" s="9" t="s">
        <v>2308</v>
      </c>
      <c r="D44" s="9" t="s">
        <v>2348</v>
      </c>
      <c r="E44" s="9" t="s">
        <v>416</v>
      </c>
      <c r="F44" s="9" t="s">
        <v>2355</v>
      </c>
      <c r="G44" s="10" t="s">
        <v>1271</v>
      </c>
      <c r="H44" s="10" t="s">
        <v>2356</v>
      </c>
      <c r="I44" s="10" t="s">
        <v>2312</v>
      </c>
    </row>
    <row r="45" spans="1:9" ht="16.5" x14ac:dyDescent="0.3">
      <c r="A45" s="8">
        <v>44</v>
      </c>
      <c r="B45" s="9">
        <v>2</v>
      </c>
      <c r="C45" s="9" t="s">
        <v>2308</v>
      </c>
      <c r="D45" s="9" t="s">
        <v>2348</v>
      </c>
      <c r="E45" s="9" t="s">
        <v>416</v>
      </c>
      <c r="F45" s="9" t="s">
        <v>416</v>
      </c>
      <c r="G45" s="10" t="s">
        <v>1271</v>
      </c>
      <c r="H45" s="10" t="s">
        <v>1271</v>
      </c>
      <c r="I45" s="10" t="s">
        <v>2312</v>
      </c>
    </row>
    <row r="46" spans="1:9" ht="16.5" x14ac:dyDescent="0.3">
      <c r="A46" s="8">
        <v>45</v>
      </c>
      <c r="B46" s="9">
        <v>3</v>
      </c>
      <c r="C46" s="9" t="s">
        <v>2308</v>
      </c>
      <c r="D46" s="9" t="s">
        <v>2348</v>
      </c>
      <c r="E46" s="9"/>
      <c r="F46" s="9"/>
      <c r="G46" s="10" t="s">
        <v>1827</v>
      </c>
      <c r="H46" s="10" t="s">
        <v>1827</v>
      </c>
      <c r="I46" s="10" t="s">
        <v>2319</v>
      </c>
    </row>
    <row r="47" spans="1:9" ht="16.5" x14ac:dyDescent="0.3">
      <c r="A47" s="8">
        <v>46</v>
      </c>
      <c r="B47" s="9">
        <v>4</v>
      </c>
      <c r="C47" s="9" t="s">
        <v>2308</v>
      </c>
      <c r="D47" s="9" t="s">
        <v>2348</v>
      </c>
      <c r="E47" s="9"/>
      <c r="F47" s="9"/>
      <c r="G47" s="10" t="s">
        <v>1829</v>
      </c>
      <c r="H47" s="10" t="s">
        <v>1829</v>
      </c>
      <c r="I47" s="10" t="s">
        <v>2319</v>
      </c>
    </row>
    <row r="48" spans="1:9" ht="16.5" x14ac:dyDescent="0.3">
      <c r="A48" s="8">
        <v>47</v>
      </c>
      <c r="B48" s="9">
        <v>5</v>
      </c>
      <c r="C48" s="9" t="s">
        <v>2308</v>
      </c>
      <c r="D48" s="9" t="s">
        <v>2348</v>
      </c>
      <c r="E48" s="9"/>
      <c r="F48" s="9"/>
      <c r="G48" s="10" t="s">
        <v>1831</v>
      </c>
      <c r="H48" s="10" t="s">
        <v>1831</v>
      </c>
      <c r="I48" s="10" t="s">
        <v>2319</v>
      </c>
    </row>
    <row r="49" spans="1:9" ht="16.5" x14ac:dyDescent="0.3">
      <c r="A49" s="8">
        <v>48</v>
      </c>
      <c r="B49" s="9">
        <v>6</v>
      </c>
      <c r="C49" s="9" t="s">
        <v>2308</v>
      </c>
      <c r="D49" s="9" t="s">
        <v>2348</v>
      </c>
      <c r="E49" s="9"/>
      <c r="G49" s="10" t="s">
        <v>1833</v>
      </c>
      <c r="H49" s="10" t="s">
        <v>1833</v>
      </c>
      <c r="I49" s="10" t="s">
        <v>2319</v>
      </c>
    </row>
    <row r="50" spans="1:9" ht="16.5" x14ac:dyDescent="0.3">
      <c r="A50" s="8">
        <v>49</v>
      </c>
      <c r="B50" s="9">
        <v>7</v>
      </c>
      <c r="C50" s="9" t="s">
        <v>2308</v>
      </c>
      <c r="D50" s="9" t="s">
        <v>2348</v>
      </c>
      <c r="E50" s="9"/>
      <c r="G50" s="10" t="s">
        <v>1835</v>
      </c>
      <c r="H50" s="10" t="s">
        <v>1835</v>
      </c>
      <c r="I50" s="10" t="s">
        <v>2319</v>
      </c>
    </row>
    <row r="51" spans="1:9" ht="16.5" x14ac:dyDescent="0.3">
      <c r="A51" s="8">
        <v>50</v>
      </c>
      <c r="B51" s="9">
        <v>9</v>
      </c>
      <c r="C51" s="9" t="s">
        <v>2308</v>
      </c>
      <c r="D51" s="9" t="s">
        <v>2348</v>
      </c>
      <c r="G51" s="10" t="s">
        <v>1839</v>
      </c>
      <c r="H51" s="10" t="s">
        <v>1839</v>
      </c>
      <c r="I51" s="10" t="s">
        <v>2319</v>
      </c>
    </row>
    <row r="52" spans="1:9" ht="16.5" x14ac:dyDescent="0.3">
      <c r="A52" s="8">
        <v>51</v>
      </c>
      <c r="B52" s="9">
        <v>998</v>
      </c>
      <c r="C52" s="9" t="s">
        <v>2308</v>
      </c>
      <c r="D52" s="9" t="s">
        <v>2348</v>
      </c>
      <c r="E52" s="9" t="s">
        <v>420</v>
      </c>
      <c r="F52" s="9" t="s">
        <v>2357</v>
      </c>
      <c r="G52" s="10" t="s">
        <v>1842</v>
      </c>
      <c r="H52" s="10" t="s">
        <v>2358</v>
      </c>
      <c r="I52" s="10" t="s">
        <v>2312</v>
      </c>
    </row>
    <row r="53" spans="1:9" ht="16.5" x14ac:dyDescent="0.3">
      <c r="A53" s="8">
        <v>52</v>
      </c>
      <c r="B53" s="9">
        <v>998</v>
      </c>
      <c r="C53" s="9" t="s">
        <v>2308</v>
      </c>
      <c r="D53" s="9" t="s">
        <v>2348</v>
      </c>
      <c r="E53" s="9" t="s">
        <v>420</v>
      </c>
      <c r="F53" s="9" t="s">
        <v>2359</v>
      </c>
      <c r="G53" s="10" t="s">
        <v>1842</v>
      </c>
      <c r="H53" s="10" t="s">
        <v>2360</v>
      </c>
      <c r="I53" s="10" t="s">
        <v>2312</v>
      </c>
    </row>
    <row r="54" spans="1:9" ht="16.5" x14ac:dyDescent="0.3">
      <c r="A54" s="8">
        <v>53</v>
      </c>
      <c r="B54" s="9">
        <v>998</v>
      </c>
      <c r="C54" s="9" t="s">
        <v>2308</v>
      </c>
      <c r="D54" s="9" t="s">
        <v>2348</v>
      </c>
      <c r="E54" s="9" t="s">
        <v>420</v>
      </c>
      <c r="F54" s="9" t="s">
        <v>420</v>
      </c>
      <c r="G54" s="10" t="s">
        <v>1842</v>
      </c>
      <c r="H54" s="10" t="s">
        <v>1842</v>
      </c>
      <c r="I54" s="10" t="s">
        <v>2312</v>
      </c>
    </row>
    <row r="55" spans="1:9" ht="16.5" x14ac:dyDescent="0.3">
      <c r="A55" s="8">
        <v>54</v>
      </c>
      <c r="B55" s="9">
        <v>998</v>
      </c>
      <c r="C55" s="9" t="s">
        <v>2308</v>
      </c>
      <c r="D55" s="9" t="s">
        <v>2309</v>
      </c>
      <c r="E55" s="9" t="s">
        <v>533</v>
      </c>
      <c r="F55" s="9" t="s">
        <v>533</v>
      </c>
      <c r="G55" s="10" t="s">
        <v>1705</v>
      </c>
      <c r="H55" s="10" t="s">
        <v>1705</v>
      </c>
      <c r="I55" s="10" t="s">
        <v>2312</v>
      </c>
    </row>
    <row r="56" spans="1:9" ht="16.5" x14ac:dyDescent="0.3">
      <c r="A56" s="8">
        <v>55</v>
      </c>
      <c r="B56" s="9">
        <v>998</v>
      </c>
      <c r="C56" s="9" t="s">
        <v>2308</v>
      </c>
      <c r="D56" s="9" t="s">
        <v>2314</v>
      </c>
      <c r="E56" s="9" t="s">
        <v>535</v>
      </c>
      <c r="F56" s="9" t="s">
        <v>535</v>
      </c>
      <c r="G56" s="10" t="s">
        <v>1706</v>
      </c>
      <c r="H56" s="10" t="s">
        <v>1706</v>
      </c>
      <c r="I56" s="10" t="s">
        <v>2312</v>
      </c>
    </row>
    <row r="57" spans="1:9" ht="16.5" x14ac:dyDescent="0.3">
      <c r="A57" s="8">
        <v>56</v>
      </c>
      <c r="B57" s="9">
        <v>998</v>
      </c>
      <c r="C57" s="9" t="s">
        <v>2308</v>
      </c>
      <c r="D57" s="9" t="s">
        <v>2336</v>
      </c>
      <c r="E57" s="9" t="s">
        <v>408</v>
      </c>
      <c r="F57" s="9" t="s">
        <v>408</v>
      </c>
      <c r="G57" s="10" t="s">
        <v>1398</v>
      </c>
      <c r="H57" s="10" t="s">
        <v>1398</v>
      </c>
      <c r="I57" s="10" t="s">
        <v>2312</v>
      </c>
    </row>
    <row r="58" spans="1:9" ht="16.5" x14ac:dyDescent="0.3">
      <c r="A58" s="8">
        <v>57</v>
      </c>
      <c r="B58" s="9">
        <v>998</v>
      </c>
      <c r="C58" s="9" t="s">
        <v>2308</v>
      </c>
      <c r="D58" s="9" t="s">
        <v>2336</v>
      </c>
      <c r="G58" s="10" t="s">
        <v>1398</v>
      </c>
      <c r="H58" s="10" t="s">
        <v>2361</v>
      </c>
      <c r="I58" s="10" t="s">
        <v>2319</v>
      </c>
    </row>
    <row r="59" spans="1:9" ht="16.5" x14ac:dyDescent="0.3">
      <c r="A59" s="8">
        <v>58</v>
      </c>
      <c r="B59" s="9">
        <v>998</v>
      </c>
      <c r="C59" s="9" t="s">
        <v>2308</v>
      </c>
      <c r="D59" s="9" t="s">
        <v>2336</v>
      </c>
      <c r="E59" s="9" t="s">
        <v>387</v>
      </c>
      <c r="F59" s="9" t="s">
        <v>387</v>
      </c>
      <c r="G59" s="10" t="s">
        <v>1397</v>
      </c>
      <c r="H59" s="10" t="s">
        <v>1397</v>
      </c>
      <c r="I59" s="10" t="s">
        <v>2312</v>
      </c>
    </row>
    <row r="60" spans="1:9" ht="16.5" x14ac:dyDescent="0.3">
      <c r="A60" s="8">
        <v>59</v>
      </c>
      <c r="B60" s="9">
        <v>998</v>
      </c>
      <c r="C60" s="9" t="s">
        <v>2308</v>
      </c>
      <c r="D60" s="9" t="s">
        <v>2336</v>
      </c>
      <c r="E60" s="9"/>
      <c r="F60" s="9"/>
      <c r="G60" s="10" t="s">
        <v>1397</v>
      </c>
      <c r="H60" s="10" t="s">
        <v>2362</v>
      </c>
      <c r="I60" s="10" t="s">
        <v>2319</v>
      </c>
    </row>
    <row r="61" spans="1:9" ht="16.5" x14ac:dyDescent="0.3">
      <c r="A61" s="8">
        <v>60</v>
      </c>
      <c r="B61" s="9">
        <v>1</v>
      </c>
      <c r="C61" s="9" t="s">
        <v>2308</v>
      </c>
      <c r="D61" s="9" t="s">
        <v>2336</v>
      </c>
      <c r="E61" s="9" t="s">
        <v>948</v>
      </c>
      <c r="F61" s="9" t="s">
        <v>948</v>
      </c>
      <c r="G61" s="10" t="s">
        <v>948</v>
      </c>
      <c r="H61" s="10" t="s">
        <v>948</v>
      </c>
      <c r="I61" s="10" t="s">
        <v>2363</v>
      </c>
    </row>
    <row r="62" spans="1:9" ht="16.5" x14ac:dyDescent="0.3">
      <c r="A62" s="8">
        <v>61</v>
      </c>
      <c r="B62" s="9">
        <v>1</v>
      </c>
      <c r="C62" s="9" t="s">
        <v>2308</v>
      </c>
      <c r="D62" s="9" t="s">
        <v>2336</v>
      </c>
      <c r="E62" s="9"/>
      <c r="F62" s="9"/>
      <c r="G62" s="10" t="s">
        <v>948</v>
      </c>
      <c r="H62" s="10" t="s">
        <v>2364</v>
      </c>
      <c r="I62" s="10" t="s">
        <v>2319</v>
      </c>
    </row>
    <row r="63" spans="1:9" ht="16.5" x14ac:dyDescent="0.3">
      <c r="A63" s="8">
        <v>62</v>
      </c>
      <c r="B63" s="9">
        <v>1</v>
      </c>
      <c r="C63" s="9" t="s">
        <v>2308</v>
      </c>
      <c r="D63" s="9" t="s">
        <v>2336</v>
      </c>
      <c r="E63" s="9" t="s">
        <v>947</v>
      </c>
      <c r="F63" s="9" t="s">
        <v>947</v>
      </c>
      <c r="G63" s="10" t="s">
        <v>947</v>
      </c>
      <c r="H63" s="10" t="s">
        <v>947</v>
      </c>
      <c r="I63" s="10" t="s">
        <v>2363</v>
      </c>
    </row>
    <row r="64" spans="1:9" ht="16.5" x14ac:dyDescent="0.3">
      <c r="A64" s="8">
        <v>63</v>
      </c>
      <c r="B64" s="9">
        <v>1</v>
      </c>
      <c r="C64" s="9" t="s">
        <v>2308</v>
      </c>
      <c r="D64" s="9" t="s">
        <v>2336</v>
      </c>
      <c r="E64" s="9"/>
      <c r="F64" s="9"/>
      <c r="G64" s="10" t="s">
        <v>947</v>
      </c>
      <c r="H64" s="10" t="s">
        <v>2365</v>
      </c>
      <c r="I64" s="10" t="s">
        <v>2319</v>
      </c>
    </row>
    <row r="65" spans="1:9" ht="16.5" x14ac:dyDescent="0.3">
      <c r="A65" s="8">
        <v>64</v>
      </c>
      <c r="B65" s="9">
        <v>2</v>
      </c>
      <c r="C65" s="9" t="s">
        <v>2308</v>
      </c>
      <c r="D65" s="9" t="s">
        <v>2336</v>
      </c>
      <c r="E65" s="9" t="s">
        <v>950</v>
      </c>
      <c r="F65" s="9" t="s">
        <v>950</v>
      </c>
      <c r="G65" s="10" t="s">
        <v>950</v>
      </c>
      <c r="H65" s="10" t="s">
        <v>950</v>
      </c>
      <c r="I65" s="10" t="s">
        <v>2363</v>
      </c>
    </row>
    <row r="66" spans="1:9" ht="16.5" x14ac:dyDescent="0.3">
      <c r="A66" s="8">
        <v>65</v>
      </c>
      <c r="B66" s="9">
        <v>2</v>
      </c>
      <c r="C66" s="9" t="s">
        <v>2308</v>
      </c>
      <c r="D66" s="9" t="s">
        <v>2336</v>
      </c>
      <c r="E66" s="9"/>
      <c r="F66" s="9"/>
      <c r="G66" s="10" t="s">
        <v>950</v>
      </c>
      <c r="H66" s="10" t="s">
        <v>2366</v>
      </c>
      <c r="I66" s="10" t="s">
        <v>2319</v>
      </c>
    </row>
    <row r="67" spans="1:9" ht="16.5" x14ac:dyDescent="0.3">
      <c r="A67" s="8">
        <v>66</v>
      </c>
      <c r="B67" s="9">
        <v>2</v>
      </c>
      <c r="C67" s="9" t="s">
        <v>2308</v>
      </c>
      <c r="D67" s="9" t="s">
        <v>2336</v>
      </c>
      <c r="E67" s="9" t="s">
        <v>949</v>
      </c>
      <c r="F67" s="9" t="s">
        <v>949</v>
      </c>
      <c r="G67" s="10" t="s">
        <v>949</v>
      </c>
      <c r="H67" s="10" t="s">
        <v>949</v>
      </c>
      <c r="I67" s="10" t="s">
        <v>2363</v>
      </c>
    </row>
    <row r="68" spans="1:9" ht="16.5" x14ac:dyDescent="0.3">
      <c r="A68" s="8">
        <v>67</v>
      </c>
      <c r="B68" s="9">
        <v>2</v>
      </c>
      <c r="C68" s="9" t="s">
        <v>2308</v>
      </c>
      <c r="D68" s="9" t="s">
        <v>2336</v>
      </c>
      <c r="E68" s="9"/>
      <c r="F68" s="9"/>
      <c r="G68" s="10" t="s">
        <v>949</v>
      </c>
      <c r="H68" s="10" t="s">
        <v>2367</v>
      </c>
      <c r="I68" s="10" t="s">
        <v>2319</v>
      </c>
    </row>
    <row r="69" spans="1:9" ht="16.5" x14ac:dyDescent="0.3">
      <c r="A69" s="8">
        <v>68</v>
      </c>
      <c r="B69" s="9">
        <v>3</v>
      </c>
      <c r="C69" s="9" t="s">
        <v>2308</v>
      </c>
      <c r="D69" s="9" t="s">
        <v>2336</v>
      </c>
      <c r="E69" s="9" t="s">
        <v>952</v>
      </c>
      <c r="F69" s="9" t="s">
        <v>952</v>
      </c>
      <c r="G69" s="10" t="s">
        <v>952</v>
      </c>
      <c r="H69" s="10" t="s">
        <v>952</v>
      </c>
      <c r="I69" s="10" t="s">
        <v>2363</v>
      </c>
    </row>
    <row r="70" spans="1:9" ht="16.5" x14ac:dyDescent="0.3">
      <c r="A70" s="8">
        <v>69</v>
      </c>
      <c r="B70" s="9">
        <v>3</v>
      </c>
      <c r="C70" s="9" t="s">
        <v>2308</v>
      </c>
      <c r="D70" s="9" t="s">
        <v>2336</v>
      </c>
      <c r="E70" s="9"/>
      <c r="F70" s="9"/>
      <c r="G70" s="10" t="s">
        <v>952</v>
      </c>
      <c r="H70" s="10" t="s">
        <v>2368</v>
      </c>
      <c r="I70" s="10" t="s">
        <v>2319</v>
      </c>
    </row>
    <row r="71" spans="1:9" ht="16.5" x14ac:dyDescent="0.3">
      <c r="A71" s="8">
        <v>70</v>
      </c>
      <c r="B71" s="9">
        <v>3</v>
      </c>
      <c r="C71" s="9" t="s">
        <v>2308</v>
      </c>
      <c r="D71" s="9" t="s">
        <v>2336</v>
      </c>
      <c r="E71" s="9" t="s">
        <v>951</v>
      </c>
      <c r="F71" s="9" t="s">
        <v>951</v>
      </c>
      <c r="G71" s="10" t="s">
        <v>951</v>
      </c>
      <c r="H71" s="10" t="s">
        <v>951</v>
      </c>
      <c r="I71" s="10" t="s">
        <v>2363</v>
      </c>
    </row>
    <row r="72" spans="1:9" ht="16.5" x14ac:dyDescent="0.3">
      <c r="A72" s="8">
        <v>71</v>
      </c>
      <c r="B72" s="9">
        <v>3</v>
      </c>
      <c r="C72" s="9" t="s">
        <v>2308</v>
      </c>
      <c r="D72" s="9" t="s">
        <v>2336</v>
      </c>
      <c r="E72" s="9"/>
      <c r="F72" s="9"/>
      <c r="G72" s="10" t="s">
        <v>951</v>
      </c>
      <c r="H72" s="10" t="s">
        <v>2369</v>
      </c>
      <c r="I72" s="10" t="s">
        <v>2319</v>
      </c>
    </row>
    <row r="73" spans="1:9" ht="16.5" x14ac:dyDescent="0.3">
      <c r="A73" s="8">
        <v>72</v>
      </c>
      <c r="B73" s="9">
        <v>4</v>
      </c>
      <c r="C73" s="9" t="s">
        <v>2308</v>
      </c>
      <c r="D73" s="9" t="s">
        <v>2336</v>
      </c>
      <c r="E73" s="9" t="s">
        <v>954</v>
      </c>
      <c r="F73" s="9" t="s">
        <v>954</v>
      </c>
      <c r="G73" s="10" t="s">
        <v>954</v>
      </c>
      <c r="H73" s="10" t="s">
        <v>954</v>
      </c>
      <c r="I73" s="10" t="s">
        <v>2363</v>
      </c>
    </row>
    <row r="74" spans="1:9" ht="16.5" x14ac:dyDescent="0.3">
      <c r="A74" s="8">
        <v>73</v>
      </c>
      <c r="B74" s="9">
        <v>4</v>
      </c>
      <c r="C74" s="9" t="s">
        <v>2308</v>
      </c>
      <c r="D74" s="9" t="s">
        <v>2336</v>
      </c>
      <c r="E74" s="9"/>
      <c r="F74" s="9"/>
      <c r="G74" s="10" t="s">
        <v>954</v>
      </c>
      <c r="H74" s="10" t="s">
        <v>2370</v>
      </c>
      <c r="I74" s="10" t="s">
        <v>2319</v>
      </c>
    </row>
    <row r="75" spans="1:9" ht="16.5" x14ac:dyDescent="0.3">
      <c r="A75" s="8">
        <v>74</v>
      </c>
      <c r="B75" s="9">
        <v>4</v>
      </c>
      <c r="C75" s="9" t="s">
        <v>2308</v>
      </c>
      <c r="D75" s="9" t="s">
        <v>2336</v>
      </c>
      <c r="E75" s="9" t="s">
        <v>953</v>
      </c>
      <c r="F75" s="9" t="s">
        <v>953</v>
      </c>
      <c r="G75" s="10" t="s">
        <v>953</v>
      </c>
      <c r="H75" s="10" t="s">
        <v>953</v>
      </c>
      <c r="I75" s="10" t="s">
        <v>2363</v>
      </c>
    </row>
    <row r="76" spans="1:9" ht="16.5" x14ac:dyDescent="0.3">
      <c r="A76" s="8">
        <v>75</v>
      </c>
      <c r="B76" s="9">
        <v>4</v>
      </c>
      <c r="C76" s="9" t="s">
        <v>2308</v>
      </c>
      <c r="D76" s="9" t="s">
        <v>2336</v>
      </c>
      <c r="E76" s="9"/>
      <c r="F76" s="9"/>
      <c r="G76" s="10" t="s">
        <v>953</v>
      </c>
      <c r="H76" s="10" t="s">
        <v>2371</v>
      </c>
      <c r="I76" s="10" t="s">
        <v>2319</v>
      </c>
    </row>
    <row r="77" spans="1:9" ht="16.5" x14ac:dyDescent="0.3">
      <c r="A77" s="8">
        <v>76</v>
      </c>
      <c r="B77" s="9">
        <v>5</v>
      </c>
      <c r="C77" s="9" t="s">
        <v>2308</v>
      </c>
      <c r="D77" s="9" t="s">
        <v>2336</v>
      </c>
      <c r="E77" s="9" t="s">
        <v>956</v>
      </c>
      <c r="F77" s="9" t="s">
        <v>956</v>
      </c>
      <c r="G77" s="10" t="s">
        <v>956</v>
      </c>
      <c r="H77" s="10" t="s">
        <v>956</v>
      </c>
      <c r="I77" s="10" t="s">
        <v>2363</v>
      </c>
    </row>
    <row r="78" spans="1:9" ht="16.5" x14ac:dyDescent="0.3">
      <c r="A78" s="8">
        <v>77</v>
      </c>
      <c r="B78" s="9">
        <v>5</v>
      </c>
      <c r="C78" s="9" t="s">
        <v>2308</v>
      </c>
      <c r="D78" s="9" t="s">
        <v>2336</v>
      </c>
      <c r="E78" s="9"/>
      <c r="F78" s="9"/>
      <c r="G78" s="10" t="s">
        <v>956</v>
      </c>
      <c r="H78" s="10" t="s">
        <v>2372</v>
      </c>
      <c r="I78" s="10" t="s">
        <v>2319</v>
      </c>
    </row>
    <row r="79" spans="1:9" ht="16.5" x14ac:dyDescent="0.3">
      <c r="A79" s="8">
        <v>78</v>
      </c>
      <c r="B79" s="9">
        <v>5</v>
      </c>
      <c r="C79" s="9" t="s">
        <v>2308</v>
      </c>
      <c r="D79" s="9" t="s">
        <v>2336</v>
      </c>
      <c r="E79" s="9" t="s">
        <v>955</v>
      </c>
      <c r="F79" s="9" t="s">
        <v>955</v>
      </c>
      <c r="G79" s="10" t="s">
        <v>955</v>
      </c>
      <c r="H79" s="10" t="s">
        <v>955</v>
      </c>
      <c r="I79" s="10" t="s">
        <v>2363</v>
      </c>
    </row>
    <row r="80" spans="1:9" ht="16.5" x14ac:dyDescent="0.3">
      <c r="A80" s="8">
        <v>79</v>
      </c>
      <c r="B80" s="9">
        <v>5</v>
      </c>
      <c r="C80" s="9" t="s">
        <v>2308</v>
      </c>
      <c r="D80" s="9" t="s">
        <v>2336</v>
      </c>
      <c r="E80" s="9"/>
      <c r="F80" s="9"/>
      <c r="G80" s="10" t="s">
        <v>955</v>
      </c>
      <c r="H80" s="10" t="s">
        <v>2373</v>
      </c>
      <c r="I80" s="10" t="s">
        <v>2319</v>
      </c>
    </row>
    <row r="81" spans="1:9" ht="16.5" x14ac:dyDescent="0.3">
      <c r="A81" s="8">
        <v>80</v>
      </c>
      <c r="B81" s="9">
        <v>6</v>
      </c>
      <c r="C81" s="9" t="s">
        <v>2308</v>
      </c>
      <c r="D81" s="9" t="s">
        <v>2336</v>
      </c>
      <c r="E81" s="9" t="s">
        <v>958</v>
      </c>
      <c r="F81" s="9" t="s">
        <v>958</v>
      </c>
      <c r="G81" s="10" t="s">
        <v>958</v>
      </c>
      <c r="H81" s="10" t="s">
        <v>958</v>
      </c>
      <c r="I81" s="10" t="s">
        <v>2363</v>
      </c>
    </row>
    <row r="82" spans="1:9" ht="16.5" x14ac:dyDescent="0.3">
      <c r="A82" s="8">
        <v>81</v>
      </c>
      <c r="B82" s="9">
        <v>6</v>
      </c>
      <c r="C82" s="9" t="s">
        <v>2308</v>
      </c>
      <c r="D82" s="9" t="s">
        <v>2336</v>
      </c>
      <c r="E82" s="9"/>
      <c r="F82" s="9"/>
      <c r="G82" s="10" t="s">
        <v>958</v>
      </c>
      <c r="H82" s="10" t="s">
        <v>2374</v>
      </c>
      <c r="I82" s="10" t="s">
        <v>2319</v>
      </c>
    </row>
    <row r="83" spans="1:9" ht="16.5" x14ac:dyDescent="0.3">
      <c r="A83" s="8">
        <v>82</v>
      </c>
      <c r="B83" s="9">
        <v>6</v>
      </c>
      <c r="C83" s="9" t="s">
        <v>2308</v>
      </c>
      <c r="D83" s="9" t="s">
        <v>2336</v>
      </c>
      <c r="E83" s="9" t="s">
        <v>957</v>
      </c>
      <c r="F83" s="9" t="s">
        <v>957</v>
      </c>
      <c r="G83" s="10" t="s">
        <v>957</v>
      </c>
      <c r="H83" s="10" t="s">
        <v>957</v>
      </c>
      <c r="I83" s="10" t="s">
        <v>2363</v>
      </c>
    </row>
    <row r="84" spans="1:9" ht="16.5" x14ac:dyDescent="0.3">
      <c r="A84" s="8">
        <v>83</v>
      </c>
      <c r="B84" s="9">
        <v>6</v>
      </c>
      <c r="C84" s="9" t="s">
        <v>2308</v>
      </c>
      <c r="D84" s="9" t="s">
        <v>2336</v>
      </c>
      <c r="E84" s="9"/>
      <c r="F84" s="9"/>
      <c r="G84" s="10" t="s">
        <v>957</v>
      </c>
      <c r="H84" s="10" t="s">
        <v>2375</v>
      </c>
      <c r="I84" s="10" t="s">
        <v>2319</v>
      </c>
    </row>
    <row r="85" spans="1:9" ht="16.5" x14ac:dyDescent="0.3">
      <c r="A85" s="8">
        <v>84</v>
      </c>
      <c r="B85" s="9">
        <v>7</v>
      </c>
      <c r="C85" s="9" t="s">
        <v>2308</v>
      </c>
      <c r="D85" s="9" t="s">
        <v>2336</v>
      </c>
      <c r="E85" s="9" t="s">
        <v>960</v>
      </c>
      <c r="F85" s="9" t="s">
        <v>960</v>
      </c>
      <c r="G85" s="10" t="s">
        <v>960</v>
      </c>
      <c r="H85" s="10" t="s">
        <v>960</v>
      </c>
      <c r="I85" s="10" t="s">
        <v>2363</v>
      </c>
    </row>
    <row r="86" spans="1:9" ht="16.5" x14ac:dyDescent="0.3">
      <c r="A86" s="8">
        <v>85</v>
      </c>
      <c r="B86" s="9">
        <v>7</v>
      </c>
      <c r="C86" s="9" t="s">
        <v>2308</v>
      </c>
      <c r="D86" s="9" t="s">
        <v>2336</v>
      </c>
      <c r="E86" s="9"/>
      <c r="F86" s="9"/>
      <c r="G86" s="10" t="s">
        <v>960</v>
      </c>
      <c r="H86" s="10" t="s">
        <v>2376</v>
      </c>
      <c r="I86" s="10" t="s">
        <v>2319</v>
      </c>
    </row>
    <row r="87" spans="1:9" ht="16.5" x14ac:dyDescent="0.3">
      <c r="A87" s="8">
        <v>86</v>
      </c>
      <c r="B87" s="9">
        <v>7</v>
      </c>
      <c r="C87" s="9" t="s">
        <v>2308</v>
      </c>
      <c r="D87" s="9" t="s">
        <v>2336</v>
      </c>
      <c r="E87" s="9" t="s">
        <v>959</v>
      </c>
      <c r="F87" s="9" t="s">
        <v>959</v>
      </c>
      <c r="G87" s="10" t="s">
        <v>959</v>
      </c>
      <c r="H87" s="10" t="s">
        <v>959</v>
      </c>
      <c r="I87" s="10" t="s">
        <v>2363</v>
      </c>
    </row>
    <row r="88" spans="1:9" ht="16.5" x14ac:dyDescent="0.3">
      <c r="A88" s="8">
        <v>87</v>
      </c>
      <c r="B88" s="9">
        <v>7</v>
      </c>
      <c r="C88" s="9" t="s">
        <v>2308</v>
      </c>
      <c r="D88" s="9" t="s">
        <v>2336</v>
      </c>
      <c r="E88" s="9"/>
      <c r="F88" s="9"/>
      <c r="G88" s="10" t="s">
        <v>959</v>
      </c>
      <c r="H88" s="10" t="s">
        <v>2377</v>
      </c>
      <c r="I88" s="10" t="s">
        <v>2319</v>
      </c>
    </row>
    <row r="89" spans="1:9" ht="16.5" x14ac:dyDescent="0.3">
      <c r="A89" s="8">
        <v>88</v>
      </c>
      <c r="B89" s="9">
        <v>8</v>
      </c>
      <c r="C89" s="9" t="s">
        <v>2308</v>
      </c>
      <c r="D89" s="9" t="s">
        <v>2336</v>
      </c>
      <c r="E89" s="9" t="s">
        <v>962</v>
      </c>
      <c r="F89" s="9" t="s">
        <v>962</v>
      </c>
      <c r="G89" s="10" t="s">
        <v>962</v>
      </c>
      <c r="H89" s="10" t="s">
        <v>962</v>
      </c>
      <c r="I89" s="10" t="s">
        <v>2363</v>
      </c>
    </row>
    <row r="90" spans="1:9" ht="16.5" x14ac:dyDescent="0.3">
      <c r="A90" s="8">
        <v>89</v>
      </c>
      <c r="B90" s="9">
        <v>8</v>
      </c>
      <c r="C90" s="9" t="s">
        <v>2308</v>
      </c>
      <c r="D90" s="9" t="s">
        <v>2336</v>
      </c>
      <c r="E90" s="9"/>
      <c r="F90" s="9"/>
      <c r="G90" s="10" t="s">
        <v>962</v>
      </c>
      <c r="H90" s="10" t="s">
        <v>2378</v>
      </c>
      <c r="I90" s="10" t="s">
        <v>2319</v>
      </c>
    </row>
    <row r="91" spans="1:9" ht="16.5" x14ac:dyDescent="0.3">
      <c r="A91" s="8">
        <v>90</v>
      </c>
      <c r="B91" s="9">
        <v>8</v>
      </c>
      <c r="C91" s="9" t="s">
        <v>2308</v>
      </c>
      <c r="D91" s="9" t="s">
        <v>2336</v>
      </c>
      <c r="E91" s="9" t="s">
        <v>961</v>
      </c>
      <c r="F91" s="9" t="s">
        <v>961</v>
      </c>
      <c r="G91" s="10" t="s">
        <v>961</v>
      </c>
      <c r="H91" s="10" t="s">
        <v>961</v>
      </c>
      <c r="I91" s="10" t="s">
        <v>2363</v>
      </c>
    </row>
    <row r="92" spans="1:9" ht="16.5" x14ac:dyDescent="0.3">
      <c r="A92" s="8">
        <v>91</v>
      </c>
      <c r="B92" s="9">
        <v>8</v>
      </c>
      <c r="C92" s="9" t="s">
        <v>2308</v>
      </c>
      <c r="D92" s="9" t="s">
        <v>2336</v>
      </c>
      <c r="E92" s="9"/>
      <c r="F92" s="9"/>
      <c r="G92" s="10" t="s">
        <v>961</v>
      </c>
      <c r="H92" s="10" t="s">
        <v>2379</v>
      </c>
      <c r="I92" s="10" t="s">
        <v>2319</v>
      </c>
    </row>
    <row r="93" spans="1:9" ht="16.5" x14ac:dyDescent="0.3">
      <c r="A93" s="8">
        <v>92</v>
      </c>
      <c r="B93" s="9">
        <v>9</v>
      </c>
      <c r="C93" s="9" t="s">
        <v>2308</v>
      </c>
      <c r="D93" s="9" t="s">
        <v>2336</v>
      </c>
      <c r="E93" s="9" t="s">
        <v>964</v>
      </c>
      <c r="F93" s="9" t="s">
        <v>964</v>
      </c>
      <c r="G93" s="10" t="s">
        <v>964</v>
      </c>
      <c r="H93" s="10" t="s">
        <v>964</v>
      </c>
      <c r="I93" s="10" t="s">
        <v>2363</v>
      </c>
    </row>
    <row r="94" spans="1:9" ht="16.5" x14ac:dyDescent="0.3">
      <c r="A94" s="8">
        <v>93</v>
      </c>
      <c r="B94" s="9">
        <v>9</v>
      </c>
      <c r="C94" s="9" t="s">
        <v>2308</v>
      </c>
      <c r="D94" s="9" t="s">
        <v>2336</v>
      </c>
      <c r="E94" s="9"/>
      <c r="F94" s="9"/>
      <c r="G94" s="10" t="s">
        <v>964</v>
      </c>
      <c r="H94" s="10" t="s">
        <v>2380</v>
      </c>
      <c r="I94" s="10" t="s">
        <v>2319</v>
      </c>
    </row>
    <row r="95" spans="1:9" ht="16.5" x14ac:dyDescent="0.3">
      <c r="A95" s="8">
        <v>94</v>
      </c>
      <c r="B95" s="9">
        <v>9</v>
      </c>
      <c r="C95" s="9" t="s">
        <v>2308</v>
      </c>
      <c r="D95" s="9" t="s">
        <v>2336</v>
      </c>
      <c r="E95" s="9" t="s">
        <v>963</v>
      </c>
      <c r="F95" s="9" t="s">
        <v>963</v>
      </c>
      <c r="G95" s="10" t="s">
        <v>963</v>
      </c>
      <c r="H95" s="10" t="s">
        <v>963</v>
      </c>
      <c r="I95" s="10" t="s">
        <v>2363</v>
      </c>
    </row>
    <row r="96" spans="1:9" ht="16.5" x14ac:dyDescent="0.3">
      <c r="A96" s="8">
        <v>95</v>
      </c>
      <c r="B96" s="9">
        <v>9</v>
      </c>
      <c r="C96" s="9" t="s">
        <v>2308</v>
      </c>
      <c r="D96" s="9" t="s">
        <v>2336</v>
      </c>
      <c r="E96" s="9"/>
      <c r="F96" s="9"/>
      <c r="G96" s="10" t="s">
        <v>963</v>
      </c>
      <c r="H96" s="10" t="s">
        <v>2381</v>
      </c>
      <c r="I96" s="10" t="s">
        <v>2319</v>
      </c>
    </row>
    <row r="97" spans="1:9" ht="16.5" x14ac:dyDescent="0.3">
      <c r="A97" s="8">
        <v>96</v>
      </c>
      <c r="B97" s="9">
        <v>997</v>
      </c>
      <c r="C97" s="9" t="s">
        <v>2308</v>
      </c>
      <c r="D97" s="9" t="s">
        <v>2336</v>
      </c>
      <c r="E97" s="9" t="s">
        <v>946</v>
      </c>
      <c r="F97" s="9" t="s">
        <v>946</v>
      </c>
      <c r="G97" s="10" t="s">
        <v>946</v>
      </c>
      <c r="H97" s="10" t="s">
        <v>946</v>
      </c>
      <c r="I97" s="10" t="s">
        <v>2363</v>
      </c>
    </row>
    <row r="98" spans="1:9" ht="16.5" x14ac:dyDescent="0.3">
      <c r="A98" s="8">
        <v>97</v>
      </c>
      <c r="B98" s="9">
        <v>997</v>
      </c>
      <c r="C98" s="9" t="s">
        <v>2308</v>
      </c>
      <c r="D98" s="9" t="s">
        <v>2336</v>
      </c>
      <c r="E98" s="9"/>
      <c r="F98" s="9"/>
      <c r="G98" s="10" t="s">
        <v>946</v>
      </c>
      <c r="H98" s="10" t="s">
        <v>2382</v>
      </c>
      <c r="I98" s="10" t="s">
        <v>2319</v>
      </c>
    </row>
    <row r="99" spans="1:9" ht="16.5" x14ac:dyDescent="0.3">
      <c r="A99" s="8">
        <v>98</v>
      </c>
      <c r="B99" s="9">
        <v>997</v>
      </c>
      <c r="C99" s="9" t="s">
        <v>2308</v>
      </c>
      <c r="D99" s="9" t="s">
        <v>2336</v>
      </c>
      <c r="E99" s="9" t="s">
        <v>945</v>
      </c>
      <c r="F99" s="9" t="s">
        <v>945</v>
      </c>
      <c r="G99" s="10" t="s">
        <v>945</v>
      </c>
      <c r="H99" s="10" t="s">
        <v>945</v>
      </c>
      <c r="I99" s="10" t="s">
        <v>2363</v>
      </c>
    </row>
    <row r="100" spans="1:9" ht="16.5" x14ac:dyDescent="0.3">
      <c r="A100" s="8">
        <v>99</v>
      </c>
      <c r="B100" s="9">
        <v>997</v>
      </c>
      <c r="C100" s="9" t="s">
        <v>2308</v>
      </c>
      <c r="D100" s="9" t="s">
        <v>2336</v>
      </c>
      <c r="E100" s="9"/>
      <c r="F100" s="9"/>
      <c r="G100" s="10" t="s">
        <v>945</v>
      </c>
      <c r="H100" s="10" t="s">
        <v>2383</v>
      </c>
      <c r="I100" s="10" t="s">
        <v>2319</v>
      </c>
    </row>
    <row r="101" spans="1:9" ht="16.5" x14ac:dyDescent="0.3">
      <c r="A101" s="8">
        <v>100</v>
      </c>
      <c r="B101" s="9">
        <v>1</v>
      </c>
      <c r="C101" s="9" t="s">
        <v>2308</v>
      </c>
      <c r="D101" s="9" t="s">
        <v>2348</v>
      </c>
      <c r="E101" s="9" t="s">
        <v>1882</v>
      </c>
      <c r="F101" s="9" t="s">
        <v>1882</v>
      </c>
      <c r="G101" s="10" t="s">
        <v>1882</v>
      </c>
      <c r="H101" s="10" t="s">
        <v>1882</v>
      </c>
      <c r="I101" s="10" t="s">
        <v>2363</v>
      </c>
    </row>
    <row r="102" spans="1:9" ht="16.5" x14ac:dyDescent="0.3">
      <c r="A102" s="8">
        <v>101</v>
      </c>
      <c r="B102" s="9">
        <v>1</v>
      </c>
      <c r="C102" s="9" t="s">
        <v>2308</v>
      </c>
      <c r="D102" s="9" t="s">
        <v>2348</v>
      </c>
      <c r="E102" s="9"/>
      <c r="F102" s="9"/>
      <c r="G102" s="10" t="s">
        <v>1882</v>
      </c>
      <c r="H102" s="10" t="s">
        <v>1859</v>
      </c>
      <c r="I102" s="10" t="s">
        <v>2319</v>
      </c>
    </row>
    <row r="103" spans="1:9" ht="16.5" x14ac:dyDescent="0.3">
      <c r="A103" s="8">
        <v>102</v>
      </c>
      <c r="B103" s="9">
        <v>2</v>
      </c>
      <c r="C103" s="9" t="s">
        <v>2308</v>
      </c>
      <c r="D103" s="9" t="s">
        <v>2348</v>
      </c>
      <c r="E103" s="9" t="s">
        <v>1884</v>
      </c>
      <c r="F103" s="9" t="s">
        <v>1884</v>
      </c>
      <c r="G103" s="10" t="s">
        <v>1884</v>
      </c>
      <c r="H103" s="10" t="s">
        <v>1884</v>
      </c>
      <c r="I103" s="10" t="s">
        <v>2363</v>
      </c>
    </row>
    <row r="104" spans="1:9" ht="16.5" x14ac:dyDescent="0.3">
      <c r="A104" s="8">
        <v>103</v>
      </c>
      <c r="B104" s="9">
        <v>2</v>
      </c>
      <c r="C104" s="9" t="s">
        <v>2308</v>
      </c>
      <c r="D104" s="9" t="s">
        <v>2348</v>
      </c>
      <c r="E104" s="9"/>
      <c r="F104" s="9"/>
      <c r="G104" s="10" t="s">
        <v>1884</v>
      </c>
      <c r="H104" s="10" t="s">
        <v>1861</v>
      </c>
      <c r="I104" s="10" t="s">
        <v>2319</v>
      </c>
    </row>
    <row r="105" spans="1:9" ht="16.5" x14ac:dyDescent="0.3">
      <c r="A105" s="8">
        <v>104</v>
      </c>
      <c r="B105" s="9">
        <v>3</v>
      </c>
      <c r="C105" s="9" t="s">
        <v>2308</v>
      </c>
      <c r="D105" s="9" t="s">
        <v>2348</v>
      </c>
      <c r="E105" s="9" t="s">
        <v>1886</v>
      </c>
      <c r="F105" s="9" t="s">
        <v>1886</v>
      </c>
      <c r="G105" s="10" t="s">
        <v>1886</v>
      </c>
      <c r="H105" s="10" t="s">
        <v>1886</v>
      </c>
      <c r="I105" s="10" t="s">
        <v>2363</v>
      </c>
    </row>
    <row r="106" spans="1:9" ht="16.5" x14ac:dyDescent="0.3">
      <c r="A106" s="8">
        <v>105</v>
      </c>
      <c r="B106" s="9">
        <v>3</v>
      </c>
      <c r="C106" s="9" t="s">
        <v>2308</v>
      </c>
      <c r="D106" s="9" t="s">
        <v>2348</v>
      </c>
      <c r="E106" s="9"/>
      <c r="F106" s="9"/>
      <c r="G106" s="10" t="s">
        <v>1886</v>
      </c>
      <c r="H106" s="10" t="s">
        <v>1863</v>
      </c>
      <c r="I106" s="10" t="s">
        <v>2319</v>
      </c>
    </row>
    <row r="107" spans="1:9" ht="16.5" x14ac:dyDescent="0.3">
      <c r="A107" s="8">
        <v>106</v>
      </c>
      <c r="B107" s="9">
        <v>4</v>
      </c>
      <c r="C107" s="9" t="s">
        <v>2308</v>
      </c>
      <c r="D107" s="9" t="s">
        <v>2348</v>
      </c>
      <c r="E107" s="9" t="s">
        <v>1888</v>
      </c>
      <c r="F107" s="9" t="s">
        <v>1888</v>
      </c>
      <c r="G107" s="10" t="s">
        <v>1888</v>
      </c>
      <c r="H107" s="10" t="s">
        <v>1888</v>
      </c>
      <c r="I107" s="10" t="s">
        <v>2363</v>
      </c>
    </row>
    <row r="108" spans="1:9" ht="16.5" x14ac:dyDescent="0.3">
      <c r="A108" s="8">
        <v>107</v>
      </c>
      <c r="B108" s="9">
        <v>4</v>
      </c>
      <c r="C108" s="9" t="s">
        <v>2308</v>
      </c>
      <c r="D108" s="9" t="s">
        <v>2348</v>
      </c>
      <c r="E108" s="9"/>
      <c r="F108" s="9"/>
      <c r="G108" s="10" t="s">
        <v>1888</v>
      </c>
      <c r="H108" s="10" t="s">
        <v>1865</v>
      </c>
      <c r="I108" s="10" t="s">
        <v>2319</v>
      </c>
    </row>
    <row r="109" spans="1:9" ht="16.5" x14ac:dyDescent="0.3">
      <c r="A109" s="8">
        <v>108</v>
      </c>
      <c r="B109" s="9">
        <v>5</v>
      </c>
      <c r="C109" s="9" t="s">
        <v>2308</v>
      </c>
      <c r="D109" s="9" t="s">
        <v>2348</v>
      </c>
      <c r="E109" s="9" t="s">
        <v>1890</v>
      </c>
      <c r="F109" s="9" t="s">
        <v>1890</v>
      </c>
      <c r="G109" s="10" t="s">
        <v>1890</v>
      </c>
      <c r="H109" s="10" t="s">
        <v>1890</v>
      </c>
      <c r="I109" s="10" t="s">
        <v>2363</v>
      </c>
    </row>
    <row r="110" spans="1:9" ht="16.5" x14ac:dyDescent="0.3">
      <c r="A110" s="8">
        <v>109</v>
      </c>
      <c r="B110" s="9">
        <v>5</v>
      </c>
      <c r="C110" s="9" t="s">
        <v>2308</v>
      </c>
      <c r="D110" s="9" t="s">
        <v>2348</v>
      </c>
      <c r="E110" s="9"/>
      <c r="F110" s="9"/>
      <c r="G110" s="10" t="s">
        <v>1890</v>
      </c>
      <c r="H110" s="10" t="s">
        <v>1867</v>
      </c>
      <c r="I110" s="10" t="s">
        <v>2319</v>
      </c>
    </row>
    <row r="111" spans="1:9" ht="16.5" x14ac:dyDescent="0.3">
      <c r="A111" s="8">
        <v>110</v>
      </c>
      <c r="B111" s="9">
        <v>6</v>
      </c>
      <c r="C111" s="9" t="s">
        <v>2308</v>
      </c>
      <c r="D111" s="9" t="s">
        <v>2348</v>
      </c>
      <c r="E111" s="9" t="s">
        <v>1892</v>
      </c>
      <c r="F111" s="9" t="s">
        <v>1892</v>
      </c>
      <c r="G111" s="10" t="s">
        <v>1892</v>
      </c>
      <c r="H111" s="10" t="s">
        <v>1892</v>
      </c>
      <c r="I111" s="10" t="s">
        <v>2363</v>
      </c>
    </row>
    <row r="112" spans="1:9" ht="16.5" x14ac:dyDescent="0.3">
      <c r="A112" s="8">
        <v>111</v>
      </c>
      <c r="B112" s="9">
        <v>6</v>
      </c>
      <c r="C112" s="9" t="s">
        <v>2308</v>
      </c>
      <c r="D112" s="9" t="s">
        <v>2348</v>
      </c>
      <c r="E112" s="9"/>
      <c r="F112" s="9"/>
      <c r="G112" s="10" t="s">
        <v>1892</v>
      </c>
      <c r="H112" s="10" t="s">
        <v>1869</v>
      </c>
      <c r="I112" s="10" t="s">
        <v>2319</v>
      </c>
    </row>
    <row r="113" spans="1:9" ht="16.5" x14ac:dyDescent="0.3">
      <c r="A113" s="8">
        <v>112</v>
      </c>
      <c r="B113" s="9">
        <v>7</v>
      </c>
      <c r="C113" s="9" t="s">
        <v>2308</v>
      </c>
      <c r="D113" s="9" t="s">
        <v>2348</v>
      </c>
      <c r="E113" s="9" t="s">
        <v>1894</v>
      </c>
      <c r="F113" s="9" t="s">
        <v>1894</v>
      </c>
      <c r="G113" s="10" t="s">
        <v>1894</v>
      </c>
      <c r="H113" s="10" t="s">
        <v>1894</v>
      </c>
      <c r="I113" s="10" t="s">
        <v>2363</v>
      </c>
    </row>
    <row r="114" spans="1:9" ht="16.5" x14ac:dyDescent="0.3">
      <c r="A114" s="8">
        <v>113</v>
      </c>
      <c r="B114" s="9">
        <v>7</v>
      </c>
      <c r="C114" s="9" t="s">
        <v>2308</v>
      </c>
      <c r="D114" s="9" t="s">
        <v>2348</v>
      </c>
      <c r="E114" s="9"/>
      <c r="F114" s="9"/>
      <c r="G114" s="10" t="s">
        <v>1894</v>
      </c>
      <c r="H114" s="10" t="s">
        <v>1871</v>
      </c>
      <c r="I114" s="10" t="s">
        <v>2319</v>
      </c>
    </row>
    <row r="115" spans="1:9" ht="16.5" x14ac:dyDescent="0.3">
      <c r="A115" s="8">
        <v>114</v>
      </c>
      <c r="B115" s="9">
        <v>8</v>
      </c>
      <c r="C115" s="9" t="s">
        <v>2308</v>
      </c>
      <c r="D115" s="9" t="s">
        <v>2348</v>
      </c>
      <c r="E115" s="9" t="s">
        <v>1896</v>
      </c>
      <c r="F115" s="9" t="s">
        <v>1896</v>
      </c>
      <c r="G115" s="10" t="s">
        <v>1896</v>
      </c>
      <c r="H115" s="10" t="s">
        <v>1896</v>
      </c>
      <c r="I115" s="10" t="s">
        <v>2363</v>
      </c>
    </row>
    <row r="116" spans="1:9" ht="16.5" x14ac:dyDescent="0.3">
      <c r="A116" s="8">
        <v>115</v>
      </c>
      <c r="B116" s="9">
        <v>8</v>
      </c>
      <c r="C116" s="9" t="s">
        <v>2308</v>
      </c>
      <c r="D116" s="9" t="s">
        <v>2348</v>
      </c>
      <c r="E116" s="9"/>
      <c r="F116" s="9"/>
      <c r="G116" s="10" t="s">
        <v>1896</v>
      </c>
      <c r="H116" s="10" t="s">
        <v>1873</v>
      </c>
      <c r="I116" s="10" t="s">
        <v>2319</v>
      </c>
    </row>
    <row r="117" spans="1:9" ht="16.5" x14ac:dyDescent="0.3">
      <c r="A117" s="8">
        <v>116</v>
      </c>
      <c r="B117" s="9">
        <v>9</v>
      </c>
      <c r="C117" s="9" t="s">
        <v>2308</v>
      </c>
      <c r="D117" s="9" t="s">
        <v>2348</v>
      </c>
      <c r="E117" s="9" t="s">
        <v>1898</v>
      </c>
      <c r="F117" s="9" t="s">
        <v>1898</v>
      </c>
      <c r="G117" s="10" t="s">
        <v>1898</v>
      </c>
      <c r="H117" s="10" t="s">
        <v>1898</v>
      </c>
      <c r="I117" s="10" t="s">
        <v>2363</v>
      </c>
    </row>
    <row r="118" spans="1:9" ht="16.5" x14ac:dyDescent="0.3">
      <c r="A118" s="8">
        <v>117</v>
      </c>
      <c r="B118" s="9">
        <v>9</v>
      </c>
      <c r="C118" s="9" t="s">
        <v>2308</v>
      </c>
      <c r="D118" s="9" t="s">
        <v>2348</v>
      </c>
      <c r="E118" s="9"/>
      <c r="F118" s="9"/>
      <c r="G118" s="10" t="s">
        <v>1898</v>
      </c>
      <c r="H118" s="10" t="s">
        <v>1875</v>
      </c>
      <c r="I118" s="10" t="s">
        <v>2319</v>
      </c>
    </row>
    <row r="119" spans="1:9" ht="16.5" x14ac:dyDescent="0.3">
      <c r="A119" s="8">
        <v>118</v>
      </c>
      <c r="B119" s="9">
        <v>997</v>
      </c>
      <c r="C119" s="9" t="s">
        <v>2308</v>
      </c>
      <c r="D119" s="9" t="s">
        <v>2348</v>
      </c>
      <c r="E119" s="9" t="s">
        <v>1901</v>
      </c>
      <c r="F119" s="9" t="s">
        <v>1901</v>
      </c>
      <c r="G119" s="10" t="s">
        <v>1901</v>
      </c>
      <c r="H119" s="10" t="s">
        <v>1901</v>
      </c>
      <c r="I119" s="10" t="s">
        <v>2363</v>
      </c>
    </row>
    <row r="120" spans="1:9" ht="16.5" x14ac:dyDescent="0.3">
      <c r="A120" s="8">
        <v>119</v>
      </c>
      <c r="B120" s="9">
        <v>997</v>
      </c>
      <c r="C120" s="9" t="s">
        <v>2308</v>
      </c>
      <c r="D120" s="9" t="s">
        <v>2348</v>
      </c>
      <c r="E120" s="9"/>
      <c r="F120" s="9"/>
      <c r="G120" s="10" t="s">
        <v>1901</v>
      </c>
      <c r="H120" s="10" t="s">
        <v>1879</v>
      </c>
      <c r="I120" s="10" t="s">
        <v>2319</v>
      </c>
    </row>
    <row r="121" spans="1:9" ht="16.5" x14ac:dyDescent="0.3">
      <c r="A121" s="8">
        <v>120</v>
      </c>
      <c r="B121" s="9">
        <v>998</v>
      </c>
      <c r="C121" s="9" t="s">
        <v>2308</v>
      </c>
      <c r="D121" s="9" t="s">
        <v>2348</v>
      </c>
      <c r="E121" s="9" t="s">
        <v>1098</v>
      </c>
      <c r="F121" s="9" t="s">
        <v>1098</v>
      </c>
      <c r="G121" s="10" t="s">
        <v>1098</v>
      </c>
      <c r="H121" s="10" t="s">
        <v>1098</v>
      </c>
      <c r="I121" s="10" t="s">
        <v>2363</v>
      </c>
    </row>
    <row r="122" spans="1:9" ht="16.5" x14ac:dyDescent="0.3">
      <c r="A122" s="8">
        <v>121</v>
      </c>
      <c r="B122" s="9">
        <v>998</v>
      </c>
      <c r="C122" s="9" t="s">
        <v>2308</v>
      </c>
      <c r="D122" s="9" t="s">
        <v>2348</v>
      </c>
      <c r="E122" s="9"/>
      <c r="F122" s="9"/>
      <c r="G122" s="10" t="s">
        <v>1098</v>
      </c>
      <c r="H122" s="10" t="s">
        <v>1881</v>
      </c>
      <c r="I122" s="10" t="s">
        <v>2319</v>
      </c>
    </row>
    <row r="123" spans="1:9" ht="16.5" x14ac:dyDescent="0.3">
      <c r="A123" s="8">
        <v>122</v>
      </c>
      <c r="B123" s="9">
        <v>5</v>
      </c>
      <c r="C123" s="9" t="s">
        <v>2384</v>
      </c>
      <c r="D123" s="9" t="s">
        <v>2309</v>
      </c>
      <c r="E123" s="9"/>
      <c r="F123" s="9"/>
      <c r="G123" s="10" t="s">
        <v>2385</v>
      </c>
      <c r="H123" s="10" t="s">
        <v>2385</v>
      </c>
      <c r="I123" s="10" t="s">
        <v>2319</v>
      </c>
    </row>
    <row r="124" spans="1:9" ht="16.5" x14ac:dyDescent="0.3">
      <c r="A124" s="8">
        <v>123</v>
      </c>
      <c r="B124" s="9">
        <v>5</v>
      </c>
      <c r="C124" s="9" t="s">
        <v>2384</v>
      </c>
      <c r="D124" s="9" t="s">
        <v>2336</v>
      </c>
      <c r="E124" s="9"/>
      <c r="F124" s="9"/>
      <c r="G124" s="10" t="s">
        <v>2386</v>
      </c>
      <c r="H124" s="10" t="s">
        <v>2386</v>
      </c>
      <c r="I124" s="10" t="s">
        <v>2319</v>
      </c>
    </row>
    <row r="125" spans="1:9" ht="16.5" x14ac:dyDescent="0.3">
      <c r="A125" s="8">
        <v>124</v>
      </c>
      <c r="B125" s="9">
        <v>5</v>
      </c>
      <c r="C125" s="9" t="s">
        <v>2384</v>
      </c>
      <c r="D125" s="9" t="s">
        <v>2336</v>
      </c>
      <c r="E125" s="9" t="s">
        <v>724</v>
      </c>
      <c r="F125" s="9" t="s">
        <v>724</v>
      </c>
      <c r="G125" s="10" t="s">
        <v>2387</v>
      </c>
      <c r="H125" s="10" t="s">
        <v>2387</v>
      </c>
      <c r="I125" s="10" t="s">
        <v>2312</v>
      </c>
    </row>
    <row r="126" spans="1:9" ht="16.5" x14ac:dyDescent="0.3">
      <c r="A126" s="8">
        <v>125</v>
      </c>
      <c r="B126" s="9">
        <v>1</v>
      </c>
      <c r="C126" s="9" t="s">
        <v>2384</v>
      </c>
      <c r="D126" s="9" t="s">
        <v>2336</v>
      </c>
      <c r="E126" s="9" t="s">
        <v>718</v>
      </c>
      <c r="F126" s="9" t="s">
        <v>718</v>
      </c>
      <c r="G126" s="10" t="s">
        <v>2388</v>
      </c>
      <c r="H126" s="10" t="s">
        <v>2388</v>
      </c>
      <c r="I126" s="10" t="s">
        <v>2312</v>
      </c>
    </row>
    <row r="127" spans="1:9" ht="16.5" x14ac:dyDescent="0.3">
      <c r="A127" s="8">
        <v>126</v>
      </c>
      <c r="B127" s="9">
        <v>1</v>
      </c>
      <c r="C127" s="9" t="s">
        <v>2384</v>
      </c>
      <c r="D127" s="9" t="s">
        <v>2336</v>
      </c>
      <c r="E127" s="9"/>
      <c r="F127" s="9"/>
      <c r="G127" s="10" t="s">
        <v>2388</v>
      </c>
      <c r="H127" s="10" t="s">
        <v>2389</v>
      </c>
      <c r="I127" s="10" t="s">
        <v>2319</v>
      </c>
    </row>
    <row r="128" spans="1:9" ht="16.5" x14ac:dyDescent="0.3">
      <c r="A128" s="8">
        <v>127</v>
      </c>
      <c r="B128" s="9">
        <v>2</v>
      </c>
      <c r="C128" s="9" t="s">
        <v>2384</v>
      </c>
      <c r="D128" s="9" t="s">
        <v>2336</v>
      </c>
      <c r="E128" s="9" t="s">
        <v>720</v>
      </c>
      <c r="F128" s="9" t="s">
        <v>720</v>
      </c>
      <c r="G128" s="10" t="s">
        <v>2390</v>
      </c>
      <c r="H128" s="10" t="s">
        <v>2390</v>
      </c>
      <c r="I128" s="10" t="s">
        <v>2312</v>
      </c>
    </row>
    <row r="129" spans="1:9" ht="16.5" x14ac:dyDescent="0.3">
      <c r="A129" s="8">
        <v>128</v>
      </c>
      <c r="B129" s="9">
        <v>2</v>
      </c>
      <c r="C129" s="9" t="s">
        <v>2384</v>
      </c>
      <c r="D129" s="9" t="s">
        <v>2336</v>
      </c>
      <c r="E129" s="9"/>
      <c r="F129" s="9"/>
      <c r="G129" s="10" t="s">
        <v>2390</v>
      </c>
      <c r="H129" s="10" t="s">
        <v>2391</v>
      </c>
      <c r="I129" s="10" t="s">
        <v>2319</v>
      </c>
    </row>
    <row r="130" spans="1:9" ht="16.5" x14ac:dyDescent="0.3">
      <c r="A130" s="8">
        <v>129</v>
      </c>
      <c r="B130" s="9">
        <v>3</v>
      </c>
      <c r="C130" s="9" t="s">
        <v>2384</v>
      </c>
      <c r="D130" s="9" t="s">
        <v>2336</v>
      </c>
      <c r="E130" s="9" t="s">
        <v>722</v>
      </c>
      <c r="F130" s="9" t="s">
        <v>722</v>
      </c>
      <c r="G130" s="10" t="s">
        <v>2392</v>
      </c>
      <c r="H130" s="10" t="s">
        <v>2392</v>
      </c>
      <c r="I130" s="10" t="s">
        <v>2312</v>
      </c>
    </row>
    <row r="131" spans="1:9" ht="16.5" x14ac:dyDescent="0.3">
      <c r="A131" s="8">
        <v>130</v>
      </c>
      <c r="B131" s="9">
        <v>3</v>
      </c>
      <c r="C131" s="9" t="s">
        <v>2384</v>
      </c>
      <c r="D131" s="9" t="s">
        <v>2336</v>
      </c>
      <c r="E131" s="9"/>
      <c r="F131" s="9"/>
      <c r="G131" s="10" t="s">
        <v>2392</v>
      </c>
      <c r="H131" s="10" t="s">
        <v>2393</v>
      </c>
      <c r="I131" s="10" t="s">
        <v>2319</v>
      </c>
    </row>
    <row r="132" spans="1:9" ht="16.5" x14ac:dyDescent="0.3">
      <c r="A132" s="8">
        <v>131</v>
      </c>
      <c r="B132" s="9">
        <v>4</v>
      </c>
      <c r="C132" s="9" t="s">
        <v>2384</v>
      </c>
      <c r="D132" s="9" t="s">
        <v>2336</v>
      </c>
      <c r="E132" s="9" t="s">
        <v>723</v>
      </c>
      <c r="F132" s="9" t="s">
        <v>723</v>
      </c>
      <c r="G132" s="10" t="s">
        <v>2394</v>
      </c>
      <c r="H132" s="10" t="s">
        <v>2394</v>
      </c>
      <c r="I132" s="10" t="s">
        <v>2312</v>
      </c>
    </row>
    <row r="133" spans="1:9" ht="16.5" x14ac:dyDescent="0.3">
      <c r="A133" s="8">
        <v>132</v>
      </c>
      <c r="B133" s="9">
        <v>4</v>
      </c>
      <c r="C133" s="9" t="s">
        <v>2384</v>
      </c>
      <c r="D133" s="9" t="s">
        <v>2336</v>
      </c>
      <c r="E133" s="9"/>
      <c r="F133" s="9"/>
      <c r="G133" s="10" t="s">
        <v>2394</v>
      </c>
      <c r="H133" s="10" t="s">
        <v>2395</v>
      </c>
      <c r="I133" s="10" t="s">
        <v>2319</v>
      </c>
    </row>
    <row r="134" spans="1:9" ht="16.5" x14ac:dyDescent="0.3">
      <c r="A134" s="8">
        <v>133</v>
      </c>
      <c r="B134" s="9">
        <v>998</v>
      </c>
      <c r="C134" s="9" t="s">
        <v>2384</v>
      </c>
      <c r="D134" s="9" t="s">
        <v>2336</v>
      </c>
      <c r="E134" s="9" t="s">
        <v>731</v>
      </c>
      <c r="F134" s="9" t="s">
        <v>731</v>
      </c>
      <c r="G134" s="10" t="s">
        <v>2396</v>
      </c>
      <c r="H134" s="10" t="s">
        <v>2396</v>
      </c>
      <c r="I134" s="10" t="s">
        <v>2312</v>
      </c>
    </row>
    <row r="135" spans="1:9" ht="16.5" x14ac:dyDescent="0.3">
      <c r="A135" s="8">
        <v>134</v>
      </c>
      <c r="B135" s="9">
        <v>998</v>
      </c>
      <c r="C135" s="9" t="s">
        <v>2384</v>
      </c>
      <c r="D135" s="9" t="s">
        <v>2336</v>
      </c>
      <c r="E135" s="9"/>
      <c r="F135" s="9"/>
      <c r="G135" s="10" t="s">
        <v>2396</v>
      </c>
      <c r="H135" s="10" t="s">
        <v>2397</v>
      </c>
      <c r="I135" s="10" t="s">
        <v>2319</v>
      </c>
    </row>
    <row r="136" spans="1:9" ht="16.5" x14ac:dyDescent="0.3">
      <c r="A136" s="8">
        <v>135</v>
      </c>
      <c r="B136" s="9">
        <v>997</v>
      </c>
      <c r="C136" s="9" t="s">
        <v>2384</v>
      </c>
      <c r="D136" s="9" t="s">
        <v>2336</v>
      </c>
      <c r="E136" s="9" t="s">
        <v>725</v>
      </c>
      <c r="F136" s="9" t="s">
        <v>725</v>
      </c>
      <c r="G136" s="10" t="s">
        <v>2398</v>
      </c>
      <c r="H136" s="10" t="s">
        <v>2398</v>
      </c>
      <c r="I136" s="10" t="s">
        <v>2312</v>
      </c>
    </row>
    <row r="137" spans="1:9" ht="16.5" x14ac:dyDescent="0.3">
      <c r="A137" s="8">
        <v>136</v>
      </c>
      <c r="B137" s="9">
        <v>997</v>
      </c>
      <c r="C137" s="9" t="s">
        <v>2384</v>
      </c>
      <c r="D137" s="9" t="s">
        <v>2336</v>
      </c>
      <c r="E137" s="9"/>
      <c r="F137" s="9"/>
      <c r="G137" s="10" t="s">
        <v>2398</v>
      </c>
      <c r="H137" s="10" t="s">
        <v>2399</v>
      </c>
      <c r="I137" s="10" t="s">
        <v>2319</v>
      </c>
    </row>
    <row r="138" spans="1:9" ht="16.5" x14ac:dyDescent="0.3">
      <c r="A138" s="8">
        <v>137</v>
      </c>
      <c r="B138" s="9">
        <v>1</v>
      </c>
      <c r="C138" s="9" t="s">
        <v>2384</v>
      </c>
      <c r="D138" s="9" t="s">
        <v>2309</v>
      </c>
      <c r="E138" s="9"/>
      <c r="F138" s="9"/>
      <c r="G138" s="10" t="s">
        <v>2400</v>
      </c>
      <c r="H138" s="10" t="s">
        <v>2400</v>
      </c>
      <c r="I138" s="10" t="s">
        <v>2319</v>
      </c>
    </row>
    <row r="139" spans="1:9" ht="16.5" x14ac:dyDescent="0.3">
      <c r="A139" s="8">
        <v>138</v>
      </c>
      <c r="B139" s="9">
        <v>2</v>
      </c>
      <c r="C139" s="9" t="s">
        <v>2384</v>
      </c>
      <c r="D139" s="9" t="s">
        <v>2309</v>
      </c>
      <c r="E139" s="9"/>
      <c r="F139" s="9"/>
      <c r="G139" s="10" t="s">
        <v>2401</v>
      </c>
      <c r="H139" s="10" t="s">
        <v>2401</v>
      </c>
      <c r="I139" s="10" t="s">
        <v>2319</v>
      </c>
    </row>
    <row r="140" spans="1:9" ht="16.5" x14ac:dyDescent="0.3">
      <c r="A140" s="8">
        <v>139</v>
      </c>
      <c r="B140" s="9">
        <v>3</v>
      </c>
      <c r="C140" s="9" t="s">
        <v>2384</v>
      </c>
      <c r="D140" s="9" t="s">
        <v>2309</v>
      </c>
      <c r="E140" s="9"/>
      <c r="F140" s="9"/>
      <c r="G140" s="10" t="s">
        <v>2402</v>
      </c>
      <c r="H140" s="10" t="s">
        <v>2402</v>
      </c>
      <c r="I140" s="10" t="s">
        <v>2319</v>
      </c>
    </row>
    <row r="141" spans="1:9" ht="16.5" x14ac:dyDescent="0.3">
      <c r="A141" s="8">
        <v>140</v>
      </c>
      <c r="B141" s="9">
        <v>4</v>
      </c>
      <c r="C141" s="9" t="s">
        <v>2384</v>
      </c>
      <c r="D141" s="9" t="s">
        <v>2309</v>
      </c>
      <c r="E141" s="9"/>
      <c r="F141" s="9"/>
      <c r="G141" s="10" t="s">
        <v>2403</v>
      </c>
      <c r="H141" s="10" t="s">
        <v>2403</v>
      </c>
      <c r="I141" s="10" t="s">
        <v>2319</v>
      </c>
    </row>
    <row r="142" spans="1:9" ht="16.5" x14ac:dyDescent="0.3">
      <c r="A142" s="8">
        <v>141</v>
      </c>
      <c r="B142" s="9">
        <v>5</v>
      </c>
      <c r="C142" s="9" t="s">
        <v>2384</v>
      </c>
      <c r="D142" s="9" t="s">
        <v>2309</v>
      </c>
      <c r="E142" s="9"/>
      <c r="F142" s="9"/>
      <c r="G142" s="10" t="s">
        <v>2404</v>
      </c>
      <c r="H142" s="10" t="s">
        <v>2404</v>
      </c>
      <c r="I142" s="10" t="s">
        <v>2319</v>
      </c>
    </row>
    <row r="143" spans="1:9" ht="16.5" x14ac:dyDescent="0.3">
      <c r="A143" s="8">
        <v>142</v>
      </c>
      <c r="B143" s="9">
        <v>1</v>
      </c>
      <c r="C143" s="9" t="s">
        <v>2384</v>
      </c>
      <c r="D143" s="9" t="s">
        <v>2336</v>
      </c>
      <c r="E143" s="9"/>
      <c r="F143" s="9"/>
      <c r="G143" s="10" t="s">
        <v>2405</v>
      </c>
      <c r="H143" s="10" t="s">
        <v>2405</v>
      </c>
      <c r="I143" s="10" t="s">
        <v>2319</v>
      </c>
    </row>
    <row r="144" spans="1:9" ht="16.5" x14ac:dyDescent="0.3">
      <c r="A144" s="8">
        <v>143</v>
      </c>
      <c r="B144" s="9">
        <v>2</v>
      </c>
      <c r="C144" s="9" t="s">
        <v>2384</v>
      </c>
      <c r="D144" s="9" t="s">
        <v>2336</v>
      </c>
      <c r="E144" s="9"/>
      <c r="F144" s="9"/>
      <c r="G144" s="10" t="s">
        <v>2406</v>
      </c>
      <c r="H144" s="10" t="s">
        <v>2406</v>
      </c>
      <c r="I144" s="10" t="s">
        <v>2319</v>
      </c>
    </row>
    <row r="145" spans="1:9" ht="16.5" x14ac:dyDescent="0.3">
      <c r="A145" s="8">
        <v>144</v>
      </c>
      <c r="B145" s="9">
        <v>3</v>
      </c>
      <c r="C145" s="9" t="s">
        <v>2384</v>
      </c>
      <c r="D145" s="9" t="s">
        <v>2336</v>
      </c>
      <c r="E145" s="9"/>
      <c r="F145" s="9"/>
      <c r="G145" s="10" t="s">
        <v>2407</v>
      </c>
      <c r="H145" s="10" t="s">
        <v>2407</v>
      </c>
      <c r="I145" s="10" t="s">
        <v>2319</v>
      </c>
    </row>
    <row r="146" spans="1:9" ht="16.5" x14ac:dyDescent="0.3">
      <c r="A146" s="8">
        <v>145</v>
      </c>
      <c r="B146" s="9">
        <v>4</v>
      </c>
      <c r="C146" s="9" t="s">
        <v>2384</v>
      </c>
      <c r="D146" s="9" t="s">
        <v>2336</v>
      </c>
      <c r="E146" s="9"/>
      <c r="F146" s="9"/>
      <c r="G146" s="10" t="s">
        <v>2408</v>
      </c>
      <c r="H146" s="10" t="s">
        <v>2408</v>
      </c>
      <c r="I146" s="10" t="s">
        <v>2319</v>
      </c>
    </row>
    <row r="147" spans="1:9" ht="16.5" x14ac:dyDescent="0.3">
      <c r="A147" s="8">
        <v>146</v>
      </c>
      <c r="B147" s="9">
        <v>5</v>
      </c>
      <c r="C147" s="9" t="s">
        <v>2384</v>
      </c>
      <c r="D147" s="9" t="s">
        <v>2336</v>
      </c>
      <c r="E147" s="9"/>
      <c r="F147" s="9"/>
      <c r="G147" s="10" t="s">
        <v>2409</v>
      </c>
      <c r="H147" s="10" t="s">
        <v>2409</v>
      </c>
      <c r="I147" s="10" t="s">
        <v>2319</v>
      </c>
    </row>
    <row r="148" spans="1:9" ht="16.5" x14ac:dyDescent="0.3">
      <c r="A148" s="8">
        <v>147</v>
      </c>
      <c r="B148" s="9">
        <v>997</v>
      </c>
      <c r="C148" s="9" t="s">
        <v>2384</v>
      </c>
      <c r="D148" s="9" t="s">
        <v>2336</v>
      </c>
      <c r="E148" s="9"/>
      <c r="F148" s="9"/>
      <c r="G148" s="10" t="s">
        <v>2410</v>
      </c>
      <c r="H148" s="10" t="s">
        <v>2410</v>
      </c>
      <c r="I148" s="10" t="s">
        <v>2319</v>
      </c>
    </row>
    <row r="149" spans="1:9" ht="16.5" x14ac:dyDescent="0.3">
      <c r="A149" s="8">
        <v>148</v>
      </c>
      <c r="B149" s="9">
        <v>998</v>
      </c>
      <c r="C149" s="9" t="s">
        <v>2384</v>
      </c>
      <c r="D149" s="9" t="s">
        <v>2336</v>
      </c>
      <c r="E149" s="9" t="s">
        <v>732</v>
      </c>
      <c r="F149" s="9" t="s">
        <v>732</v>
      </c>
      <c r="G149" s="10" t="s">
        <v>2411</v>
      </c>
      <c r="H149" s="10" t="s">
        <v>2411</v>
      </c>
      <c r="I149" s="10" t="s">
        <v>2312</v>
      </c>
    </row>
    <row r="150" spans="1:9" ht="16.5" x14ac:dyDescent="0.3">
      <c r="A150" s="8">
        <v>152</v>
      </c>
      <c r="B150" s="9">
        <v>998</v>
      </c>
      <c r="C150" s="9" t="s">
        <v>2308</v>
      </c>
      <c r="D150" s="9" t="s">
        <v>2348</v>
      </c>
      <c r="E150" s="9" t="s">
        <v>430</v>
      </c>
      <c r="F150" s="9" t="s">
        <v>2412</v>
      </c>
      <c r="G150" s="10" t="s">
        <v>1098</v>
      </c>
      <c r="H150" s="10" t="s">
        <v>2413</v>
      </c>
      <c r="I150" s="10" t="s">
        <v>2312</v>
      </c>
    </row>
    <row r="151" spans="1:9" ht="16.5" x14ac:dyDescent="0.3">
      <c r="A151" s="8">
        <v>153</v>
      </c>
      <c r="B151" s="9">
        <v>998</v>
      </c>
      <c r="C151" s="9" t="s">
        <v>2308</v>
      </c>
      <c r="D151" s="9" t="s">
        <v>2348</v>
      </c>
      <c r="E151" s="9" t="s">
        <v>430</v>
      </c>
      <c r="F151" s="9" t="s">
        <v>2414</v>
      </c>
      <c r="G151" s="10" t="s">
        <v>1098</v>
      </c>
      <c r="H151" s="10" t="s">
        <v>2415</v>
      </c>
      <c r="I151" s="10" t="s">
        <v>2312</v>
      </c>
    </row>
    <row r="152" spans="1:9" ht="16.5" x14ac:dyDescent="0.3">
      <c r="A152" s="8">
        <v>154</v>
      </c>
      <c r="B152" s="9">
        <v>998</v>
      </c>
      <c r="C152" s="9" t="s">
        <v>2308</v>
      </c>
      <c r="D152" s="9" t="s">
        <v>2348</v>
      </c>
      <c r="E152" s="9" t="s">
        <v>430</v>
      </c>
      <c r="F152" s="9" t="s">
        <v>430</v>
      </c>
      <c r="G152" s="10" t="s">
        <v>1098</v>
      </c>
      <c r="H152" s="10" t="s">
        <v>1098</v>
      </c>
      <c r="I152" s="10" t="s">
        <v>2312</v>
      </c>
    </row>
    <row r="153" spans="1:9" ht="16.5" x14ac:dyDescent="0.3">
      <c r="A153" s="8">
        <v>155</v>
      </c>
      <c r="B153" s="9">
        <v>998</v>
      </c>
      <c r="C153" s="9" t="s">
        <v>2308</v>
      </c>
      <c r="D153" s="9" t="s">
        <v>2348</v>
      </c>
      <c r="E153" s="9"/>
      <c r="F153" s="9"/>
      <c r="G153" s="10" t="s">
        <v>1098</v>
      </c>
      <c r="H153" s="10" t="s">
        <v>1881</v>
      </c>
      <c r="I153" s="10" t="s">
        <v>2319</v>
      </c>
    </row>
    <row r="154" spans="1:9" ht="16.5" x14ac:dyDescent="0.3">
      <c r="A154" s="8">
        <v>156</v>
      </c>
      <c r="B154" s="9">
        <v>906</v>
      </c>
      <c r="C154" s="9" t="s">
        <v>2308</v>
      </c>
      <c r="D154" s="9" t="s">
        <v>2309</v>
      </c>
      <c r="E154" s="9" t="s">
        <v>1065</v>
      </c>
      <c r="F154" s="9" t="s">
        <v>1065</v>
      </c>
      <c r="G154" s="10" t="s">
        <v>2416</v>
      </c>
      <c r="H154" s="10" t="s">
        <v>2416</v>
      </c>
      <c r="I154" s="10" t="s">
        <v>2312</v>
      </c>
    </row>
    <row r="155" spans="1:9" ht="16.5" x14ac:dyDescent="0.3">
      <c r="A155" s="8">
        <v>157</v>
      </c>
      <c r="B155" s="9">
        <v>906</v>
      </c>
      <c r="C155" s="9" t="s">
        <v>2308</v>
      </c>
      <c r="D155" s="9" t="s">
        <v>2314</v>
      </c>
      <c r="E155" s="9" t="s">
        <v>1066</v>
      </c>
      <c r="F155" s="9" t="s">
        <v>1066</v>
      </c>
      <c r="G155" s="10" t="s">
        <v>2417</v>
      </c>
      <c r="H155" s="10" t="s">
        <v>2417</v>
      </c>
      <c r="I155" s="10" t="s">
        <v>2312</v>
      </c>
    </row>
    <row r="156" spans="1:9" ht="16.5" x14ac:dyDescent="0.3">
      <c r="A156" s="8">
        <v>158</v>
      </c>
      <c r="B156" s="9">
        <v>906</v>
      </c>
      <c r="C156" s="9" t="s">
        <v>2308</v>
      </c>
      <c r="D156" s="9" t="s">
        <v>2336</v>
      </c>
      <c r="E156" s="9" t="s">
        <v>377</v>
      </c>
      <c r="F156" s="9" t="s">
        <v>377</v>
      </c>
      <c r="G156" s="10" t="s">
        <v>1305</v>
      </c>
      <c r="H156" s="10" t="s">
        <v>1305</v>
      </c>
      <c r="I156" s="10" t="s">
        <v>2312</v>
      </c>
    </row>
    <row r="157" spans="1:9" ht="16.5" x14ac:dyDescent="0.3">
      <c r="A157" s="8">
        <v>159</v>
      </c>
      <c r="B157" s="9">
        <v>906</v>
      </c>
      <c r="C157" s="9" t="s">
        <v>2308</v>
      </c>
      <c r="D157" s="9" t="s">
        <v>2336</v>
      </c>
      <c r="E157" s="9" t="s">
        <v>398</v>
      </c>
      <c r="F157" s="9" t="s">
        <v>398</v>
      </c>
      <c r="G157" s="10" t="s">
        <v>1307</v>
      </c>
      <c r="H157" s="10" t="s">
        <v>1307</v>
      </c>
      <c r="I157" s="10" t="s">
        <v>2312</v>
      </c>
    </row>
    <row r="158" spans="1:9" ht="16.5" x14ac:dyDescent="0.3">
      <c r="A158" s="8">
        <v>160</v>
      </c>
      <c r="B158" s="9">
        <v>1</v>
      </c>
      <c r="C158" s="9" t="s">
        <v>2384</v>
      </c>
      <c r="D158" s="9" t="s">
        <v>2348</v>
      </c>
      <c r="E158" s="9" t="s">
        <v>733</v>
      </c>
      <c r="F158" s="9" t="s">
        <v>733</v>
      </c>
      <c r="G158" s="10" t="s">
        <v>1743</v>
      </c>
      <c r="H158" s="10" t="s">
        <v>1743</v>
      </c>
      <c r="I158" s="10" t="s">
        <v>2312</v>
      </c>
    </row>
    <row r="159" spans="1:9" ht="16.5" x14ac:dyDescent="0.3">
      <c r="A159" s="8">
        <v>161</v>
      </c>
      <c r="B159" s="9">
        <v>1</v>
      </c>
      <c r="C159" s="9" t="s">
        <v>2384</v>
      </c>
      <c r="D159" s="9" t="s">
        <v>2348</v>
      </c>
      <c r="E159" s="9"/>
      <c r="G159" s="10" t="s">
        <v>1743</v>
      </c>
      <c r="H159" s="10" t="s">
        <v>1752</v>
      </c>
      <c r="I159" s="10" t="s">
        <v>2319</v>
      </c>
    </row>
    <row r="160" spans="1:9" ht="16.5" x14ac:dyDescent="0.3">
      <c r="A160" s="8">
        <v>162</v>
      </c>
      <c r="B160" s="9">
        <v>2</v>
      </c>
      <c r="C160" s="9" t="s">
        <v>2384</v>
      </c>
      <c r="D160" s="9" t="s">
        <v>2348</v>
      </c>
      <c r="E160" s="9" t="s">
        <v>736</v>
      </c>
      <c r="F160" s="9" t="s">
        <v>736</v>
      </c>
      <c r="G160" s="10" t="s">
        <v>1744</v>
      </c>
      <c r="H160" s="10" t="s">
        <v>1744</v>
      </c>
      <c r="I160" s="10" t="s">
        <v>2312</v>
      </c>
    </row>
    <row r="161" spans="1:9" ht="16.5" x14ac:dyDescent="0.3">
      <c r="A161" s="8">
        <v>163</v>
      </c>
      <c r="B161" s="9">
        <v>2</v>
      </c>
      <c r="C161" s="9" t="s">
        <v>2384</v>
      </c>
      <c r="D161" s="9" t="s">
        <v>2348</v>
      </c>
      <c r="E161" s="9"/>
      <c r="F161" s="9"/>
      <c r="G161" s="10" t="s">
        <v>1744</v>
      </c>
      <c r="H161" s="10" t="s">
        <v>1754</v>
      </c>
      <c r="I161" s="10" t="s">
        <v>2319</v>
      </c>
    </row>
    <row r="162" spans="1:9" ht="16.5" x14ac:dyDescent="0.3">
      <c r="A162" s="8">
        <v>164</v>
      </c>
      <c r="B162" s="9">
        <v>3</v>
      </c>
      <c r="C162" s="9" t="s">
        <v>2384</v>
      </c>
      <c r="D162" s="9" t="s">
        <v>2348</v>
      </c>
      <c r="E162" s="9" t="s">
        <v>743</v>
      </c>
      <c r="F162" s="9" t="s">
        <v>743</v>
      </c>
      <c r="G162" s="10" t="s">
        <v>1746</v>
      </c>
      <c r="H162" s="10" t="s">
        <v>1746</v>
      </c>
      <c r="I162" s="10" t="s">
        <v>2312</v>
      </c>
    </row>
    <row r="163" spans="1:9" ht="16.5" x14ac:dyDescent="0.3">
      <c r="A163" s="8">
        <v>165</v>
      </c>
      <c r="B163" s="9">
        <v>3</v>
      </c>
      <c r="C163" s="9" t="s">
        <v>2384</v>
      </c>
      <c r="D163" s="9" t="s">
        <v>2348</v>
      </c>
      <c r="E163" s="9"/>
      <c r="F163" s="9"/>
      <c r="G163" s="10" t="s">
        <v>1746</v>
      </c>
      <c r="H163" s="10" t="s">
        <v>1756</v>
      </c>
      <c r="I163" s="10" t="s">
        <v>2319</v>
      </c>
    </row>
    <row r="164" spans="1:9" ht="16.5" x14ac:dyDescent="0.3">
      <c r="A164" s="8">
        <v>166</v>
      </c>
      <c r="B164" s="9">
        <v>4</v>
      </c>
      <c r="C164" s="9" t="s">
        <v>2384</v>
      </c>
      <c r="D164" s="9" t="s">
        <v>2348</v>
      </c>
      <c r="E164" s="9" t="s">
        <v>744</v>
      </c>
      <c r="F164" s="9" t="s">
        <v>744</v>
      </c>
      <c r="G164" s="10" t="s">
        <v>1748</v>
      </c>
      <c r="H164" s="10" t="s">
        <v>1748</v>
      </c>
      <c r="I164" s="10" t="s">
        <v>2312</v>
      </c>
    </row>
    <row r="165" spans="1:9" ht="16.5" x14ac:dyDescent="0.3">
      <c r="A165" s="8">
        <v>167</v>
      </c>
      <c r="B165" s="9">
        <v>4</v>
      </c>
      <c r="C165" s="9" t="s">
        <v>2384</v>
      </c>
      <c r="D165" s="9" t="s">
        <v>2348</v>
      </c>
      <c r="E165" s="9"/>
      <c r="G165" s="10" t="s">
        <v>1748</v>
      </c>
      <c r="H165" s="10" t="s">
        <v>1758</v>
      </c>
      <c r="I165" s="10" t="s">
        <v>2319</v>
      </c>
    </row>
    <row r="166" spans="1:9" ht="16.5" x14ac:dyDescent="0.3">
      <c r="A166" s="8">
        <v>168</v>
      </c>
      <c r="B166" s="9">
        <v>5</v>
      </c>
      <c r="C166" s="9" t="s">
        <v>2384</v>
      </c>
      <c r="D166" s="9" t="s">
        <v>2348</v>
      </c>
      <c r="E166" s="9"/>
      <c r="G166" s="10" t="s">
        <v>1749</v>
      </c>
      <c r="H166" s="10" t="s">
        <v>1749</v>
      </c>
      <c r="I166" s="10" t="s">
        <v>2319</v>
      </c>
    </row>
    <row r="167" spans="1:9" ht="16.5" x14ac:dyDescent="0.3">
      <c r="A167" s="8">
        <v>169</v>
      </c>
      <c r="B167" s="9">
        <v>5</v>
      </c>
      <c r="C167" s="9" t="s">
        <v>2384</v>
      </c>
      <c r="D167" s="9" t="s">
        <v>2348</v>
      </c>
      <c r="E167" s="9"/>
      <c r="G167" s="10" t="s">
        <v>1749</v>
      </c>
      <c r="H167" s="10" t="s">
        <v>1760</v>
      </c>
      <c r="I167" s="10" t="s">
        <v>2319</v>
      </c>
    </row>
    <row r="168" spans="1:9" ht="16.5" x14ac:dyDescent="0.3">
      <c r="A168" s="8">
        <v>170</v>
      </c>
      <c r="B168" s="9">
        <v>5</v>
      </c>
      <c r="C168" s="9" t="s">
        <v>2384</v>
      </c>
      <c r="D168" s="9" t="s">
        <v>2348</v>
      </c>
      <c r="E168" s="9" t="s">
        <v>745</v>
      </c>
      <c r="F168" s="9" t="s">
        <v>745</v>
      </c>
      <c r="G168" s="10" t="s">
        <v>2418</v>
      </c>
      <c r="H168" s="10" t="s">
        <v>2418</v>
      </c>
      <c r="I168" s="10" t="s">
        <v>2312</v>
      </c>
    </row>
    <row r="169" spans="1:9" ht="16.5" x14ac:dyDescent="0.3">
      <c r="A169" s="8">
        <v>171</v>
      </c>
      <c r="B169" s="9">
        <v>997</v>
      </c>
      <c r="C169" s="9" t="s">
        <v>2384</v>
      </c>
      <c r="D169" s="9" t="s">
        <v>2348</v>
      </c>
      <c r="E169" s="9" t="s">
        <v>746</v>
      </c>
      <c r="F169" s="9" t="s">
        <v>746</v>
      </c>
      <c r="G169" s="10" t="s">
        <v>1750</v>
      </c>
      <c r="H169" s="10" t="s">
        <v>1750</v>
      </c>
      <c r="I169" s="10" t="s">
        <v>2312</v>
      </c>
    </row>
    <row r="170" spans="1:9" ht="16.5" x14ac:dyDescent="0.3">
      <c r="A170" s="8">
        <v>172</v>
      </c>
      <c r="B170" s="9">
        <v>997</v>
      </c>
      <c r="C170" s="9" t="s">
        <v>2384</v>
      </c>
      <c r="D170" s="9" t="s">
        <v>2348</v>
      </c>
      <c r="E170" s="9"/>
      <c r="F170" s="9"/>
      <c r="G170" s="10" t="s">
        <v>1750</v>
      </c>
      <c r="H170" s="10" t="s">
        <v>1764</v>
      </c>
      <c r="I170" s="10" t="s">
        <v>2319</v>
      </c>
    </row>
    <row r="171" spans="1:9" ht="16.5" x14ac:dyDescent="0.3">
      <c r="A171" s="8">
        <v>173</v>
      </c>
      <c r="B171" s="9">
        <v>998</v>
      </c>
      <c r="C171" s="9" t="s">
        <v>2384</v>
      </c>
      <c r="D171" s="9" t="s">
        <v>2348</v>
      </c>
      <c r="E171" s="9" t="s">
        <v>771</v>
      </c>
      <c r="F171" s="9" t="s">
        <v>771</v>
      </c>
      <c r="G171" s="10" t="s">
        <v>1264</v>
      </c>
      <c r="H171" s="10" t="s">
        <v>1264</v>
      </c>
      <c r="I171" s="10" t="s">
        <v>2312</v>
      </c>
    </row>
    <row r="172" spans="1:9" ht="16.5" x14ac:dyDescent="0.3">
      <c r="A172" s="8">
        <v>174</v>
      </c>
      <c r="B172" s="9">
        <v>998</v>
      </c>
      <c r="C172" s="9" t="s">
        <v>2308</v>
      </c>
      <c r="D172" s="9" t="s">
        <v>2348</v>
      </c>
      <c r="E172" s="9" t="s">
        <v>502</v>
      </c>
      <c r="F172" s="9" t="s">
        <v>502</v>
      </c>
      <c r="G172" s="10" t="s">
        <v>1005</v>
      </c>
      <c r="H172" s="10" t="s">
        <v>1005</v>
      </c>
      <c r="I172" s="10" t="s">
        <v>2312</v>
      </c>
    </row>
    <row r="173" spans="1:9" ht="16.5" x14ac:dyDescent="0.3">
      <c r="A173" s="8">
        <v>175</v>
      </c>
      <c r="B173" s="9">
        <v>998</v>
      </c>
      <c r="C173" s="9" t="s">
        <v>2308</v>
      </c>
      <c r="D173" s="9" t="s">
        <v>2348</v>
      </c>
      <c r="E173" s="9" t="s">
        <v>502</v>
      </c>
      <c r="F173" s="9" t="s">
        <v>500</v>
      </c>
      <c r="G173" s="10" t="s">
        <v>1005</v>
      </c>
      <c r="H173" s="10" t="s">
        <v>2419</v>
      </c>
      <c r="I173" s="10" t="s">
        <v>2312</v>
      </c>
    </row>
    <row r="174" spans="1:9" ht="16.5" x14ac:dyDescent="0.3">
      <c r="A174" s="8">
        <v>176</v>
      </c>
      <c r="B174" s="9">
        <v>998</v>
      </c>
      <c r="C174" s="9" t="s">
        <v>2308</v>
      </c>
      <c r="D174" s="9" t="s">
        <v>2348</v>
      </c>
      <c r="E174" s="9" t="s">
        <v>502</v>
      </c>
      <c r="F174" s="9" t="s">
        <v>498</v>
      </c>
      <c r="G174" s="10" t="s">
        <v>1005</v>
      </c>
      <c r="H174" s="10" t="s">
        <v>2420</v>
      </c>
      <c r="I174" s="10" t="s">
        <v>2312</v>
      </c>
    </row>
    <row r="175" spans="1:9" ht="16.5" x14ac:dyDescent="0.3">
      <c r="A175" s="8">
        <v>177</v>
      </c>
      <c r="B175" s="9">
        <v>998</v>
      </c>
      <c r="C175" s="9" t="s">
        <v>2308</v>
      </c>
      <c r="D175" s="9" t="s">
        <v>2348</v>
      </c>
      <c r="E175" s="9" t="s">
        <v>1245</v>
      </c>
      <c r="F175" s="9" t="s">
        <v>1245</v>
      </c>
      <c r="G175" s="10" t="s">
        <v>2421</v>
      </c>
      <c r="H175" s="10" t="s">
        <v>2421</v>
      </c>
      <c r="I175" s="10" t="s">
        <v>2312</v>
      </c>
    </row>
    <row r="176" spans="1:9" ht="16.5" x14ac:dyDescent="0.3">
      <c r="A176" s="8">
        <v>178</v>
      </c>
      <c r="B176" s="9">
        <v>998</v>
      </c>
      <c r="C176" s="9" t="s">
        <v>2384</v>
      </c>
      <c r="D176" s="9" t="s">
        <v>2348</v>
      </c>
      <c r="G176" s="10" t="s">
        <v>751</v>
      </c>
      <c r="H176" s="10" t="s">
        <v>751</v>
      </c>
      <c r="I176" s="10" t="s">
        <v>2319</v>
      </c>
    </row>
    <row r="177" spans="1:9" ht="16.5" x14ac:dyDescent="0.3">
      <c r="A177" s="8">
        <v>179</v>
      </c>
      <c r="B177" s="9">
        <v>998</v>
      </c>
      <c r="C177" s="9" t="s">
        <v>2384</v>
      </c>
      <c r="D177" s="9" t="s">
        <v>2348</v>
      </c>
      <c r="G177" s="10" t="s">
        <v>751</v>
      </c>
      <c r="H177" s="10" t="s">
        <v>754</v>
      </c>
      <c r="I177" s="10" t="s">
        <v>2319</v>
      </c>
    </row>
    <row r="178" spans="1:9" ht="16.5" x14ac:dyDescent="0.3">
      <c r="A178" s="8">
        <v>180</v>
      </c>
      <c r="B178" s="9">
        <v>1</v>
      </c>
      <c r="C178" s="9" t="s">
        <v>2384</v>
      </c>
      <c r="D178" s="9" t="s">
        <v>2348</v>
      </c>
      <c r="G178" s="10" t="s">
        <v>1766</v>
      </c>
      <c r="H178" s="10" t="s">
        <v>1766</v>
      </c>
      <c r="I178" s="10" t="s">
        <v>2319</v>
      </c>
    </row>
    <row r="179" spans="1:9" ht="16.5" x14ac:dyDescent="0.3">
      <c r="A179" s="8">
        <v>181</v>
      </c>
      <c r="B179" s="9">
        <v>2</v>
      </c>
      <c r="C179" s="9" t="s">
        <v>2384</v>
      </c>
      <c r="D179" s="9" t="s">
        <v>2348</v>
      </c>
      <c r="G179" s="10" t="s">
        <v>1768</v>
      </c>
      <c r="H179" s="10" t="s">
        <v>1768</v>
      </c>
      <c r="I179" s="10" t="s">
        <v>2319</v>
      </c>
    </row>
    <row r="180" spans="1:9" ht="16.5" x14ac:dyDescent="0.3">
      <c r="A180" s="8">
        <v>182</v>
      </c>
      <c r="B180" s="9">
        <v>3</v>
      </c>
      <c r="C180" s="9" t="s">
        <v>2384</v>
      </c>
      <c r="D180" s="9" t="s">
        <v>2348</v>
      </c>
      <c r="G180" s="10" t="s">
        <v>1770</v>
      </c>
      <c r="H180" s="10" t="s">
        <v>1770</v>
      </c>
      <c r="I180" s="10" t="s">
        <v>2319</v>
      </c>
    </row>
    <row r="181" spans="1:9" ht="16.5" x14ac:dyDescent="0.3">
      <c r="A181" s="8">
        <v>183</v>
      </c>
      <c r="B181" s="9">
        <v>4</v>
      </c>
      <c r="C181" s="9" t="s">
        <v>2384</v>
      </c>
      <c r="D181" s="9" t="s">
        <v>2348</v>
      </c>
      <c r="G181" s="10" t="s">
        <v>1772</v>
      </c>
      <c r="H181" s="10" t="s">
        <v>1772</v>
      </c>
      <c r="I181" s="10" t="s">
        <v>2319</v>
      </c>
    </row>
    <row r="182" spans="1:9" ht="16.5" x14ac:dyDescent="0.3">
      <c r="A182" s="8">
        <v>184</v>
      </c>
      <c r="B182" s="9">
        <v>5</v>
      </c>
      <c r="C182" s="9" t="s">
        <v>2384</v>
      </c>
      <c r="D182" s="9" t="s">
        <v>2348</v>
      </c>
      <c r="G182" s="10" t="s">
        <v>1774</v>
      </c>
      <c r="H182" s="10" t="s">
        <v>1774</v>
      </c>
      <c r="I182" s="10" t="s">
        <v>2319</v>
      </c>
    </row>
    <row r="183" spans="1:9" ht="16.5" x14ac:dyDescent="0.3">
      <c r="A183" s="8">
        <v>185</v>
      </c>
      <c r="B183" s="9">
        <v>997</v>
      </c>
      <c r="C183" s="9" t="s">
        <v>2384</v>
      </c>
      <c r="D183" s="9" t="s">
        <v>2348</v>
      </c>
      <c r="G183" s="10" t="s">
        <v>1778</v>
      </c>
      <c r="H183" s="10" t="s">
        <v>1778</v>
      </c>
      <c r="I183" s="10" t="s">
        <v>2319</v>
      </c>
    </row>
    <row r="184" spans="1:9" ht="28.5" x14ac:dyDescent="0.3">
      <c r="A184" s="8">
        <v>186</v>
      </c>
      <c r="B184" s="9">
        <v>1</v>
      </c>
      <c r="C184" s="9" t="s">
        <v>2384</v>
      </c>
      <c r="D184" t="s">
        <v>2309</v>
      </c>
      <c r="E184" s="12" t="s">
        <v>2422</v>
      </c>
      <c r="F184" s="12" t="s">
        <v>2422</v>
      </c>
      <c r="G184" s="12" t="s">
        <v>2422</v>
      </c>
      <c r="H184" s="12" t="s">
        <v>2422</v>
      </c>
      <c r="I184" s="10" t="s">
        <v>2363</v>
      </c>
    </row>
    <row r="185" spans="1:9" ht="28.5" x14ac:dyDescent="0.3">
      <c r="A185" s="8">
        <v>187</v>
      </c>
      <c r="B185" s="9">
        <v>2</v>
      </c>
      <c r="C185" s="9" t="s">
        <v>2384</v>
      </c>
      <c r="D185" t="s">
        <v>2309</v>
      </c>
      <c r="E185" s="12" t="s">
        <v>2423</v>
      </c>
      <c r="F185" s="12" t="s">
        <v>2423</v>
      </c>
      <c r="G185" s="12" t="s">
        <v>2423</v>
      </c>
      <c r="H185" s="12" t="s">
        <v>2423</v>
      </c>
      <c r="I185" s="10" t="s">
        <v>2363</v>
      </c>
    </row>
    <row r="186" spans="1:9" ht="28.5" x14ac:dyDescent="0.3">
      <c r="A186" s="8">
        <v>188</v>
      </c>
      <c r="B186" s="9">
        <v>3</v>
      </c>
      <c r="C186" s="9" t="s">
        <v>2384</v>
      </c>
      <c r="D186" t="s">
        <v>2309</v>
      </c>
      <c r="E186" s="12" t="s">
        <v>2424</v>
      </c>
      <c r="F186" s="12" t="s">
        <v>2424</v>
      </c>
      <c r="G186" s="12" t="s">
        <v>2424</v>
      </c>
      <c r="H186" s="12" t="s">
        <v>2424</v>
      </c>
      <c r="I186" s="10" t="s">
        <v>2363</v>
      </c>
    </row>
    <row r="187" spans="1:9" ht="28.5" x14ac:dyDescent="0.3">
      <c r="A187" s="8">
        <v>189</v>
      </c>
      <c r="B187" s="9">
        <v>4</v>
      </c>
      <c r="C187" s="9" t="s">
        <v>2384</v>
      </c>
      <c r="D187" t="s">
        <v>2309</v>
      </c>
      <c r="E187" s="12" t="s">
        <v>2425</v>
      </c>
      <c r="F187" s="12" t="s">
        <v>2425</v>
      </c>
      <c r="G187" s="12" t="s">
        <v>2425</v>
      </c>
      <c r="H187" s="12" t="s">
        <v>2425</v>
      </c>
      <c r="I187" s="10" t="s">
        <v>2363</v>
      </c>
    </row>
    <row r="188" spans="1:9" ht="28.5" x14ac:dyDescent="0.3">
      <c r="A188" s="8">
        <v>190</v>
      </c>
      <c r="B188" s="9">
        <v>998</v>
      </c>
      <c r="C188" s="9" t="s">
        <v>2384</v>
      </c>
      <c r="D188" t="s">
        <v>2309</v>
      </c>
      <c r="E188" s="11" t="s">
        <v>895</v>
      </c>
      <c r="F188" s="11" t="s">
        <v>895</v>
      </c>
      <c r="G188" s="11" t="s">
        <v>895</v>
      </c>
      <c r="H188" s="11" t="s">
        <v>895</v>
      </c>
      <c r="I188" s="10" t="s">
        <v>2363</v>
      </c>
    </row>
    <row r="189" spans="1:9" ht="28.5" x14ac:dyDescent="0.3">
      <c r="A189" s="8">
        <v>191</v>
      </c>
      <c r="B189" s="9">
        <v>998</v>
      </c>
      <c r="C189" s="9" t="s">
        <v>2384</v>
      </c>
      <c r="D189" t="s">
        <v>2309</v>
      </c>
      <c r="E189" s="11" t="s">
        <v>2426</v>
      </c>
      <c r="F189" s="11" t="s">
        <v>2426</v>
      </c>
      <c r="G189" s="11" t="s">
        <v>2426</v>
      </c>
      <c r="H189" s="11" t="s">
        <v>2426</v>
      </c>
      <c r="I189" s="10" t="s">
        <v>2363</v>
      </c>
    </row>
    <row r="190" spans="1:9" ht="16.5" x14ac:dyDescent="0.3">
      <c r="A190" s="8">
        <v>192</v>
      </c>
      <c r="B190" s="9">
        <v>998</v>
      </c>
      <c r="C190" s="9" t="s">
        <v>2384</v>
      </c>
      <c r="D190" t="s">
        <v>2309</v>
      </c>
      <c r="E190" s="9" t="s">
        <v>893</v>
      </c>
      <c r="F190" s="9" t="s">
        <v>893</v>
      </c>
      <c r="G190" s="10" t="s">
        <v>893</v>
      </c>
      <c r="H190" s="10" t="s">
        <v>893</v>
      </c>
      <c r="I190" s="10" t="s">
        <v>2363</v>
      </c>
    </row>
    <row r="191" spans="1:9" ht="16.5" x14ac:dyDescent="0.3">
      <c r="A191" s="8">
        <v>193</v>
      </c>
      <c r="B191" s="9">
        <v>997</v>
      </c>
      <c r="C191" s="9" t="s">
        <v>2308</v>
      </c>
      <c r="D191" t="s">
        <v>2309</v>
      </c>
      <c r="E191" s="9" t="s">
        <v>2331</v>
      </c>
      <c r="F191" s="9" t="s">
        <v>2331</v>
      </c>
      <c r="G191" s="10" t="s">
        <v>2332</v>
      </c>
      <c r="H191" s="10" t="s">
        <v>1701</v>
      </c>
      <c r="I191" s="10" t="s">
        <v>2333</v>
      </c>
    </row>
    <row r="192" spans="1:9" ht="16.5" x14ac:dyDescent="0.3">
      <c r="A192" s="8">
        <v>194</v>
      </c>
      <c r="B192" s="9">
        <v>1</v>
      </c>
      <c r="C192" s="9" t="s">
        <v>2308</v>
      </c>
      <c r="D192" t="s">
        <v>2309</v>
      </c>
      <c r="E192" s="9" t="s">
        <v>1075</v>
      </c>
      <c r="F192" s="9" t="s">
        <v>1075</v>
      </c>
      <c r="G192" s="10" t="s">
        <v>1075</v>
      </c>
      <c r="H192" s="10" t="s">
        <v>1075</v>
      </c>
      <c r="I192" s="10" t="s">
        <v>2363</v>
      </c>
    </row>
    <row r="193" spans="1:9" ht="16.5" x14ac:dyDescent="0.3">
      <c r="A193" s="8">
        <v>195</v>
      </c>
      <c r="B193" s="9">
        <v>2</v>
      </c>
      <c r="C193" s="9" t="s">
        <v>2308</v>
      </c>
      <c r="D193" t="s">
        <v>2309</v>
      </c>
      <c r="E193" s="9" t="s">
        <v>1078</v>
      </c>
      <c r="F193" s="9" t="s">
        <v>1078</v>
      </c>
      <c r="G193" s="10" t="s">
        <v>1078</v>
      </c>
      <c r="H193" s="10" t="s">
        <v>1078</v>
      </c>
      <c r="I193" s="10" t="s">
        <v>2363</v>
      </c>
    </row>
    <row r="194" spans="1:9" ht="16.5" x14ac:dyDescent="0.3">
      <c r="A194" s="8">
        <v>196</v>
      </c>
      <c r="B194" s="9">
        <v>3</v>
      </c>
      <c r="C194" s="9" t="s">
        <v>2308</v>
      </c>
      <c r="D194" t="s">
        <v>2309</v>
      </c>
      <c r="E194" s="9" t="s">
        <v>1081</v>
      </c>
      <c r="F194" s="9" t="s">
        <v>1081</v>
      </c>
      <c r="G194" s="10" t="s">
        <v>1081</v>
      </c>
      <c r="H194" s="10" t="s">
        <v>1081</v>
      </c>
      <c r="I194" s="10" t="s">
        <v>2363</v>
      </c>
    </row>
    <row r="195" spans="1:9" ht="16.5" x14ac:dyDescent="0.3">
      <c r="A195" s="8">
        <v>197</v>
      </c>
      <c r="B195" s="9">
        <v>4</v>
      </c>
      <c r="C195" s="9" t="s">
        <v>2308</v>
      </c>
      <c r="D195" t="s">
        <v>2309</v>
      </c>
      <c r="E195" s="9" t="s">
        <v>938</v>
      </c>
      <c r="F195" s="9" t="s">
        <v>938</v>
      </c>
      <c r="G195" s="10" t="s">
        <v>938</v>
      </c>
      <c r="H195" s="10" t="s">
        <v>938</v>
      </c>
      <c r="I195" s="10" t="s">
        <v>2363</v>
      </c>
    </row>
    <row r="196" spans="1:9" ht="16.5" x14ac:dyDescent="0.3">
      <c r="A196" s="8">
        <v>198</v>
      </c>
      <c r="B196" s="9">
        <v>5</v>
      </c>
      <c r="C196" s="9" t="s">
        <v>2308</v>
      </c>
      <c r="D196" t="s">
        <v>2309</v>
      </c>
      <c r="E196" s="9" t="s">
        <v>1084</v>
      </c>
      <c r="F196" s="9" t="s">
        <v>1084</v>
      </c>
      <c r="G196" s="10" t="s">
        <v>1084</v>
      </c>
      <c r="H196" s="10" t="s">
        <v>1084</v>
      </c>
      <c r="I196" s="10" t="s">
        <v>2363</v>
      </c>
    </row>
    <row r="197" spans="1:9" ht="16.5" x14ac:dyDescent="0.3">
      <c r="A197" s="8">
        <v>199</v>
      </c>
      <c r="B197" s="9">
        <v>6</v>
      </c>
      <c r="C197" s="9" t="s">
        <v>2308</v>
      </c>
      <c r="D197" t="s">
        <v>2309</v>
      </c>
      <c r="E197" s="9" t="s">
        <v>1087</v>
      </c>
      <c r="F197" s="9" t="s">
        <v>1087</v>
      </c>
      <c r="G197" s="10" t="s">
        <v>1087</v>
      </c>
      <c r="H197" s="10" t="s">
        <v>1087</v>
      </c>
      <c r="I197" s="10" t="s">
        <v>2363</v>
      </c>
    </row>
    <row r="198" spans="1:9" ht="16.5" x14ac:dyDescent="0.3">
      <c r="A198" s="8">
        <v>200</v>
      </c>
      <c r="B198" s="9">
        <v>7</v>
      </c>
      <c r="C198" s="9" t="s">
        <v>2308</v>
      </c>
      <c r="D198" t="s">
        <v>2309</v>
      </c>
      <c r="E198" s="9" t="s">
        <v>1090</v>
      </c>
      <c r="F198" s="9" t="s">
        <v>1090</v>
      </c>
      <c r="G198" s="10" t="s">
        <v>1090</v>
      </c>
      <c r="H198" s="10" t="s">
        <v>1090</v>
      </c>
      <c r="I198" s="10" t="s">
        <v>2363</v>
      </c>
    </row>
    <row r="199" spans="1:9" ht="16.5" x14ac:dyDescent="0.3">
      <c r="A199" s="8">
        <v>201</v>
      </c>
      <c r="B199" s="9">
        <v>8</v>
      </c>
      <c r="C199" s="9" t="s">
        <v>2308</v>
      </c>
      <c r="D199" t="s">
        <v>2309</v>
      </c>
      <c r="E199" s="9" t="s">
        <v>1093</v>
      </c>
      <c r="F199" s="9" t="s">
        <v>1093</v>
      </c>
      <c r="G199" s="10" t="s">
        <v>1093</v>
      </c>
      <c r="H199" s="10" t="s">
        <v>1093</v>
      </c>
      <c r="I199" s="10" t="s">
        <v>2363</v>
      </c>
    </row>
    <row r="200" spans="1:9" ht="16.5" x14ac:dyDescent="0.3">
      <c r="A200" s="8">
        <v>202</v>
      </c>
      <c r="B200" s="9">
        <v>9</v>
      </c>
      <c r="C200" s="9" t="s">
        <v>2308</v>
      </c>
      <c r="D200" t="s">
        <v>2309</v>
      </c>
      <c r="E200" s="9" t="s">
        <v>1096</v>
      </c>
      <c r="F200" s="9" t="s">
        <v>1096</v>
      </c>
      <c r="G200" s="10" t="s">
        <v>1096</v>
      </c>
      <c r="H200" s="10" t="s">
        <v>1096</v>
      </c>
      <c r="I200" s="10" t="s">
        <v>2363</v>
      </c>
    </row>
    <row r="201" spans="1:9" ht="16.5" x14ac:dyDescent="0.3">
      <c r="A201" s="8">
        <v>203</v>
      </c>
      <c r="B201" s="9">
        <v>997</v>
      </c>
      <c r="C201" s="9" t="s">
        <v>2308</v>
      </c>
      <c r="D201" t="s">
        <v>2309</v>
      </c>
      <c r="E201" s="9" t="s">
        <v>2427</v>
      </c>
      <c r="F201" s="9" t="s">
        <v>2427</v>
      </c>
      <c r="G201" s="10" t="s">
        <v>2332</v>
      </c>
      <c r="H201" s="10" t="s">
        <v>1705</v>
      </c>
      <c r="I201" s="10" t="s">
        <v>2333</v>
      </c>
    </row>
    <row r="202" spans="1:9" ht="16.5" x14ac:dyDescent="0.3">
      <c r="A202" s="8">
        <v>204</v>
      </c>
      <c r="B202" s="9">
        <v>998</v>
      </c>
      <c r="C202" s="9" t="s">
        <v>2308</v>
      </c>
      <c r="D202" t="s">
        <v>2309</v>
      </c>
      <c r="E202" s="9" t="s">
        <v>533</v>
      </c>
      <c r="F202" s="9" t="s">
        <v>533</v>
      </c>
      <c r="G202" s="10" t="s">
        <v>533</v>
      </c>
      <c r="H202" s="10" t="s">
        <v>533</v>
      </c>
      <c r="I202" s="10" t="s">
        <v>2363</v>
      </c>
    </row>
    <row r="203" spans="1:9" ht="16.5" x14ac:dyDescent="0.3">
      <c r="A203" s="8">
        <v>205</v>
      </c>
      <c r="B203" t="s">
        <v>58</v>
      </c>
      <c r="C203" s="9" t="s">
        <v>2308</v>
      </c>
      <c r="D203" t="s">
        <v>2309</v>
      </c>
      <c r="E203" s="9" t="s">
        <v>2428</v>
      </c>
      <c r="F203" s="9" t="s">
        <v>2428</v>
      </c>
      <c r="G203" s="10" t="s">
        <v>2428</v>
      </c>
      <c r="H203" s="10" t="s">
        <v>2428</v>
      </c>
      <c r="I203" s="10" t="s">
        <v>2363</v>
      </c>
    </row>
    <row r="204" spans="1:9" ht="16.5" x14ac:dyDescent="0.3">
      <c r="A204" s="8">
        <v>206</v>
      </c>
      <c r="B204" t="s">
        <v>58</v>
      </c>
      <c r="C204" s="9" t="s">
        <v>2308</v>
      </c>
      <c r="D204" t="s">
        <v>2309</v>
      </c>
      <c r="E204" s="9" t="s">
        <v>2429</v>
      </c>
      <c r="F204" s="9" t="s">
        <v>2429</v>
      </c>
      <c r="G204" s="10" t="s">
        <v>2429</v>
      </c>
      <c r="H204" s="10" t="s">
        <v>2429</v>
      </c>
      <c r="I204" s="10" t="s">
        <v>2363</v>
      </c>
    </row>
    <row r="205" spans="1:9" ht="16.5" x14ac:dyDescent="0.3">
      <c r="A205" s="8">
        <v>207</v>
      </c>
      <c r="B205" s="9">
        <v>1</v>
      </c>
      <c r="C205" s="9" t="s">
        <v>2308</v>
      </c>
      <c r="D205" t="s">
        <v>2314</v>
      </c>
      <c r="E205" s="9" t="s">
        <v>1076</v>
      </c>
      <c r="F205" s="9" t="s">
        <v>1076</v>
      </c>
      <c r="G205" s="10" t="s">
        <v>1076</v>
      </c>
      <c r="H205" s="10" t="s">
        <v>1076</v>
      </c>
      <c r="I205" s="10" t="s">
        <v>2363</v>
      </c>
    </row>
    <row r="206" spans="1:9" ht="16.5" x14ac:dyDescent="0.3">
      <c r="A206" s="8">
        <v>208</v>
      </c>
      <c r="B206" s="9">
        <v>2</v>
      </c>
      <c r="C206" s="9" t="s">
        <v>2308</v>
      </c>
      <c r="D206" t="s">
        <v>2314</v>
      </c>
      <c r="E206" s="9" t="s">
        <v>1079</v>
      </c>
      <c r="F206" s="9" t="s">
        <v>1079</v>
      </c>
      <c r="G206" s="10" t="s">
        <v>1079</v>
      </c>
      <c r="H206" s="10" t="s">
        <v>1079</v>
      </c>
      <c r="I206" s="10" t="s">
        <v>2363</v>
      </c>
    </row>
    <row r="207" spans="1:9" ht="16.5" x14ac:dyDescent="0.3">
      <c r="A207" s="8">
        <v>209</v>
      </c>
      <c r="B207" s="9">
        <v>3</v>
      </c>
      <c r="C207" s="9" t="s">
        <v>2308</v>
      </c>
      <c r="D207" t="s">
        <v>2314</v>
      </c>
      <c r="E207" s="9" t="s">
        <v>1082</v>
      </c>
      <c r="F207" s="9" t="s">
        <v>1082</v>
      </c>
      <c r="G207" s="10" t="s">
        <v>1082</v>
      </c>
      <c r="H207" s="10" t="s">
        <v>1082</v>
      </c>
      <c r="I207" s="10" t="s">
        <v>2363</v>
      </c>
    </row>
    <row r="208" spans="1:9" ht="16.5" x14ac:dyDescent="0.3">
      <c r="A208" s="8">
        <v>210</v>
      </c>
      <c r="B208" s="9">
        <v>4</v>
      </c>
      <c r="C208" s="9" t="s">
        <v>2308</v>
      </c>
      <c r="D208" t="s">
        <v>2314</v>
      </c>
      <c r="E208" s="9" t="s">
        <v>939</v>
      </c>
      <c r="F208" s="9" t="s">
        <v>939</v>
      </c>
      <c r="G208" s="10" t="s">
        <v>939</v>
      </c>
      <c r="H208" s="10" t="s">
        <v>939</v>
      </c>
      <c r="I208" s="10" t="s">
        <v>2363</v>
      </c>
    </row>
    <row r="209" spans="1:9" ht="16.5" x14ac:dyDescent="0.3">
      <c r="A209" s="8">
        <v>211</v>
      </c>
      <c r="B209" s="9">
        <v>5</v>
      </c>
      <c r="C209" s="9" t="s">
        <v>2308</v>
      </c>
      <c r="D209" t="s">
        <v>2314</v>
      </c>
      <c r="E209" s="9" t="s">
        <v>1085</v>
      </c>
      <c r="F209" s="9" t="s">
        <v>1085</v>
      </c>
      <c r="G209" s="10" t="s">
        <v>1085</v>
      </c>
      <c r="H209" s="10" t="s">
        <v>1085</v>
      </c>
      <c r="I209" s="10" t="s">
        <v>2363</v>
      </c>
    </row>
    <row r="210" spans="1:9" ht="16.5" x14ac:dyDescent="0.3">
      <c r="A210" s="8">
        <v>212</v>
      </c>
      <c r="B210" s="9">
        <v>6</v>
      </c>
      <c r="C210" s="9" t="s">
        <v>2308</v>
      </c>
      <c r="D210" t="s">
        <v>2314</v>
      </c>
      <c r="E210" s="9" t="s">
        <v>1088</v>
      </c>
      <c r="F210" s="9" t="s">
        <v>1088</v>
      </c>
      <c r="G210" s="10" t="s">
        <v>1088</v>
      </c>
      <c r="H210" s="10" t="s">
        <v>1088</v>
      </c>
      <c r="I210" s="10" t="s">
        <v>2363</v>
      </c>
    </row>
    <row r="211" spans="1:9" ht="16.5" x14ac:dyDescent="0.3">
      <c r="A211" s="8">
        <v>213</v>
      </c>
      <c r="B211" s="9">
        <v>7</v>
      </c>
      <c r="C211" s="9" t="s">
        <v>2308</v>
      </c>
      <c r="D211" t="s">
        <v>2314</v>
      </c>
      <c r="E211" s="9" t="s">
        <v>1091</v>
      </c>
      <c r="F211" s="9" t="s">
        <v>1091</v>
      </c>
      <c r="G211" s="10" t="s">
        <v>1091</v>
      </c>
      <c r="H211" s="10" t="s">
        <v>1091</v>
      </c>
      <c r="I211" s="10" t="s">
        <v>2363</v>
      </c>
    </row>
    <row r="212" spans="1:9" ht="16.5" x14ac:dyDescent="0.3">
      <c r="A212" s="8">
        <v>214</v>
      </c>
      <c r="B212" s="9">
        <v>8</v>
      </c>
      <c r="C212" s="9" t="s">
        <v>2308</v>
      </c>
      <c r="D212" t="s">
        <v>2314</v>
      </c>
      <c r="E212" s="9" t="s">
        <v>1094</v>
      </c>
      <c r="F212" s="9" t="s">
        <v>1094</v>
      </c>
      <c r="G212" s="10" t="s">
        <v>1094</v>
      </c>
      <c r="H212" s="10" t="s">
        <v>1094</v>
      </c>
      <c r="I212" s="10" t="s">
        <v>2363</v>
      </c>
    </row>
    <row r="213" spans="1:9" ht="16.5" x14ac:dyDescent="0.3">
      <c r="A213" s="8">
        <v>215</v>
      </c>
      <c r="B213" s="9">
        <v>9</v>
      </c>
      <c r="C213" s="9" t="s">
        <v>2308</v>
      </c>
      <c r="D213" t="s">
        <v>2314</v>
      </c>
      <c r="E213" s="9" t="s">
        <v>1097</v>
      </c>
      <c r="F213" s="9" t="s">
        <v>1097</v>
      </c>
      <c r="G213" s="10" t="s">
        <v>1097</v>
      </c>
      <c r="H213" s="10" t="s">
        <v>1097</v>
      </c>
      <c r="I213" s="10" t="s">
        <v>2363</v>
      </c>
    </row>
    <row r="214" spans="1:9" ht="16.5" x14ac:dyDescent="0.3">
      <c r="A214" s="8">
        <v>216</v>
      </c>
      <c r="B214" s="9">
        <v>997</v>
      </c>
      <c r="C214" s="9" t="s">
        <v>2308</v>
      </c>
      <c r="D214" t="s">
        <v>2314</v>
      </c>
      <c r="E214" s="9" t="s">
        <v>2430</v>
      </c>
      <c r="F214" s="9" t="s">
        <v>2430</v>
      </c>
      <c r="G214" s="10" t="s">
        <v>2335</v>
      </c>
      <c r="H214" s="10" t="s">
        <v>1706</v>
      </c>
      <c r="I214" s="10" t="s">
        <v>2333</v>
      </c>
    </row>
    <row r="215" spans="1:9" ht="16.5" x14ac:dyDescent="0.3">
      <c r="A215" s="8">
        <v>217</v>
      </c>
      <c r="B215" t="s">
        <v>58</v>
      </c>
      <c r="C215" s="9" t="s">
        <v>2308</v>
      </c>
      <c r="D215" t="s">
        <v>2314</v>
      </c>
      <c r="E215" s="9" t="s">
        <v>2431</v>
      </c>
      <c r="F215" s="9" t="s">
        <v>2431</v>
      </c>
      <c r="G215" s="10" t="s">
        <v>2431</v>
      </c>
      <c r="H215" s="10" t="s">
        <v>2431</v>
      </c>
      <c r="I215" s="10" t="s">
        <v>2363</v>
      </c>
    </row>
    <row r="216" spans="1:9" ht="16.5" x14ac:dyDescent="0.3">
      <c r="A216" s="8">
        <v>218</v>
      </c>
      <c r="B216" t="s">
        <v>58</v>
      </c>
      <c r="C216" s="9" t="s">
        <v>2308</v>
      </c>
      <c r="D216" t="s">
        <v>2314</v>
      </c>
      <c r="E216" s="9" t="s">
        <v>2432</v>
      </c>
      <c r="F216" s="9" t="s">
        <v>2432</v>
      </c>
      <c r="G216" s="10" t="s">
        <v>2432</v>
      </c>
      <c r="H216" s="10" t="s">
        <v>2432</v>
      </c>
      <c r="I216" s="10" t="s">
        <v>2363</v>
      </c>
    </row>
    <row r="217" spans="1:9" ht="16.5" x14ac:dyDescent="0.3">
      <c r="A217" s="8">
        <v>219</v>
      </c>
      <c r="B217" t="s">
        <v>58</v>
      </c>
      <c r="C217" s="9" t="s">
        <v>2308</v>
      </c>
      <c r="D217" t="s">
        <v>2336</v>
      </c>
      <c r="E217" s="9" t="s">
        <v>2433</v>
      </c>
      <c r="F217" s="9" t="s">
        <v>2433</v>
      </c>
      <c r="G217" s="10" t="s">
        <v>2433</v>
      </c>
      <c r="H217" s="10" t="s">
        <v>2433</v>
      </c>
      <c r="I217" s="10" t="s">
        <v>2363</v>
      </c>
    </row>
    <row r="218" spans="1:9" ht="16.5" x14ac:dyDescent="0.3">
      <c r="A218" s="8">
        <v>220</v>
      </c>
      <c r="B218" t="s">
        <v>58</v>
      </c>
      <c r="C218" s="9" t="s">
        <v>2308</v>
      </c>
      <c r="D218" t="s">
        <v>2336</v>
      </c>
      <c r="E218" s="9"/>
      <c r="F218" s="9"/>
      <c r="G218" s="10" t="s">
        <v>2433</v>
      </c>
      <c r="H218" s="10" t="s">
        <v>2434</v>
      </c>
      <c r="I218" s="10" t="s">
        <v>2319</v>
      </c>
    </row>
    <row r="219" spans="1:9" ht="16.5" x14ac:dyDescent="0.3">
      <c r="A219" s="8">
        <v>221</v>
      </c>
      <c r="B219" t="s">
        <v>58</v>
      </c>
      <c r="C219" s="9" t="s">
        <v>2308</v>
      </c>
      <c r="D219" t="s">
        <v>2336</v>
      </c>
      <c r="E219" s="9" t="s">
        <v>2435</v>
      </c>
      <c r="F219" s="9" t="s">
        <v>2435</v>
      </c>
      <c r="G219" s="10" t="s">
        <v>2435</v>
      </c>
      <c r="H219" s="10" t="s">
        <v>2435</v>
      </c>
      <c r="I219" s="10" t="s">
        <v>2363</v>
      </c>
    </row>
    <row r="220" spans="1:9" ht="16.5" x14ac:dyDescent="0.3">
      <c r="A220" s="8">
        <v>222</v>
      </c>
      <c r="B220" t="s">
        <v>58</v>
      </c>
      <c r="C220" s="9" t="s">
        <v>2308</v>
      </c>
      <c r="D220" t="s">
        <v>2336</v>
      </c>
      <c r="E220" s="9"/>
      <c r="F220" s="9"/>
      <c r="G220" s="10" t="s">
        <v>2435</v>
      </c>
      <c r="H220" s="10" t="s">
        <v>2436</v>
      </c>
      <c r="I220" s="10" t="s">
        <v>2319</v>
      </c>
    </row>
    <row r="221" spans="1:9" ht="16.5" x14ac:dyDescent="0.3">
      <c r="A221" s="8">
        <v>223</v>
      </c>
      <c r="B221" t="s">
        <v>58</v>
      </c>
      <c r="C221" s="9" t="s">
        <v>2308</v>
      </c>
      <c r="D221" t="s">
        <v>2336</v>
      </c>
      <c r="E221" s="9" t="s">
        <v>2437</v>
      </c>
      <c r="F221" s="9" t="s">
        <v>2437</v>
      </c>
      <c r="G221" s="10" t="s">
        <v>2437</v>
      </c>
      <c r="H221" s="10" t="s">
        <v>2437</v>
      </c>
      <c r="I221" s="10" t="s">
        <v>2363</v>
      </c>
    </row>
    <row r="222" spans="1:9" ht="16.5" x14ac:dyDescent="0.3">
      <c r="A222" s="8">
        <v>224</v>
      </c>
      <c r="B222" t="s">
        <v>58</v>
      </c>
      <c r="C222" s="9" t="s">
        <v>2308</v>
      </c>
      <c r="D222" t="s">
        <v>2336</v>
      </c>
      <c r="E222" s="9"/>
      <c r="F222" s="9"/>
      <c r="G222" s="10" t="s">
        <v>2437</v>
      </c>
      <c r="H222" s="10" t="s">
        <v>2438</v>
      </c>
      <c r="I222" s="10" t="s">
        <v>2319</v>
      </c>
    </row>
    <row r="223" spans="1:9" ht="16.5" x14ac:dyDescent="0.3">
      <c r="A223" s="8">
        <v>225</v>
      </c>
      <c r="B223" t="s">
        <v>58</v>
      </c>
      <c r="C223" s="9" t="s">
        <v>2308</v>
      </c>
      <c r="D223" t="s">
        <v>2336</v>
      </c>
      <c r="E223" s="9" t="s">
        <v>2439</v>
      </c>
      <c r="F223" s="9" t="s">
        <v>2439</v>
      </c>
      <c r="G223" s="10" t="s">
        <v>2439</v>
      </c>
      <c r="H223" s="10" t="s">
        <v>2439</v>
      </c>
      <c r="I223" s="10" t="s">
        <v>2363</v>
      </c>
    </row>
    <row r="224" spans="1:9" ht="16.5" x14ac:dyDescent="0.3">
      <c r="A224" s="8">
        <v>226</v>
      </c>
      <c r="B224" t="s">
        <v>58</v>
      </c>
      <c r="C224" s="9" t="s">
        <v>2308</v>
      </c>
      <c r="D224" t="s">
        <v>2336</v>
      </c>
      <c r="E224" s="9"/>
      <c r="F224" s="9"/>
      <c r="G224" s="10" t="s">
        <v>2439</v>
      </c>
      <c r="H224" s="10" t="s">
        <v>2440</v>
      </c>
      <c r="I224" s="10" t="s">
        <v>2319</v>
      </c>
    </row>
    <row r="225" spans="1:9" ht="16.5" x14ac:dyDescent="0.3">
      <c r="A225" s="8">
        <v>227</v>
      </c>
      <c r="B225" t="s">
        <v>58</v>
      </c>
      <c r="C225" s="9" t="s">
        <v>2308</v>
      </c>
      <c r="D225" t="s">
        <v>2336</v>
      </c>
      <c r="E225" s="9" t="s">
        <v>2441</v>
      </c>
      <c r="F225" s="9" t="s">
        <v>2441</v>
      </c>
      <c r="G225" s="10" t="s">
        <v>2441</v>
      </c>
      <c r="H225" s="10" t="s">
        <v>2441</v>
      </c>
      <c r="I225" s="10" t="s">
        <v>2363</v>
      </c>
    </row>
    <row r="226" spans="1:9" ht="16.5" x14ac:dyDescent="0.3">
      <c r="A226" s="8">
        <v>228</v>
      </c>
      <c r="B226" t="s">
        <v>58</v>
      </c>
      <c r="C226" s="9" t="s">
        <v>2308</v>
      </c>
      <c r="D226" t="s">
        <v>2336</v>
      </c>
      <c r="E226" s="9"/>
      <c r="F226" s="9"/>
      <c r="G226" s="10" t="s">
        <v>2441</v>
      </c>
      <c r="H226" s="10" t="s">
        <v>2442</v>
      </c>
      <c r="I226" s="10" t="s">
        <v>2319</v>
      </c>
    </row>
    <row r="227" spans="1:9" ht="16.5" x14ac:dyDescent="0.3">
      <c r="A227" s="8">
        <v>229</v>
      </c>
      <c r="B227" t="s">
        <v>58</v>
      </c>
      <c r="C227" s="9" t="s">
        <v>2308</v>
      </c>
      <c r="D227" t="s">
        <v>2336</v>
      </c>
      <c r="E227" s="9" t="s">
        <v>2443</v>
      </c>
      <c r="F227" s="9" t="s">
        <v>2443</v>
      </c>
      <c r="G227" s="10" t="s">
        <v>2443</v>
      </c>
      <c r="H227" s="10" t="s">
        <v>2443</v>
      </c>
      <c r="I227" s="10" t="s">
        <v>2363</v>
      </c>
    </row>
    <row r="228" spans="1:9" ht="16.5" x14ac:dyDescent="0.3">
      <c r="A228" s="8">
        <v>230</v>
      </c>
      <c r="B228" t="s">
        <v>58</v>
      </c>
      <c r="C228" s="9" t="s">
        <v>2308</v>
      </c>
      <c r="D228" t="s">
        <v>2336</v>
      </c>
      <c r="E228" s="9"/>
      <c r="F228" s="9"/>
      <c r="G228" s="10" t="s">
        <v>2443</v>
      </c>
      <c r="H228" s="10" t="s">
        <v>2444</v>
      </c>
      <c r="I228" s="10" t="s">
        <v>2319</v>
      </c>
    </row>
    <row r="229" spans="1:9" ht="16.5" x14ac:dyDescent="0.3">
      <c r="A229" s="8">
        <v>231</v>
      </c>
      <c r="B229">
        <v>998</v>
      </c>
      <c r="C229" s="9" t="s">
        <v>2308</v>
      </c>
      <c r="D229" t="s">
        <v>2348</v>
      </c>
      <c r="E229" s="9" t="s">
        <v>1842</v>
      </c>
      <c r="F229" s="9" t="s">
        <v>1842</v>
      </c>
      <c r="G229" s="10" t="s">
        <v>1842</v>
      </c>
      <c r="H229" s="10" t="s">
        <v>1842</v>
      </c>
      <c r="I229" s="10" t="s">
        <v>2363</v>
      </c>
    </row>
    <row r="230" spans="1:9" ht="16.5" x14ac:dyDescent="0.3">
      <c r="A230" s="8">
        <v>232</v>
      </c>
      <c r="B230">
        <v>998</v>
      </c>
      <c r="C230" s="9" t="s">
        <v>2308</v>
      </c>
      <c r="D230" t="s">
        <v>2348</v>
      </c>
      <c r="E230" s="9" t="s">
        <v>1842</v>
      </c>
      <c r="F230" s="9" t="s">
        <v>2358</v>
      </c>
      <c r="G230" s="10" t="s">
        <v>1842</v>
      </c>
      <c r="H230" s="10" t="s">
        <v>2358</v>
      </c>
      <c r="I230" s="10" t="s">
        <v>2363</v>
      </c>
    </row>
    <row r="231" spans="1:9" ht="16.5" x14ac:dyDescent="0.3">
      <c r="A231" s="8">
        <v>233</v>
      </c>
      <c r="B231">
        <v>998</v>
      </c>
      <c r="C231" s="9" t="s">
        <v>2308</v>
      </c>
      <c r="D231" t="s">
        <v>2348</v>
      </c>
      <c r="E231" s="9" t="s">
        <v>1842</v>
      </c>
      <c r="F231" s="9" t="s">
        <v>2360</v>
      </c>
      <c r="G231" s="10" t="s">
        <v>1842</v>
      </c>
      <c r="H231" s="10" t="s">
        <v>2360</v>
      </c>
      <c r="I231" s="10" t="s">
        <v>2363</v>
      </c>
    </row>
    <row r="232" spans="1:9" ht="16.5" x14ac:dyDescent="0.3">
      <c r="A232" s="8">
        <v>234</v>
      </c>
      <c r="B232" t="s">
        <v>58</v>
      </c>
      <c r="C232" s="9" t="s">
        <v>2308</v>
      </c>
      <c r="D232" t="s">
        <v>2336</v>
      </c>
      <c r="E232" s="9" t="s">
        <v>2437</v>
      </c>
      <c r="F232" s="9" t="s">
        <v>2437</v>
      </c>
      <c r="G232" s="10" t="s">
        <v>2437</v>
      </c>
      <c r="H232" s="10" t="s">
        <v>2437</v>
      </c>
      <c r="I232" s="10" t="s">
        <v>2445</v>
      </c>
    </row>
    <row r="233" spans="1:9" ht="16.5" x14ac:dyDescent="0.3">
      <c r="A233" s="8">
        <v>235</v>
      </c>
      <c r="B233" s="9" t="s">
        <v>58</v>
      </c>
      <c r="C233" s="9" t="s">
        <v>2308</v>
      </c>
      <c r="D233" s="9" t="s">
        <v>2336</v>
      </c>
      <c r="E233" s="9" t="s">
        <v>2437</v>
      </c>
      <c r="F233" s="9" t="s">
        <v>2437</v>
      </c>
      <c r="G233" s="10" t="s">
        <v>2446</v>
      </c>
      <c r="H233" s="10" t="s">
        <v>2446</v>
      </c>
      <c r="I233" s="10" t="s">
        <v>2445</v>
      </c>
    </row>
    <row r="234" spans="1:9" ht="16.5" x14ac:dyDescent="0.3">
      <c r="A234" s="8">
        <v>236</v>
      </c>
      <c r="B234" s="9" t="s">
        <v>58</v>
      </c>
      <c r="C234" s="9" t="s">
        <v>2308</v>
      </c>
      <c r="D234" s="9" t="s">
        <v>2336</v>
      </c>
      <c r="E234" s="9" t="s">
        <v>2437</v>
      </c>
      <c r="F234" s="9" t="s">
        <v>2437</v>
      </c>
      <c r="G234" s="10" t="s">
        <v>2447</v>
      </c>
      <c r="H234" s="10" t="s">
        <v>2447</v>
      </c>
      <c r="I234" s="10" t="s">
        <v>2445</v>
      </c>
    </row>
    <row r="235" spans="1:9" ht="16.5" x14ac:dyDescent="0.3">
      <c r="A235" s="8">
        <v>237</v>
      </c>
      <c r="B235" s="9" t="s">
        <v>58</v>
      </c>
      <c r="C235" s="9" t="s">
        <v>2308</v>
      </c>
      <c r="D235" s="9" t="s">
        <v>2336</v>
      </c>
      <c r="E235" s="9" t="s">
        <v>2441</v>
      </c>
      <c r="F235" s="9" t="s">
        <v>2441</v>
      </c>
      <c r="G235" s="10" t="s">
        <v>2441</v>
      </c>
      <c r="H235" s="10" t="s">
        <v>2441</v>
      </c>
      <c r="I235" s="10" t="s">
        <v>2445</v>
      </c>
    </row>
    <row r="236" spans="1:9" ht="16.5" x14ac:dyDescent="0.3">
      <c r="A236" s="8">
        <v>238</v>
      </c>
      <c r="B236" s="9" t="s">
        <v>58</v>
      </c>
      <c r="C236" s="9" t="s">
        <v>2308</v>
      </c>
      <c r="D236" s="9" t="s">
        <v>2336</v>
      </c>
      <c r="E236" s="9" t="s">
        <v>2441</v>
      </c>
      <c r="F236" s="9" t="s">
        <v>2441</v>
      </c>
      <c r="G236" s="10" t="s">
        <v>2448</v>
      </c>
      <c r="H236" s="10" t="s">
        <v>2448</v>
      </c>
      <c r="I236" s="10" t="s">
        <v>2445</v>
      </c>
    </row>
    <row r="237" spans="1:9" ht="16.5" x14ac:dyDescent="0.3">
      <c r="A237" s="8">
        <v>239</v>
      </c>
      <c r="B237" s="9" t="s">
        <v>58</v>
      </c>
      <c r="C237" s="9" t="s">
        <v>2308</v>
      </c>
      <c r="D237" s="9" t="s">
        <v>2336</v>
      </c>
      <c r="E237" s="9" t="s">
        <v>2441</v>
      </c>
      <c r="F237" s="9" t="s">
        <v>2441</v>
      </c>
      <c r="G237" s="10" t="s">
        <v>2449</v>
      </c>
      <c r="H237" s="10" t="s">
        <v>2449</v>
      </c>
      <c r="I237" s="10" t="s">
        <v>2445</v>
      </c>
    </row>
    <row r="238" spans="1:9" ht="16.5" x14ac:dyDescent="0.3">
      <c r="A238" s="8">
        <v>240</v>
      </c>
      <c r="B238" s="9" t="s">
        <v>58</v>
      </c>
      <c r="C238" s="9" t="s">
        <v>2308</v>
      </c>
      <c r="D238" s="9" t="s">
        <v>2336</v>
      </c>
      <c r="E238" s="9" t="s">
        <v>2439</v>
      </c>
      <c r="F238" s="9" t="s">
        <v>2439</v>
      </c>
      <c r="G238" s="10" t="s">
        <v>2439</v>
      </c>
      <c r="H238" s="10" t="s">
        <v>2439</v>
      </c>
      <c r="I238" s="10" t="s">
        <v>2445</v>
      </c>
    </row>
    <row r="239" spans="1:9" ht="16.5" x14ac:dyDescent="0.3">
      <c r="A239" s="8">
        <v>241</v>
      </c>
      <c r="B239" s="9" t="s">
        <v>58</v>
      </c>
      <c r="C239" s="9" t="s">
        <v>2308</v>
      </c>
      <c r="D239" s="9" t="s">
        <v>2336</v>
      </c>
      <c r="E239" s="9" t="s">
        <v>2439</v>
      </c>
      <c r="F239" s="9" t="s">
        <v>2439</v>
      </c>
      <c r="G239" s="10" t="s">
        <v>2450</v>
      </c>
      <c r="H239" s="10" t="s">
        <v>2450</v>
      </c>
      <c r="I239" s="10" t="s">
        <v>2445</v>
      </c>
    </row>
    <row r="240" spans="1:9" ht="16.5" x14ac:dyDescent="0.3">
      <c r="A240" s="8">
        <v>242</v>
      </c>
      <c r="B240" s="9" t="s">
        <v>58</v>
      </c>
      <c r="C240" s="9" t="s">
        <v>2308</v>
      </c>
      <c r="D240" s="9" t="s">
        <v>2336</v>
      </c>
      <c r="E240" s="9" t="s">
        <v>2439</v>
      </c>
      <c r="F240" s="9" t="s">
        <v>2439</v>
      </c>
      <c r="G240" s="10" t="s">
        <v>2451</v>
      </c>
      <c r="H240" s="10" t="s">
        <v>2451</v>
      </c>
      <c r="I240" s="10" t="s">
        <v>2445</v>
      </c>
    </row>
    <row r="241" spans="1:9" ht="16.5" x14ac:dyDescent="0.3">
      <c r="A241" s="8">
        <v>243</v>
      </c>
      <c r="B241" s="9" t="s">
        <v>58</v>
      </c>
      <c r="C241" s="9" t="s">
        <v>2308</v>
      </c>
      <c r="D241" s="9" t="s">
        <v>2336</v>
      </c>
      <c r="E241" s="9" t="s">
        <v>2443</v>
      </c>
      <c r="F241" s="9" t="s">
        <v>2443</v>
      </c>
      <c r="G241" s="10" t="s">
        <v>2443</v>
      </c>
      <c r="H241" s="10" t="s">
        <v>2443</v>
      </c>
      <c r="I241" s="10" t="s">
        <v>2445</v>
      </c>
    </row>
    <row r="242" spans="1:9" ht="16.5" x14ac:dyDescent="0.3">
      <c r="A242" s="8">
        <v>244</v>
      </c>
      <c r="B242" s="9" t="s">
        <v>58</v>
      </c>
      <c r="C242" s="9" t="s">
        <v>2308</v>
      </c>
      <c r="D242" s="9" t="s">
        <v>2336</v>
      </c>
      <c r="E242" s="9" t="s">
        <v>2443</v>
      </c>
      <c r="F242" s="9" t="s">
        <v>2443</v>
      </c>
      <c r="G242" s="10" t="s">
        <v>2452</v>
      </c>
      <c r="H242" s="10" t="s">
        <v>2452</v>
      </c>
      <c r="I242" s="10" t="s">
        <v>2445</v>
      </c>
    </row>
    <row r="243" spans="1:9" ht="16.5" x14ac:dyDescent="0.3">
      <c r="A243" s="8">
        <v>245</v>
      </c>
      <c r="B243" s="9" t="s">
        <v>58</v>
      </c>
      <c r="C243" s="9" t="s">
        <v>2308</v>
      </c>
      <c r="D243" s="9" t="s">
        <v>2336</v>
      </c>
      <c r="E243" s="9" t="s">
        <v>2443</v>
      </c>
      <c r="F243" s="9" t="s">
        <v>2443</v>
      </c>
      <c r="G243" s="10" t="s">
        <v>2453</v>
      </c>
      <c r="H243" s="10" t="s">
        <v>2453</v>
      </c>
      <c r="I243" s="10" t="s">
        <v>2445</v>
      </c>
    </row>
    <row r="244" spans="1:9" ht="16.5" x14ac:dyDescent="0.3">
      <c r="A244" s="8">
        <v>246</v>
      </c>
      <c r="B244" s="9" t="s">
        <v>58</v>
      </c>
      <c r="C244" s="9" t="s">
        <v>2308</v>
      </c>
      <c r="D244" s="9" t="s">
        <v>2348</v>
      </c>
      <c r="E244" s="9" t="s">
        <v>908</v>
      </c>
      <c r="F244" s="9" t="s">
        <v>908</v>
      </c>
      <c r="G244" s="10" t="s">
        <v>908</v>
      </c>
      <c r="H244" s="10" t="s">
        <v>908</v>
      </c>
      <c r="I244" s="10" t="s">
        <v>2445</v>
      </c>
    </row>
    <row r="245" spans="1:9" ht="16.5" x14ac:dyDescent="0.3">
      <c r="A245" s="8">
        <v>247</v>
      </c>
      <c r="B245" s="9" t="s">
        <v>58</v>
      </c>
      <c r="C245" s="9" t="s">
        <v>2308</v>
      </c>
      <c r="D245" s="9" t="s">
        <v>2348</v>
      </c>
      <c r="E245" s="9"/>
      <c r="F245" s="9"/>
      <c r="G245" s="10" t="s">
        <v>908</v>
      </c>
      <c r="H245" s="10" t="s">
        <v>2454</v>
      </c>
      <c r="I245" s="10" t="s">
        <v>2445</v>
      </c>
    </row>
    <row r="246" spans="1:9" ht="16.5" x14ac:dyDescent="0.3">
      <c r="A246" s="8">
        <v>248</v>
      </c>
      <c r="B246" s="9" t="s">
        <v>58</v>
      </c>
      <c r="C246" s="9" t="s">
        <v>2308</v>
      </c>
      <c r="D246" s="9" t="s">
        <v>2348</v>
      </c>
      <c r="E246" s="9"/>
      <c r="F246" s="9"/>
      <c r="G246" s="10" t="s">
        <v>908</v>
      </c>
      <c r="H246" s="10" t="s">
        <v>2455</v>
      </c>
      <c r="I246" s="10" t="s">
        <v>2445</v>
      </c>
    </row>
    <row r="247" spans="1:9" ht="16.5" x14ac:dyDescent="0.3">
      <c r="A247" s="8">
        <v>249</v>
      </c>
      <c r="B247" s="9" t="s">
        <v>58</v>
      </c>
      <c r="C247" s="9" t="s">
        <v>2308</v>
      </c>
      <c r="D247" s="9" t="s">
        <v>2348</v>
      </c>
      <c r="E247" s="9" t="s">
        <v>909</v>
      </c>
      <c r="F247" s="9" t="s">
        <v>909</v>
      </c>
      <c r="G247" s="10" t="s">
        <v>909</v>
      </c>
      <c r="H247" s="10" t="s">
        <v>909</v>
      </c>
      <c r="I247" s="10" t="s">
        <v>2445</v>
      </c>
    </row>
    <row r="248" spans="1:9" ht="16.5" x14ac:dyDescent="0.3">
      <c r="A248" s="8">
        <v>250</v>
      </c>
      <c r="B248" s="9" t="s">
        <v>58</v>
      </c>
      <c r="C248" s="9" t="s">
        <v>2308</v>
      </c>
      <c r="D248" s="9" t="s">
        <v>2348</v>
      </c>
      <c r="E248" s="9"/>
      <c r="F248" s="9"/>
      <c r="G248" s="10" t="s">
        <v>909</v>
      </c>
      <c r="H248" s="10" t="s">
        <v>2456</v>
      </c>
      <c r="I248" s="10" t="s">
        <v>2445</v>
      </c>
    </row>
    <row r="249" spans="1:9" ht="16.5" x14ac:dyDescent="0.3">
      <c r="A249" s="8">
        <v>251</v>
      </c>
      <c r="B249" s="9" t="s">
        <v>58</v>
      </c>
      <c r="C249" s="9" t="s">
        <v>2308</v>
      </c>
      <c r="D249" s="9" t="s">
        <v>2348</v>
      </c>
      <c r="E249" s="9"/>
      <c r="F249" s="9"/>
      <c r="G249" s="10" t="s">
        <v>909</v>
      </c>
      <c r="H249" s="10" t="s">
        <v>2457</v>
      </c>
      <c r="I249" s="10" t="s">
        <v>2445</v>
      </c>
    </row>
    <row r="250" spans="1:9" ht="16.5" x14ac:dyDescent="0.3">
      <c r="A250" s="8">
        <v>252</v>
      </c>
      <c r="B250" s="9" t="s">
        <v>58</v>
      </c>
      <c r="C250" s="9" t="s">
        <v>2308</v>
      </c>
      <c r="D250" s="9" t="s">
        <v>2348</v>
      </c>
      <c r="E250" s="9" t="s">
        <v>2458</v>
      </c>
      <c r="F250" s="9" t="s">
        <v>2459</v>
      </c>
      <c r="G250" s="10" t="s">
        <v>2460</v>
      </c>
      <c r="H250" s="10" t="s">
        <v>2459</v>
      </c>
      <c r="I250" s="10" t="s">
        <v>2445</v>
      </c>
    </row>
    <row r="251" spans="1:9" ht="16.5" x14ac:dyDescent="0.3">
      <c r="A251" s="8">
        <v>253</v>
      </c>
      <c r="B251" s="9" t="s">
        <v>58</v>
      </c>
      <c r="C251" s="9" t="s">
        <v>2308</v>
      </c>
      <c r="D251" s="9" t="s">
        <v>2348</v>
      </c>
      <c r="E251" s="9" t="s">
        <v>2458</v>
      </c>
      <c r="F251" s="9" t="s">
        <v>2461</v>
      </c>
      <c r="G251" s="10" t="s">
        <v>2460</v>
      </c>
      <c r="H251" s="10" t="s">
        <v>2461</v>
      </c>
      <c r="I251" s="10" t="s">
        <v>2445</v>
      </c>
    </row>
    <row r="252" spans="1:9" ht="16.5" x14ac:dyDescent="0.3">
      <c r="A252" s="8">
        <v>254</v>
      </c>
      <c r="B252" s="9" t="s">
        <v>58</v>
      </c>
      <c r="C252" s="9" t="s">
        <v>2308</v>
      </c>
      <c r="D252" s="9" t="s">
        <v>2348</v>
      </c>
      <c r="E252" s="9" t="s">
        <v>2458</v>
      </c>
      <c r="F252" s="9" t="s">
        <v>2462</v>
      </c>
      <c r="G252" s="10" t="s">
        <v>2458</v>
      </c>
      <c r="H252" s="10" t="s">
        <v>2462</v>
      </c>
      <c r="I252" s="10" t="s">
        <v>2445</v>
      </c>
    </row>
    <row r="253" spans="1:9" ht="16.5" x14ac:dyDescent="0.3">
      <c r="A253" s="8">
        <v>255</v>
      </c>
      <c r="B253" s="9" t="s">
        <v>58</v>
      </c>
      <c r="C253" s="9" t="s">
        <v>2308</v>
      </c>
      <c r="D253" s="9" t="s">
        <v>2348</v>
      </c>
      <c r="E253" s="9" t="s">
        <v>2458</v>
      </c>
      <c r="F253" s="9" t="s">
        <v>2463</v>
      </c>
      <c r="G253" s="10" t="s">
        <v>2458</v>
      </c>
      <c r="H253" s="10" t="s">
        <v>2463</v>
      </c>
      <c r="I253" s="10" t="s">
        <v>2445</v>
      </c>
    </row>
    <row r="254" spans="1:9" ht="16.5" x14ac:dyDescent="0.3">
      <c r="A254" s="8">
        <v>256</v>
      </c>
      <c r="B254" s="9" t="s">
        <v>58</v>
      </c>
      <c r="C254" s="9" t="s">
        <v>2308</v>
      </c>
      <c r="D254" s="9" t="s">
        <v>2348</v>
      </c>
      <c r="E254" s="9"/>
      <c r="F254" s="9"/>
      <c r="G254" s="10" t="s">
        <v>2458</v>
      </c>
      <c r="H254" s="10" t="s">
        <v>2464</v>
      </c>
      <c r="I254" s="10" t="s">
        <v>2445</v>
      </c>
    </row>
    <row r="255" spans="1:9" ht="16.5" x14ac:dyDescent="0.3">
      <c r="A255" s="8">
        <v>257</v>
      </c>
      <c r="B255" s="9" t="s">
        <v>58</v>
      </c>
      <c r="C255" s="9" t="s">
        <v>2308</v>
      </c>
      <c r="D255" s="9" t="s">
        <v>2348</v>
      </c>
      <c r="E255" s="9"/>
      <c r="F255" s="9"/>
      <c r="G255" s="10" t="s">
        <v>2458</v>
      </c>
      <c r="H255" s="10" t="s">
        <v>2465</v>
      </c>
      <c r="I255" s="10" t="s">
        <v>2445</v>
      </c>
    </row>
    <row r="256" spans="1:9" ht="16.5" x14ac:dyDescent="0.3">
      <c r="A256" s="8">
        <v>258</v>
      </c>
      <c r="B256" s="9" t="s">
        <v>58</v>
      </c>
      <c r="C256" s="9" t="s">
        <v>2308</v>
      </c>
      <c r="D256" s="9" t="s">
        <v>2348</v>
      </c>
      <c r="E256" s="9"/>
      <c r="F256" s="9"/>
      <c r="G256" s="10" t="s">
        <v>2458</v>
      </c>
      <c r="H256" s="10" t="s">
        <v>2466</v>
      </c>
      <c r="I256" s="10" t="s">
        <v>2445</v>
      </c>
    </row>
    <row r="257" spans="1:9" ht="16.5" x14ac:dyDescent="0.3">
      <c r="A257" s="8">
        <v>259</v>
      </c>
      <c r="B257" s="9" t="s">
        <v>58</v>
      </c>
      <c r="C257" s="9" t="s">
        <v>2308</v>
      </c>
      <c r="D257" s="9" t="s">
        <v>2348</v>
      </c>
      <c r="E257" s="9"/>
      <c r="F257" s="9"/>
      <c r="G257" s="10" t="s">
        <v>2458</v>
      </c>
      <c r="H257" s="10" t="s">
        <v>2467</v>
      </c>
      <c r="I257" s="10" t="s">
        <v>2445</v>
      </c>
    </row>
    <row r="258" spans="1:9" ht="16.5" x14ac:dyDescent="0.3">
      <c r="A258" s="8">
        <v>260</v>
      </c>
      <c r="B258" s="9" t="s">
        <v>58</v>
      </c>
      <c r="C258" s="9" t="s">
        <v>2308</v>
      </c>
      <c r="D258" s="9" t="s">
        <v>2348</v>
      </c>
      <c r="E258" s="9" t="s">
        <v>2468</v>
      </c>
      <c r="F258" s="9" t="s">
        <v>2469</v>
      </c>
      <c r="G258" s="10" t="s">
        <v>2468</v>
      </c>
      <c r="H258" s="10" t="s">
        <v>2469</v>
      </c>
      <c r="I258" s="10" t="s">
        <v>2445</v>
      </c>
    </row>
    <row r="259" spans="1:9" ht="16.5" x14ac:dyDescent="0.3">
      <c r="A259" s="8">
        <v>261</v>
      </c>
      <c r="B259" s="9" t="s">
        <v>58</v>
      </c>
      <c r="C259" s="9" t="s">
        <v>2308</v>
      </c>
      <c r="D259" s="9" t="s">
        <v>2348</v>
      </c>
      <c r="E259" s="9" t="s">
        <v>2468</v>
      </c>
      <c r="F259" s="9" t="s">
        <v>2470</v>
      </c>
      <c r="G259" s="10" t="s">
        <v>2468</v>
      </c>
      <c r="H259" s="10" t="s">
        <v>2470</v>
      </c>
      <c r="I259" s="10" t="s">
        <v>2445</v>
      </c>
    </row>
    <row r="260" spans="1:9" ht="16.5" x14ac:dyDescent="0.3">
      <c r="A260" s="8">
        <v>262</v>
      </c>
      <c r="B260" s="9" t="s">
        <v>58</v>
      </c>
      <c r="C260" s="9" t="s">
        <v>2308</v>
      </c>
      <c r="D260" s="9" t="s">
        <v>2348</v>
      </c>
      <c r="E260" s="9" t="s">
        <v>2468</v>
      </c>
      <c r="F260" s="9" t="s">
        <v>2471</v>
      </c>
      <c r="G260" s="10" t="s">
        <v>2468</v>
      </c>
      <c r="H260" s="10" t="s">
        <v>2471</v>
      </c>
      <c r="I260" s="10" t="s">
        <v>2445</v>
      </c>
    </row>
    <row r="261" spans="1:9" ht="16.5" x14ac:dyDescent="0.3">
      <c r="A261" s="8">
        <v>263</v>
      </c>
      <c r="B261" s="9" t="s">
        <v>58</v>
      </c>
      <c r="C261" s="9" t="s">
        <v>2308</v>
      </c>
      <c r="D261" s="9" t="s">
        <v>2348</v>
      </c>
      <c r="E261" s="9"/>
      <c r="F261" s="9"/>
      <c r="G261" s="10" t="s">
        <v>2468</v>
      </c>
      <c r="H261" s="10" t="s">
        <v>2472</v>
      </c>
      <c r="I261" s="10" t="s">
        <v>2445</v>
      </c>
    </row>
    <row r="262" spans="1:9" ht="16.5" x14ac:dyDescent="0.3">
      <c r="A262" s="8">
        <v>264</v>
      </c>
      <c r="B262" s="9" t="s">
        <v>58</v>
      </c>
      <c r="C262" s="9" t="s">
        <v>2308</v>
      </c>
      <c r="D262" s="9" t="s">
        <v>2348</v>
      </c>
      <c r="E262" s="9"/>
      <c r="F262" s="9"/>
      <c r="G262" s="10" t="s">
        <v>2468</v>
      </c>
      <c r="H262" s="10" t="s">
        <v>2473</v>
      </c>
      <c r="I262" s="10" t="s">
        <v>2445</v>
      </c>
    </row>
    <row r="263" spans="1:9" ht="16.5" x14ac:dyDescent="0.3">
      <c r="A263" s="8">
        <v>265</v>
      </c>
      <c r="B263" s="9" t="s">
        <v>58</v>
      </c>
      <c r="C263" s="9" t="s">
        <v>2308</v>
      </c>
      <c r="D263" s="9" t="s">
        <v>2348</v>
      </c>
      <c r="E263" s="9"/>
      <c r="F263" s="9"/>
      <c r="G263" s="10" t="s">
        <v>2468</v>
      </c>
      <c r="H263" s="10" t="s">
        <v>2474</v>
      </c>
      <c r="I263" s="10" t="s">
        <v>2445</v>
      </c>
    </row>
    <row r="264" spans="1:9" ht="16.5" x14ac:dyDescent="0.3">
      <c r="A264" s="8">
        <v>266</v>
      </c>
      <c r="B264" s="9" t="s">
        <v>58</v>
      </c>
      <c r="C264" s="9" t="s">
        <v>2308</v>
      </c>
      <c r="D264" s="9" t="s">
        <v>2348</v>
      </c>
      <c r="E264" s="9"/>
      <c r="F264" s="9"/>
      <c r="G264" s="10" t="s">
        <v>2468</v>
      </c>
      <c r="H264" s="10" t="s">
        <v>2475</v>
      </c>
      <c r="I264" s="10" t="s">
        <v>2445</v>
      </c>
    </row>
    <row r="265" spans="1:9" ht="16.5" x14ac:dyDescent="0.3">
      <c r="A265" s="8">
        <v>267</v>
      </c>
      <c r="B265" s="9" t="s">
        <v>58</v>
      </c>
      <c r="C265" s="9" t="s">
        <v>2308</v>
      </c>
      <c r="D265" s="9" t="s">
        <v>2348</v>
      </c>
      <c r="E265" s="9" t="s">
        <v>2476</v>
      </c>
      <c r="F265" s="9" t="s">
        <v>2477</v>
      </c>
      <c r="G265" s="10" t="s">
        <v>2476</v>
      </c>
      <c r="H265" s="10" t="s">
        <v>2477</v>
      </c>
      <c r="I265" s="10" t="s">
        <v>2445</v>
      </c>
    </row>
    <row r="266" spans="1:9" ht="16.5" x14ac:dyDescent="0.3">
      <c r="A266" s="8">
        <v>268</v>
      </c>
      <c r="B266" s="9" t="s">
        <v>58</v>
      </c>
      <c r="C266" s="9" t="s">
        <v>2308</v>
      </c>
      <c r="D266" s="9" t="s">
        <v>2348</v>
      </c>
      <c r="E266" s="9" t="s">
        <v>2476</v>
      </c>
      <c r="F266" s="9" t="s">
        <v>2478</v>
      </c>
      <c r="G266" s="10" t="s">
        <v>2476</v>
      </c>
      <c r="H266" s="10" t="s">
        <v>2478</v>
      </c>
      <c r="I266" s="10" t="s">
        <v>2445</v>
      </c>
    </row>
    <row r="267" spans="1:9" ht="16.5" x14ac:dyDescent="0.3">
      <c r="A267" s="8">
        <v>269</v>
      </c>
      <c r="B267" s="9" t="s">
        <v>58</v>
      </c>
      <c r="C267" s="9" t="s">
        <v>2308</v>
      </c>
      <c r="D267" s="9" t="s">
        <v>2348</v>
      </c>
      <c r="E267" s="9"/>
      <c r="F267" s="9"/>
      <c r="G267" s="10" t="s">
        <v>2476</v>
      </c>
      <c r="H267" s="10" t="s">
        <v>2479</v>
      </c>
      <c r="I267" s="10" t="s">
        <v>2445</v>
      </c>
    </row>
    <row r="268" spans="1:9" ht="16.5" x14ac:dyDescent="0.3">
      <c r="A268" s="8">
        <v>270</v>
      </c>
      <c r="B268" s="9" t="s">
        <v>58</v>
      </c>
      <c r="C268" s="9" t="s">
        <v>2308</v>
      </c>
      <c r="D268" s="9" t="s">
        <v>2348</v>
      </c>
      <c r="E268" s="9"/>
      <c r="F268" s="9"/>
      <c r="G268" s="10" t="s">
        <v>2476</v>
      </c>
      <c r="H268" s="10" t="s">
        <v>2480</v>
      </c>
      <c r="I268" s="10" t="s">
        <v>2445</v>
      </c>
    </row>
    <row r="269" spans="1:9" ht="16.5" x14ac:dyDescent="0.3">
      <c r="A269" s="8">
        <v>271</v>
      </c>
      <c r="B269" s="9" t="s">
        <v>58</v>
      </c>
      <c r="C269" s="9" t="s">
        <v>2308</v>
      </c>
      <c r="D269" s="9" t="s">
        <v>2348</v>
      </c>
      <c r="E269" s="9"/>
      <c r="F269" s="9"/>
      <c r="G269" s="10" t="s">
        <v>2476</v>
      </c>
      <c r="H269" s="10" t="s">
        <v>2481</v>
      </c>
      <c r="I269" s="10" t="s">
        <v>2445</v>
      </c>
    </row>
    <row r="270" spans="1:9" ht="16.5" x14ac:dyDescent="0.3">
      <c r="A270" s="8">
        <v>272</v>
      </c>
      <c r="B270" s="9" t="s">
        <v>58</v>
      </c>
      <c r="C270" s="9" t="s">
        <v>2308</v>
      </c>
      <c r="D270" s="9" t="s">
        <v>2348</v>
      </c>
      <c r="E270" s="9"/>
      <c r="F270" s="9"/>
      <c r="G270" s="10" t="s">
        <v>2476</v>
      </c>
      <c r="H270" s="10" t="s">
        <v>2482</v>
      </c>
      <c r="I270" s="10" t="s">
        <v>2445</v>
      </c>
    </row>
    <row r="271" spans="1:9" ht="16.5" x14ac:dyDescent="0.3">
      <c r="A271" s="8">
        <v>273</v>
      </c>
      <c r="B271" s="9" t="s">
        <v>58</v>
      </c>
      <c r="C271" s="9" t="s">
        <v>2308</v>
      </c>
      <c r="D271" s="9" t="s">
        <v>2348</v>
      </c>
      <c r="E271" s="9" t="s">
        <v>2483</v>
      </c>
      <c r="F271" s="9" t="s">
        <v>1842</v>
      </c>
      <c r="G271" s="10" t="s">
        <v>2483</v>
      </c>
      <c r="H271" s="10" t="s">
        <v>1842</v>
      </c>
      <c r="I271" s="10" t="s">
        <v>2445</v>
      </c>
    </row>
    <row r="272" spans="1:9" ht="16.5" x14ac:dyDescent="0.3">
      <c r="A272" s="8">
        <v>274</v>
      </c>
      <c r="B272" s="9" t="s">
        <v>58</v>
      </c>
      <c r="C272" s="9" t="s">
        <v>2308</v>
      </c>
      <c r="D272" s="9" t="s">
        <v>2348</v>
      </c>
      <c r="E272" s="9" t="s">
        <v>2483</v>
      </c>
      <c r="F272" s="9" t="s">
        <v>1098</v>
      </c>
      <c r="G272" s="10" t="s">
        <v>2483</v>
      </c>
      <c r="H272" s="10" t="s">
        <v>1098</v>
      </c>
      <c r="I272" s="10" t="s">
        <v>2445</v>
      </c>
    </row>
    <row r="273" spans="1:9" ht="16.5" x14ac:dyDescent="0.3">
      <c r="A273" s="8">
        <v>275</v>
      </c>
      <c r="B273" s="9" t="s">
        <v>58</v>
      </c>
      <c r="C273" s="9" t="s">
        <v>2308</v>
      </c>
      <c r="D273" s="9" t="s">
        <v>2348</v>
      </c>
      <c r="E273" s="9" t="s">
        <v>2483</v>
      </c>
      <c r="F273" s="9" t="s">
        <v>908</v>
      </c>
      <c r="G273" s="10" t="s">
        <v>2483</v>
      </c>
      <c r="H273" s="10" t="s">
        <v>908</v>
      </c>
      <c r="I273" s="10" t="s">
        <v>2445</v>
      </c>
    </row>
    <row r="274" spans="1:9" ht="16.5" x14ac:dyDescent="0.3">
      <c r="A274" s="8">
        <v>276</v>
      </c>
      <c r="B274" s="9" t="s">
        <v>58</v>
      </c>
      <c r="C274" s="9" t="s">
        <v>2308</v>
      </c>
      <c r="D274" s="9" t="s">
        <v>2348</v>
      </c>
      <c r="E274" s="9" t="s">
        <v>2483</v>
      </c>
      <c r="F274" s="9" t="s">
        <v>909</v>
      </c>
      <c r="G274" s="10" t="s">
        <v>2483</v>
      </c>
      <c r="H274" s="10" t="s">
        <v>909</v>
      </c>
      <c r="I274" s="10" t="s">
        <v>2445</v>
      </c>
    </row>
    <row r="275" spans="1:9" ht="16.5" x14ac:dyDescent="0.3">
      <c r="A275" s="8">
        <v>277</v>
      </c>
      <c r="B275" s="9" t="s">
        <v>58</v>
      </c>
      <c r="C275" s="9" t="s">
        <v>2308</v>
      </c>
      <c r="D275" s="9" t="s">
        <v>2348</v>
      </c>
      <c r="E275" s="9" t="s">
        <v>2483</v>
      </c>
      <c r="F275" s="9" t="s">
        <v>2462</v>
      </c>
      <c r="G275" s="10" t="s">
        <v>2483</v>
      </c>
      <c r="H275" s="10" t="s">
        <v>2462</v>
      </c>
      <c r="I275" s="10" t="s">
        <v>2445</v>
      </c>
    </row>
    <row r="276" spans="1:9" ht="16.5" x14ac:dyDescent="0.3">
      <c r="A276" s="8">
        <v>278</v>
      </c>
      <c r="B276" s="9" t="s">
        <v>58</v>
      </c>
      <c r="C276" s="9" t="s">
        <v>2308</v>
      </c>
      <c r="D276" s="9" t="s">
        <v>2348</v>
      </c>
      <c r="E276" s="9" t="s">
        <v>2483</v>
      </c>
      <c r="F276" s="9" t="s">
        <v>2463</v>
      </c>
      <c r="G276" s="10" t="s">
        <v>2483</v>
      </c>
      <c r="H276" s="10" t="s">
        <v>2463</v>
      </c>
      <c r="I276" s="10" t="s">
        <v>2445</v>
      </c>
    </row>
    <row r="277" spans="1:9" ht="16.5" x14ac:dyDescent="0.3">
      <c r="A277" s="8">
        <v>279</v>
      </c>
      <c r="B277" s="9" t="s">
        <v>58</v>
      </c>
      <c r="C277" s="9" t="s">
        <v>2308</v>
      </c>
      <c r="D277" s="9" t="s">
        <v>2348</v>
      </c>
      <c r="E277" s="9"/>
      <c r="F277" s="9"/>
      <c r="G277" s="10" t="s">
        <v>2483</v>
      </c>
      <c r="H277" s="10" t="s">
        <v>2454</v>
      </c>
      <c r="I277" s="10" t="s">
        <v>2445</v>
      </c>
    </row>
    <row r="278" spans="1:9" ht="16.5" x14ac:dyDescent="0.3">
      <c r="A278" s="8">
        <v>280</v>
      </c>
      <c r="B278" s="9" t="s">
        <v>58</v>
      </c>
      <c r="C278" s="9" t="s">
        <v>2308</v>
      </c>
      <c r="D278" s="9" t="s">
        <v>2348</v>
      </c>
      <c r="E278" s="9"/>
      <c r="F278" s="9"/>
      <c r="G278" s="10" t="s">
        <v>2483</v>
      </c>
      <c r="H278" s="10" t="s">
        <v>2455</v>
      </c>
      <c r="I278" s="10" t="s">
        <v>2445</v>
      </c>
    </row>
    <row r="279" spans="1:9" ht="16.5" x14ac:dyDescent="0.3">
      <c r="A279" s="8">
        <v>281</v>
      </c>
      <c r="B279" s="9" t="s">
        <v>58</v>
      </c>
      <c r="C279" s="9" t="s">
        <v>2308</v>
      </c>
      <c r="D279" s="9" t="s">
        <v>2348</v>
      </c>
      <c r="E279" s="9"/>
      <c r="F279" s="9"/>
      <c r="G279" s="10" t="s">
        <v>2483</v>
      </c>
      <c r="H279" s="10" t="s">
        <v>2456</v>
      </c>
      <c r="I279" s="10" t="s">
        <v>2445</v>
      </c>
    </row>
    <row r="280" spans="1:9" ht="16.5" x14ac:dyDescent="0.3">
      <c r="A280" s="8">
        <v>282</v>
      </c>
      <c r="B280" s="9" t="s">
        <v>58</v>
      </c>
      <c r="C280" s="9" t="s">
        <v>2308</v>
      </c>
      <c r="D280" s="9" t="s">
        <v>2348</v>
      </c>
      <c r="E280" s="9"/>
      <c r="F280" s="9"/>
      <c r="G280" s="10" t="s">
        <v>2483</v>
      </c>
      <c r="H280" s="10" t="s">
        <v>2457</v>
      </c>
      <c r="I280" s="10" t="s">
        <v>2445</v>
      </c>
    </row>
    <row r="281" spans="1:9" ht="16.5" x14ac:dyDescent="0.3">
      <c r="A281" s="8">
        <v>283</v>
      </c>
      <c r="B281" s="9" t="s">
        <v>58</v>
      </c>
      <c r="C281" s="9" t="s">
        <v>2308</v>
      </c>
      <c r="D281" s="9" t="s">
        <v>2348</v>
      </c>
      <c r="E281" s="9"/>
      <c r="F281" s="9"/>
      <c r="G281" s="10" t="s">
        <v>2483</v>
      </c>
      <c r="H281" s="10" t="s">
        <v>2464</v>
      </c>
      <c r="I281" s="10" t="s">
        <v>2445</v>
      </c>
    </row>
    <row r="282" spans="1:9" ht="16.5" x14ac:dyDescent="0.3">
      <c r="A282" s="8">
        <v>284</v>
      </c>
      <c r="B282" s="9" t="s">
        <v>58</v>
      </c>
      <c r="C282" s="9" t="s">
        <v>2308</v>
      </c>
      <c r="D282" s="9" t="s">
        <v>2348</v>
      </c>
      <c r="E282" s="9"/>
      <c r="F282" s="9"/>
      <c r="G282" s="10" t="s">
        <v>2483</v>
      </c>
      <c r="H282" s="10" t="s">
        <v>2465</v>
      </c>
      <c r="I282" s="10" t="s">
        <v>2445</v>
      </c>
    </row>
    <row r="283" spans="1:9" ht="16.5" x14ac:dyDescent="0.3">
      <c r="A283" s="8">
        <v>285</v>
      </c>
      <c r="B283" s="9" t="s">
        <v>58</v>
      </c>
      <c r="C283" s="9" t="s">
        <v>2308</v>
      </c>
      <c r="D283" s="9" t="s">
        <v>2348</v>
      </c>
      <c r="E283" s="9"/>
      <c r="F283" s="9"/>
      <c r="G283" s="10" t="s">
        <v>2483</v>
      </c>
      <c r="H283" s="10" t="s">
        <v>2466</v>
      </c>
      <c r="I283" s="10" t="s">
        <v>2445</v>
      </c>
    </row>
    <row r="284" spans="1:9" ht="16.5" x14ac:dyDescent="0.3">
      <c r="A284" s="8">
        <v>286</v>
      </c>
      <c r="B284" s="9" t="s">
        <v>58</v>
      </c>
      <c r="C284" s="9" t="s">
        <v>2308</v>
      </c>
      <c r="D284" s="9" t="s">
        <v>2348</v>
      </c>
      <c r="E284" s="9"/>
      <c r="F284" s="9"/>
      <c r="G284" s="10" t="s">
        <v>2483</v>
      </c>
      <c r="H284" s="10" t="s">
        <v>2467</v>
      </c>
      <c r="I284" s="10" t="s">
        <v>2445</v>
      </c>
    </row>
    <row r="285" spans="1:9" ht="16.5" x14ac:dyDescent="0.3">
      <c r="A285" s="8">
        <v>287</v>
      </c>
      <c r="B285" s="9" t="s">
        <v>58</v>
      </c>
      <c r="C285" s="9" t="s">
        <v>2308</v>
      </c>
      <c r="D285" s="9" t="s">
        <v>2348</v>
      </c>
      <c r="E285" s="9"/>
      <c r="F285" s="9"/>
      <c r="G285" s="10" t="s">
        <v>2484</v>
      </c>
      <c r="H285" s="10" t="s">
        <v>2485</v>
      </c>
      <c r="I285" s="10" t="s">
        <v>2445</v>
      </c>
    </row>
    <row r="286" spans="1:9" ht="16.5" x14ac:dyDescent="0.3">
      <c r="A286" s="8">
        <v>288</v>
      </c>
      <c r="B286" s="9" t="s">
        <v>58</v>
      </c>
      <c r="C286" s="9" t="s">
        <v>2308</v>
      </c>
      <c r="D286" s="9" t="s">
        <v>2348</v>
      </c>
      <c r="E286" s="9"/>
      <c r="F286" s="9"/>
      <c r="G286" s="10" t="s">
        <v>2484</v>
      </c>
      <c r="H286" s="10" t="s">
        <v>2486</v>
      </c>
      <c r="I286" s="10" t="s">
        <v>2445</v>
      </c>
    </row>
    <row r="287" spans="1:9" ht="16.5" x14ac:dyDescent="0.3">
      <c r="A287" s="8">
        <v>289</v>
      </c>
      <c r="B287" s="9" t="s">
        <v>58</v>
      </c>
      <c r="C287" s="9" t="s">
        <v>2308</v>
      </c>
      <c r="D287" s="9" t="s">
        <v>2348</v>
      </c>
      <c r="E287" s="9" t="s">
        <v>2487</v>
      </c>
      <c r="F287" s="9" t="s">
        <v>2488</v>
      </c>
      <c r="G287" s="10" t="s">
        <v>2487</v>
      </c>
      <c r="H287" s="10" t="s">
        <v>2488</v>
      </c>
      <c r="I287" s="10" t="s">
        <v>2445</v>
      </c>
    </row>
    <row r="288" spans="1:9" ht="16.5" x14ac:dyDescent="0.3">
      <c r="A288" s="8">
        <v>290</v>
      </c>
      <c r="B288" s="9" t="s">
        <v>58</v>
      </c>
      <c r="C288" s="9" t="s">
        <v>2308</v>
      </c>
      <c r="D288" s="9" t="s">
        <v>2348</v>
      </c>
      <c r="E288" s="9" t="s">
        <v>2487</v>
      </c>
      <c r="F288" s="9" t="s">
        <v>2489</v>
      </c>
      <c r="G288" s="10" t="s">
        <v>2487</v>
      </c>
      <c r="H288" s="10" t="s">
        <v>2489</v>
      </c>
      <c r="I288" s="10" t="s">
        <v>2445</v>
      </c>
    </row>
    <row r="289" spans="1:9" ht="16.5" x14ac:dyDescent="0.3">
      <c r="A289" s="8">
        <v>291</v>
      </c>
      <c r="B289" s="9" t="s">
        <v>58</v>
      </c>
      <c r="C289" s="9" t="s">
        <v>2308</v>
      </c>
      <c r="D289" s="9" t="s">
        <v>2348</v>
      </c>
      <c r="E289" s="9"/>
      <c r="F289" s="9"/>
      <c r="G289" s="10" t="s">
        <v>2487</v>
      </c>
      <c r="H289" s="10" t="s">
        <v>2490</v>
      </c>
      <c r="I289" s="10" t="s">
        <v>2445</v>
      </c>
    </row>
    <row r="290" spans="1:9" ht="16.5" x14ac:dyDescent="0.3">
      <c r="A290" s="8">
        <v>292</v>
      </c>
      <c r="B290" s="9" t="s">
        <v>58</v>
      </c>
      <c r="C290" s="9" t="s">
        <v>2308</v>
      </c>
      <c r="D290" s="9" t="s">
        <v>2348</v>
      </c>
      <c r="E290" s="9"/>
      <c r="F290" s="9"/>
      <c r="G290" s="10" t="s">
        <v>2487</v>
      </c>
      <c r="H290" s="10" t="s">
        <v>2491</v>
      </c>
      <c r="I290" s="10" t="s">
        <v>2445</v>
      </c>
    </row>
    <row r="291" spans="1:9" ht="16.5" x14ac:dyDescent="0.3">
      <c r="A291" s="8">
        <v>293</v>
      </c>
      <c r="B291" s="9" t="s">
        <v>58</v>
      </c>
      <c r="C291" s="9" t="s">
        <v>2308</v>
      </c>
      <c r="D291" s="9" t="s">
        <v>2348</v>
      </c>
      <c r="E291" s="9"/>
      <c r="F291" s="9"/>
      <c r="G291" s="10" t="s">
        <v>2487</v>
      </c>
      <c r="H291" s="10" t="s">
        <v>2492</v>
      </c>
      <c r="I291" s="10" t="s">
        <v>2445</v>
      </c>
    </row>
    <row r="292" spans="1:9" ht="16.5" x14ac:dyDescent="0.3">
      <c r="A292" s="8">
        <v>294</v>
      </c>
      <c r="B292" s="9" t="s">
        <v>58</v>
      </c>
      <c r="C292" s="9" t="s">
        <v>2308</v>
      </c>
      <c r="D292" s="9" t="s">
        <v>2348</v>
      </c>
      <c r="E292" s="9"/>
      <c r="F292" s="9"/>
      <c r="G292" s="10" t="s">
        <v>2487</v>
      </c>
      <c r="H292" s="10" t="s">
        <v>2493</v>
      </c>
      <c r="I292" s="10" t="s">
        <v>2445</v>
      </c>
    </row>
    <row r="293" spans="1:9" ht="16.5" x14ac:dyDescent="0.3">
      <c r="A293" s="8">
        <v>295</v>
      </c>
      <c r="B293" s="9" t="s">
        <v>58</v>
      </c>
      <c r="C293" s="9" t="s">
        <v>2308</v>
      </c>
      <c r="D293" s="9" t="s">
        <v>2348</v>
      </c>
      <c r="E293" s="9" t="s">
        <v>2494</v>
      </c>
      <c r="F293" s="9" t="s">
        <v>2494</v>
      </c>
      <c r="G293" s="10" t="s">
        <v>2494</v>
      </c>
      <c r="H293" s="10" t="s">
        <v>2494</v>
      </c>
      <c r="I293" s="10" t="s">
        <v>2445</v>
      </c>
    </row>
    <row r="294" spans="1:9" ht="16.5" x14ac:dyDescent="0.3">
      <c r="A294" s="8">
        <v>296</v>
      </c>
      <c r="B294" s="9" t="s">
        <v>58</v>
      </c>
      <c r="C294" s="9" t="s">
        <v>2308</v>
      </c>
      <c r="D294" s="9" t="s">
        <v>2348</v>
      </c>
      <c r="E294" s="9"/>
      <c r="F294" s="9"/>
      <c r="G294" s="10" t="s">
        <v>2494</v>
      </c>
      <c r="H294" s="10" t="s">
        <v>2495</v>
      </c>
      <c r="I294" s="10" t="s">
        <v>2445</v>
      </c>
    </row>
    <row r="295" spans="1:9" ht="16.5" x14ac:dyDescent="0.3">
      <c r="A295" s="8">
        <v>297</v>
      </c>
      <c r="B295" s="9" t="s">
        <v>58</v>
      </c>
      <c r="C295" s="9" t="s">
        <v>2308</v>
      </c>
      <c r="D295" s="9" t="s">
        <v>2348</v>
      </c>
      <c r="E295" s="9"/>
      <c r="F295" s="9"/>
      <c r="G295" s="10" t="s">
        <v>2494</v>
      </c>
      <c r="H295" s="10" t="s">
        <v>2496</v>
      </c>
      <c r="I295" s="10" t="s">
        <v>2445</v>
      </c>
    </row>
    <row r="296" spans="1:9" ht="16.5" x14ac:dyDescent="0.3">
      <c r="A296" s="8">
        <v>298</v>
      </c>
      <c r="B296" s="9" t="s">
        <v>58</v>
      </c>
      <c r="C296" s="9" t="s">
        <v>2308</v>
      </c>
      <c r="D296" s="9" t="s">
        <v>2348</v>
      </c>
      <c r="E296" s="9" t="s">
        <v>2497</v>
      </c>
      <c r="F296" s="9" t="s">
        <v>2497</v>
      </c>
      <c r="G296" s="10" t="s">
        <v>2497</v>
      </c>
      <c r="H296" s="10" t="s">
        <v>2497</v>
      </c>
      <c r="I296" s="10" t="s">
        <v>2445</v>
      </c>
    </row>
    <row r="297" spans="1:9" ht="16.5" x14ac:dyDescent="0.3">
      <c r="A297" s="8">
        <v>299</v>
      </c>
      <c r="B297" s="9" t="s">
        <v>58</v>
      </c>
      <c r="C297" s="9" t="s">
        <v>2308</v>
      </c>
      <c r="D297" s="9" t="s">
        <v>2348</v>
      </c>
      <c r="E297" s="9"/>
      <c r="F297" s="9"/>
      <c r="G297" s="10" t="s">
        <v>2497</v>
      </c>
      <c r="H297" s="10" t="s">
        <v>2498</v>
      </c>
      <c r="I297" s="10" t="s">
        <v>2445</v>
      </c>
    </row>
    <row r="298" spans="1:9" ht="16.5" x14ac:dyDescent="0.3">
      <c r="A298" s="8">
        <v>300</v>
      </c>
      <c r="B298" s="9" t="s">
        <v>58</v>
      </c>
      <c r="C298" s="9" t="s">
        <v>2308</v>
      </c>
      <c r="D298" s="9" t="s">
        <v>2348</v>
      </c>
      <c r="E298" s="9"/>
      <c r="F298" s="9"/>
      <c r="G298" s="10" t="s">
        <v>2497</v>
      </c>
      <c r="H298" s="10" t="s">
        <v>2499</v>
      </c>
      <c r="I298" s="10" t="s">
        <v>2445</v>
      </c>
    </row>
    <row r="299" spans="1:9" ht="16.5" x14ac:dyDescent="0.3">
      <c r="A299" s="8">
        <v>301</v>
      </c>
      <c r="B299" s="9" t="s">
        <v>58</v>
      </c>
      <c r="C299" s="9" t="s">
        <v>2308</v>
      </c>
      <c r="D299" s="9" t="s">
        <v>2500</v>
      </c>
      <c r="E299" s="9" t="s">
        <v>2501</v>
      </c>
      <c r="F299" s="9" t="s">
        <v>2501</v>
      </c>
      <c r="G299" s="10" t="s">
        <v>2501</v>
      </c>
      <c r="H299" s="10" t="s">
        <v>2502</v>
      </c>
      <c r="I299" s="10" t="s">
        <v>2445</v>
      </c>
    </row>
    <row r="300" spans="1:9" ht="16.5" x14ac:dyDescent="0.3">
      <c r="A300" s="8">
        <v>302</v>
      </c>
      <c r="B300" s="9" t="s">
        <v>58</v>
      </c>
      <c r="C300" s="9" t="s">
        <v>2308</v>
      </c>
      <c r="D300" s="9" t="s">
        <v>2500</v>
      </c>
      <c r="E300" s="9"/>
      <c r="F300" s="9"/>
      <c r="G300" s="10" t="s">
        <v>2501</v>
      </c>
      <c r="H300" s="10" t="s">
        <v>2503</v>
      </c>
      <c r="I300" s="10" t="s">
        <v>2445</v>
      </c>
    </row>
    <row r="301" spans="1:9" ht="16.5" x14ac:dyDescent="0.3">
      <c r="A301" s="8">
        <v>303</v>
      </c>
      <c r="B301" s="9" t="s">
        <v>58</v>
      </c>
      <c r="C301" s="9" t="s">
        <v>2308</v>
      </c>
      <c r="D301" s="9" t="s">
        <v>2500</v>
      </c>
      <c r="E301" s="9" t="s">
        <v>2504</v>
      </c>
      <c r="F301" s="9" t="s">
        <v>2504</v>
      </c>
      <c r="G301" s="10" t="s">
        <v>2504</v>
      </c>
      <c r="H301" s="10" t="s">
        <v>2505</v>
      </c>
      <c r="I301" s="10" t="s">
        <v>2445</v>
      </c>
    </row>
    <row r="302" spans="1:9" ht="16.5" x14ac:dyDescent="0.3">
      <c r="A302" s="8">
        <v>304</v>
      </c>
      <c r="B302" s="9" t="s">
        <v>58</v>
      </c>
      <c r="C302" s="9" t="s">
        <v>2308</v>
      </c>
      <c r="D302" s="9" t="s">
        <v>2500</v>
      </c>
      <c r="E302" s="9"/>
      <c r="F302" s="9"/>
      <c r="G302" s="10" t="s">
        <v>2504</v>
      </c>
      <c r="H302" s="10" t="s">
        <v>915</v>
      </c>
      <c r="I302" s="10" t="s">
        <v>2445</v>
      </c>
    </row>
    <row r="303" spans="1:9" ht="16.5" x14ac:dyDescent="0.3">
      <c r="A303" s="8">
        <v>305</v>
      </c>
      <c r="B303" s="9" t="s">
        <v>58</v>
      </c>
      <c r="C303" s="9" t="s">
        <v>2308</v>
      </c>
      <c r="D303" s="9" t="s">
        <v>2500</v>
      </c>
      <c r="E303" s="9" t="s">
        <v>2506</v>
      </c>
      <c r="F303" s="9" t="s">
        <v>2506</v>
      </c>
      <c r="G303" s="10" t="s">
        <v>2506</v>
      </c>
      <c r="H303" s="10" t="s">
        <v>2507</v>
      </c>
      <c r="I303" s="10" t="s">
        <v>2445</v>
      </c>
    </row>
    <row r="304" spans="1:9" ht="16.5" x14ac:dyDescent="0.3">
      <c r="A304" s="8">
        <v>306</v>
      </c>
      <c r="B304" s="9" t="s">
        <v>58</v>
      </c>
      <c r="C304" s="9" t="s">
        <v>2308</v>
      </c>
      <c r="D304" s="9" t="s">
        <v>2500</v>
      </c>
      <c r="E304" s="9"/>
      <c r="F304" s="9"/>
      <c r="G304" s="10" t="s">
        <v>2506</v>
      </c>
      <c r="H304" s="10" t="s">
        <v>2508</v>
      </c>
      <c r="I304" s="10" t="s">
        <v>2445</v>
      </c>
    </row>
    <row r="305" spans="1:9" ht="16.5" x14ac:dyDescent="0.3">
      <c r="A305" s="8">
        <v>307</v>
      </c>
      <c r="B305" s="9" t="s">
        <v>58</v>
      </c>
      <c r="C305" s="9" t="s">
        <v>2308</v>
      </c>
      <c r="D305" s="9" t="s">
        <v>2500</v>
      </c>
      <c r="E305" s="9" t="s">
        <v>2509</v>
      </c>
      <c r="F305" s="9" t="s">
        <v>2509</v>
      </c>
      <c r="G305" s="10" t="s">
        <v>2509</v>
      </c>
      <c r="H305" s="10" t="s">
        <v>2510</v>
      </c>
      <c r="I305" s="10" t="s">
        <v>2445</v>
      </c>
    </row>
    <row r="306" spans="1:9" ht="16.5" x14ac:dyDescent="0.3">
      <c r="A306" s="8">
        <v>308</v>
      </c>
      <c r="B306" s="9" t="s">
        <v>58</v>
      </c>
      <c r="C306" s="9" t="s">
        <v>2308</v>
      </c>
      <c r="D306" s="9" t="s">
        <v>2500</v>
      </c>
      <c r="E306" s="9"/>
      <c r="F306" s="9"/>
      <c r="G306" s="10" t="s">
        <v>2509</v>
      </c>
      <c r="H306" s="10" t="s">
        <v>2511</v>
      </c>
      <c r="I306" s="10" t="s">
        <v>2445</v>
      </c>
    </row>
    <row r="307" spans="1:9" ht="16.5" x14ac:dyDescent="0.3">
      <c r="A307" s="8">
        <v>309</v>
      </c>
      <c r="B307" s="9" t="s">
        <v>58</v>
      </c>
      <c r="C307" s="9" t="s">
        <v>2308</v>
      </c>
      <c r="D307" s="9" t="s">
        <v>2512</v>
      </c>
      <c r="E307" s="9" t="s">
        <v>2513</v>
      </c>
      <c r="F307" s="9" t="s">
        <v>2513</v>
      </c>
      <c r="G307" s="10" t="s">
        <v>2513</v>
      </c>
      <c r="H307" s="10" t="s">
        <v>2514</v>
      </c>
      <c r="I307" s="10" t="s">
        <v>2445</v>
      </c>
    </row>
    <row r="308" spans="1:9" ht="16.5" x14ac:dyDescent="0.3">
      <c r="A308" s="8">
        <v>310</v>
      </c>
      <c r="B308" s="9" t="s">
        <v>58</v>
      </c>
      <c r="C308" s="9" t="s">
        <v>2308</v>
      </c>
      <c r="D308" s="9" t="s">
        <v>2512</v>
      </c>
      <c r="E308" s="9"/>
      <c r="F308" s="9"/>
      <c r="G308" s="10" t="s">
        <v>2513</v>
      </c>
      <c r="H308" s="10" t="s">
        <v>2515</v>
      </c>
      <c r="I308" s="10" t="s">
        <v>2445</v>
      </c>
    </row>
    <row r="309" spans="1:9" ht="16.5" x14ac:dyDescent="0.3">
      <c r="A309" s="8">
        <v>311</v>
      </c>
      <c r="B309" s="9" t="s">
        <v>58</v>
      </c>
      <c r="C309" s="9" t="s">
        <v>2308</v>
      </c>
      <c r="D309" s="9" t="s">
        <v>2512</v>
      </c>
      <c r="E309" s="9" t="s">
        <v>2516</v>
      </c>
      <c r="F309" s="9" t="s">
        <v>2516</v>
      </c>
      <c r="G309" s="10" t="s">
        <v>2516</v>
      </c>
      <c r="H309" s="10" t="s">
        <v>2517</v>
      </c>
      <c r="I309" s="10" t="s">
        <v>2445</v>
      </c>
    </row>
    <row r="310" spans="1:9" ht="16.5" x14ac:dyDescent="0.3">
      <c r="A310" s="8">
        <v>312</v>
      </c>
      <c r="B310" s="9" t="s">
        <v>58</v>
      </c>
      <c r="C310" s="9" t="s">
        <v>2308</v>
      </c>
      <c r="D310" s="9" t="s">
        <v>2512</v>
      </c>
      <c r="E310" s="9"/>
      <c r="F310" s="9"/>
      <c r="G310" s="10" t="s">
        <v>2516</v>
      </c>
      <c r="H310" s="10" t="s">
        <v>2518</v>
      </c>
      <c r="I310" s="10" t="s">
        <v>2445</v>
      </c>
    </row>
    <row r="311" spans="1:9" ht="16.5" x14ac:dyDescent="0.3">
      <c r="A311" s="8">
        <v>313</v>
      </c>
      <c r="B311" s="9" t="s">
        <v>58</v>
      </c>
      <c r="C311" s="9" t="s">
        <v>2308</v>
      </c>
      <c r="D311" s="9" t="s">
        <v>2309</v>
      </c>
      <c r="E311" s="10" t="s">
        <v>2519</v>
      </c>
      <c r="F311" s="10" t="s">
        <v>2519</v>
      </c>
      <c r="G311" s="10" t="s">
        <v>2519</v>
      </c>
      <c r="H311" s="10" t="s">
        <v>2519</v>
      </c>
      <c r="I311" s="10" t="s">
        <v>2363</v>
      </c>
    </row>
    <row r="312" spans="1:9" ht="16.5" x14ac:dyDescent="0.3">
      <c r="A312" s="8">
        <v>314</v>
      </c>
      <c r="B312" s="9" t="s">
        <v>58</v>
      </c>
      <c r="C312" s="9" t="s">
        <v>2308</v>
      </c>
      <c r="D312" s="9" t="s">
        <v>2309</v>
      </c>
      <c r="E312" s="10" t="s">
        <v>2520</v>
      </c>
      <c r="F312" s="10" t="s">
        <v>2520</v>
      </c>
      <c r="G312" s="10" t="s">
        <v>2520</v>
      </c>
      <c r="H312" s="10" t="s">
        <v>2520</v>
      </c>
      <c r="I312" s="10" t="s">
        <v>2363</v>
      </c>
    </row>
    <row r="313" spans="1:9" ht="16.5" x14ac:dyDescent="0.3">
      <c r="A313" s="8">
        <v>315</v>
      </c>
      <c r="B313" s="9" t="s">
        <v>58</v>
      </c>
      <c r="C313" s="9" t="s">
        <v>2308</v>
      </c>
      <c r="D313" s="9" t="s">
        <v>2314</v>
      </c>
      <c r="E313" s="10" t="s">
        <v>2521</v>
      </c>
      <c r="F313" s="10" t="s">
        <v>2521</v>
      </c>
      <c r="G313" s="10" t="s">
        <v>2521</v>
      </c>
      <c r="H313" s="10" t="s">
        <v>2521</v>
      </c>
      <c r="I313" s="10" t="s">
        <v>2363</v>
      </c>
    </row>
    <row r="314" spans="1:9" ht="16.5" x14ac:dyDescent="0.3">
      <c r="A314" s="8">
        <v>316</v>
      </c>
      <c r="B314" s="9" t="s">
        <v>58</v>
      </c>
      <c r="C314" s="9" t="s">
        <v>2308</v>
      </c>
      <c r="D314" s="9" t="s">
        <v>2336</v>
      </c>
      <c r="E314" s="10" t="s">
        <v>2522</v>
      </c>
      <c r="F314" s="10" t="s">
        <v>2522</v>
      </c>
      <c r="G314" s="10" t="s">
        <v>1229</v>
      </c>
      <c r="H314" s="10" t="s">
        <v>1229</v>
      </c>
      <c r="I314" s="10" t="s">
        <v>2445</v>
      </c>
    </row>
    <row r="315" spans="1:9" ht="16.5" x14ac:dyDescent="0.3">
      <c r="A315" s="8">
        <v>317</v>
      </c>
      <c r="B315" s="9" t="s">
        <v>58</v>
      </c>
      <c r="C315" s="9" t="s">
        <v>2308</v>
      </c>
      <c r="D315" s="9" t="s">
        <v>2336</v>
      </c>
      <c r="E315" s="10"/>
      <c r="F315" s="10"/>
      <c r="G315" s="10" t="s">
        <v>1230</v>
      </c>
      <c r="H315" s="10" t="s">
        <v>1230</v>
      </c>
      <c r="I315" s="10" t="s">
        <v>2445</v>
      </c>
    </row>
    <row r="316" spans="1:9" ht="16.5" x14ac:dyDescent="0.3">
      <c r="A316" s="8">
        <v>318</v>
      </c>
      <c r="B316" s="9" t="s">
        <v>58</v>
      </c>
      <c r="C316" s="9" t="s">
        <v>2308</v>
      </c>
      <c r="D316" s="9" t="s">
        <v>2336</v>
      </c>
      <c r="E316" s="10" t="s">
        <v>2523</v>
      </c>
      <c r="F316" s="10" t="s">
        <v>2523</v>
      </c>
      <c r="G316" s="10" t="s">
        <v>1231</v>
      </c>
      <c r="H316" s="10" t="s">
        <v>1231</v>
      </c>
      <c r="I316" s="10" t="s">
        <v>2445</v>
      </c>
    </row>
    <row r="317" spans="1:9" ht="16.5" x14ac:dyDescent="0.3">
      <c r="A317" s="8">
        <v>319</v>
      </c>
      <c r="B317" s="9" t="s">
        <v>58</v>
      </c>
      <c r="C317" s="9" t="s">
        <v>2308</v>
      </c>
      <c r="D317" s="9" t="s">
        <v>2336</v>
      </c>
      <c r="E317" s="10"/>
      <c r="F317" s="10"/>
      <c r="G317" s="10" t="s">
        <v>1232</v>
      </c>
      <c r="H317" s="10" t="s">
        <v>1232</v>
      </c>
      <c r="I317" s="10" t="s">
        <v>2445</v>
      </c>
    </row>
    <row r="318" spans="1:9" ht="16.5" x14ac:dyDescent="0.3">
      <c r="A318" s="8">
        <v>320</v>
      </c>
      <c r="B318" s="9" t="s">
        <v>58</v>
      </c>
      <c r="C318" s="9" t="s">
        <v>2308</v>
      </c>
      <c r="D318" s="9" t="s">
        <v>2348</v>
      </c>
      <c r="E318" s="10" t="s">
        <v>2524</v>
      </c>
      <c r="F318" s="10" t="s">
        <v>1233</v>
      </c>
      <c r="G318" s="10" t="s">
        <v>1233</v>
      </c>
      <c r="H318" s="10" t="s">
        <v>1233</v>
      </c>
      <c r="I318" s="10" t="s">
        <v>2445</v>
      </c>
    </row>
    <row r="319" spans="1:9" ht="16.5" x14ac:dyDescent="0.3">
      <c r="A319" s="8">
        <v>321</v>
      </c>
      <c r="B319" s="9" t="s">
        <v>58</v>
      </c>
      <c r="C319" s="9" t="s">
        <v>2308</v>
      </c>
      <c r="D319" s="9" t="s">
        <v>2348</v>
      </c>
      <c r="G319" s="10" t="s">
        <v>2525</v>
      </c>
      <c r="H319" s="10" t="s">
        <v>2525</v>
      </c>
      <c r="I319" s="10" t="s">
        <v>2445</v>
      </c>
    </row>
    <row r="320" spans="1:9" ht="16.5" x14ac:dyDescent="0.3">
      <c r="A320" s="8">
        <v>322</v>
      </c>
      <c r="B320" s="9" t="s">
        <v>58</v>
      </c>
      <c r="C320" s="9" t="s">
        <v>2308</v>
      </c>
      <c r="D320" s="9" t="s">
        <v>2348</v>
      </c>
      <c r="G320" s="10" t="s">
        <v>2526</v>
      </c>
      <c r="H320" s="10" t="s">
        <v>2526</v>
      </c>
      <c r="I320" s="10" t="s">
        <v>2445</v>
      </c>
    </row>
    <row r="321" spans="1:9" ht="16.5" x14ac:dyDescent="0.3">
      <c r="A321" s="8">
        <v>323</v>
      </c>
      <c r="B321" s="9" t="s">
        <v>58</v>
      </c>
      <c r="C321" s="9" t="s">
        <v>2308</v>
      </c>
      <c r="D321" s="9" t="s">
        <v>2500</v>
      </c>
      <c r="E321" s="10" t="s">
        <v>2527</v>
      </c>
      <c r="F321" s="10" t="s">
        <v>2528</v>
      </c>
      <c r="G321" s="10" t="s">
        <v>1234</v>
      </c>
      <c r="H321" s="10" t="s">
        <v>1234</v>
      </c>
      <c r="I321" s="10" t="s">
        <v>2445</v>
      </c>
    </row>
    <row r="322" spans="1:9" ht="16.5" x14ac:dyDescent="0.3">
      <c r="A322" s="8">
        <v>324</v>
      </c>
      <c r="B322" s="9" t="s">
        <v>58</v>
      </c>
      <c r="C322" s="9" t="s">
        <v>2308</v>
      </c>
      <c r="D322" s="9" t="s">
        <v>2500</v>
      </c>
      <c r="G322" s="10" t="s">
        <v>1235</v>
      </c>
      <c r="H322" s="10" t="s">
        <v>1235</v>
      </c>
      <c r="I322" s="10" t="s">
        <v>2445</v>
      </c>
    </row>
    <row r="323" spans="1:9" ht="16.5" x14ac:dyDescent="0.3">
      <c r="A323" s="8">
        <v>325</v>
      </c>
      <c r="B323" s="9" t="s">
        <v>58</v>
      </c>
      <c r="C323" s="9" t="s">
        <v>2308</v>
      </c>
      <c r="D323" s="9" t="s">
        <v>2512</v>
      </c>
      <c r="E323" s="10" t="s">
        <v>2529</v>
      </c>
      <c r="F323" s="10" t="s">
        <v>2530</v>
      </c>
      <c r="G323" s="10" t="s">
        <v>2531</v>
      </c>
      <c r="H323" s="10" t="s">
        <v>2531</v>
      </c>
      <c r="I323" s="10" t="s">
        <v>2445</v>
      </c>
    </row>
    <row r="324" spans="1:9" ht="16.5" x14ac:dyDescent="0.3">
      <c r="A324" s="8">
        <v>326</v>
      </c>
      <c r="B324" s="9" t="s">
        <v>58</v>
      </c>
      <c r="C324" s="9" t="s">
        <v>2308</v>
      </c>
      <c r="D324" s="9" t="s">
        <v>2512</v>
      </c>
      <c r="G324" s="10" t="s">
        <v>2532</v>
      </c>
      <c r="H324" s="10" t="s">
        <v>2532</v>
      </c>
      <c r="I324" s="10" t="s">
        <v>2445</v>
      </c>
    </row>
    <row r="325" spans="1:9" ht="16.5" x14ac:dyDescent="0.3">
      <c r="A325" s="8">
        <v>327</v>
      </c>
      <c r="B325" s="9"/>
      <c r="C325" s="9" t="s">
        <v>2308</v>
      </c>
      <c r="D325" s="9" t="s">
        <v>2348</v>
      </c>
      <c r="E325" s="10" t="s">
        <v>615</v>
      </c>
      <c r="F325" s="10" t="s">
        <v>615</v>
      </c>
      <c r="G325" s="10" t="s">
        <v>1601</v>
      </c>
      <c r="H325" s="10" t="s">
        <v>1601</v>
      </c>
      <c r="I325" s="10"/>
    </row>
    <row r="326" spans="1:9" ht="16.5" x14ac:dyDescent="0.3">
      <c r="A326" s="8"/>
      <c r="F326" s="9" t="s">
        <v>725</v>
      </c>
      <c r="G326" s="17"/>
      <c r="H326" s="13" t="s">
        <v>2398</v>
      </c>
      <c r="I326" s="9" t="s">
        <v>2533</v>
      </c>
    </row>
    <row r="327" spans="1:9" ht="16.5" x14ac:dyDescent="0.3">
      <c r="A327" s="8"/>
      <c r="F327" s="9"/>
      <c r="G327" s="9"/>
      <c r="H327" s="14" t="s">
        <v>2534</v>
      </c>
      <c r="I327" s="9" t="s">
        <v>2535</v>
      </c>
    </row>
    <row r="328" spans="1:9" ht="15.75" x14ac:dyDescent="0.3">
      <c r="F328" s="9"/>
      <c r="G328" s="9"/>
      <c r="H328" s="14" t="s">
        <v>941</v>
      </c>
      <c r="I328" s="9" t="s">
        <v>2536</v>
      </c>
    </row>
    <row r="329" spans="1:9" ht="15.75" x14ac:dyDescent="0.3">
      <c r="F329" s="9"/>
      <c r="G329" s="9"/>
      <c r="H329" s="14" t="s">
        <v>942</v>
      </c>
      <c r="I329" s="9" t="s">
        <v>2536</v>
      </c>
    </row>
    <row r="330" spans="1:9" ht="15.75" x14ac:dyDescent="0.3">
      <c r="F330" s="9" t="s">
        <v>418</v>
      </c>
      <c r="G330" s="16"/>
      <c r="H330" s="15" t="s">
        <v>1282</v>
      </c>
      <c r="I330" s="9" t="s">
        <v>2536</v>
      </c>
    </row>
    <row r="331" spans="1:9" ht="15.75" x14ac:dyDescent="0.3">
      <c r="F331" s="9" t="s">
        <v>2537</v>
      </c>
      <c r="G331" s="16"/>
      <c r="H331" s="16" t="s">
        <v>2538</v>
      </c>
      <c r="I331" s="9" t="s">
        <v>2535</v>
      </c>
    </row>
    <row r="332" spans="1:9" ht="15.75" x14ac:dyDescent="0.3">
      <c r="G332" s="16"/>
      <c r="H332" s="15" t="s">
        <v>2539</v>
      </c>
      <c r="I332" s="9" t="s">
        <v>2536</v>
      </c>
    </row>
    <row r="333" spans="1:9" ht="15.75" x14ac:dyDescent="0.3">
      <c r="G333" s="16"/>
      <c r="H333" s="15" t="s">
        <v>2540</v>
      </c>
      <c r="I333" s="9" t="s">
        <v>2536</v>
      </c>
    </row>
    <row r="334" spans="1:9" x14ac:dyDescent="0.25">
      <c r="F334" t="s">
        <v>479</v>
      </c>
      <c r="H334" s="15" t="s">
        <v>965</v>
      </c>
    </row>
    <row r="335" spans="1:9" x14ac:dyDescent="0.25">
      <c r="F335" t="s">
        <v>482</v>
      </c>
      <c r="H335" s="15" t="s">
        <v>966</v>
      </c>
    </row>
    <row r="336" spans="1:9" x14ac:dyDescent="0.25">
      <c r="F336" t="s">
        <v>484</v>
      </c>
      <c r="H336" s="15" t="s">
        <v>979</v>
      </c>
    </row>
    <row r="337" spans="6:8" x14ac:dyDescent="0.25">
      <c r="F337" t="s">
        <v>486</v>
      </c>
      <c r="H337" s="15" t="s">
        <v>2541</v>
      </c>
    </row>
    <row r="338" spans="6:8" x14ac:dyDescent="0.25">
      <c r="F338" t="s">
        <v>488</v>
      </c>
      <c r="H338" s="15" t="s">
        <v>982</v>
      </c>
    </row>
    <row r="339" spans="6:8" x14ac:dyDescent="0.25">
      <c r="F339" t="s">
        <v>1121</v>
      </c>
      <c r="H339" t="s">
        <v>2542</v>
      </c>
    </row>
    <row r="340" spans="6:8" x14ac:dyDescent="0.25">
      <c r="F340" t="s">
        <v>1119</v>
      </c>
      <c r="H340" t="s">
        <v>2543</v>
      </c>
    </row>
    <row r="341" spans="6:8" x14ac:dyDescent="0.25">
      <c r="F341" t="s">
        <v>1123</v>
      </c>
      <c r="H341" t="s">
        <v>2544</v>
      </c>
    </row>
    <row r="342" spans="6:8" x14ac:dyDescent="0.25">
      <c r="F342" t="s">
        <v>1099</v>
      </c>
      <c r="H342" t="s">
        <v>2545</v>
      </c>
    </row>
    <row r="343" spans="6:8" x14ac:dyDescent="0.25">
      <c r="F343" t="s">
        <v>1100</v>
      </c>
      <c r="H343" t="s">
        <v>2546</v>
      </c>
    </row>
    <row r="344" spans="6:8" x14ac:dyDescent="0.25">
      <c r="F344" t="s">
        <v>1101</v>
      </c>
      <c r="H344" t="s">
        <v>2547</v>
      </c>
    </row>
    <row r="345" spans="6:8" x14ac:dyDescent="0.25">
      <c r="F345" t="s">
        <v>1103</v>
      </c>
      <c r="H345" t="s">
        <v>2548</v>
      </c>
    </row>
    <row r="346" spans="6:8" x14ac:dyDescent="0.25">
      <c r="F346" t="s">
        <v>1105</v>
      </c>
      <c r="H346" t="s">
        <v>2549</v>
      </c>
    </row>
    <row r="347" spans="6:8" x14ac:dyDescent="0.25">
      <c r="F347" t="s">
        <v>1107</v>
      </c>
      <c r="H347" t="s">
        <v>2550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B1408"/>
  <sheetViews>
    <sheetView zoomScale="85" zoomScaleNormal="85" workbookViewId="0">
      <selection activeCell="A1408" sqref="A1:A1408"/>
    </sheetView>
  </sheetViews>
  <sheetFormatPr defaultColWidth="11.42578125" defaultRowHeight="15" x14ac:dyDescent="0.25"/>
  <cols>
    <col min="1" max="1" width="72.140625" customWidth="1"/>
    <col min="2" max="2" width="35.140625" customWidth="1"/>
  </cols>
  <sheetData>
    <row r="1" spans="1:2" x14ac:dyDescent="0.25">
      <c r="A1" t="str">
        <f>IF(REGLAS!J2="OBSOLETO","","INSERT INTO INYCEXT.INYC_CONF_INF_REGLAS (COD_INFORME,TABLA,NOMBRE,REGLA,F_INICIO,F_FIN,DESCRIPCION) VALUES ("&amp;REGLAS!B2&amp;",'"&amp;REGLAS!C2&amp;"','"&amp;REGLAS!D2&amp;"','"&amp;REGLAS!G2&amp;"',TO_DATE('"&amp;REGLAS!H2&amp;"','yyyymmdd'),TO_DATE('"&amp;REGLAS!I2&amp;"','yyyymmdd'),'"&amp;REGLAS!J2&amp;"');")</f>
        <v>INSERT INTO INYCEXT.INYC_CONF_INF_REGLAS (COD_INFORME,TABLA,NOMBRE,REGLA,F_INICIO,F_FIN,DESCRIPCION) VALUES (1.1,'INYC_RPI_RESUMEN','SM - Objetivo Anual RRTT','SM-O-RPP-Inspector-ObjetivoAnual-NumPolizas-001',TO_DATE('20140101','yyyymmdd'),TO_DATE('22000101','yyyymmdd'),'');</v>
      </c>
      <c r="B1" t="str">
        <f>IF(REGLAS!J2="OBSOLETO","","INSERT INTO INYCEXT.INYC_CONF_INF_REGLAS@tc_link (COD_INFORME,TABLA,NOMBRE,REGLA,F_INICIO,F_FIN,DESCRIPCION) VALUES ("&amp;REGLAS!B2&amp;",'"&amp;REGLAS!C2&amp;"','"&amp;REGLAS!D2&amp;"','"&amp;REGLAS!G2&amp;"',TO_DATE('"&amp;REGLAS!H2&amp;"','yyyymmdd'),TO_DATE('"&amp;REGLAS!I2&amp;"','yyyymmdd'),'"&amp;REGLAS!J2&amp;"');")</f>
        <v>INSERT INTO INYCEXT.INYC_CONF_INF_REGLAS@tc_link (COD_INFORME,TABLA,NOMBRE,REGLA,F_INICIO,F_FIN,DESCRIPCION) VALUES (1.1,'INYC_RPI_RESUMEN','SM - Objetivo Anual RRTT','SM-O-RPP-Inspector-ObjetivoAnual-NumPolizas-001',TO_DATE('20140101','yyyymmdd'),TO_DATE('22000101','yyyymmdd'),'');</v>
      </c>
    </row>
    <row r="2" spans="1:2" x14ac:dyDescent="0.25">
      <c r="A2" t="str">
        <f>IF(REGLAS!J3="OBSOLETO","","INSERT INTO INYCEXT.INYC_CONF_INF_REGLAS (COD_INFORME,TABLA,NOMBRE,REGLA,F_INICIO,F_FIN,DESCRIPCION) VALUES ("&amp;REGLAS!B3&amp;",'"&amp;REGLAS!C3&amp;"','"&amp;REGLAS!D3&amp;"','"&amp;REGLAS!G3&amp;"',TO_DATE('"&amp;REGLAS!H3&amp;"','yyyymmdd'),TO_DATE('"&amp;REGLAS!I3&amp;"','yyyymmdd'),'"&amp;REGLAS!J3&amp;"');")</f>
        <v>INSERT INTO INYCEXT.INYC_CONF_INF_REGLAS (COD_INFORME,TABLA,NOMBRE,REGLA,F_INICIO,F_FIN,DESCRIPCION) VALUES (1.1,'INYC_RPI_RESUMEN','SM - Objetivo Anual Hogar','SM-O-RPP-Inspector-ObjetivoAnual-NumPolizas-002',TO_DATE('20140101','yyyymmdd'),TO_DATE('22000101','yyyymmdd'),'');</v>
      </c>
      <c r="B2" t="str">
        <f>IF(REGLAS!J3="OBSOLETO","","INSERT INTO INYCEXT.INYC_CONF_INF_REGLAS@tc_link (COD_INFORME,TABLA,NOMBRE,REGLA,F_INICIO,F_FIN,DESCRIPCION) VALUES ("&amp;REGLAS!B3&amp;",'"&amp;REGLAS!C3&amp;"','"&amp;REGLAS!D3&amp;"','"&amp;REGLAS!G3&amp;"',TO_DATE('"&amp;REGLAS!H3&amp;"','yyyymmdd'),TO_DATE('"&amp;REGLAS!I3&amp;"','yyyymmdd'),'"&amp;REGLAS!J3&amp;"');")</f>
        <v>INSERT INTO INYCEXT.INYC_CONF_INF_REGLAS@tc_link (COD_INFORME,TABLA,NOMBRE,REGLA,F_INICIO,F_FIN,DESCRIPCION) VALUES (1.1,'INYC_RPI_RESUMEN','SM - Objetivo Anual Hogar','SM-O-RPP-Inspector-ObjetivoAnual-NumPolizas-002',TO_DATE('20140101','yyyymmdd'),TO_DATE('22000101','yyyymmdd'),'');</v>
      </c>
    </row>
    <row r="3" spans="1:2" x14ac:dyDescent="0.25">
      <c r="A3" t="str">
        <f>IF(REGLAS!J4="OBSOLETO","","INSERT INTO INYCEXT.INYC_CONF_INF_REGLAS (COD_INFORME,TABLA,NOMBRE,REGLA,F_INICIO,F_FIN,DESCRIPCION) VALUES ("&amp;REGLAS!B4&amp;",'"&amp;REGLAS!C4&amp;"','"&amp;REGLAS!D4&amp;"','"&amp;REGLAS!G4&amp;"',TO_DATE('"&amp;REGLAS!H4&amp;"','yyyymmdd'),TO_DATE('"&amp;REGLAS!I4&amp;"','yyyymmdd'),'"&amp;REGLAS!J4&amp;"');")</f>
        <v>INSERT INTO INYCEXT.INYC_CONF_INF_REGLAS (COD_INFORME,TABLA,NOMBRE,REGLA,F_INICIO,F_FIN,DESCRIPCION) VALUES (1.1,'INYC_RPI_RESUMEN','SM - Objetivo Anual RRPP','SM-O-RPP-Inspector-ObjetivoAnual-NumPolizas-906',TO_DATE('20140101','yyyymmdd'),TO_DATE('22000101','yyyymmdd'),'');</v>
      </c>
      <c r="B3" t="str">
        <f>IF(REGLAS!J4="OBSOLETO","","INSERT INTO INYCEXT.INYC_CONF_INF_REGLAS@tc_link (COD_INFORME,TABLA,NOMBRE,REGLA,F_INICIO,F_FIN,DESCRIPCION) VALUES ("&amp;REGLAS!B4&amp;",'"&amp;REGLAS!C4&amp;"','"&amp;REGLAS!D4&amp;"','"&amp;REGLAS!G4&amp;"',TO_DATE('"&amp;REGLAS!H4&amp;"','yyyymmdd'),TO_DATE('"&amp;REGLAS!I4&amp;"','yyyymmdd'),'"&amp;REGLAS!J4&amp;"');")</f>
        <v>INSERT INTO INYCEXT.INYC_CONF_INF_REGLAS@tc_link (COD_INFORME,TABLA,NOMBRE,REGLA,F_INICIO,F_FIN,DESCRIPCION) VALUES (1.1,'INYC_RPI_RESUMEN','SM - Objetivo Anual RRPP','SM-O-RPP-Inspector-ObjetivoAnual-NumPolizas-906',TO_DATE('20140101','yyyymmdd'),TO_DATE('22000101','yyyymmdd'),'');</v>
      </c>
    </row>
    <row r="4" spans="1:2" x14ac:dyDescent="0.25">
      <c r="A4" t="str">
        <f>IF(REGLAS!J5="OBSOLETO","","INSERT INTO INYCEXT.INYC_CONF_INF_REGLAS (COD_INFORME,TABLA,NOMBRE,REGLA,F_INICIO,F_FIN,DESCRIPCION) VALUES ("&amp;REGLAS!B5&amp;",'"&amp;REGLAS!C5&amp;"','"&amp;REGLAS!D5&amp;"','"&amp;REGLAS!G5&amp;"',TO_DATE('"&amp;REGLAS!H5&amp;"','yyyymmdd'),TO_DATE('"&amp;REGLAS!I5&amp;"','yyyymmdd'),'"&amp;REGLAS!J5&amp;"');")</f>
        <v>INSERT INTO INYCEXT.INYC_CONF_INF_REGLAS (COD_INFORME,TABLA,NOMBRE,REGLA,F_INICIO,F_FIN,DESCRIPCION) VALUES (1.1,'INYC_RPI_RESUMEN','SM - Objetivo Anual Total Ramos','SM-O-RPP-Inspector-ObjetivoAnual-NumPolizas-998',TO_DATE('20140101','yyyymmdd'),TO_DATE('22000101','yyyymmdd'),'');</v>
      </c>
      <c r="B4" t="str">
        <f>IF(REGLAS!J5="OBSOLETO","","INSERT INTO INYCEXT.INYC_CONF_INF_REGLAS@tc_link (COD_INFORME,TABLA,NOMBRE,REGLA,F_INICIO,F_FIN,DESCRIPCION) VALUES ("&amp;REGLAS!B5&amp;",'"&amp;REGLAS!C5&amp;"','"&amp;REGLAS!D5&amp;"','"&amp;REGLAS!G5&amp;"',TO_DATE('"&amp;REGLAS!H5&amp;"','yyyymmdd'),TO_DATE('"&amp;REGLAS!I5&amp;"','yyyymmdd'),'"&amp;REGLAS!J5&amp;"');")</f>
        <v>INSERT INTO INYCEXT.INYC_CONF_INF_REGLAS@tc_link (COD_INFORME,TABLA,NOMBRE,REGLA,F_INICIO,F_FIN,DESCRIPCION) VALUES (1.1,'INYC_RPI_RESUMEN','SM - Objetivo Anual Total Ramos','SM-O-RPP-Inspector-ObjetivoAnual-NumPolizas-998',TO_DATE('20140101','yyyymmdd'),TO_DATE('22000101','yyyymmdd'),'');</v>
      </c>
    </row>
    <row r="5" spans="1:2" x14ac:dyDescent="0.25">
      <c r="A5" t="str">
        <f>IF(REGLAS!J6="OBSOLETO","","INSERT INTO INYCEXT.INYC_CONF_INF_REGLAS (COD_INFORME,TABLA,NOMBRE,REGLA,F_INICIO,F_FIN,DESCRIPCION) VALUES ("&amp;REGLAS!B6&amp;",'"&amp;REGLAS!C6&amp;"','"&amp;REGLAS!D6&amp;"','"&amp;REGLAS!G6&amp;"',TO_DATE('"&amp;REGLAS!H6&amp;"','yyyymmdd'),TO_DATE('"&amp;REGLAS!I6&amp;"','yyyymmdd'),'"&amp;REGLAS!J6&amp;"');")</f>
        <v>INSERT INTO INYCEXT.INYC_CONF_INF_REGLAS (COD_INFORME,TABLA,NOMBRE,REGLA,F_INICIO,F_FIN,DESCRIPCION) VALUES (1.1,'INYC_RPI_RESUMEN','SM - Objetivo Único Anual PC','SM-O-RPP-Inspector-ObjetivoUnicoAnual-PrimaCorregida',TO_DATE('20140101','yyyymmdd'),TO_DATE('22000101','yyyymmdd'),'');</v>
      </c>
      <c r="B5" t="str">
        <f>IF(REGLAS!J6="OBSOLETO","","INSERT INTO INYCEXT.INYC_CONF_INF_REGLAS@tc_link (COD_INFORME,TABLA,NOMBRE,REGLA,F_INICIO,F_FIN,DESCRIPCION) VALUES ("&amp;REGLAS!B6&amp;",'"&amp;REGLAS!C6&amp;"','"&amp;REGLAS!D6&amp;"','"&amp;REGLAS!G6&amp;"',TO_DATE('"&amp;REGLAS!H6&amp;"','yyyymmdd'),TO_DATE('"&amp;REGLAS!I6&amp;"','yyyymmdd'),'"&amp;REGLAS!J6&amp;"');")</f>
        <v>INSERT INTO INYCEXT.INYC_CONF_INF_REGLAS@tc_link (COD_INFORME,TABLA,NOMBRE,REGLA,F_INICIO,F_FIN,DESCRIPCION) VALUES (1.1,'INYC_RPI_RESUMEN','SM - Objetivo Único Anual PC','SM-O-RPP-Inspector-ObjetivoUnicoAnual-PrimaCorregida',TO_DATE('20140101','yyyymmdd'),TO_DATE('22000101','yyyymmdd'),'');</v>
      </c>
    </row>
    <row r="6" spans="1:2" x14ac:dyDescent="0.25">
      <c r="A6" t="str">
        <f>IF(REGLAS!J7="OBSOLETO","","INSERT INTO INYCEXT.INYC_CONF_INF_REGLAS (COD_INFORME,TABLA,NOMBRE,REGLA,F_INICIO,F_FIN,DESCRIPCION) VALUES ("&amp;REGLAS!B7&amp;",'"&amp;REGLAS!C7&amp;"','"&amp;REGLAS!D7&amp;"','"&amp;REGLAS!G7&amp;"',TO_DATE('"&amp;REGLAS!H7&amp;"','yyyymmdd'),TO_DATE('"&amp;REGLAS!I7&amp;"','yyyymmdd'),'"&amp;REGLAS!J7&amp;"');")</f>
        <v>INSERT INTO INYCEXT.INYC_CONF_INF_REGLAS (COD_INFORME,TABLA,NOMBRE,REGLA,F_INICIO,F_FIN,DESCRIPCION) VALUES (1.1,'INYC_RPI_RESUMEN','SM - Objetivo Trimestral Rappel1 RRTT','SM-O-RPP-Inspector-ObjetivoTrimestral-Rappel1-NumPolizas-001',TO_DATE('20140101','yyyymmdd'),TO_DATE('22000101','yyyymmdd'),'');</v>
      </c>
      <c r="B6" t="str">
        <f>IF(REGLAS!J7="OBSOLETO","","INSERT INTO INYCEXT.INYC_CONF_INF_REGLAS@tc_link (COD_INFORME,TABLA,NOMBRE,REGLA,F_INICIO,F_FIN,DESCRIPCION) VALUES ("&amp;REGLAS!B7&amp;",'"&amp;REGLAS!C7&amp;"','"&amp;REGLAS!D7&amp;"','"&amp;REGLAS!G7&amp;"',TO_DATE('"&amp;REGLAS!H7&amp;"','yyyymmdd'),TO_DATE('"&amp;REGLAS!I7&amp;"','yyyymmdd'),'"&amp;REGLAS!J7&amp;"');")</f>
        <v>INSERT INTO INYCEXT.INYC_CONF_INF_REGLAS@tc_link (COD_INFORME,TABLA,NOMBRE,REGLA,F_INICIO,F_FIN,DESCRIPCION) VALUES (1.1,'INYC_RPI_RESUMEN','SM - Objetivo Trimestral Rappel1 RRTT','SM-O-RPP-Inspector-ObjetivoTrimestral-Rappel1-NumPolizas-001',TO_DATE('20140101','yyyymmdd'),TO_DATE('22000101','yyyymmdd'),'');</v>
      </c>
    </row>
    <row r="7" spans="1:2" x14ac:dyDescent="0.25">
      <c r="A7" t="str">
        <f>IF(REGLAS!J8="OBSOLETO","","INSERT INTO INYCEXT.INYC_CONF_INF_REGLAS (COD_INFORME,TABLA,NOMBRE,REGLA,F_INICIO,F_FIN,DESCRIPCION) VALUES ("&amp;REGLAS!B8&amp;",'"&amp;REGLAS!C8&amp;"','"&amp;REGLAS!D8&amp;"','"&amp;REGLAS!G8&amp;"',TO_DATE('"&amp;REGLAS!H8&amp;"','yyyymmdd'),TO_DATE('"&amp;REGLAS!I8&amp;"','yyyymmdd'),'"&amp;REGLAS!J8&amp;"');")</f>
        <v>INSERT INTO INYCEXT.INYC_CONF_INF_REGLAS (COD_INFORME,TABLA,NOMBRE,REGLA,F_INICIO,F_FIN,DESCRIPCION) VALUES (1.1,'INYC_RPI_RESUMEN','SM - Objetivo Trimestral Rappel1 Hogar','SM-O-RPP-Inspector-ObjetivoTrimestral-Rappel1-NumPolizas-002',TO_DATE('20140101','yyyymmdd'),TO_DATE('22000101','yyyymmdd'),'');</v>
      </c>
      <c r="B7" t="str">
        <f>IF(REGLAS!J8="OBSOLETO","","INSERT INTO INYCEXT.INYC_CONF_INF_REGLAS@tc_link (COD_INFORME,TABLA,NOMBRE,REGLA,F_INICIO,F_FIN,DESCRIPCION) VALUES ("&amp;REGLAS!B8&amp;",'"&amp;REGLAS!C8&amp;"','"&amp;REGLAS!D8&amp;"','"&amp;REGLAS!G8&amp;"',TO_DATE('"&amp;REGLAS!H8&amp;"','yyyymmdd'),TO_DATE('"&amp;REGLAS!I8&amp;"','yyyymmdd'),'"&amp;REGLAS!J8&amp;"');")</f>
        <v>INSERT INTO INYCEXT.INYC_CONF_INF_REGLAS@tc_link (COD_INFORME,TABLA,NOMBRE,REGLA,F_INICIO,F_FIN,DESCRIPCION) VALUES (1.1,'INYC_RPI_RESUMEN','SM - Objetivo Trimestral Rappel1 Hogar','SM-O-RPP-Inspector-ObjetivoTrimestral-Rappel1-NumPolizas-002',TO_DATE('20140101','yyyymmdd'),TO_DATE('22000101','yyyymmdd'),'');</v>
      </c>
    </row>
    <row r="8" spans="1:2" x14ac:dyDescent="0.25">
      <c r="A8" t="str">
        <f>IF(REGLAS!J9="OBSOLETO","","INSERT INTO INYCEXT.INYC_CONF_INF_REGLAS (COD_INFORME,TABLA,NOMBRE,REGLA,F_INICIO,F_FIN,DESCRIPCION) VALUES ("&amp;REGLAS!B9&amp;",'"&amp;REGLAS!C9&amp;"','"&amp;REGLAS!D9&amp;"','"&amp;REGLAS!G9&amp;"',TO_DATE('"&amp;REGLAS!H9&amp;"','yyyymmdd'),TO_DATE('"&amp;REGLAS!I9&amp;"','yyyymmdd'),'"&amp;REGLAS!J9&amp;"');")</f>
        <v>INSERT INTO INYCEXT.INYC_CONF_INF_REGLAS (COD_INFORME,TABLA,NOMBRE,REGLA,F_INICIO,F_FIN,DESCRIPCION) VALUES (1.1,'INYC_RPI_RESUMEN','SM - Objetivo Trimestral Rappel1 RRPP','SM-O-RPP-Inspector-ObjetivoTrimestral-Rappel1-NumPolizas-906',TO_DATE('20140101','yyyymmdd'),TO_DATE('22000101','yyyymmdd'),'');</v>
      </c>
      <c r="B8" t="str">
        <f>IF(REGLAS!J9="OBSOLETO","","INSERT INTO INYCEXT.INYC_CONF_INF_REGLAS@tc_link (COD_INFORME,TABLA,NOMBRE,REGLA,F_INICIO,F_FIN,DESCRIPCION) VALUES ("&amp;REGLAS!B9&amp;",'"&amp;REGLAS!C9&amp;"','"&amp;REGLAS!D9&amp;"','"&amp;REGLAS!G9&amp;"',TO_DATE('"&amp;REGLAS!H9&amp;"','yyyymmdd'),TO_DATE('"&amp;REGLAS!I9&amp;"','yyyymmdd'),'"&amp;REGLAS!J9&amp;"');")</f>
        <v>INSERT INTO INYCEXT.INYC_CONF_INF_REGLAS@tc_link (COD_INFORME,TABLA,NOMBRE,REGLA,F_INICIO,F_FIN,DESCRIPCION) VALUES (1.1,'INYC_RPI_RESUMEN','SM - Objetivo Trimestral Rappel1 RRPP','SM-O-RPP-Inspector-ObjetivoTrimestral-Rappel1-NumPolizas-906',TO_DATE('20140101','yyyymmdd'),TO_DATE('22000101','yyyymmdd'),'');</v>
      </c>
    </row>
    <row r="9" spans="1:2" x14ac:dyDescent="0.25">
      <c r="A9" t="str">
        <f>IF(REGLAS!J10="OBSOLETO","","INSERT INTO INYCEXT.INYC_CONF_INF_REGLAS (COD_INFORME,TABLA,NOMBRE,REGLA,F_INICIO,F_FIN,DESCRIPCION) VALUES ("&amp;REGLAS!B10&amp;",'"&amp;REGLAS!C10&amp;"','"&amp;REGLAS!D10&amp;"','"&amp;REGLAS!G10&amp;"',TO_DATE('"&amp;REGLAS!H10&amp;"','yyyymmdd'),TO_DATE('"&amp;REGLAS!I10&amp;"','yyyymmdd'),'"&amp;REGLAS!J10&amp;"');")</f>
        <v>INSERT INTO INYCEXT.INYC_CONF_INF_REGLAS (COD_INFORME,TABLA,NOMBRE,REGLA,F_INICIO,F_FIN,DESCRIPCION) VALUES (1.1,'INYC_RPI_RESUMEN','SM - Objetivo Trimestral Rappel1 Total Ramos','SM-O-RPP-Inspector-ObjetivoTrimestral-Rappel1-NumPolizas-998',TO_DATE('20140101','yyyymmdd'),TO_DATE('22000101','yyyymmdd'),'');</v>
      </c>
      <c r="B9" t="str">
        <f>IF(REGLAS!J10="OBSOLETO","","INSERT INTO INYCEXT.INYC_CONF_INF_REGLAS@tc_link (COD_INFORME,TABLA,NOMBRE,REGLA,F_INICIO,F_FIN,DESCRIPCION) VALUES ("&amp;REGLAS!B10&amp;",'"&amp;REGLAS!C10&amp;"','"&amp;REGLAS!D10&amp;"','"&amp;REGLAS!G10&amp;"',TO_DATE('"&amp;REGLAS!H10&amp;"','yyyymmdd'),TO_DATE('"&amp;REGLAS!I10&amp;"','yyyymmdd'),'"&amp;REGLAS!J10&amp;"');")</f>
        <v>INSERT INTO INYCEXT.INYC_CONF_INF_REGLAS@tc_link (COD_INFORME,TABLA,NOMBRE,REGLA,F_INICIO,F_FIN,DESCRIPCION) VALUES (1.1,'INYC_RPI_RESUMEN','SM - Objetivo Trimestral Rappel1 Total Ramos','SM-O-RPP-Inspector-ObjetivoTrimestral-Rappel1-NumPolizas-998',TO_DATE('20140101','yyyymmdd'),TO_DATE('22000101','yyyymmdd'),'');</v>
      </c>
    </row>
    <row r="10" spans="1:2" x14ac:dyDescent="0.25">
      <c r="A10" t="str">
        <f>IF(REGLAS!J11="OBSOLETO","","INSERT INTO INYCEXT.INYC_CONF_INF_REGLAS (COD_INFORME,TABLA,NOMBRE,REGLA,F_INICIO,F_FIN,DESCRIPCION) VALUES ("&amp;REGLAS!B11&amp;",'"&amp;REGLAS!C11&amp;"','"&amp;REGLAS!D11&amp;"','"&amp;REGLAS!G11&amp;"',TO_DATE('"&amp;REGLAS!H11&amp;"','yyyymmdd'),TO_DATE('"&amp;REGLAS!I11&amp;"','yyyymmdd'),'"&amp;REGLAS!J11&amp;"');")</f>
        <v>INSERT INTO INYCEXT.INYC_CONF_INF_REGLAS (COD_INFORME,TABLA,NOMBRE,REGLA,F_INICIO,F_FIN,DESCRIPCION) VALUES (1.1,'INYC_RPI_RESUMEN','SM - Objetivo Trimestral Rappel2 Total Ramos','SM-O-RPP-Inspector-ObjetivoTrimestral-Rappel2-NumPolizas-998',TO_DATE('20140101','yyyymmdd'),TO_DATE('22000101','yyyymmdd'),'');</v>
      </c>
      <c r="B10" t="str">
        <f>IF(REGLAS!J11="OBSOLETO","","INSERT INTO INYCEXT.INYC_CONF_INF_REGLAS@tc_link (COD_INFORME,TABLA,NOMBRE,REGLA,F_INICIO,F_FIN,DESCRIPCION) VALUES ("&amp;REGLAS!B11&amp;",'"&amp;REGLAS!C11&amp;"','"&amp;REGLAS!D11&amp;"','"&amp;REGLAS!G11&amp;"',TO_DATE('"&amp;REGLAS!H11&amp;"','yyyymmdd'),TO_DATE('"&amp;REGLAS!I11&amp;"','yyyymmdd'),'"&amp;REGLAS!J11&amp;"');")</f>
        <v>INSERT INTO INYCEXT.INYC_CONF_INF_REGLAS@tc_link (COD_INFORME,TABLA,NOMBRE,REGLA,F_INICIO,F_FIN,DESCRIPCION) VALUES (1.1,'INYC_RPI_RESUMEN','SM - Objetivo Trimestral Rappel2 Total Ramos','SM-O-RPP-Inspector-ObjetivoTrimestral-Rappel2-NumPolizas-998',TO_DATE('20140101','yyyymmdd'),TO_DATE('22000101','yyyymmdd'),'');</v>
      </c>
    </row>
    <row r="11" spans="1:2" x14ac:dyDescent="0.25">
      <c r="A11" t="str">
        <f>IF(REGLAS!J12="OBSOLETO","","INSERT INTO INYCEXT.INYC_CONF_INF_REGLAS (COD_INFORME,TABLA,NOMBRE,REGLA,F_INICIO,F_FIN,DESCRIPCION) VALUES ("&amp;REGLAS!B12&amp;",'"&amp;REGLAS!C12&amp;"','"&amp;REGLAS!D12&amp;"','"&amp;REGLAS!G12&amp;"',TO_DATE('"&amp;REGLAS!H12&amp;"','yyyymmdd'),TO_DATE('"&amp;REGLAS!I12&amp;"','yyyymmdd'),'"&amp;REGLAS!J12&amp;"');")</f>
        <v>INSERT INTO INYCEXT.INYC_CONF_INF_REGLAS (COD_INFORME,TABLA,NOMBRE,REGLA,F_INICIO,F_FIN,DESCRIPCION) VALUES (1.1,'INYC_RPI_RESUMEN','SM - Importe Reg. Anual Rappel1 Mes1','SM-RPP-Inspector-ImportesRegularizacionAnual-Rappel1-Mes1',TO_DATE('20140101','yyyymmdd'),TO_DATE('22000101','yyyymmdd'),'');</v>
      </c>
      <c r="B11" t="str">
        <f>IF(REGLAS!J12="OBSOLETO","","INSERT INTO INYCEXT.INYC_CONF_INF_REGLAS@tc_link (COD_INFORME,TABLA,NOMBRE,REGLA,F_INICIO,F_FIN,DESCRIPCION) VALUES ("&amp;REGLAS!B12&amp;",'"&amp;REGLAS!C12&amp;"','"&amp;REGLAS!D12&amp;"','"&amp;REGLAS!G12&amp;"',TO_DATE('"&amp;REGLAS!H12&amp;"','yyyymmdd'),TO_DATE('"&amp;REGLAS!I12&amp;"','yyyymmdd'),'"&amp;REGLAS!J12&amp;"');")</f>
        <v>INSERT INTO INYCEXT.INYC_CONF_INF_REGLAS@tc_link (COD_INFORME,TABLA,NOMBRE,REGLA,F_INICIO,F_FIN,DESCRIPCION) VALUES (1.1,'INYC_RPI_RESUMEN','SM - Importe Reg. Anual Rappel1 Mes1','SM-RPP-Inspector-ImportesRegularizacionAnual-Rappel1-Mes1',TO_DATE('20140101','yyyymmdd'),TO_DATE('22000101','yyyymmdd'),'');</v>
      </c>
    </row>
    <row r="12" spans="1:2" x14ac:dyDescent="0.25">
      <c r="A12" t="str">
        <f>IF(REGLAS!J13="OBSOLETO","","INSERT INTO INYCEXT.INYC_CONF_INF_REGLAS (COD_INFORME,TABLA,NOMBRE,REGLA,F_INICIO,F_FIN,DESCRIPCION) VALUES ("&amp;REGLAS!B13&amp;",'"&amp;REGLAS!C13&amp;"','"&amp;REGLAS!D13&amp;"','"&amp;REGLAS!G13&amp;"',TO_DATE('"&amp;REGLAS!H13&amp;"','yyyymmdd'),TO_DATE('"&amp;REGLAS!I13&amp;"','yyyymmdd'),'"&amp;REGLAS!J13&amp;"');")</f>
        <v>INSERT INTO INYCEXT.INYC_CONF_INF_REGLAS (COD_INFORME,TABLA,NOMBRE,REGLA,F_INICIO,F_FIN,DESCRIPCION) VALUES (1.1,'INYC_RPI_RESUMEN','SM - Importe Reg. Anual Rappel1 Mes10','SM-RPP-Inspector-ImportesRegularizacionAnual-Rappel1-Mes10',TO_DATE('20140101','yyyymmdd'),TO_DATE('22000101','yyyymmdd'),'');</v>
      </c>
      <c r="B12" t="str">
        <f>IF(REGLAS!J13="OBSOLETO","","INSERT INTO INYCEXT.INYC_CONF_INF_REGLAS@tc_link (COD_INFORME,TABLA,NOMBRE,REGLA,F_INICIO,F_FIN,DESCRIPCION) VALUES ("&amp;REGLAS!B13&amp;",'"&amp;REGLAS!C13&amp;"','"&amp;REGLAS!D13&amp;"','"&amp;REGLAS!G13&amp;"',TO_DATE('"&amp;REGLAS!H13&amp;"','yyyymmdd'),TO_DATE('"&amp;REGLAS!I13&amp;"','yyyymmdd'),'"&amp;REGLAS!J13&amp;"');")</f>
        <v>INSERT INTO INYCEXT.INYC_CONF_INF_REGLAS@tc_link (COD_INFORME,TABLA,NOMBRE,REGLA,F_INICIO,F_FIN,DESCRIPCION) VALUES (1.1,'INYC_RPI_RESUMEN','SM - Importe Reg. Anual Rappel1 Mes10','SM-RPP-Inspector-ImportesRegularizacionAnual-Rappel1-Mes10',TO_DATE('20140101','yyyymmdd'),TO_DATE('22000101','yyyymmdd'),'');</v>
      </c>
    </row>
    <row r="13" spans="1:2" x14ac:dyDescent="0.25">
      <c r="A13" t="str">
        <f>IF(REGLAS!J14="OBSOLETO","","INSERT INTO INYCEXT.INYC_CONF_INF_REGLAS (COD_INFORME,TABLA,NOMBRE,REGLA,F_INICIO,F_FIN,DESCRIPCION) VALUES ("&amp;REGLAS!B14&amp;",'"&amp;REGLAS!C14&amp;"','"&amp;REGLAS!D14&amp;"','"&amp;REGLAS!G14&amp;"',TO_DATE('"&amp;REGLAS!H14&amp;"','yyyymmdd'),TO_DATE('"&amp;REGLAS!I14&amp;"','yyyymmdd'),'"&amp;REGLAS!J14&amp;"');")</f>
        <v>INSERT INTO INYCEXT.INYC_CONF_INF_REGLAS (COD_INFORME,TABLA,NOMBRE,REGLA,F_INICIO,F_FIN,DESCRIPCION) VALUES (1.1,'INYC_RPI_RESUMEN','SM - Importe Reg. Anual Rappel1 Mes11','SM-RPP-Inspector-ImportesRegularizacionAnual-Rappel1-Mes11',TO_DATE('20140101','yyyymmdd'),TO_DATE('22000101','yyyymmdd'),'');</v>
      </c>
      <c r="B13" t="str">
        <f>IF(REGLAS!J14="OBSOLETO","","INSERT INTO INYCEXT.INYC_CONF_INF_REGLAS@tc_link (COD_INFORME,TABLA,NOMBRE,REGLA,F_INICIO,F_FIN,DESCRIPCION) VALUES ("&amp;REGLAS!B14&amp;",'"&amp;REGLAS!C14&amp;"','"&amp;REGLAS!D14&amp;"','"&amp;REGLAS!G14&amp;"',TO_DATE('"&amp;REGLAS!H14&amp;"','yyyymmdd'),TO_DATE('"&amp;REGLAS!I14&amp;"','yyyymmdd'),'"&amp;REGLAS!J14&amp;"');")</f>
        <v>INSERT INTO INYCEXT.INYC_CONF_INF_REGLAS@tc_link (COD_INFORME,TABLA,NOMBRE,REGLA,F_INICIO,F_FIN,DESCRIPCION) VALUES (1.1,'INYC_RPI_RESUMEN','SM - Importe Reg. Anual Rappel1 Mes11','SM-RPP-Inspector-ImportesRegularizacionAnual-Rappel1-Mes11',TO_DATE('20140101','yyyymmdd'),TO_DATE('22000101','yyyymmdd'),'');</v>
      </c>
    </row>
    <row r="14" spans="1:2" x14ac:dyDescent="0.25">
      <c r="A14" t="str">
        <f>IF(REGLAS!J15="OBSOLETO","","INSERT INTO INYCEXT.INYC_CONF_INF_REGLAS (COD_INFORME,TABLA,NOMBRE,REGLA,F_INICIO,F_FIN,DESCRIPCION) VALUES ("&amp;REGLAS!B15&amp;",'"&amp;REGLAS!C15&amp;"','"&amp;REGLAS!D15&amp;"','"&amp;REGLAS!G15&amp;"',TO_DATE('"&amp;REGLAS!H15&amp;"','yyyymmdd'),TO_DATE('"&amp;REGLAS!I15&amp;"','yyyymmdd'),'"&amp;REGLAS!J15&amp;"');")</f>
        <v>INSERT INTO INYCEXT.INYC_CONF_INF_REGLAS (COD_INFORME,TABLA,NOMBRE,REGLA,F_INICIO,F_FIN,DESCRIPCION) VALUES (1.1,'INYC_RPI_RESUMEN','SM - Importe Reg. Anual Rappel1 Mes12','SM-RPP-Inspector-ImportesRegularizacionAnual-Rappel1-Mes12',TO_DATE('20140101','yyyymmdd'),TO_DATE('22000101','yyyymmdd'),'');</v>
      </c>
      <c r="B14" t="str">
        <f>IF(REGLAS!J15="OBSOLETO","","INSERT INTO INYCEXT.INYC_CONF_INF_REGLAS@tc_link (COD_INFORME,TABLA,NOMBRE,REGLA,F_INICIO,F_FIN,DESCRIPCION) VALUES ("&amp;REGLAS!B15&amp;",'"&amp;REGLAS!C15&amp;"','"&amp;REGLAS!D15&amp;"','"&amp;REGLAS!G15&amp;"',TO_DATE('"&amp;REGLAS!H15&amp;"','yyyymmdd'),TO_DATE('"&amp;REGLAS!I15&amp;"','yyyymmdd'),'"&amp;REGLAS!J15&amp;"');")</f>
        <v>INSERT INTO INYCEXT.INYC_CONF_INF_REGLAS@tc_link (COD_INFORME,TABLA,NOMBRE,REGLA,F_INICIO,F_FIN,DESCRIPCION) VALUES (1.1,'INYC_RPI_RESUMEN','SM - Importe Reg. Anual Rappel1 Mes12','SM-RPP-Inspector-ImportesRegularizacionAnual-Rappel1-Mes12',TO_DATE('20140101','yyyymmdd'),TO_DATE('22000101','yyyymmdd'),'');</v>
      </c>
    </row>
    <row r="15" spans="1:2" x14ac:dyDescent="0.25">
      <c r="A15" t="str">
        <f>IF(REGLAS!J16="OBSOLETO","","INSERT INTO INYCEXT.INYC_CONF_INF_REGLAS (COD_INFORME,TABLA,NOMBRE,REGLA,F_INICIO,F_FIN,DESCRIPCION) VALUES ("&amp;REGLAS!B16&amp;",'"&amp;REGLAS!C16&amp;"','"&amp;REGLAS!D16&amp;"','"&amp;REGLAS!G16&amp;"',TO_DATE('"&amp;REGLAS!H16&amp;"','yyyymmdd'),TO_DATE('"&amp;REGLAS!I16&amp;"','yyyymmdd'),'"&amp;REGLAS!J16&amp;"');")</f>
        <v>INSERT INTO INYCEXT.INYC_CONF_INF_REGLAS (COD_INFORME,TABLA,NOMBRE,REGLA,F_INICIO,F_FIN,DESCRIPCION) VALUES (1.1,'INYC_RPI_RESUMEN','SM - Importe Reg. Anual Rappel1 Mes2','SM-RPP-Inspector-ImportesRegularizacionAnual-Rappel1-Mes2',TO_DATE('20140101','yyyymmdd'),TO_DATE('22000101','yyyymmdd'),'');</v>
      </c>
      <c r="B15" t="str">
        <f>IF(REGLAS!J16="OBSOLETO","","INSERT INTO INYCEXT.INYC_CONF_INF_REGLAS@tc_link (COD_INFORME,TABLA,NOMBRE,REGLA,F_INICIO,F_FIN,DESCRIPCION) VALUES ("&amp;REGLAS!B16&amp;",'"&amp;REGLAS!C16&amp;"','"&amp;REGLAS!D16&amp;"','"&amp;REGLAS!G16&amp;"',TO_DATE('"&amp;REGLAS!H16&amp;"','yyyymmdd'),TO_DATE('"&amp;REGLAS!I16&amp;"','yyyymmdd'),'"&amp;REGLAS!J16&amp;"');")</f>
        <v>INSERT INTO INYCEXT.INYC_CONF_INF_REGLAS@tc_link (COD_INFORME,TABLA,NOMBRE,REGLA,F_INICIO,F_FIN,DESCRIPCION) VALUES (1.1,'INYC_RPI_RESUMEN','SM - Importe Reg. Anual Rappel1 Mes2','SM-RPP-Inspector-ImportesRegularizacionAnual-Rappel1-Mes2',TO_DATE('20140101','yyyymmdd'),TO_DATE('22000101','yyyymmdd'),'');</v>
      </c>
    </row>
    <row r="16" spans="1:2" x14ac:dyDescent="0.25">
      <c r="A16" t="str">
        <f>IF(REGLAS!J17="OBSOLETO","","INSERT INTO INYCEXT.INYC_CONF_INF_REGLAS (COD_INFORME,TABLA,NOMBRE,REGLA,F_INICIO,F_FIN,DESCRIPCION) VALUES ("&amp;REGLAS!B17&amp;",'"&amp;REGLAS!C17&amp;"','"&amp;REGLAS!D17&amp;"','"&amp;REGLAS!G17&amp;"',TO_DATE('"&amp;REGLAS!H17&amp;"','yyyymmdd'),TO_DATE('"&amp;REGLAS!I17&amp;"','yyyymmdd'),'"&amp;REGLAS!J17&amp;"');")</f>
        <v>INSERT INTO INYCEXT.INYC_CONF_INF_REGLAS (COD_INFORME,TABLA,NOMBRE,REGLA,F_INICIO,F_FIN,DESCRIPCION) VALUES (1.1,'INYC_RPI_RESUMEN','SM - Importe Reg. Anual Rappel1 Mes3','SM-RPP-Inspector-ImportesRegularizacionAnual-Rappel1-Mes3',TO_DATE('20140101','yyyymmdd'),TO_DATE('22000101','yyyymmdd'),'');</v>
      </c>
      <c r="B16" t="str">
        <f>IF(REGLAS!J17="OBSOLETO","","INSERT INTO INYCEXT.INYC_CONF_INF_REGLAS@tc_link (COD_INFORME,TABLA,NOMBRE,REGLA,F_INICIO,F_FIN,DESCRIPCION) VALUES ("&amp;REGLAS!B17&amp;",'"&amp;REGLAS!C17&amp;"','"&amp;REGLAS!D17&amp;"','"&amp;REGLAS!G17&amp;"',TO_DATE('"&amp;REGLAS!H17&amp;"','yyyymmdd'),TO_DATE('"&amp;REGLAS!I17&amp;"','yyyymmdd'),'"&amp;REGLAS!J17&amp;"');")</f>
        <v>INSERT INTO INYCEXT.INYC_CONF_INF_REGLAS@tc_link (COD_INFORME,TABLA,NOMBRE,REGLA,F_INICIO,F_FIN,DESCRIPCION) VALUES (1.1,'INYC_RPI_RESUMEN','SM - Importe Reg. Anual Rappel1 Mes3','SM-RPP-Inspector-ImportesRegularizacionAnual-Rappel1-Mes3',TO_DATE('20140101','yyyymmdd'),TO_DATE('22000101','yyyymmdd'),'');</v>
      </c>
    </row>
    <row r="17" spans="1:2" x14ac:dyDescent="0.25">
      <c r="A17" t="str">
        <f>IF(REGLAS!J18="OBSOLETO","","INSERT INTO INYCEXT.INYC_CONF_INF_REGLAS (COD_INFORME,TABLA,NOMBRE,REGLA,F_INICIO,F_FIN,DESCRIPCION) VALUES ("&amp;REGLAS!B18&amp;",'"&amp;REGLAS!C18&amp;"','"&amp;REGLAS!D18&amp;"','"&amp;REGLAS!G18&amp;"',TO_DATE('"&amp;REGLAS!H18&amp;"','yyyymmdd'),TO_DATE('"&amp;REGLAS!I18&amp;"','yyyymmdd'),'"&amp;REGLAS!J18&amp;"');")</f>
        <v>INSERT INTO INYCEXT.INYC_CONF_INF_REGLAS (COD_INFORME,TABLA,NOMBRE,REGLA,F_INICIO,F_FIN,DESCRIPCION) VALUES (1.1,'INYC_RPI_RESUMEN','SM - Importe Reg. Anual Rappel1 Mes4','SM-RPP-Inspector-ImportesRegularizacionAnual-Rappel1-Mes4',TO_DATE('20140101','yyyymmdd'),TO_DATE('22000101','yyyymmdd'),'');</v>
      </c>
      <c r="B17" t="str">
        <f>IF(REGLAS!J18="OBSOLETO","","INSERT INTO INYCEXT.INYC_CONF_INF_REGLAS@tc_link (COD_INFORME,TABLA,NOMBRE,REGLA,F_INICIO,F_FIN,DESCRIPCION) VALUES ("&amp;REGLAS!B18&amp;",'"&amp;REGLAS!C18&amp;"','"&amp;REGLAS!D18&amp;"','"&amp;REGLAS!G18&amp;"',TO_DATE('"&amp;REGLAS!H18&amp;"','yyyymmdd'),TO_DATE('"&amp;REGLAS!I18&amp;"','yyyymmdd'),'"&amp;REGLAS!J18&amp;"');")</f>
        <v>INSERT INTO INYCEXT.INYC_CONF_INF_REGLAS@tc_link (COD_INFORME,TABLA,NOMBRE,REGLA,F_INICIO,F_FIN,DESCRIPCION) VALUES (1.1,'INYC_RPI_RESUMEN','SM - Importe Reg. Anual Rappel1 Mes4','SM-RPP-Inspector-ImportesRegularizacionAnual-Rappel1-Mes4',TO_DATE('20140101','yyyymmdd'),TO_DATE('22000101','yyyymmdd'),'');</v>
      </c>
    </row>
    <row r="18" spans="1:2" x14ac:dyDescent="0.25">
      <c r="A18" t="str">
        <f>IF(REGLAS!J19="OBSOLETO","","INSERT INTO INYCEXT.INYC_CONF_INF_REGLAS (COD_INFORME,TABLA,NOMBRE,REGLA,F_INICIO,F_FIN,DESCRIPCION) VALUES ("&amp;REGLAS!B19&amp;",'"&amp;REGLAS!C19&amp;"','"&amp;REGLAS!D19&amp;"','"&amp;REGLAS!G19&amp;"',TO_DATE('"&amp;REGLAS!H19&amp;"','yyyymmdd'),TO_DATE('"&amp;REGLAS!I19&amp;"','yyyymmdd'),'"&amp;REGLAS!J19&amp;"');")</f>
        <v>INSERT INTO INYCEXT.INYC_CONF_INF_REGLAS (COD_INFORME,TABLA,NOMBRE,REGLA,F_INICIO,F_FIN,DESCRIPCION) VALUES (1.1,'INYC_RPI_RESUMEN','SM - Importe Reg. Anual Rappel1 Mes5','SM-RPP-Inspector-ImportesRegularizacionAnual-Rappel1-Mes5',TO_DATE('20140101','yyyymmdd'),TO_DATE('22000101','yyyymmdd'),'');</v>
      </c>
      <c r="B18" t="str">
        <f>IF(REGLAS!J19="OBSOLETO","","INSERT INTO INYCEXT.INYC_CONF_INF_REGLAS@tc_link (COD_INFORME,TABLA,NOMBRE,REGLA,F_INICIO,F_FIN,DESCRIPCION) VALUES ("&amp;REGLAS!B19&amp;",'"&amp;REGLAS!C19&amp;"','"&amp;REGLAS!D19&amp;"','"&amp;REGLAS!G19&amp;"',TO_DATE('"&amp;REGLAS!H19&amp;"','yyyymmdd'),TO_DATE('"&amp;REGLAS!I19&amp;"','yyyymmdd'),'"&amp;REGLAS!J19&amp;"');")</f>
        <v>INSERT INTO INYCEXT.INYC_CONF_INF_REGLAS@tc_link (COD_INFORME,TABLA,NOMBRE,REGLA,F_INICIO,F_FIN,DESCRIPCION) VALUES (1.1,'INYC_RPI_RESUMEN','SM - Importe Reg. Anual Rappel1 Mes5','SM-RPP-Inspector-ImportesRegularizacionAnual-Rappel1-Mes5',TO_DATE('20140101','yyyymmdd'),TO_DATE('22000101','yyyymmdd'),'');</v>
      </c>
    </row>
    <row r="19" spans="1:2" x14ac:dyDescent="0.25">
      <c r="A19" t="str">
        <f>IF(REGLAS!J20="OBSOLETO","","INSERT INTO INYCEXT.INYC_CONF_INF_REGLAS (COD_INFORME,TABLA,NOMBRE,REGLA,F_INICIO,F_FIN,DESCRIPCION) VALUES ("&amp;REGLAS!B20&amp;",'"&amp;REGLAS!C20&amp;"','"&amp;REGLAS!D20&amp;"','"&amp;REGLAS!G20&amp;"',TO_DATE('"&amp;REGLAS!H20&amp;"','yyyymmdd'),TO_DATE('"&amp;REGLAS!I20&amp;"','yyyymmdd'),'"&amp;REGLAS!J20&amp;"');")</f>
        <v>INSERT INTO INYCEXT.INYC_CONF_INF_REGLAS (COD_INFORME,TABLA,NOMBRE,REGLA,F_INICIO,F_FIN,DESCRIPCION) VALUES (1.1,'INYC_RPI_RESUMEN','SM - Importe Reg. Anual Rappel1 Mes6','SM-RPP-Inspector-ImportesRegularizacionAnual-Rappel1-Mes6',TO_DATE('20140101','yyyymmdd'),TO_DATE('22000101','yyyymmdd'),'');</v>
      </c>
      <c r="B19" t="str">
        <f>IF(REGLAS!J20="OBSOLETO","","INSERT INTO INYCEXT.INYC_CONF_INF_REGLAS@tc_link (COD_INFORME,TABLA,NOMBRE,REGLA,F_INICIO,F_FIN,DESCRIPCION) VALUES ("&amp;REGLAS!B20&amp;",'"&amp;REGLAS!C20&amp;"','"&amp;REGLAS!D20&amp;"','"&amp;REGLAS!G20&amp;"',TO_DATE('"&amp;REGLAS!H20&amp;"','yyyymmdd'),TO_DATE('"&amp;REGLAS!I20&amp;"','yyyymmdd'),'"&amp;REGLAS!J20&amp;"');")</f>
        <v>INSERT INTO INYCEXT.INYC_CONF_INF_REGLAS@tc_link (COD_INFORME,TABLA,NOMBRE,REGLA,F_INICIO,F_FIN,DESCRIPCION) VALUES (1.1,'INYC_RPI_RESUMEN','SM - Importe Reg. Anual Rappel1 Mes6','SM-RPP-Inspector-ImportesRegularizacionAnual-Rappel1-Mes6',TO_DATE('20140101','yyyymmdd'),TO_DATE('22000101','yyyymmdd'),'');</v>
      </c>
    </row>
    <row r="20" spans="1:2" x14ac:dyDescent="0.25">
      <c r="A20" t="str">
        <f>IF(REGLAS!J21="OBSOLETO","","INSERT INTO INYCEXT.INYC_CONF_INF_REGLAS (COD_INFORME,TABLA,NOMBRE,REGLA,F_INICIO,F_FIN,DESCRIPCION) VALUES ("&amp;REGLAS!B21&amp;",'"&amp;REGLAS!C21&amp;"','"&amp;REGLAS!D21&amp;"','"&amp;REGLAS!G21&amp;"',TO_DATE('"&amp;REGLAS!H21&amp;"','yyyymmdd'),TO_DATE('"&amp;REGLAS!I21&amp;"','yyyymmdd'),'"&amp;REGLAS!J21&amp;"');")</f>
        <v>INSERT INTO INYCEXT.INYC_CONF_INF_REGLAS (COD_INFORME,TABLA,NOMBRE,REGLA,F_INICIO,F_FIN,DESCRIPCION) VALUES (1.1,'INYC_RPI_RESUMEN','SM - Importe Reg. Anual Rappel1 Mes7','SM-RPP-Inspector-ImportesRegularizacionAnual-Rappel1-Mes7',TO_DATE('20140101','yyyymmdd'),TO_DATE('22000101','yyyymmdd'),'');</v>
      </c>
      <c r="B20" t="str">
        <f>IF(REGLAS!J21="OBSOLETO","","INSERT INTO INYCEXT.INYC_CONF_INF_REGLAS@tc_link (COD_INFORME,TABLA,NOMBRE,REGLA,F_INICIO,F_FIN,DESCRIPCION) VALUES ("&amp;REGLAS!B21&amp;",'"&amp;REGLAS!C21&amp;"','"&amp;REGLAS!D21&amp;"','"&amp;REGLAS!G21&amp;"',TO_DATE('"&amp;REGLAS!H21&amp;"','yyyymmdd'),TO_DATE('"&amp;REGLAS!I21&amp;"','yyyymmdd'),'"&amp;REGLAS!J21&amp;"');")</f>
        <v>INSERT INTO INYCEXT.INYC_CONF_INF_REGLAS@tc_link (COD_INFORME,TABLA,NOMBRE,REGLA,F_INICIO,F_FIN,DESCRIPCION) VALUES (1.1,'INYC_RPI_RESUMEN','SM - Importe Reg. Anual Rappel1 Mes7','SM-RPP-Inspector-ImportesRegularizacionAnual-Rappel1-Mes7',TO_DATE('20140101','yyyymmdd'),TO_DATE('22000101','yyyymmdd'),'');</v>
      </c>
    </row>
    <row r="21" spans="1:2" x14ac:dyDescent="0.25">
      <c r="A21" t="str">
        <f>IF(REGLAS!J22="OBSOLETO","","INSERT INTO INYCEXT.INYC_CONF_INF_REGLAS (COD_INFORME,TABLA,NOMBRE,REGLA,F_INICIO,F_FIN,DESCRIPCION) VALUES ("&amp;REGLAS!B22&amp;",'"&amp;REGLAS!C22&amp;"','"&amp;REGLAS!D22&amp;"','"&amp;REGLAS!G22&amp;"',TO_DATE('"&amp;REGLAS!H22&amp;"','yyyymmdd'),TO_DATE('"&amp;REGLAS!I22&amp;"','yyyymmdd'),'"&amp;REGLAS!J22&amp;"');")</f>
        <v>INSERT INTO INYCEXT.INYC_CONF_INF_REGLAS (COD_INFORME,TABLA,NOMBRE,REGLA,F_INICIO,F_FIN,DESCRIPCION) VALUES (1.1,'INYC_RPI_RESUMEN','SM - Importe Reg. Anual Rappel1 Mes8','SM-RPP-Inspector-ImportesRegularizacionAnual-Rappel1-Mes8',TO_DATE('20140101','yyyymmdd'),TO_DATE('22000101','yyyymmdd'),'');</v>
      </c>
      <c r="B21" t="str">
        <f>IF(REGLAS!J22="OBSOLETO","","INSERT INTO INYCEXT.INYC_CONF_INF_REGLAS@tc_link (COD_INFORME,TABLA,NOMBRE,REGLA,F_INICIO,F_FIN,DESCRIPCION) VALUES ("&amp;REGLAS!B22&amp;",'"&amp;REGLAS!C22&amp;"','"&amp;REGLAS!D22&amp;"','"&amp;REGLAS!G22&amp;"',TO_DATE('"&amp;REGLAS!H22&amp;"','yyyymmdd'),TO_DATE('"&amp;REGLAS!I22&amp;"','yyyymmdd'),'"&amp;REGLAS!J22&amp;"');")</f>
        <v>INSERT INTO INYCEXT.INYC_CONF_INF_REGLAS@tc_link (COD_INFORME,TABLA,NOMBRE,REGLA,F_INICIO,F_FIN,DESCRIPCION) VALUES (1.1,'INYC_RPI_RESUMEN','SM - Importe Reg. Anual Rappel1 Mes8','SM-RPP-Inspector-ImportesRegularizacionAnual-Rappel1-Mes8',TO_DATE('20140101','yyyymmdd'),TO_DATE('22000101','yyyymmdd'),'');</v>
      </c>
    </row>
    <row r="22" spans="1:2" x14ac:dyDescent="0.25">
      <c r="A22" t="str">
        <f>IF(REGLAS!J23="OBSOLETO","","INSERT INTO INYCEXT.INYC_CONF_INF_REGLAS (COD_INFORME,TABLA,NOMBRE,REGLA,F_INICIO,F_FIN,DESCRIPCION) VALUES ("&amp;REGLAS!B23&amp;",'"&amp;REGLAS!C23&amp;"','"&amp;REGLAS!D23&amp;"','"&amp;REGLAS!G23&amp;"',TO_DATE('"&amp;REGLAS!H23&amp;"','yyyymmdd'),TO_DATE('"&amp;REGLAS!I23&amp;"','yyyymmdd'),'"&amp;REGLAS!J23&amp;"');")</f>
        <v>INSERT INTO INYCEXT.INYC_CONF_INF_REGLAS (COD_INFORME,TABLA,NOMBRE,REGLA,F_INICIO,F_FIN,DESCRIPCION) VALUES (1.1,'INYC_RPI_RESUMEN','SM - Importe Reg. Anual Rappel1 Mes9','SM-RPP-Inspector-ImportesRegularizacionAnual-Rappel1-Mes9',TO_DATE('20140101','yyyymmdd'),TO_DATE('22000101','yyyymmdd'),'');</v>
      </c>
      <c r="B22" t="str">
        <f>IF(REGLAS!J23="OBSOLETO","","INSERT INTO INYCEXT.INYC_CONF_INF_REGLAS@tc_link (COD_INFORME,TABLA,NOMBRE,REGLA,F_INICIO,F_FIN,DESCRIPCION) VALUES ("&amp;REGLAS!B23&amp;",'"&amp;REGLAS!C23&amp;"','"&amp;REGLAS!D23&amp;"','"&amp;REGLAS!G23&amp;"',TO_DATE('"&amp;REGLAS!H23&amp;"','yyyymmdd'),TO_DATE('"&amp;REGLAS!I23&amp;"','yyyymmdd'),'"&amp;REGLAS!J23&amp;"');")</f>
        <v>INSERT INTO INYCEXT.INYC_CONF_INF_REGLAS@tc_link (COD_INFORME,TABLA,NOMBRE,REGLA,F_INICIO,F_FIN,DESCRIPCION) VALUES (1.1,'INYC_RPI_RESUMEN','SM - Importe Reg. Anual Rappel1 Mes9','SM-RPP-Inspector-ImportesRegularizacionAnual-Rappel1-Mes9',TO_DATE('20140101','yyyymmdd'),TO_DATE('22000101','yyyymmdd'),'');</v>
      </c>
    </row>
    <row r="23" spans="1:2" x14ac:dyDescent="0.25">
      <c r="A23" t="str">
        <f>IF(REGLAS!J24="OBSOLETO","","INSERT INTO INYCEXT.INYC_CONF_INF_REGLAS (COD_INFORME,TABLA,NOMBRE,REGLA,F_INICIO,F_FIN,DESCRIPCION) VALUES ("&amp;REGLAS!B24&amp;",'"&amp;REGLAS!C24&amp;"','"&amp;REGLAS!D24&amp;"','"&amp;REGLAS!G24&amp;"',TO_DATE('"&amp;REGLAS!H24&amp;"','yyyymmdd'),TO_DATE('"&amp;REGLAS!I24&amp;"','yyyymmdd'),'"&amp;REGLAS!J24&amp;"');")</f>
        <v>INSERT INTO INYCEXT.INYC_CONF_INF_REGLAS (COD_INFORME,TABLA,NOMBRE,REGLA,F_INICIO,F_FIN,DESCRIPCION) VALUES (1.1,'INYC_RPI_RESUMEN','SM - Pago Reg. Anual Final','SM-RPP-Inspector-PagoRegularizacion-Anual-Final',TO_DATE('20140101','yyyymmdd'),TO_DATE('22000101','yyyymmdd'),'');</v>
      </c>
      <c r="B23" t="str">
        <f>IF(REGLAS!J24="OBSOLETO","","INSERT INTO INYCEXT.INYC_CONF_INF_REGLAS@tc_link (COD_INFORME,TABLA,NOMBRE,REGLA,F_INICIO,F_FIN,DESCRIPCION) VALUES ("&amp;REGLAS!B24&amp;",'"&amp;REGLAS!C24&amp;"','"&amp;REGLAS!D24&amp;"','"&amp;REGLAS!G24&amp;"',TO_DATE('"&amp;REGLAS!H24&amp;"','yyyymmdd'),TO_DATE('"&amp;REGLAS!I24&amp;"','yyyymmdd'),'"&amp;REGLAS!J24&amp;"');")</f>
        <v>INSERT INTO INYCEXT.INYC_CONF_INF_REGLAS@tc_link (COD_INFORME,TABLA,NOMBRE,REGLA,F_INICIO,F_FIN,DESCRIPCION) VALUES (1.1,'INYC_RPI_RESUMEN','SM - Pago Reg. Anual Final','SM-RPP-Inspector-PagoRegularizacion-Anual-Final',TO_DATE('20140101','yyyymmdd'),TO_DATE('22000101','yyyymmdd'),'');</v>
      </c>
    </row>
    <row r="24" spans="1:2" x14ac:dyDescent="0.25">
      <c r="A24" t="str">
        <f>IF(REGLAS!J25="OBSOLETO","","INSERT INTO INYCEXT.INYC_CONF_INF_REGLAS (COD_INFORME,TABLA,NOMBRE,REGLA,F_INICIO,F_FIN,DESCRIPCION) VALUES ("&amp;REGLAS!B25&amp;",'"&amp;REGLAS!C25&amp;"','"&amp;REGLAS!D25&amp;"','"&amp;REGLAS!G25&amp;"',TO_DATE('"&amp;REGLAS!H25&amp;"','yyyymmdd'),TO_DATE('"&amp;REGLAS!I25&amp;"','yyyymmdd'),'"&amp;REGLAS!J25&amp;"');")</f>
        <v>INSERT INTO INYCEXT.INYC_CONF_INF_REGLAS (COD_INFORME,TABLA,NOMBRE,REGLA,F_INICIO,F_FIN,DESCRIPCION) VALUES (1.1,'INYC_RPI_RESUMEN','PM - Numero Pólizas RRTT','PM-O-GEN-Inspector-NumeroPolizas-001',TO_DATE('20140101','yyyymmdd'),TO_DATE('20180101','yyyymmdd'),'Version 20180126');</v>
      </c>
      <c r="B24" t="str">
        <f>IF(REGLAS!J25="OBSOLETO","","INSERT INTO INYCEXT.INYC_CONF_INF_REGLAS@tc_link (COD_INFORME,TABLA,NOMBRE,REGLA,F_INICIO,F_FIN,DESCRIPCION) VALUES ("&amp;REGLAS!B25&amp;",'"&amp;REGLAS!C25&amp;"','"&amp;REGLAS!D25&amp;"','"&amp;REGLAS!G25&amp;"',TO_DATE('"&amp;REGLAS!H25&amp;"','yyyymmdd'),TO_DATE('"&amp;REGLAS!I25&amp;"','yyyymmdd'),'"&amp;REGLAS!J25&amp;"');")</f>
        <v>INSERT INTO INYCEXT.INYC_CONF_INF_REGLAS@tc_link (COD_INFORME,TABLA,NOMBRE,REGLA,F_INICIO,F_FIN,DESCRIPCION) VALUES (1.1,'INYC_RPI_RESUMEN','PM - Numero Pólizas RRTT','PM-O-GEN-Inspector-NumeroPolizas-001',TO_DATE('20140101','yyyymmdd'),TO_DATE('20180101','yyyymmdd'),'Version 20180126');</v>
      </c>
    </row>
    <row r="25" spans="1:2" x14ac:dyDescent="0.25">
      <c r="A25" t="str">
        <f>IF(REGLAS!J26="OBSOLETO","","INSERT INTO INYCEXT.INYC_CONF_INF_REGLAS (COD_INFORME,TABLA,NOMBRE,REGLA,F_INICIO,F_FIN,DESCRIPCION) VALUES ("&amp;REGLAS!B26&amp;",'"&amp;REGLAS!C26&amp;"','"&amp;REGLAS!D26&amp;"','"&amp;REGLAS!G26&amp;"',TO_DATE('"&amp;REGLAS!H26&amp;"','yyyymmdd'),TO_DATE('"&amp;REGLAS!I26&amp;"','yyyymmdd'),'"&amp;REGLAS!J26&amp;"');")</f>
        <v>INSERT INTO INYCEXT.INYC_CONF_INF_REGLAS (COD_INFORME,TABLA,NOMBRE,REGLA,F_INICIO,F_FIN,DESCRIPCION) VALUES (1.1,'INYC_RPI_RESUMEN','PM - Numero Pólizas Hogar','PM-O-GEN-Inspector-NumeroPolizas-002',TO_DATE('20140101','yyyymmdd'),TO_DATE('20180101','yyyymmdd'),'Version 20180126');</v>
      </c>
      <c r="B25" t="str">
        <f>IF(REGLAS!J26="OBSOLETO","","INSERT INTO INYCEXT.INYC_CONF_INF_REGLAS@tc_link (COD_INFORME,TABLA,NOMBRE,REGLA,F_INICIO,F_FIN,DESCRIPCION) VALUES ("&amp;REGLAS!B26&amp;",'"&amp;REGLAS!C26&amp;"','"&amp;REGLAS!D26&amp;"','"&amp;REGLAS!G26&amp;"',TO_DATE('"&amp;REGLAS!H26&amp;"','yyyymmdd'),TO_DATE('"&amp;REGLAS!I26&amp;"','yyyymmdd'),'"&amp;REGLAS!J26&amp;"');")</f>
        <v>INSERT INTO INYCEXT.INYC_CONF_INF_REGLAS@tc_link (COD_INFORME,TABLA,NOMBRE,REGLA,F_INICIO,F_FIN,DESCRIPCION) VALUES (1.1,'INYC_RPI_RESUMEN','PM - Numero Pólizas Hogar','PM-O-GEN-Inspector-NumeroPolizas-002',TO_DATE('20140101','yyyymmdd'),TO_DATE('20180101','yyyymmdd'),'Version 20180126');</v>
      </c>
    </row>
    <row r="26" spans="1:2" x14ac:dyDescent="0.25">
      <c r="A26" t="str">
        <f>IF(REGLAS!J27="OBSOLETO","","INSERT INTO INYCEXT.INYC_CONF_INF_REGLAS (COD_INFORME,TABLA,NOMBRE,REGLA,F_INICIO,F_FIN,DESCRIPCION) VALUES ("&amp;REGLAS!B27&amp;",'"&amp;REGLAS!C27&amp;"','"&amp;REGLAS!D27&amp;"','"&amp;REGLAS!G27&amp;"',TO_DATE('"&amp;REGLAS!H27&amp;"','yyyymmdd'),TO_DATE('"&amp;REGLAS!I27&amp;"','yyyymmdd'),'"&amp;REGLAS!J27&amp;"');")</f>
        <v>INSERT INTO INYCEXT.INYC_CONF_INF_REGLAS (COD_INFORME,TABLA,NOMBRE,REGLA,F_INICIO,F_FIN,DESCRIPCION) VALUES (1.1,'INYC_RPI_RESUMEN','PM - Numero Pólizas RRPP','PM-O-GEN-Inspector-NumeroPolizas-906',TO_DATE('20140101','yyyymmdd'),TO_DATE('20180101','yyyymmdd'),'Version 20180126');</v>
      </c>
      <c r="B26" t="str">
        <f>IF(REGLAS!J27="OBSOLETO","","INSERT INTO INYCEXT.INYC_CONF_INF_REGLAS@tc_link (COD_INFORME,TABLA,NOMBRE,REGLA,F_INICIO,F_FIN,DESCRIPCION) VALUES ("&amp;REGLAS!B27&amp;",'"&amp;REGLAS!C27&amp;"','"&amp;REGLAS!D27&amp;"','"&amp;REGLAS!G27&amp;"',TO_DATE('"&amp;REGLAS!H27&amp;"','yyyymmdd'),TO_DATE('"&amp;REGLAS!I27&amp;"','yyyymmdd'),'"&amp;REGLAS!J27&amp;"');")</f>
        <v>INSERT INTO INYCEXT.INYC_CONF_INF_REGLAS@tc_link (COD_INFORME,TABLA,NOMBRE,REGLA,F_INICIO,F_FIN,DESCRIPCION) VALUES (1.1,'INYC_RPI_RESUMEN','PM - Numero Pólizas RRPP','PM-O-GEN-Inspector-NumeroPolizas-906',TO_DATE('20140101','yyyymmdd'),TO_DATE('20180101','yyyymmdd'),'Version 20180126');</v>
      </c>
    </row>
    <row r="27" spans="1:2" x14ac:dyDescent="0.25">
      <c r="A27" t="str">
        <f>IF(REGLAS!J28="OBSOLETO","","INSERT INTO INYCEXT.INYC_CONF_INF_REGLAS (COD_INFORME,TABLA,NOMBRE,REGLA,F_INICIO,F_FIN,DESCRIPCION) VALUES ("&amp;REGLAS!B28&amp;",'"&amp;REGLAS!C28&amp;"','"&amp;REGLAS!D28&amp;"','"&amp;REGLAS!G28&amp;"',TO_DATE('"&amp;REGLAS!H28&amp;"','yyyymmdd'),TO_DATE('"&amp;REGLAS!I28&amp;"','yyyymmdd'),'"&amp;REGLAS!J28&amp;"');")</f>
        <v>INSERT INTO INYCEXT.INYC_CONF_INF_REGLAS (COD_INFORME,TABLA,NOMBRE,REGLA,F_INICIO,F_FIN,DESCRIPCION) VALUES (1.1,'INYC_RPI_RESUMEN','PM - Numero Pólizas Total Ramos','PM-O-GEN-Inspector-NumeroPolizas-998',TO_DATE('20140101','yyyymmdd'),TO_DATE('20180101','yyyymmdd'),'Version 20180126');</v>
      </c>
      <c r="B27" t="str">
        <f>IF(REGLAS!J28="OBSOLETO","","INSERT INTO INYCEXT.INYC_CONF_INF_REGLAS@tc_link (COD_INFORME,TABLA,NOMBRE,REGLA,F_INICIO,F_FIN,DESCRIPCION) VALUES ("&amp;REGLAS!B28&amp;",'"&amp;REGLAS!C28&amp;"','"&amp;REGLAS!D28&amp;"','"&amp;REGLAS!G28&amp;"',TO_DATE('"&amp;REGLAS!H28&amp;"','yyyymmdd'),TO_DATE('"&amp;REGLAS!I28&amp;"','yyyymmdd'),'"&amp;REGLAS!J28&amp;"');")</f>
        <v>INSERT INTO INYCEXT.INYC_CONF_INF_REGLAS@tc_link (COD_INFORME,TABLA,NOMBRE,REGLA,F_INICIO,F_FIN,DESCRIPCION) VALUES (1.1,'INYC_RPI_RESUMEN','PM - Numero Pólizas Total Ramos','PM-O-GEN-Inspector-NumeroPolizas-998',TO_DATE('20140101','yyyymmdd'),TO_DATE('20180101','yyyymmdd'),'Version 20180126');</v>
      </c>
    </row>
    <row r="28" spans="1:2" x14ac:dyDescent="0.25">
      <c r="A28" t="str">
        <f>IF(REGLAS!J29="OBSOLETO","","INSERT INTO INYCEXT.INYC_CONF_INF_REGLAS (COD_INFORME,TABLA,NOMBRE,REGLA,F_INICIO,F_FIN,DESCRIPCION) VALUES ("&amp;REGLAS!B29&amp;",'"&amp;REGLAS!C29&amp;"','"&amp;REGLAS!D29&amp;"','"&amp;REGLAS!G29&amp;"',TO_DATE('"&amp;REGLAS!H29&amp;"','yyyymmdd'),TO_DATE('"&amp;REGLAS!I29&amp;"','yyyymmdd'),'"&amp;REGLAS!J29&amp;"');")</f>
        <v>INSERT INTO INYCEXT.INYC_CONF_INF_REGLAS (COD_INFORME,TABLA,NOMBRE,REGLA,F_INICIO,F_FIN,DESCRIPCION) VALUES (1.1,'INYC_RPI_RESUMEN','PM - Numero Pólizas Corregidas RRTT','PM-O-GEN-Inspector-NumeroPolizasCorregidas-001',TO_DATE('20180101','yyyymmdd'),TO_DATE('22000101','yyyymmdd'),'Version 20180126');</v>
      </c>
      <c r="B28" t="str">
        <f>IF(REGLAS!J29="OBSOLETO","","INSERT INTO INYCEXT.INYC_CONF_INF_REGLAS@tc_link (COD_INFORME,TABLA,NOMBRE,REGLA,F_INICIO,F_FIN,DESCRIPCION) VALUES ("&amp;REGLAS!B29&amp;",'"&amp;REGLAS!C29&amp;"','"&amp;REGLAS!D29&amp;"','"&amp;REGLAS!G29&amp;"',TO_DATE('"&amp;REGLAS!H29&amp;"','yyyymmdd'),TO_DATE('"&amp;REGLAS!I29&amp;"','yyyymmdd'),'"&amp;REGLAS!J29&amp;"');")</f>
        <v>INSERT INTO INYCEXT.INYC_CONF_INF_REGLAS@tc_link (COD_INFORME,TABLA,NOMBRE,REGLA,F_INICIO,F_FIN,DESCRIPCION) VALUES (1.1,'INYC_RPI_RESUMEN','PM - Numero Pólizas Corregidas RRTT','PM-O-GEN-Inspector-NumeroPolizasCorregidas-001',TO_DATE('20180101','yyyymmdd'),TO_DATE('22000101','yyyymmdd'),'Version 20180126');</v>
      </c>
    </row>
    <row r="29" spans="1:2" x14ac:dyDescent="0.25">
      <c r="A29" t="str">
        <f>IF(REGLAS!J30="OBSOLETO","","INSERT INTO INYCEXT.INYC_CONF_INF_REGLAS (COD_INFORME,TABLA,NOMBRE,REGLA,F_INICIO,F_FIN,DESCRIPCION) VALUES ("&amp;REGLAS!B30&amp;",'"&amp;REGLAS!C30&amp;"','"&amp;REGLAS!D30&amp;"','"&amp;REGLAS!G30&amp;"',TO_DATE('"&amp;REGLAS!H30&amp;"','yyyymmdd'),TO_DATE('"&amp;REGLAS!I30&amp;"','yyyymmdd'),'"&amp;REGLAS!J30&amp;"');")</f>
        <v>INSERT INTO INYCEXT.INYC_CONF_INF_REGLAS (COD_INFORME,TABLA,NOMBRE,REGLA,F_INICIO,F_FIN,DESCRIPCION) VALUES (1.1,'INYC_RPI_RESUMEN','PM - Numero Pólizas Corregidas Hogar','PM-O-GEN-Inspector-NumeroPolizasCorregidas-002',TO_DATE('20180101','yyyymmdd'),TO_DATE('22000101','yyyymmdd'),'Version 20180126');</v>
      </c>
      <c r="B29" t="str">
        <f>IF(REGLAS!J30="OBSOLETO","","INSERT INTO INYCEXT.INYC_CONF_INF_REGLAS@tc_link (COD_INFORME,TABLA,NOMBRE,REGLA,F_INICIO,F_FIN,DESCRIPCION) VALUES ("&amp;REGLAS!B30&amp;",'"&amp;REGLAS!C30&amp;"','"&amp;REGLAS!D30&amp;"','"&amp;REGLAS!G30&amp;"',TO_DATE('"&amp;REGLAS!H30&amp;"','yyyymmdd'),TO_DATE('"&amp;REGLAS!I30&amp;"','yyyymmdd'),'"&amp;REGLAS!J30&amp;"');")</f>
        <v>INSERT INTO INYCEXT.INYC_CONF_INF_REGLAS@tc_link (COD_INFORME,TABLA,NOMBRE,REGLA,F_INICIO,F_FIN,DESCRIPCION) VALUES (1.1,'INYC_RPI_RESUMEN','PM - Numero Pólizas Corregidas Hogar','PM-O-GEN-Inspector-NumeroPolizasCorregidas-002',TO_DATE('20180101','yyyymmdd'),TO_DATE('22000101','yyyymmdd'),'Version 20180126');</v>
      </c>
    </row>
    <row r="30" spans="1:2" x14ac:dyDescent="0.25">
      <c r="A30" t="str">
        <f>IF(REGLAS!J31="OBSOLETO","","INSERT INTO INYCEXT.INYC_CONF_INF_REGLAS (COD_INFORME,TABLA,NOMBRE,REGLA,F_INICIO,F_FIN,DESCRIPCION) VALUES ("&amp;REGLAS!B31&amp;",'"&amp;REGLAS!C31&amp;"','"&amp;REGLAS!D31&amp;"','"&amp;REGLAS!G31&amp;"',TO_DATE('"&amp;REGLAS!H31&amp;"','yyyymmdd'),TO_DATE('"&amp;REGLAS!I31&amp;"','yyyymmdd'),'"&amp;REGLAS!J31&amp;"');")</f>
        <v>INSERT INTO INYCEXT.INYC_CONF_INF_REGLAS (COD_INFORME,TABLA,NOMBRE,REGLA,F_INICIO,F_FIN,DESCRIPCION) VALUES (1.1,'INYC_RPI_RESUMEN','PM - Numero Pólizas Corregidas RRPP','PM-O-GEN-Inspector-NumeroPolizasCorregidas-906',TO_DATE('20180101','yyyymmdd'),TO_DATE('22000101','yyyymmdd'),'Version 20180126');</v>
      </c>
      <c r="B30" t="str">
        <f>IF(REGLAS!J31="OBSOLETO","","INSERT INTO INYCEXT.INYC_CONF_INF_REGLAS@tc_link (COD_INFORME,TABLA,NOMBRE,REGLA,F_INICIO,F_FIN,DESCRIPCION) VALUES ("&amp;REGLAS!B31&amp;",'"&amp;REGLAS!C31&amp;"','"&amp;REGLAS!D31&amp;"','"&amp;REGLAS!G31&amp;"',TO_DATE('"&amp;REGLAS!H31&amp;"','yyyymmdd'),TO_DATE('"&amp;REGLAS!I31&amp;"','yyyymmdd'),'"&amp;REGLAS!J31&amp;"');")</f>
        <v>INSERT INTO INYCEXT.INYC_CONF_INF_REGLAS@tc_link (COD_INFORME,TABLA,NOMBRE,REGLA,F_INICIO,F_FIN,DESCRIPCION) VALUES (1.1,'INYC_RPI_RESUMEN','PM - Numero Pólizas Corregidas RRPP','PM-O-GEN-Inspector-NumeroPolizasCorregidas-906',TO_DATE('20180101','yyyymmdd'),TO_DATE('22000101','yyyymmdd'),'Version 20180126');</v>
      </c>
    </row>
    <row r="31" spans="1:2" x14ac:dyDescent="0.25">
      <c r="A31" t="str">
        <f>IF(REGLAS!J32="OBSOLETO","","INSERT INTO INYCEXT.INYC_CONF_INF_REGLAS (COD_INFORME,TABLA,NOMBRE,REGLA,F_INICIO,F_FIN,DESCRIPCION) VALUES ("&amp;REGLAS!B32&amp;",'"&amp;REGLAS!C32&amp;"','"&amp;REGLAS!D32&amp;"','"&amp;REGLAS!G32&amp;"',TO_DATE('"&amp;REGLAS!H32&amp;"','yyyymmdd'),TO_DATE('"&amp;REGLAS!I32&amp;"','yyyymmdd'),'"&amp;REGLAS!J32&amp;"');")</f>
        <v>INSERT INTO INYCEXT.INYC_CONF_INF_REGLAS (COD_INFORME,TABLA,NOMBRE,REGLA,F_INICIO,F_FIN,DESCRIPCION) VALUES (1.1,'INYC_RPI_RESUMEN','PM - Prima Corregida Total Ramos','PM-O-GEN-Inspector-PrimaCorregida-998',TO_DATE('20140101','yyyymmdd'),TO_DATE('22000101','yyyymmdd'),'');</v>
      </c>
      <c r="B31" t="str">
        <f>IF(REGLAS!J32="OBSOLETO","","INSERT INTO INYCEXT.INYC_CONF_INF_REGLAS@tc_link (COD_INFORME,TABLA,NOMBRE,REGLA,F_INICIO,F_FIN,DESCRIPCION) VALUES ("&amp;REGLAS!B32&amp;",'"&amp;REGLAS!C32&amp;"','"&amp;REGLAS!D32&amp;"','"&amp;REGLAS!G32&amp;"',TO_DATE('"&amp;REGLAS!H32&amp;"','yyyymmdd'),TO_DATE('"&amp;REGLAS!I32&amp;"','yyyymmdd'),'"&amp;REGLAS!J32&amp;"');")</f>
        <v>INSERT INTO INYCEXT.INYC_CONF_INF_REGLAS@tc_link (COD_INFORME,TABLA,NOMBRE,REGLA,F_INICIO,F_FIN,DESCRIPCION) VALUES (1.1,'INYC_RPI_RESUMEN','PM - Prima Corregida Total Ramos','PM-O-GEN-Inspector-PrimaCorregida-998',TO_DATE('20140101','yyyymmdd'),TO_DATE('22000101','yyyymmdd'),'');</v>
      </c>
    </row>
    <row r="32" spans="1:2" x14ac:dyDescent="0.25">
      <c r="A32" t="str">
        <f>IF(REGLAS!J33="OBSOLETO","","INSERT INTO INYCEXT.INYC_CONF_INF_REGLAS (COD_INFORME,TABLA,NOMBRE,REGLA,F_INICIO,F_FIN,DESCRIPCION) VALUES ("&amp;REGLAS!B33&amp;",'"&amp;REGLAS!C33&amp;"','"&amp;REGLAS!D33&amp;"','"&amp;REGLAS!G33&amp;"',TO_DATE('"&amp;REGLAS!H33&amp;"','yyyymmdd'),TO_DATE('"&amp;REGLAS!I33&amp;"','yyyymmdd'),'"&amp;REGLAS!J33&amp;"');")</f>
        <v>INSERT INTO INYCEXT.INYC_CONF_INF_REGLAS (COD_INFORME,TABLA,NOMBRE,REGLA,F_INICIO,F_FIN,DESCRIPCION) VALUES (1.1,'INYC_RPI_RESUMEN','PM - Numero Pólizas Corregidas Total Ramos','PM-O-GEN-Inspector-NumeroPolizasCorregidas-998',TO_DATE('20180101','yyyymmdd'),TO_DATE('22000101','yyyymmdd'),'Version 20180119');</v>
      </c>
      <c r="B32" t="str">
        <f>IF(REGLAS!J33="OBSOLETO","","INSERT INTO INYCEXT.INYC_CONF_INF_REGLAS@tc_link (COD_INFORME,TABLA,NOMBRE,REGLA,F_INICIO,F_FIN,DESCRIPCION) VALUES ("&amp;REGLAS!B33&amp;",'"&amp;REGLAS!C33&amp;"','"&amp;REGLAS!D33&amp;"','"&amp;REGLAS!G33&amp;"',TO_DATE('"&amp;REGLAS!H33&amp;"','yyyymmdd'),TO_DATE('"&amp;REGLAS!I33&amp;"','yyyymmdd'),'"&amp;REGLAS!J33&amp;"');")</f>
        <v>INSERT INTO INYCEXT.INYC_CONF_INF_REGLAS@tc_link (COD_INFORME,TABLA,NOMBRE,REGLA,F_INICIO,F_FIN,DESCRIPCION) VALUES (1.1,'INYC_RPI_RESUMEN','PM - Numero Pólizas Corregidas Total Ramos','PM-O-GEN-Inspector-NumeroPolizasCorregidas-998',TO_DATE('20180101','yyyymmdd'),TO_DATE('22000101','yyyymmdd'),'Version 20180119');</v>
      </c>
    </row>
    <row r="33" spans="1:2" x14ac:dyDescent="0.25">
      <c r="A33" t="str">
        <f>IF(REGLAS!J34="OBSOLETO","","INSERT INTO INYCEXT.INYC_CONF_INF_REGLAS (COD_INFORME,TABLA,NOMBRE,REGLA,F_INICIO,F_FIN,DESCRIPCION) VALUES ("&amp;REGLAS!B34&amp;",'"&amp;REGLAS!C34&amp;"','"&amp;REGLAS!D34&amp;"','"&amp;REGLAS!G34&amp;"',TO_DATE('"&amp;REGLAS!H34&amp;"','yyyymmdd'),TO_DATE('"&amp;REGLAS!I34&amp;"','yyyymmdd'),'"&amp;REGLAS!J34&amp;"');")</f>
        <v>INSERT INTO INYCEXT.INYC_CONF_INF_REGLAS (COD_INFORME,TABLA,NOMBRE,REGLA,F_INICIO,F_FIN,DESCRIPCION) VALUES (1.1,'INYC_RPI_RESUMEN','PM - Nº Asegurados Inspector','PM-O-GEN-Agente-NumAsegurados',TO_DATE('20180101','yyyymmdd'),TO_DATE('22000101','yyyymmdd'),'Version 20180119');</v>
      </c>
      <c r="B33" t="str">
        <f>IF(REGLAS!J34="OBSOLETO","","INSERT INTO INYCEXT.INYC_CONF_INF_REGLAS@tc_link (COD_INFORME,TABLA,NOMBRE,REGLA,F_INICIO,F_FIN,DESCRIPCION) VALUES ("&amp;REGLAS!B34&amp;",'"&amp;REGLAS!C34&amp;"','"&amp;REGLAS!D34&amp;"','"&amp;REGLAS!G34&amp;"',TO_DATE('"&amp;REGLAS!H34&amp;"','yyyymmdd'),TO_DATE('"&amp;REGLAS!I34&amp;"','yyyymmdd'),'"&amp;REGLAS!J34&amp;"');")</f>
        <v>INSERT INTO INYCEXT.INYC_CONF_INF_REGLAS@tc_link (COD_INFORME,TABLA,NOMBRE,REGLA,F_INICIO,F_FIN,DESCRIPCION) VALUES (1.1,'INYC_RPI_RESUMEN','PM - Nº Asegurados Inspector','PM-O-GEN-Agente-NumAsegurados',TO_DATE('20180101','yyyymmdd'),TO_DATE('22000101','yyyymmdd'),'Version 20180119');</v>
      </c>
    </row>
    <row r="34" spans="1:2" x14ac:dyDescent="0.25">
      <c r="A34" t="str">
        <f>IF(REGLAS!J35="OBSOLETO","","INSERT INTO INYCEXT.INYC_CONF_INF_REGLAS (COD_INFORME,TABLA,NOMBRE,REGLA,F_INICIO,F_FIN,DESCRIPCION) VALUES ("&amp;REGLAS!B35&amp;",'"&amp;REGLAS!C35&amp;"','"&amp;REGLAS!D35&amp;"','"&amp;REGLAS!G35&amp;"',TO_DATE('"&amp;REGLAS!H35&amp;"','yyyymmdd'),TO_DATE('"&amp;REGLAS!I35&amp;"','yyyymmdd'),'"&amp;REGLAS!J35&amp;"');")</f>
        <v>INSERT INTO INYCEXT.INYC_CONF_INF_REGLAS (COD_INFORME,TABLA,NOMBRE,REGLA,F_INICIO,F_FIN,DESCRIPCION) VALUES (1.1,'INYC_RPI_RESUMEN','PM - Numero Pólizas RRTT Agentes','PM-O-GEN-Inspector-NumeroPolizas-001-Agentes',TO_DATE('20140101','yyyymmdd'),TO_DATE('20180101','yyyymmdd'),'Version 20180126');</v>
      </c>
      <c r="B34" t="str">
        <f>IF(REGLAS!J35="OBSOLETO","","INSERT INTO INYCEXT.INYC_CONF_INF_REGLAS@tc_link (COD_INFORME,TABLA,NOMBRE,REGLA,F_INICIO,F_FIN,DESCRIPCION) VALUES ("&amp;REGLAS!B35&amp;",'"&amp;REGLAS!C35&amp;"','"&amp;REGLAS!D35&amp;"','"&amp;REGLAS!G35&amp;"',TO_DATE('"&amp;REGLAS!H35&amp;"','yyyymmdd'),TO_DATE('"&amp;REGLAS!I35&amp;"','yyyymmdd'),'"&amp;REGLAS!J35&amp;"');")</f>
        <v>INSERT INTO INYCEXT.INYC_CONF_INF_REGLAS@tc_link (COD_INFORME,TABLA,NOMBRE,REGLA,F_INICIO,F_FIN,DESCRIPCION) VALUES (1.1,'INYC_RPI_RESUMEN','PM - Numero Pólizas RRTT Agentes','PM-O-GEN-Inspector-NumeroPolizas-001-Agentes',TO_DATE('20140101','yyyymmdd'),TO_DATE('20180101','yyyymmdd'),'Version 20180126');</v>
      </c>
    </row>
    <row r="35" spans="1:2" x14ac:dyDescent="0.25">
      <c r="A35" t="str">
        <f>IF(REGLAS!J36="OBSOLETO","","INSERT INTO INYCEXT.INYC_CONF_INF_REGLAS (COD_INFORME,TABLA,NOMBRE,REGLA,F_INICIO,F_FIN,DESCRIPCION) VALUES ("&amp;REGLAS!B36&amp;",'"&amp;REGLAS!C36&amp;"','"&amp;REGLAS!D36&amp;"','"&amp;REGLAS!G36&amp;"',TO_DATE('"&amp;REGLAS!H36&amp;"','yyyymmdd'),TO_DATE('"&amp;REGLAS!I36&amp;"','yyyymmdd'),'"&amp;REGLAS!J36&amp;"');")</f>
        <v>INSERT INTO INYCEXT.INYC_CONF_INF_REGLAS (COD_INFORME,TABLA,NOMBRE,REGLA,F_INICIO,F_FIN,DESCRIPCION) VALUES (1.1,'INYC_RPI_RESUMEN','PM - Numero Pólizas Hogar Agentes','PM-O-GEN-Inspector-NumeroPolizas-002-Agentes',TO_DATE('20140101','yyyymmdd'),TO_DATE('20180101','yyyymmdd'),'Version 20180126');</v>
      </c>
      <c r="B35" t="str">
        <f>IF(REGLAS!J36="OBSOLETO","","INSERT INTO INYCEXT.INYC_CONF_INF_REGLAS@tc_link (COD_INFORME,TABLA,NOMBRE,REGLA,F_INICIO,F_FIN,DESCRIPCION) VALUES ("&amp;REGLAS!B36&amp;",'"&amp;REGLAS!C36&amp;"','"&amp;REGLAS!D36&amp;"','"&amp;REGLAS!G36&amp;"',TO_DATE('"&amp;REGLAS!H36&amp;"','yyyymmdd'),TO_DATE('"&amp;REGLAS!I36&amp;"','yyyymmdd'),'"&amp;REGLAS!J36&amp;"');")</f>
        <v>INSERT INTO INYCEXT.INYC_CONF_INF_REGLAS@tc_link (COD_INFORME,TABLA,NOMBRE,REGLA,F_INICIO,F_FIN,DESCRIPCION) VALUES (1.1,'INYC_RPI_RESUMEN','PM - Numero Pólizas Hogar Agentes','PM-O-GEN-Inspector-NumeroPolizas-002-Agentes',TO_DATE('20140101','yyyymmdd'),TO_DATE('20180101','yyyymmdd'),'Version 20180126');</v>
      </c>
    </row>
    <row r="36" spans="1:2" x14ac:dyDescent="0.25">
      <c r="A36" t="str">
        <f>IF(REGLAS!J37="OBSOLETO","","INSERT INTO INYCEXT.INYC_CONF_INF_REGLAS (COD_INFORME,TABLA,NOMBRE,REGLA,F_INICIO,F_FIN,DESCRIPCION) VALUES ("&amp;REGLAS!B37&amp;",'"&amp;REGLAS!C37&amp;"','"&amp;REGLAS!D37&amp;"','"&amp;REGLAS!G37&amp;"',TO_DATE('"&amp;REGLAS!H37&amp;"','yyyymmdd'),TO_DATE('"&amp;REGLAS!I37&amp;"','yyyymmdd'),'"&amp;REGLAS!J37&amp;"');")</f>
        <v>INSERT INTO INYCEXT.INYC_CONF_INF_REGLAS (COD_INFORME,TABLA,NOMBRE,REGLA,F_INICIO,F_FIN,DESCRIPCION) VALUES (1.1,'INYC_RPI_RESUMEN','PM - Numero Pólizas RRPP Agentes','PM-O-GEN-Inspector-NumeroPolizas-906-Agentes',TO_DATE('20140101','yyyymmdd'),TO_DATE('20180101','yyyymmdd'),'Version 20180126');</v>
      </c>
      <c r="B36" t="str">
        <f>IF(REGLAS!J37="OBSOLETO","","INSERT INTO INYCEXT.INYC_CONF_INF_REGLAS@tc_link (COD_INFORME,TABLA,NOMBRE,REGLA,F_INICIO,F_FIN,DESCRIPCION) VALUES ("&amp;REGLAS!B37&amp;",'"&amp;REGLAS!C37&amp;"','"&amp;REGLAS!D37&amp;"','"&amp;REGLAS!G37&amp;"',TO_DATE('"&amp;REGLAS!H37&amp;"','yyyymmdd'),TO_DATE('"&amp;REGLAS!I37&amp;"','yyyymmdd'),'"&amp;REGLAS!J37&amp;"');")</f>
        <v>INSERT INTO INYCEXT.INYC_CONF_INF_REGLAS@tc_link (COD_INFORME,TABLA,NOMBRE,REGLA,F_INICIO,F_FIN,DESCRIPCION) VALUES (1.1,'INYC_RPI_RESUMEN','PM - Numero Pólizas RRPP Agentes','PM-O-GEN-Inspector-NumeroPolizas-906-Agentes',TO_DATE('20140101','yyyymmdd'),TO_DATE('20180101','yyyymmdd'),'Version 20180126');</v>
      </c>
    </row>
    <row r="37" spans="1:2" x14ac:dyDescent="0.25">
      <c r="A37" t="str">
        <f>IF(REGLAS!J38="OBSOLETO","","INSERT INTO INYCEXT.INYC_CONF_INF_REGLAS (COD_INFORME,TABLA,NOMBRE,REGLA,F_INICIO,F_FIN,DESCRIPCION) VALUES ("&amp;REGLAS!B38&amp;",'"&amp;REGLAS!C38&amp;"','"&amp;REGLAS!D38&amp;"','"&amp;REGLAS!G38&amp;"',TO_DATE('"&amp;REGLAS!H38&amp;"','yyyymmdd'),TO_DATE('"&amp;REGLAS!I38&amp;"','yyyymmdd'),'"&amp;REGLAS!J38&amp;"');")</f>
        <v>INSERT INTO INYCEXT.INYC_CONF_INF_REGLAS (COD_INFORME,TABLA,NOMBRE,REGLA,F_INICIO,F_FIN,DESCRIPCION) VALUES (1.1,'INYC_RPI_RESUMEN','PM - Numero Pólizas Total Ramos Agentes','PM-O-GEN-Inspector-NumeroPolizas-998-Agentes',TO_DATE('20140101','yyyymmdd'),TO_DATE('20180101','yyyymmdd'),'Version 20180126');</v>
      </c>
      <c r="B37" t="str">
        <f>IF(REGLAS!J38="OBSOLETO","","INSERT INTO INYCEXT.INYC_CONF_INF_REGLAS@tc_link (COD_INFORME,TABLA,NOMBRE,REGLA,F_INICIO,F_FIN,DESCRIPCION) VALUES ("&amp;REGLAS!B38&amp;",'"&amp;REGLAS!C38&amp;"','"&amp;REGLAS!D38&amp;"','"&amp;REGLAS!G38&amp;"',TO_DATE('"&amp;REGLAS!H38&amp;"','yyyymmdd'),TO_DATE('"&amp;REGLAS!I38&amp;"','yyyymmdd'),'"&amp;REGLAS!J38&amp;"');")</f>
        <v>INSERT INTO INYCEXT.INYC_CONF_INF_REGLAS@tc_link (COD_INFORME,TABLA,NOMBRE,REGLA,F_INICIO,F_FIN,DESCRIPCION) VALUES (1.1,'INYC_RPI_RESUMEN','PM - Numero Pólizas Total Ramos Agentes','PM-O-GEN-Inspector-NumeroPolizas-998-Agentes',TO_DATE('20140101','yyyymmdd'),TO_DATE('20180101','yyyymmdd'),'Version 20180126');</v>
      </c>
    </row>
    <row r="38" spans="1:2" x14ac:dyDescent="0.25">
      <c r="A38" t="str">
        <f>IF(REGLAS!J39="OBSOLETO","","INSERT INTO INYCEXT.INYC_CONF_INF_REGLAS (COD_INFORME,TABLA,NOMBRE,REGLA,F_INICIO,F_FIN,DESCRIPCION) VALUES ("&amp;REGLAS!B39&amp;",'"&amp;REGLAS!C39&amp;"','"&amp;REGLAS!D39&amp;"','"&amp;REGLAS!G39&amp;"',TO_DATE('"&amp;REGLAS!H39&amp;"','yyyymmdd'),TO_DATE('"&amp;REGLAS!I39&amp;"','yyyymmdd'),'"&amp;REGLAS!J39&amp;"');")</f>
        <v>INSERT INTO INYCEXT.INYC_CONF_INF_REGLAS (COD_INFORME,TABLA,NOMBRE,REGLA,F_INICIO,F_FIN,DESCRIPCION) VALUES (1.1,'INYC_RPI_RESUMEN','PM - Numero Pólizas Corregidas RRTT Agentes','PM-O-GEN-Inspector-NumeroPolizasCorregidas-001-Agentes',TO_DATE('20180101','yyyymmdd'),TO_DATE('22000101','yyyymmdd'),'Version 20180126');</v>
      </c>
      <c r="B38" t="str">
        <f>IF(REGLAS!J39="OBSOLETO","","INSERT INTO INYCEXT.INYC_CONF_INF_REGLAS@tc_link (COD_INFORME,TABLA,NOMBRE,REGLA,F_INICIO,F_FIN,DESCRIPCION) VALUES ("&amp;REGLAS!B39&amp;",'"&amp;REGLAS!C39&amp;"','"&amp;REGLAS!D39&amp;"','"&amp;REGLAS!G39&amp;"',TO_DATE('"&amp;REGLAS!H39&amp;"','yyyymmdd'),TO_DATE('"&amp;REGLAS!I39&amp;"','yyyymmdd'),'"&amp;REGLAS!J39&amp;"');")</f>
        <v>INSERT INTO INYCEXT.INYC_CONF_INF_REGLAS@tc_link (COD_INFORME,TABLA,NOMBRE,REGLA,F_INICIO,F_FIN,DESCRIPCION) VALUES (1.1,'INYC_RPI_RESUMEN','PM - Numero Pólizas Corregidas RRTT Agentes','PM-O-GEN-Inspector-NumeroPolizasCorregidas-001-Agentes',TO_DATE('20180101','yyyymmdd'),TO_DATE('22000101','yyyymmdd'),'Version 20180126');</v>
      </c>
    </row>
    <row r="39" spans="1:2" x14ac:dyDescent="0.25">
      <c r="A39" t="str">
        <f>IF(REGLAS!J40="OBSOLETO","","INSERT INTO INYCEXT.INYC_CONF_INF_REGLAS (COD_INFORME,TABLA,NOMBRE,REGLA,F_INICIO,F_FIN,DESCRIPCION) VALUES ("&amp;REGLAS!B40&amp;",'"&amp;REGLAS!C40&amp;"','"&amp;REGLAS!D40&amp;"','"&amp;REGLAS!G40&amp;"',TO_DATE('"&amp;REGLAS!H40&amp;"','yyyymmdd'),TO_DATE('"&amp;REGLAS!I40&amp;"','yyyymmdd'),'"&amp;REGLAS!J40&amp;"');")</f>
        <v>INSERT INTO INYCEXT.INYC_CONF_INF_REGLAS (COD_INFORME,TABLA,NOMBRE,REGLA,F_INICIO,F_FIN,DESCRIPCION) VALUES (1.1,'INYC_RPI_RESUMEN','PM - Numero Pólizas Corregidas Hogar Agentes','PM-O-GEN-Inspector-NumeroPolizasCorregidas-002-Agentes',TO_DATE('20180101','yyyymmdd'),TO_DATE('22000101','yyyymmdd'),'Version 20180126');</v>
      </c>
      <c r="B39" t="str">
        <f>IF(REGLAS!J40="OBSOLETO","","INSERT INTO INYCEXT.INYC_CONF_INF_REGLAS@tc_link (COD_INFORME,TABLA,NOMBRE,REGLA,F_INICIO,F_FIN,DESCRIPCION) VALUES ("&amp;REGLAS!B40&amp;",'"&amp;REGLAS!C40&amp;"','"&amp;REGLAS!D40&amp;"','"&amp;REGLAS!G40&amp;"',TO_DATE('"&amp;REGLAS!H40&amp;"','yyyymmdd'),TO_DATE('"&amp;REGLAS!I40&amp;"','yyyymmdd'),'"&amp;REGLAS!J40&amp;"');")</f>
        <v>INSERT INTO INYCEXT.INYC_CONF_INF_REGLAS@tc_link (COD_INFORME,TABLA,NOMBRE,REGLA,F_INICIO,F_FIN,DESCRIPCION) VALUES (1.1,'INYC_RPI_RESUMEN','PM - Numero Pólizas Corregidas Hogar Agentes','PM-O-GEN-Inspector-NumeroPolizasCorregidas-002-Agentes',TO_DATE('20180101','yyyymmdd'),TO_DATE('22000101','yyyymmdd'),'Version 20180126');</v>
      </c>
    </row>
    <row r="40" spans="1:2" x14ac:dyDescent="0.25">
      <c r="A40" t="str">
        <f>IF(REGLAS!J41="OBSOLETO","","INSERT INTO INYCEXT.INYC_CONF_INF_REGLAS (COD_INFORME,TABLA,NOMBRE,REGLA,F_INICIO,F_FIN,DESCRIPCION) VALUES ("&amp;REGLAS!B41&amp;",'"&amp;REGLAS!C41&amp;"','"&amp;REGLAS!D41&amp;"','"&amp;REGLAS!G41&amp;"',TO_DATE('"&amp;REGLAS!H41&amp;"','yyyymmdd'),TO_DATE('"&amp;REGLAS!I41&amp;"','yyyymmdd'),'"&amp;REGLAS!J41&amp;"');")</f>
        <v>INSERT INTO INYCEXT.INYC_CONF_INF_REGLAS (COD_INFORME,TABLA,NOMBRE,REGLA,F_INICIO,F_FIN,DESCRIPCION) VALUES (1.1,'INYC_RPI_RESUMEN','PM - Numero Pólizas Corregidas RRPP Agentes','PM-O-GEN-Inspector-NumeroPolizasCorregidas-906-Agentes',TO_DATE('20180101','yyyymmdd'),TO_DATE('22000101','yyyymmdd'),'Version 20180126');</v>
      </c>
      <c r="B40" t="str">
        <f>IF(REGLAS!J41="OBSOLETO","","INSERT INTO INYCEXT.INYC_CONF_INF_REGLAS@tc_link (COD_INFORME,TABLA,NOMBRE,REGLA,F_INICIO,F_FIN,DESCRIPCION) VALUES ("&amp;REGLAS!B41&amp;",'"&amp;REGLAS!C41&amp;"','"&amp;REGLAS!D41&amp;"','"&amp;REGLAS!G41&amp;"',TO_DATE('"&amp;REGLAS!H41&amp;"','yyyymmdd'),TO_DATE('"&amp;REGLAS!I41&amp;"','yyyymmdd'),'"&amp;REGLAS!J41&amp;"');")</f>
        <v>INSERT INTO INYCEXT.INYC_CONF_INF_REGLAS@tc_link (COD_INFORME,TABLA,NOMBRE,REGLA,F_INICIO,F_FIN,DESCRIPCION) VALUES (1.1,'INYC_RPI_RESUMEN','PM - Numero Pólizas Corregidas RRPP Agentes','PM-O-GEN-Inspector-NumeroPolizasCorregidas-906-Agentes',TO_DATE('20180101','yyyymmdd'),TO_DATE('22000101','yyyymmdd'),'Version 20180126');</v>
      </c>
    </row>
    <row r="41" spans="1:2" x14ac:dyDescent="0.25">
      <c r="A41" t="str">
        <f>IF(REGLAS!J42="OBSOLETO","","INSERT INTO INYCEXT.INYC_CONF_INF_REGLAS (COD_INFORME,TABLA,NOMBRE,REGLA,F_INICIO,F_FIN,DESCRIPCION) VALUES ("&amp;REGLAS!B42&amp;",'"&amp;REGLAS!C42&amp;"','"&amp;REGLAS!D42&amp;"','"&amp;REGLAS!G42&amp;"',TO_DATE('"&amp;REGLAS!H42&amp;"','yyyymmdd'),TO_DATE('"&amp;REGLAS!I42&amp;"','yyyymmdd'),'"&amp;REGLAS!J42&amp;"');")</f>
        <v>INSERT INTO INYCEXT.INYC_CONF_INF_REGLAS (COD_INFORME,TABLA,NOMBRE,REGLA,F_INICIO,F_FIN,DESCRIPCION) VALUES (1.1,'INYC_RPI_RESUMEN','PM - Prima Corregida Total Ramos Agentes','PM-O-GEN-Inspector-PrimaCorregida-998-Agentes',TO_DATE('20140101','yyyymmdd'),TO_DATE('22000101','yyyymmdd'),'');</v>
      </c>
      <c r="B41" t="str">
        <f>IF(REGLAS!J42="OBSOLETO","","INSERT INTO INYCEXT.INYC_CONF_INF_REGLAS@tc_link (COD_INFORME,TABLA,NOMBRE,REGLA,F_INICIO,F_FIN,DESCRIPCION) VALUES ("&amp;REGLAS!B42&amp;",'"&amp;REGLAS!C42&amp;"','"&amp;REGLAS!D42&amp;"','"&amp;REGLAS!G42&amp;"',TO_DATE('"&amp;REGLAS!H42&amp;"','yyyymmdd'),TO_DATE('"&amp;REGLAS!I42&amp;"','yyyymmdd'),'"&amp;REGLAS!J42&amp;"');")</f>
        <v>INSERT INTO INYCEXT.INYC_CONF_INF_REGLAS@tc_link (COD_INFORME,TABLA,NOMBRE,REGLA,F_INICIO,F_FIN,DESCRIPCION) VALUES (1.1,'INYC_RPI_RESUMEN','PM - Prima Corregida Total Ramos Agentes','PM-O-GEN-Inspector-PrimaCorregida-998-Agentes',TO_DATE('20140101','yyyymmdd'),TO_DATE('22000101','yyyymmdd'),'');</v>
      </c>
    </row>
    <row r="42" spans="1:2" x14ac:dyDescent="0.25">
      <c r="A42" t="str">
        <f>IF(REGLAS!J43="OBSOLETO","","INSERT INTO INYCEXT.INYC_CONF_INF_REGLAS (COD_INFORME,TABLA,NOMBRE,REGLA,F_INICIO,F_FIN,DESCRIPCION) VALUES ("&amp;REGLAS!B43&amp;",'"&amp;REGLAS!C43&amp;"','"&amp;REGLAS!D43&amp;"','"&amp;REGLAS!G43&amp;"',TO_DATE('"&amp;REGLAS!H43&amp;"','yyyymmdd'),TO_DATE('"&amp;REGLAS!I43&amp;"','yyyymmdd'),'"&amp;REGLAS!J43&amp;"');")</f>
        <v>INSERT INTO INYCEXT.INYC_CONF_INF_REGLAS (COD_INFORME,TABLA,NOMBRE,REGLA,F_INICIO,F_FIN,DESCRIPCION) VALUES (1.1,'INYC_RPI_RESUMEN','PM - Numero Pólizas Corregidas Total Ramos','PM-O-GEN-Inspector-NumeroPolizasCorregidas-998-Agentes',TO_DATE('20180101','yyyymmdd'),TO_DATE('22000101','yyyymmdd'),'Version 20180119');</v>
      </c>
      <c r="B42" t="str">
        <f>IF(REGLAS!J43="OBSOLETO","","INSERT INTO INYCEXT.INYC_CONF_INF_REGLAS@tc_link (COD_INFORME,TABLA,NOMBRE,REGLA,F_INICIO,F_FIN,DESCRIPCION) VALUES ("&amp;REGLAS!B43&amp;",'"&amp;REGLAS!C43&amp;"','"&amp;REGLAS!D43&amp;"','"&amp;REGLAS!G43&amp;"',TO_DATE('"&amp;REGLAS!H43&amp;"','yyyymmdd'),TO_DATE('"&amp;REGLAS!I43&amp;"','yyyymmdd'),'"&amp;REGLAS!J43&amp;"');")</f>
        <v>INSERT INTO INYCEXT.INYC_CONF_INF_REGLAS@tc_link (COD_INFORME,TABLA,NOMBRE,REGLA,F_INICIO,F_FIN,DESCRIPCION) VALUES (1.1,'INYC_RPI_RESUMEN','PM - Numero Pólizas Corregidas Total Ramos','PM-O-GEN-Inspector-NumeroPolizasCorregidas-998-Agentes',TO_DATE('20180101','yyyymmdd'),TO_DATE('22000101','yyyymmdd'),'Version 20180119');</v>
      </c>
    </row>
    <row r="43" spans="1:2" x14ac:dyDescent="0.25">
      <c r="A43" t="str">
        <f>IF(REGLAS!J44="OBSOLETO","","INSERT INTO INYCEXT.INYC_CONF_INF_REGLAS (COD_INFORME,TABLA,NOMBRE,REGLA,F_INICIO,F_FIN,DESCRIPCION) VALUES ("&amp;REGLAS!B44&amp;",'"&amp;REGLAS!C44&amp;"','"&amp;REGLAS!D44&amp;"','"&amp;REGLAS!G44&amp;"',TO_DATE('"&amp;REGLAS!H44&amp;"','yyyymmdd'),TO_DATE('"&amp;REGLAS!I44&amp;"','yyyymmdd'),'"&amp;REGLAS!J44&amp;"');")</f>
        <v>INSERT INTO INYCEXT.INYC_CONF_INF_REGLAS (COD_INFORME,TABLA,NOMBRE,REGLA,F_INICIO,F_FIN,DESCRIPCION) VALUES (1.1,'INYC_RPI_RESUMEN','PM - Nº Asegurados Inspector Agentes','PM-O-GEN-Inspector-NumAsegurados-Agentes',TO_DATE('20180101','yyyymmdd'),TO_DATE('22000101','yyyymmdd'),'Version 20180117');</v>
      </c>
      <c r="B43" t="str">
        <f>IF(REGLAS!J44="OBSOLETO","","INSERT INTO INYCEXT.INYC_CONF_INF_REGLAS@tc_link (COD_INFORME,TABLA,NOMBRE,REGLA,F_INICIO,F_FIN,DESCRIPCION) VALUES ("&amp;REGLAS!B44&amp;",'"&amp;REGLAS!C44&amp;"','"&amp;REGLAS!D44&amp;"','"&amp;REGLAS!G44&amp;"',TO_DATE('"&amp;REGLAS!H44&amp;"','yyyymmdd'),TO_DATE('"&amp;REGLAS!I44&amp;"','yyyymmdd'),'"&amp;REGLAS!J44&amp;"');")</f>
        <v>INSERT INTO INYCEXT.INYC_CONF_INF_REGLAS@tc_link (COD_INFORME,TABLA,NOMBRE,REGLA,F_INICIO,F_FIN,DESCRIPCION) VALUES (1.1,'INYC_RPI_RESUMEN','PM - Nº Asegurados Inspector Agentes','PM-O-GEN-Inspector-NumAsegurados-Agentes',TO_DATE('20180101','yyyymmdd'),TO_DATE('22000101','yyyymmdd'),'Version 20180117');</v>
      </c>
    </row>
    <row r="44" spans="1:2" x14ac:dyDescent="0.25">
      <c r="A44" t="str">
        <f>IF(REGLAS!J45="OBSOLETO","","INSERT INTO INYCEXT.INYC_CONF_INF_REGLAS (COD_INFORME,TABLA,NOMBRE,REGLA,F_INICIO,F_FIN,DESCRIPCION) VALUES ("&amp;REGLAS!B45&amp;",'"&amp;REGLAS!C45&amp;"','"&amp;REGLAS!D45&amp;"','"&amp;REGLAS!G45&amp;"',TO_DATE('"&amp;REGLAS!H45&amp;"','yyyymmdd'),TO_DATE('"&amp;REGLAS!I45&amp;"','yyyymmdd'),'"&amp;REGLAS!J45&amp;"');")</f>
        <v>INSERT INTO INYCEXT.INYC_CONF_INF_REGLAS (COD_INFORME,TABLA,NOMBRE,REGLA,F_INICIO,F_FIN,DESCRIPCION) VALUES (1.1,'INYC_RPI_RESUMEN','SM - Nº Pólizas Inspector RRTT Mensual','SM-O-GEN-Inspector-NumeroPolizas-001-TotalMes',TO_DATE('20140101','yyyymmdd'),TO_DATE('20180101','yyyymmdd'),'Version 20180126');</v>
      </c>
      <c r="B44" t="str">
        <f>IF(REGLAS!J45="OBSOLETO","","INSERT INTO INYCEXT.INYC_CONF_INF_REGLAS@tc_link (COD_INFORME,TABLA,NOMBRE,REGLA,F_INICIO,F_FIN,DESCRIPCION) VALUES ("&amp;REGLAS!B45&amp;",'"&amp;REGLAS!C45&amp;"','"&amp;REGLAS!D45&amp;"','"&amp;REGLAS!G45&amp;"',TO_DATE('"&amp;REGLAS!H45&amp;"','yyyymmdd'),TO_DATE('"&amp;REGLAS!I45&amp;"','yyyymmdd'),'"&amp;REGLAS!J45&amp;"');")</f>
        <v>INSERT INTO INYCEXT.INYC_CONF_INF_REGLAS@tc_link (COD_INFORME,TABLA,NOMBRE,REGLA,F_INICIO,F_FIN,DESCRIPCION) VALUES (1.1,'INYC_RPI_RESUMEN','SM - Nº Pólizas Inspector RRTT Mensual','SM-O-GEN-Inspector-NumeroPolizas-001-TotalMes',TO_DATE('20140101','yyyymmdd'),TO_DATE('20180101','yyyymmdd'),'Version 20180126');</v>
      </c>
    </row>
    <row r="45" spans="1:2" x14ac:dyDescent="0.25">
      <c r="A45" t="str">
        <f>IF(REGLAS!J46="OBSOLETO","","INSERT INTO INYCEXT.INYC_CONF_INF_REGLAS (COD_INFORME,TABLA,NOMBRE,REGLA,F_INICIO,F_FIN,DESCRIPCION) VALUES ("&amp;REGLAS!B46&amp;",'"&amp;REGLAS!C46&amp;"','"&amp;REGLAS!D46&amp;"','"&amp;REGLAS!G46&amp;"',TO_DATE('"&amp;REGLAS!H46&amp;"','yyyymmdd'),TO_DATE('"&amp;REGLAS!I46&amp;"','yyyymmdd'),'"&amp;REGLAS!J46&amp;"');")</f>
        <v>INSERT INTO INYCEXT.INYC_CONF_INF_REGLAS (COD_INFORME,TABLA,NOMBRE,REGLA,F_INICIO,F_FIN,DESCRIPCION) VALUES (1.1,'INYC_RPI_RESUMEN','SM - Nº Pólizas Inspector Hogar Mensual','SM-O-GEN-Inspector-NumeroPolizas-002-TotalMes',TO_DATE('20140101','yyyymmdd'),TO_DATE('20180101','yyyymmdd'),'Version 20180126');</v>
      </c>
      <c r="B45" t="str">
        <f>IF(REGLAS!J46="OBSOLETO","","INSERT INTO INYCEXT.INYC_CONF_INF_REGLAS@tc_link (COD_INFORME,TABLA,NOMBRE,REGLA,F_INICIO,F_FIN,DESCRIPCION) VALUES ("&amp;REGLAS!B46&amp;",'"&amp;REGLAS!C46&amp;"','"&amp;REGLAS!D46&amp;"','"&amp;REGLAS!G46&amp;"',TO_DATE('"&amp;REGLAS!H46&amp;"','yyyymmdd'),TO_DATE('"&amp;REGLAS!I46&amp;"','yyyymmdd'),'"&amp;REGLAS!J46&amp;"');")</f>
        <v>INSERT INTO INYCEXT.INYC_CONF_INF_REGLAS@tc_link (COD_INFORME,TABLA,NOMBRE,REGLA,F_INICIO,F_FIN,DESCRIPCION) VALUES (1.1,'INYC_RPI_RESUMEN','SM - Nº Pólizas Inspector Hogar Mensual','SM-O-GEN-Inspector-NumeroPolizas-002-TotalMes',TO_DATE('20140101','yyyymmdd'),TO_DATE('20180101','yyyymmdd'),'Version 20180126');</v>
      </c>
    </row>
    <row r="46" spans="1:2" x14ac:dyDescent="0.25">
      <c r="A46" t="str">
        <f>IF(REGLAS!J47="OBSOLETO","","INSERT INTO INYCEXT.INYC_CONF_INF_REGLAS (COD_INFORME,TABLA,NOMBRE,REGLA,F_INICIO,F_FIN,DESCRIPCION) VALUES ("&amp;REGLAS!B47&amp;",'"&amp;REGLAS!C47&amp;"','"&amp;REGLAS!D47&amp;"','"&amp;REGLAS!G47&amp;"',TO_DATE('"&amp;REGLAS!H47&amp;"','yyyymmdd'),TO_DATE('"&amp;REGLAS!I47&amp;"','yyyymmdd'),'"&amp;REGLAS!J47&amp;"');")</f>
        <v>INSERT INTO INYCEXT.INYC_CONF_INF_REGLAS (COD_INFORME,TABLA,NOMBRE,REGLA,F_INICIO,F_FIN,DESCRIPCION) VALUES (1.1,'INYC_RPI_RESUMEN','SM - Nº Pólizas Inspector RRPP (excl PU y conv/colec) Mensual','SM-O-GEN-Inspector-NumeroPolizas-906-TotalMes',TO_DATE('20140101','yyyymmdd'),TO_DATE('20180101','yyyymmdd'),'Version 20180126');</v>
      </c>
      <c r="B46" t="str">
        <f>IF(REGLAS!J47="OBSOLETO","","INSERT INTO INYCEXT.INYC_CONF_INF_REGLAS@tc_link (COD_INFORME,TABLA,NOMBRE,REGLA,F_INICIO,F_FIN,DESCRIPCION) VALUES ("&amp;REGLAS!B47&amp;",'"&amp;REGLAS!C47&amp;"','"&amp;REGLAS!D47&amp;"','"&amp;REGLAS!G47&amp;"',TO_DATE('"&amp;REGLAS!H47&amp;"','yyyymmdd'),TO_DATE('"&amp;REGLAS!I47&amp;"','yyyymmdd'),'"&amp;REGLAS!J47&amp;"');")</f>
        <v>INSERT INTO INYCEXT.INYC_CONF_INF_REGLAS@tc_link (COD_INFORME,TABLA,NOMBRE,REGLA,F_INICIO,F_FIN,DESCRIPCION) VALUES (1.1,'INYC_RPI_RESUMEN','SM - Nº Pólizas Inspector RRPP (excl PU y conv/colec) Mensual','SM-O-GEN-Inspector-NumeroPolizas-906-TotalMes',TO_DATE('20140101','yyyymmdd'),TO_DATE('20180101','yyyymmdd'),'Version 20180126');</v>
      </c>
    </row>
    <row r="47" spans="1:2" x14ac:dyDescent="0.25">
      <c r="A47" t="str">
        <f>IF(REGLAS!J48="OBSOLETO","","INSERT INTO INYCEXT.INYC_CONF_INF_REGLAS (COD_INFORME,TABLA,NOMBRE,REGLA,F_INICIO,F_FIN,DESCRIPCION) VALUES ("&amp;REGLAS!B48&amp;",'"&amp;REGLAS!C48&amp;"','"&amp;REGLAS!D48&amp;"','"&amp;REGLAS!G48&amp;"',TO_DATE('"&amp;REGLAS!H48&amp;"','yyyymmdd'),TO_DATE('"&amp;REGLAS!I48&amp;"','yyyymmdd'),'"&amp;REGLAS!J48&amp;"');")</f>
        <v>INSERT INTO INYCEXT.INYC_CONF_INF_REGLAS (COD_INFORME,TABLA,NOMBRE,REGLA,F_INICIO,F_FIN,DESCRIPCION) VALUES (1.1,'INYC_RPI_RESUMEN','SM - Nº Pólizas Inspector Total Productos Mensual','SM-O-GEN-Inspector-NumeroPolizas-998-TotalMes',TO_DATE('20140101','yyyymmdd'),TO_DATE('20180101','yyyymmdd'),'Version 20180126');</v>
      </c>
      <c r="B47" t="str">
        <f>IF(REGLAS!J48="OBSOLETO","","INSERT INTO INYCEXT.INYC_CONF_INF_REGLAS@tc_link (COD_INFORME,TABLA,NOMBRE,REGLA,F_INICIO,F_FIN,DESCRIPCION) VALUES ("&amp;REGLAS!B48&amp;",'"&amp;REGLAS!C48&amp;"','"&amp;REGLAS!D48&amp;"','"&amp;REGLAS!G48&amp;"',TO_DATE('"&amp;REGLAS!H48&amp;"','yyyymmdd'),TO_DATE('"&amp;REGLAS!I48&amp;"','yyyymmdd'),'"&amp;REGLAS!J48&amp;"');")</f>
        <v>INSERT INTO INYCEXT.INYC_CONF_INF_REGLAS@tc_link (COD_INFORME,TABLA,NOMBRE,REGLA,F_INICIO,F_FIN,DESCRIPCION) VALUES (1.1,'INYC_RPI_RESUMEN','SM - Nº Pólizas Inspector Total Productos Mensual','SM-O-GEN-Inspector-NumeroPolizas-998-TotalMes',TO_DATE('20140101','yyyymmdd'),TO_DATE('20180101','yyyymmdd'),'Version 20180126');</v>
      </c>
    </row>
    <row r="48" spans="1:2" x14ac:dyDescent="0.25">
      <c r="A48" t="str">
        <f>IF(REGLAS!J49="OBSOLETO","","INSERT INTO INYCEXT.INYC_CONF_INF_REGLAS (COD_INFORME,TABLA,NOMBRE,REGLA,F_INICIO,F_FIN,DESCRIPCION) VALUES ("&amp;REGLAS!B49&amp;",'"&amp;REGLAS!C49&amp;"','"&amp;REGLAS!D49&amp;"','"&amp;REGLAS!G49&amp;"',TO_DATE('"&amp;REGLAS!H49&amp;"','yyyymmdd'),TO_DATE('"&amp;REGLAS!I49&amp;"','yyyymmdd'),'"&amp;REGLAS!J49&amp;"');")</f>
        <v>INSERT INTO INYCEXT.INYC_CONF_INF_REGLAS (COD_INFORME,TABLA,NOMBRE,REGLA,F_INICIO,F_FIN,DESCRIPCION) VALUES (1.1,'INYC_RPI_RESUMEN','SM - Nº Pólizas Corregidas Inspector RRTT Mensual','SM-O-GEN-Inspector-NumeroPolizasCorregidas-001-TotalMes',TO_DATE('20180101','yyyymmdd'),TO_DATE('22000101','yyyymmdd'),'Version 20180126');</v>
      </c>
      <c r="B48" t="str">
        <f>IF(REGLAS!J49="OBSOLETO","","INSERT INTO INYCEXT.INYC_CONF_INF_REGLAS@tc_link (COD_INFORME,TABLA,NOMBRE,REGLA,F_INICIO,F_FIN,DESCRIPCION) VALUES ("&amp;REGLAS!B49&amp;",'"&amp;REGLAS!C49&amp;"','"&amp;REGLAS!D49&amp;"','"&amp;REGLAS!G49&amp;"',TO_DATE('"&amp;REGLAS!H49&amp;"','yyyymmdd'),TO_DATE('"&amp;REGLAS!I49&amp;"','yyyymmdd'),'"&amp;REGLAS!J49&amp;"');")</f>
        <v>INSERT INTO INYCEXT.INYC_CONF_INF_REGLAS@tc_link (COD_INFORME,TABLA,NOMBRE,REGLA,F_INICIO,F_FIN,DESCRIPCION) VALUES (1.1,'INYC_RPI_RESUMEN','SM - Nº Pólizas Corregidas Inspector RRTT Mensual','SM-O-GEN-Inspector-NumeroPolizasCorregidas-001-TotalMes',TO_DATE('20180101','yyyymmdd'),TO_DATE('22000101','yyyymmdd'),'Version 20180126');</v>
      </c>
    </row>
    <row r="49" spans="1:2" x14ac:dyDescent="0.25">
      <c r="A49" t="str">
        <f>IF(REGLAS!J50="OBSOLETO","","INSERT INTO INYCEXT.INYC_CONF_INF_REGLAS (COD_INFORME,TABLA,NOMBRE,REGLA,F_INICIO,F_FIN,DESCRIPCION) VALUES ("&amp;REGLAS!B50&amp;",'"&amp;REGLAS!C50&amp;"','"&amp;REGLAS!D50&amp;"','"&amp;REGLAS!G50&amp;"',TO_DATE('"&amp;REGLAS!H50&amp;"','yyyymmdd'),TO_DATE('"&amp;REGLAS!I50&amp;"','yyyymmdd'),'"&amp;REGLAS!J50&amp;"');")</f>
        <v>INSERT INTO INYCEXT.INYC_CONF_INF_REGLAS (COD_INFORME,TABLA,NOMBRE,REGLA,F_INICIO,F_FIN,DESCRIPCION) VALUES (1.1,'INYC_RPI_RESUMEN','SM - Nº Pólizas Corregidas Inspector Hogar Mensual','SM-O-GEN-Inspector-NumeroPolizasCorregidas-002-TotalMes',TO_DATE('20180101','yyyymmdd'),TO_DATE('22000101','yyyymmdd'),'Version 20180126');</v>
      </c>
      <c r="B49" t="str">
        <f>IF(REGLAS!J50="OBSOLETO","","INSERT INTO INYCEXT.INYC_CONF_INF_REGLAS@tc_link (COD_INFORME,TABLA,NOMBRE,REGLA,F_INICIO,F_FIN,DESCRIPCION) VALUES ("&amp;REGLAS!B50&amp;",'"&amp;REGLAS!C50&amp;"','"&amp;REGLAS!D50&amp;"','"&amp;REGLAS!G50&amp;"',TO_DATE('"&amp;REGLAS!H50&amp;"','yyyymmdd'),TO_DATE('"&amp;REGLAS!I50&amp;"','yyyymmdd'),'"&amp;REGLAS!J50&amp;"');")</f>
        <v>INSERT INTO INYCEXT.INYC_CONF_INF_REGLAS@tc_link (COD_INFORME,TABLA,NOMBRE,REGLA,F_INICIO,F_FIN,DESCRIPCION) VALUES (1.1,'INYC_RPI_RESUMEN','SM - Nº Pólizas Corregidas Inspector Hogar Mensual','SM-O-GEN-Inspector-NumeroPolizasCorregidas-002-TotalMes',TO_DATE('20180101','yyyymmdd'),TO_DATE('22000101','yyyymmdd'),'Version 20180126');</v>
      </c>
    </row>
    <row r="50" spans="1:2" x14ac:dyDescent="0.25">
      <c r="A50" t="str">
        <f>IF(REGLAS!J51="OBSOLETO","","INSERT INTO INYCEXT.INYC_CONF_INF_REGLAS (COD_INFORME,TABLA,NOMBRE,REGLA,F_INICIO,F_FIN,DESCRIPCION) VALUES ("&amp;REGLAS!B51&amp;",'"&amp;REGLAS!C51&amp;"','"&amp;REGLAS!D51&amp;"','"&amp;REGLAS!G51&amp;"',TO_DATE('"&amp;REGLAS!H51&amp;"','yyyymmdd'),TO_DATE('"&amp;REGLAS!I51&amp;"','yyyymmdd'),'"&amp;REGLAS!J51&amp;"');")</f>
        <v>INSERT INTO INYCEXT.INYC_CONF_INF_REGLAS (COD_INFORME,TABLA,NOMBRE,REGLA,F_INICIO,F_FIN,DESCRIPCION) VALUES (1.1,'INYC_RPI_RESUMEN','SM - Nº Pólizas Corregidas Inspector RRPP (excl PU y conv/colec) Mensual','SM-O-GEN-Inspector-NumeroPolizasCorregidas-906-TotalMes',TO_DATE('20180101','yyyymmdd'),TO_DATE('22000101','yyyymmdd'),'Version 20180126');</v>
      </c>
      <c r="B50" t="str">
        <f>IF(REGLAS!J51="OBSOLETO","","INSERT INTO INYCEXT.INYC_CONF_INF_REGLAS@tc_link (COD_INFORME,TABLA,NOMBRE,REGLA,F_INICIO,F_FIN,DESCRIPCION) VALUES ("&amp;REGLAS!B51&amp;",'"&amp;REGLAS!C51&amp;"','"&amp;REGLAS!D51&amp;"','"&amp;REGLAS!G51&amp;"',TO_DATE('"&amp;REGLAS!H51&amp;"','yyyymmdd'),TO_DATE('"&amp;REGLAS!I51&amp;"','yyyymmdd'),'"&amp;REGLAS!J51&amp;"');")</f>
        <v>INSERT INTO INYCEXT.INYC_CONF_INF_REGLAS@tc_link (COD_INFORME,TABLA,NOMBRE,REGLA,F_INICIO,F_FIN,DESCRIPCION) VALUES (1.1,'INYC_RPI_RESUMEN','SM - Nº Pólizas Corregidas Inspector RRPP (excl PU y conv/colec) Mensual','SM-O-GEN-Inspector-NumeroPolizasCorregidas-906-TotalMes',TO_DATE('20180101','yyyymmdd'),TO_DATE('22000101','yyyymmdd'),'Version 20180126');</v>
      </c>
    </row>
    <row r="51" spans="1:2" x14ac:dyDescent="0.25">
      <c r="A51" t="str">
        <f>IF(REGLAS!J52="OBSOLETO","","INSERT INTO INYCEXT.INYC_CONF_INF_REGLAS (COD_INFORME,TABLA,NOMBRE,REGLA,F_INICIO,F_FIN,DESCRIPCION) VALUES ("&amp;REGLAS!B52&amp;",'"&amp;REGLAS!C52&amp;"','"&amp;REGLAS!D52&amp;"','"&amp;REGLAS!G52&amp;"',TO_DATE('"&amp;REGLAS!H52&amp;"','yyyymmdd'),TO_DATE('"&amp;REGLAS!I52&amp;"','yyyymmdd'),'"&amp;REGLAS!J52&amp;"');")</f>
        <v>INSERT INTO INYCEXT.INYC_CONF_INF_REGLAS (COD_INFORME,TABLA,NOMBRE,REGLA,F_INICIO,F_FIN,DESCRIPCION) VALUES (1.1,'INYC_RPI_RESUMEN','SM - Pago Mensual','SM-RPP-Inspector-PagoMensual',TO_DATE('20140101','yyyymmdd'),TO_DATE('22000101','yyyymmdd'),'');</v>
      </c>
      <c r="B51" t="str">
        <f>IF(REGLAS!J52="OBSOLETO","","INSERT INTO INYCEXT.INYC_CONF_INF_REGLAS@tc_link (COD_INFORME,TABLA,NOMBRE,REGLA,F_INICIO,F_FIN,DESCRIPCION) VALUES ("&amp;REGLAS!B52&amp;",'"&amp;REGLAS!C52&amp;"','"&amp;REGLAS!D52&amp;"','"&amp;REGLAS!G52&amp;"',TO_DATE('"&amp;REGLAS!H52&amp;"','yyyymmdd'),TO_DATE('"&amp;REGLAS!I52&amp;"','yyyymmdd'),'"&amp;REGLAS!J52&amp;"');")</f>
        <v>INSERT INTO INYCEXT.INYC_CONF_INF_REGLAS@tc_link (COD_INFORME,TABLA,NOMBRE,REGLA,F_INICIO,F_FIN,DESCRIPCION) VALUES (1.1,'INYC_RPI_RESUMEN','SM - Pago Mensual','SM-RPP-Inspector-PagoMensual',TO_DATE('20140101','yyyymmdd'),TO_DATE('22000101','yyyymmdd'),'');</v>
      </c>
    </row>
    <row r="52" spans="1:2" x14ac:dyDescent="0.25">
      <c r="A52" t="str">
        <f>IF(REGLAS!J53="OBSOLETO","","INSERT INTO INYCEXT.INYC_CONF_INF_REGLAS (COD_INFORME,TABLA,NOMBRE,REGLA,F_INICIO,F_FIN,DESCRIPCION) VALUES ("&amp;REGLAS!B53&amp;",'"&amp;REGLAS!C53&amp;"','"&amp;REGLAS!D53&amp;"','"&amp;REGLAS!G53&amp;"',TO_DATE('"&amp;REGLAS!H53&amp;"','yyyymmdd'),TO_DATE('"&amp;REGLAS!I53&amp;"','yyyymmdd'),'"&amp;REGLAS!J53&amp;"');")</f>
        <v>INSERT INTO INYCEXT.INYC_CONF_INF_REGLAS (COD_INFORME,TABLA,NOMBRE,REGLA,F_INICIO,F_FIN,DESCRIPCION) VALUES (1.1,'INYC_RPI_RESUMEN','SM - Prima Corregida Inspector Total Productos Mensual','SM-O-GEN-Inspector-PrimaCorregida-998-TotalMes',TO_DATE('20140101','yyyymmdd'),TO_DATE('22000101','yyyymmdd'),'');</v>
      </c>
      <c r="B52" t="str">
        <f>IF(REGLAS!J53="OBSOLETO","","INSERT INTO INYCEXT.INYC_CONF_INF_REGLAS@tc_link (COD_INFORME,TABLA,NOMBRE,REGLA,F_INICIO,F_FIN,DESCRIPCION) VALUES ("&amp;REGLAS!B53&amp;",'"&amp;REGLAS!C53&amp;"','"&amp;REGLAS!D53&amp;"','"&amp;REGLAS!G53&amp;"',TO_DATE('"&amp;REGLAS!H53&amp;"','yyyymmdd'),TO_DATE('"&amp;REGLAS!I53&amp;"','yyyymmdd'),'"&amp;REGLAS!J53&amp;"');")</f>
        <v>INSERT INTO INYCEXT.INYC_CONF_INF_REGLAS@tc_link (COD_INFORME,TABLA,NOMBRE,REGLA,F_INICIO,F_FIN,DESCRIPCION) VALUES (1.1,'INYC_RPI_RESUMEN','SM - Prima Corregida Inspector Total Productos Mensual','SM-O-GEN-Inspector-PrimaCorregida-998-TotalMes',TO_DATE('20140101','yyyymmdd'),TO_DATE('22000101','yyyymmdd'),'');</v>
      </c>
    </row>
    <row r="53" spans="1:2" x14ac:dyDescent="0.25">
      <c r="A53" t="str">
        <f>IF(REGLAS!J54="OBSOLETO","","INSERT INTO INYCEXT.INYC_CONF_INF_REGLAS (COD_INFORME,TABLA,NOMBRE,REGLA,F_INICIO,F_FIN,DESCRIPCION) VALUES ("&amp;REGLAS!B54&amp;",'"&amp;REGLAS!C54&amp;"','"&amp;REGLAS!D54&amp;"','"&amp;REGLAS!G54&amp;"',TO_DATE('"&amp;REGLAS!H54&amp;"','yyyymmdd'),TO_DATE('"&amp;REGLAS!I54&amp;"','yyyymmdd'),'"&amp;REGLAS!J54&amp;"');")</f>
        <v>INSERT INTO INYCEXT.INYC_CONF_INF_REGLAS (COD_INFORME,TABLA,NOMBRE,REGLA,F_INICIO,F_FIN,DESCRIPCION) VALUES (1.1,'INYC_RPI_RESUMEN','SM - Nº Pólizas Corregidas Inspector Total Productos Mensual','SM-O-GEN-Inspector-NumeroPolizasCorregidas-998-TotalMes',TO_DATE('20180101','yyyymmdd'),TO_DATE('22000101','yyyymmdd'),'Version 20180119');</v>
      </c>
      <c r="B53" t="str">
        <f>IF(REGLAS!J54="OBSOLETO","","INSERT INTO INYCEXT.INYC_CONF_INF_REGLAS@tc_link (COD_INFORME,TABLA,NOMBRE,REGLA,F_INICIO,F_FIN,DESCRIPCION) VALUES ("&amp;REGLAS!B54&amp;",'"&amp;REGLAS!C54&amp;"','"&amp;REGLAS!D54&amp;"','"&amp;REGLAS!G54&amp;"',TO_DATE('"&amp;REGLAS!H54&amp;"','yyyymmdd'),TO_DATE('"&amp;REGLAS!I54&amp;"','yyyymmdd'),'"&amp;REGLAS!J54&amp;"');")</f>
        <v>INSERT INTO INYCEXT.INYC_CONF_INF_REGLAS@tc_link (COD_INFORME,TABLA,NOMBRE,REGLA,F_INICIO,F_FIN,DESCRIPCION) VALUES (1.1,'INYC_RPI_RESUMEN','SM - Nº Pólizas Corregidas Inspector Total Productos Mensual','SM-O-GEN-Inspector-NumeroPolizasCorregidas-998-TotalMes',TO_DATE('20180101','yyyymmdd'),TO_DATE('22000101','yyyymmdd'),'Version 20180119');</v>
      </c>
    </row>
    <row r="54" spans="1:2" x14ac:dyDescent="0.25">
      <c r="A54" t="str">
        <f>IF(REGLAS!J55="OBSOLETO","","INSERT INTO INYCEXT.INYC_CONF_INF_REGLAS (COD_INFORME,TABLA,NOMBRE,REGLA,F_INICIO,F_FIN,DESCRIPCION) VALUES ("&amp;REGLAS!B55&amp;",'"&amp;REGLAS!C55&amp;"','"&amp;REGLAS!D55&amp;"','"&amp;REGLAS!G55&amp;"',TO_DATE('"&amp;REGLAS!H55&amp;"','yyyymmdd'),TO_DATE('"&amp;REGLAS!I55&amp;"','yyyymmdd'),'"&amp;REGLAS!J55&amp;"');")</f>
        <v>INSERT INTO INYCEXT.INYC_CONF_INF_REGLAS (COD_INFORME,TABLA,NOMBRE,REGLA,F_INICIO,F_FIN,DESCRIPCION) VALUES (1.1,'INYC_RPI_RESUMEN','SM - Nº Asegurados Inspector Mensual','SM-O-GEN-Inspector-NumAsegurados-TotalMes',TO_DATE('20180101','yyyymmdd'),TO_DATE('22000101','yyyymmdd'),'Version 20180117');</v>
      </c>
      <c r="B54" t="str">
        <f>IF(REGLAS!J55="OBSOLETO","","INSERT INTO INYCEXT.INYC_CONF_INF_REGLAS@tc_link (COD_INFORME,TABLA,NOMBRE,REGLA,F_INICIO,F_FIN,DESCRIPCION) VALUES ("&amp;REGLAS!B55&amp;",'"&amp;REGLAS!C55&amp;"','"&amp;REGLAS!D55&amp;"','"&amp;REGLAS!G55&amp;"',TO_DATE('"&amp;REGLAS!H55&amp;"','yyyymmdd'),TO_DATE('"&amp;REGLAS!I55&amp;"','yyyymmdd'),'"&amp;REGLAS!J55&amp;"');")</f>
        <v>INSERT INTO INYCEXT.INYC_CONF_INF_REGLAS@tc_link (COD_INFORME,TABLA,NOMBRE,REGLA,F_INICIO,F_FIN,DESCRIPCION) VALUES (1.1,'INYC_RPI_RESUMEN','SM - Nº Asegurados Inspector Mensual','SM-O-GEN-Inspector-NumAsegurados-TotalMes',TO_DATE('20180101','yyyymmdd'),TO_DATE('22000101','yyyymmdd'),'Version 20180117');</v>
      </c>
    </row>
    <row r="55" spans="1:2" x14ac:dyDescent="0.25">
      <c r="A55" t="str">
        <f>IF(REGLAS!J56="OBSOLETO","","INSERT INTO INYCEXT.INYC_CONF_INF_REGLAS (COD_INFORME,TABLA,NOMBRE,REGLA,F_INICIO,F_FIN,DESCRIPCION) VALUES ("&amp;REGLAS!B56&amp;",'"&amp;REGLAS!C56&amp;"','"&amp;REGLAS!D56&amp;"','"&amp;REGLAS!G56&amp;"',TO_DATE('"&amp;REGLAS!H56&amp;"','yyyymmdd'),TO_DATE('"&amp;REGLAS!I56&amp;"','yyyymmdd'),'"&amp;REGLAS!J56&amp;"');")</f>
        <v>INSERT INTO INYCEXT.INYC_CONF_INF_REGLAS (COD_INFORME,TABLA,NOMBRE,REGLA,F_INICIO,F_FIN,DESCRIPCION) VALUES (1.1,'INYC_RPI_RESUMEN','SM - importe Reg. Trimestral Rappel1 Mes1','SM-RPP-Inspector-ImportesRegularizacionTrimestral-Rappel1-Mes1',TO_DATE('20140101','yyyymmdd'),TO_DATE('22000101','yyyymmdd'),'');</v>
      </c>
      <c r="B55" t="str">
        <f>IF(REGLAS!J56="OBSOLETO","","INSERT INTO INYCEXT.INYC_CONF_INF_REGLAS@tc_link (COD_INFORME,TABLA,NOMBRE,REGLA,F_INICIO,F_FIN,DESCRIPCION) VALUES ("&amp;REGLAS!B56&amp;",'"&amp;REGLAS!C56&amp;"','"&amp;REGLAS!D56&amp;"','"&amp;REGLAS!G56&amp;"',TO_DATE('"&amp;REGLAS!H56&amp;"','yyyymmdd'),TO_DATE('"&amp;REGLAS!I56&amp;"','yyyymmdd'),'"&amp;REGLAS!J56&amp;"');")</f>
        <v>INSERT INTO INYCEXT.INYC_CONF_INF_REGLAS@tc_link (COD_INFORME,TABLA,NOMBRE,REGLA,F_INICIO,F_FIN,DESCRIPCION) VALUES (1.1,'INYC_RPI_RESUMEN','SM - importe Reg. Trimestral Rappel1 Mes1','SM-RPP-Inspector-ImportesRegularizacionTrimestral-Rappel1-Mes1',TO_DATE('20140101','yyyymmdd'),TO_DATE('22000101','yyyymmdd'),'');</v>
      </c>
    </row>
    <row r="56" spans="1:2" x14ac:dyDescent="0.25">
      <c r="A56" t="str">
        <f>IF(REGLAS!J57="OBSOLETO","","INSERT INTO INYCEXT.INYC_CONF_INF_REGLAS (COD_INFORME,TABLA,NOMBRE,REGLA,F_INICIO,F_FIN,DESCRIPCION) VALUES ("&amp;REGLAS!B57&amp;",'"&amp;REGLAS!C57&amp;"','"&amp;REGLAS!D57&amp;"','"&amp;REGLAS!G57&amp;"',TO_DATE('"&amp;REGLAS!H57&amp;"','yyyymmdd'),TO_DATE('"&amp;REGLAS!I57&amp;"','yyyymmdd'),'"&amp;REGLAS!J57&amp;"');")</f>
        <v>INSERT INTO INYCEXT.INYC_CONF_INF_REGLAS (COD_INFORME,TABLA,NOMBRE,REGLA,F_INICIO,F_FIN,DESCRIPCION) VALUES (1.1,'INYC_RPI_RESUMEN','SM - importe Reg. Trimestral Rappel1 Mes2','SM-RPP-Inspector-ImportesRegularizacionTrimestral-Rappel1-Mes2',TO_DATE('20140101','yyyymmdd'),TO_DATE('22000101','yyyymmdd'),'');</v>
      </c>
      <c r="B56" t="str">
        <f>IF(REGLAS!J57="OBSOLETO","","INSERT INTO INYCEXT.INYC_CONF_INF_REGLAS@tc_link (COD_INFORME,TABLA,NOMBRE,REGLA,F_INICIO,F_FIN,DESCRIPCION) VALUES ("&amp;REGLAS!B57&amp;",'"&amp;REGLAS!C57&amp;"','"&amp;REGLAS!D57&amp;"','"&amp;REGLAS!G57&amp;"',TO_DATE('"&amp;REGLAS!H57&amp;"','yyyymmdd'),TO_DATE('"&amp;REGLAS!I57&amp;"','yyyymmdd'),'"&amp;REGLAS!J57&amp;"');")</f>
        <v>INSERT INTO INYCEXT.INYC_CONF_INF_REGLAS@tc_link (COD_INFORME,TABLA,NOMBRE,REGLA,F_INICIO,F_FIN,DESCRIPCION) VALUES (1.1,'INYC_RPI_RESUMEN','SM - importe Reg. Trimestral Rappel1 Mes2','SM-RPP-Inspector-ImportesRegularizacionTrimestral-Rappel1-Mes2',TO_DATE('20140101','yyyymmdd'),TO_DATE('22000101','yyyymmdd'),'');</v>
      </c>
    </row>
    <row r="57" spans="1:2" x14ac:dyDescent="0.25">
      <c r="A57" t="str">
        <f>IF(REGLAS!J58="OBSOLETO","","INSERT INTO INYCEXT.INYC_CONF_INF_REGLAS (COD_INFORME,TABLA,NOMBRE,REGLA,F_INICIO,F_FIN,DESCRIPCION) VALUES ("&amp;REGLAS!B58&amp;",'"&amp;REGLAS!C58&amp;"','"&amp;REGLAS!D58&amp;"','"&amp;REGLAS!G58&amp;"',TO_DATE('"&amp;REGLAS!H58&amp;"','yyyymmdd'),TO_DATE('"&amp;REGLAS!I58&amp;"','yyyymmdd'),'"&amp;REGLAS!J58&amp;"');")</f>
        <v>INSERT INTO INYCEXT.INYC_CONF_INF_REGLAS (COD_INFORME,TABLA,NOMBRE,REGLA,F_INICIO,F_FIN,DESCRIPCION) VALUES (1.1,'INYC_RPI_RESUMEN','SM - importe Reg. Trimestral Rappel1 Mes3','SM-RPP-Inspector-ImportesRegularizacionTrimestral-Rappel1-Mes3',TO_DATE('20140101','yyyymmdd'),TO_DATE('22000101','yyyymmdd'),'');</v>
      </c>
      <c r="B57" t="str">
        <f>IF(REGLAS!J58="OBSOLETO","","INSERT INTO INYCEXT.INYC_CONF_INF_REGLAS@tc_link (COD_INFORME,TABLA,NOMBRE,REGLA,F_INICIO,F_FIN,DESCRIPCION) VALUES ("&amp;REGLAS!B58&amp;",'"&amp;REGLAS!C58&amp;"','"&amp;REGLAS!D58&amp;"','"&amp;REGLAS!G58&amp;"',TO_DATE('"&amp;REGLAS!H58&amp;"','yyyymmdd'),TO_DATE('"&amp;REGLAS!I58&amp;"','yyyymmdd'),'"&amp;REGLAS!J58&amp;"');")</f>
        <v>INSERT INTO INYCEXT.INYC_CONF_INF_REGLAS@tc_link (COD_INFORME,TABLA,NOMBRE,REGLA,F_INICIO,F_FIN,DESCRIPCION) VALUES (1.1,'INYC_RPI_RESUMEN','SM - importe Reg. Trimestral Rappel1 Mes3','SM-RPP-Inspector-ImportesRegularizacionTrimestral-Rappel1-Mes3',TO_DATE('20140101','yyyymmdd'),TO_DATE('22000101','yyyymmdd'),'');</v>
      </c>
    </row>
    <row r="58" spans="1:2" x14ac:dyDescent="0.25">
      <c r="A58" t="str">
        <f>IF(REGLAS!J59="OBSOLETO","","INSERT INTO INYCEXT.INYC_CONF_INF_REGLAS (COD_INFORME,TABLA,NOMBRE,REGLA,F_INICIO,F_FIN,DESCRIPCION) VALUES ("&amp;REGLAS!B59&amp;",'"&amp;REGLAS!C59&amp;"','"&amp;REGLAS!D59&amp;"','"&amp;REGLAS!G59&amp;"',TO_DATE('"&amp;REGLAS!H59&amp;"','yyyymmdd'),TO_DATE('"&amp;REGLAS!I59&amp;"','yyyymmdd'),'"&amp;REGLAS!J59&amp;"');")</f>
        <v>INSERT INTO INYCEXT.INYC_CONF_INF_REGLAS (COD_INFORME,TABLA,NOMBRE,REGLA,F_INICIO,F_FIN,DESCRIPCION) VALUES (1.1,'INYC_RPI_RESUMEN','SM - importe Reg. Trimestral Rappel2 Mes1','SM-RPP-Inspector-ImportesRegularizacionTrimestral-Rappel2-Mes1',TO_DATE('20140101','yyyymmdd'),TO_DATE('22000101','yyyymmdd'),'');</v>
      </c>
      <c r="B58" t="str">
        <f>IF(REGLAS!J59="OBSOLETO","","INSERT INTO INYCEXT.INYC_CONF_INF_REGLAS@tc_link (COD_INFORME,TABLA,NOMBRE,REGLA,F_INICIO,F_FIN,DESCRIPCION) VALUES ("&amp;REGLAS!B59&amp;",'"&amp;REGLAS!C59&amp;"','"&amp;REGLAS!D59&amp;"','"&amp;REGLAS!G59&amp;"',TO_DATE('"&amp;REGLAS!H59&amp;"','yyyymmdd'),TO_DATE('"&amp;REGLAS!I59&amp;"','yyyymmdd'),'"&amp;REGLAS!J59&amp;"');")</f>
        <v>INSERT INTO INYCEXT.INYC_CONF_INF_REGLAS@tc_link (COD_INFORME,TABLA,NOMBRE,REGLA,F_INICIO,F_FIN,DESCRIPCION) VALUES (1.1,'INYC_RPI_RESUMEN','SM - importe Reg. Trimestral Rappel2 Mes1','SM-RPP-Inspector-ImportesRegularizacionTrimestral-Rappel2-Mes1',TO_DATE('20140101','yyyymmdd'),TO_DATE('22000101','yyyymmdd'),'');</v>
      </c>
    </row>
    <row r="59" spans="1:2" x14ac:dyDescent="0.25">
      <c r="A59" t="str">
        <f>IF(REGLAS!J60="OBSOLETO","","INSERT INTO INYCEXT.INYC_CONF_INF_REGLAS (COD_INFORME,TABLA,NOMBRE,REGLA,F_INICIO,F_FIN,DESCRIPCION) VALUES ("&amp;REGLAS!B60&amp;",'"&amp;REGLAS!C60&amp;"','"&amp;REGLAS!D60&amp;"','"&amp;REGLAS!G60&amp;"',TO_DATE('"&amp;REGLAS!H60&amp;"','yyyymmdd'),TO_DATE('"&amp;REGLAS!I60&amp;"','yyyymmdd'),'"&amp;REGLAS!J60&amp;"');")</f>
        <v>INSERT INTO INYCEXT.INYC_CONF_INF_REGLAS (COD_INFORME,TABLA,NOMBRE,REGLA,F_INICIO,F_FIN,DESCRIPCION) VALUES (1.1,'INYC_RPI_RESUMEN','SM - importe Reg. Trimestral Rappel2 Mes2','SM-RPP-Inspector-ImportesRegularizacionTrimestral-Rappel2-Mes2',TO_DATE('20140101','yyyymmdd'),TO_DATE('22000101','yyyymmdd'),'');</v>
      </c>
      <c r="B59" t="str">
        <f>IF(REGLAS!J60="OBSOLETO","","INSERT INTO INYCEXT.INYC_CONF_INF_REGLAS@tc_link (COD_INFORME,TABLA,NOMBRE,REGLA,F_INICIO,F_FIN,DESCRIPCION) VALUES ("&amp;REGLAS!B60&amp;",'"&amp;REGLAS!C60&amp;"','"&amp;REGLAS!D60&amp;"','"&amp;REGLAS!G60&amp;"',TO_DATE('"&amp;REGLAS!H60&amp;"','yyyymmdd'),TO_DATE('"&amp;REGLAS!I60&amp;"','yyyymmdd'),'"&amp;REGLAS!J60&amp;"');")</f>
        <v>INSERT INTO INYCEXT.INYC_CONF_INF_REGLAS@tc_link (COD_INFORME,TABLA,NOMBRE,REGLA,F_INICIO,F_FIN,DESCRIPCION) VALUES (1.1,'INYC_RPI_RESUMEN','SM - importe Reg. Trimestral Rappel2 Mes2','SM-RPP-Inspector-ImportesRegularizacionTrimestral-Rappel2-Mes2',TO_DATE('20140101','yyyymmdd'),TO_DATE('22000101','yyyymmdd'),'');</v>
      </c>
    </row>
    <row r="60" spans="1:2" x14ac:dyDescent="0.25">
      <c r="A60" t="str">
        <f>IF(REGLAS!J61="OBSOLETO","","INSERT INTO INYCEXT.INYC_CONF_INF_REGLAS (COD_INFORME,TABLA,NOMBRE,REGLA,F_INICIO,F_FIN,DESCRIPCION) VALUES ("&amp;REGLAS!B61&amp;",'"&amp;REGLAS!C61&amp;"','"&amp;REGLAS!D61&amp;"','"&amp;REGLAS!G61&amp;"',TO_DATE('"&amp;REGLAS!H61&amp;"','yyyymmdd'),TO_DATE('"&amp;REGLAS!I61&amp;"','yyyymmdd'),'"&amp;REGLAS!J61&amp;"');")</f>
        <v>INSERT INTO INYCEXT.INYC_CONF_INF_REGLAS (COD_INFORME,TABLA,NOMBRE,REGLA,F_INICIO,F_FIN,DESCRIPCION) VALUES (1.1,'INYC_RPI_RESUMEN','SM - importe Reg. Trimestral Rappel2 Mes3','SM-RPP-Inspector-ImportesRegularizacionTrimestral-Rappel2-Mes3',TO_DATE('20140101','yyyymmdd'),TO_DATE('22000101','yyyymmdd'),'');</v>
      </c>
      <c r="B60" t="str">
        <f>IF(REGLAS!J61="OBSOLETO","","INSERT INTO INYCEXT.INYC_CONF_INF_REGLAS@tc_link (COD_INFORME,TABLA,NOMBRE,REGLA,F_INICIO,F_FIN,DESCRIPCION) VALUES ("&amp;REGLAS!B61&amp;",'"&amp;REGLAS!C61&amp;"','"&amp;REGLAS!D61&amp;"','"&amp;REGLAS!G61&amp;"',TO_DATE('"&amp;REGLAS!H61&amp;"','yyyymmdd'),TO_DATE('"&amp;REGLAS!I61&amp;"','yyyymmdd'),'"&amp;REGLAS!J61&amp;"');")</f>
        <v>INSERT INTO INYCEXT.INYC_CONF_INF_REGLAS@tc_link (COD_INFORME,TABLA,NOMBRE,REGLA,F_INICIO,F_FIN,DESCRIPCION) VALUES (1.1,'INYC_RPI_RESUMEN','SM - importe Reg. Trimestral Rappel2 Mes3','SM-RPP-Inspector-ImportesRegularizacionTrimestral-Rappel2-Mes3',TO_DATE('20140101','yyyymmdd'),TO_DATE('22000101','yyyymmdd'),'');</v>
      </c>
    </row>
    <row r="61" spans="1:2" x14ac:dyDescent="0.25">
      <c r="A61" t="str">
        <f>IF(REGLAS!J62="OBSOLETO","","INSERT INTO INYCEXT.INYC_CONF_INF_REGLAS (COD_INFORME,TABLA,NOMBRE,REGLA,F_INICIO,F_FIN,DESCRIPCION) VALUES ("&amp;REGLAS!B62&amp;",'"&amp;REGLAS!C62&amp;"','"&amp;REGLAS!D62&amp;"','"&amp;REGLAS!G62&amp;"',TO_DATE('"&amp;REGLAS!H62&amp;"','yyyymmdd'),TO_DATE('"&amp;REGLAS!I62&amp;"','yyyymmdd'),'"&amp;REGLAS!J62&amp;"');")</f>
        <v>INSERT INTO INYCEXT.INYC_CONF_INF_REGLAS (COD_INFORME,TABLA,NOMBRE,REGLA,F_INICIO,F_FIN,DESCRIPCION) VALUES (1.1,'INYC_RPI_RESUMEN','I - Importe Reg. Trimestral Rappel1 Mes1','I-RPP-Inspector-ImporteRegTrimestral-Mes1',TO_DATE('20180601','yyyymmdd'),TO_DATE('22000101','yyyymmdd'),'Version 20180718');</v>
      </c>
      <c r="B61" t="str">
        <f>IF(REGLAS!J62="OBSOLETO","","INSERT INTO INYCEXT.INYC_CONF_INF_REGLAS@tc_link (COD_INFORME,TABLA,NOMBRE,REGLA,F_INICIO,F_FIN,DESCRIPCION) VALUES ("&amp;REGLAS!B62&amp;",'"&amp;REGLAS!C62&amp;"','"&amp;REGLAS!D62&amp;"','"&amp;REGLAS!G62&amp;"',TO_DATE('"&amp;REGLAS!H62&amp;"','yyyymmdd'),TO_DATE('"&amp;REGLAS!I62&amp;"','yyyymmdd'),'"&amp;REGLAS!J62&amp;"');")</f>
        <v>INSERT INTO INYCEXT.INYC_CONF_INF_REGLAS@tc_link (COD_INFORME,TABLA,NOMBRE,REGLA,F_INICIO,F_FIN,DESCRIPCION) VALUES (1.1,'INYC_RPI_RESUMEN','I - Importe Reg. Trimestral Rappel1 Mes1','I-RPP-Inspector-ImporteRegTrimestral-Mes1',TO_DATE('20180601','yyyymmdd'),TO_DATE('22000101','yyyymmdd'),'Version 20180718');</v>
      </c>
    </row>
    <row r="62" spans="1:2" x14ac:dyDescent="0.25">
      <c r="A62" t="str">
        <f>IF(REGLAS!J63="OBSOLETO","","INSERT INTO INYCEXT.INYC_CONF_INF_REGLAS (COD_INFORME,TABLA,NOMBRE,REGLA,F_INICIO,F_FIN,DESCRIPCION) VALUES ("&amp;REGLAS!B63&amp;",'"&amp;REGLAS!C63&amp;"','"&amp;REGLAS!D63&amp;"','"&amp;REGLAS!G63&amp;"',TO_DATE('"&amp;REGLAS!H63&amp;"','yyyymmdd'),TO_DATE('"&amp;REGLAS!I63&amp;"','yyyymmdd'),'"&amp;REGLAS!J63&amp;"');")</f>
        <v>INSERT INTO INYCEXT.INYC_CONF_INF_REGLAS (COD_INFORME,TABLA,NOMBRE,REGLA,F_INICIO,F_FIN,DESCRIPCION) VALUES (1.1,'INYC_RPI_RESUMEN','I - Importe Reg. Trimestral Rappel1 Mes2','I-RPP-Inspector-ImporteRegTrimestral-Mes2',TO_DATE('20180601','yyyymmdd'),TO_DATE('22000101','yyyymmdd'),'Version 20180718');</v>
      </c>
      <c r="B62" t="str">
        <f>IF(REGLAS!J63="OBSOLETO","","INSERT INTO INYCEXT.INYC_CONF_INF_REGLAS@tc_link (COD_INFORME,TABLA,NOMBRE,REGLA,F_INICIO,F_FIN,DESCRIPCION) VALUES ("&amp;REGLAS!B63&amp;",'"&amp;REGLAS!C63&amp;"','"&amp;REGLAS!D63&amp;"','"&amp;REGLAS!G63&amp;"',TO_DATE('"&amp;REGLAS!H63&amp;"','yyyymmdd'),TO_DATE('"&amp;REGLAS!I63&amp;"','yyyymmdd'),'"&amp;REGLAS!J63&amp;"');")</f>
        <v>INSERT INTO INYCEXT.INYC_CONF_INF_REGLAS@tc_link (COD_INFORME,TABLA,NOMBRE,REGLA,F_INICIO,F_FIN,DESCRIPCION) VALUES (1.1,'INYC_RPI_RESUMEN','I - Importe Reg. Trimestral Rappel1 Mes2','I-RPP-Inspector-ImporteRegTrimestral-Mes2',TO_DATE('20180601','yyyymmdd'),TO_DATE('22000101','yyyymmdd'),'Version 20180718');</v>
      </c>
    </row>
    <row r="63" spans="1:2" x14ac:dyDescent="0.25">
      <c r="A63" t="str">
        <f>IF(REGLAS!J64="OBSOLETO","","INSERT INTO INYCEXT.INYC_CONF_INF_REGLAS (COD_INFORME,TABLA,NOMBRE,REGLA,F_INICIO,F_FIN,DESCRIPCION) VALUES ("&amp;REGLAS!B64&amp;",'"&amp;REGLAS!C64&amp;"','"&amp;REGLAS!D64&amp;"','"&amp;REGLAS!G64&amp;"',TO_DATE('"&amp;REGLAS!H64&amp;"','yyyymmdd'),TO_DATE('"&amp;REGLAS!I64&amp;"','yyyymmdd'),'"&amp;REGLAS!J64&amp;"');")</f>
        <v>INSERT INTO INYCEXT.INYC_CONF_INF_REGLAS (COD_INFORME,TABLA,NOMBRE,REGLA,F_INICIO,F_FIN,DESCRIPCION) VALUES (1.1,'INYC_RPI_RESUMEN','I - Importe Reg. Trimestral Rappel1 Mes3','I-RPP-Inspector-ImporteRegTrimestral-Mes3',TO_DATE('20180601','yyyymmdd'),TO_DATE('22000101','yyyymmdd'),'Version 20180718');</v>
      </c>
      <c r="B63" t="str">
        <f>IF(REGLAS!J64="OBSOLETO","","INSERT INTO INYCEXT.INYC_CONF_INF_REGLAS@tc_link (COD_INFORME,TABLA,NOMBRE,REGLA,F_INICIO,F_FIN,DESCRIPCION) VALUES ("&amp;REGLAS!B64&amp;",'"&amp;REGLAS!C64&amp;"','"&amp;REGLAS!D64&amp;"','"&amp;REGLAS!G64&amp;"',TO_DATE('"&amp;REGLAS!H64&amp;"','yyyymmdd'),TO_DATE('"&amp;REGLAS!I64&amp;"','yyyymmdd'),'"&amp;REGLAS!J64&amp;"');")</f>
        <v>INSERT INTO INYCEXT.INYC_CONF_INF_REGLAS@tc_link (COD_INFORME,TABLA,NOMBRE,REGLA,F_INICIO,F_FIN,DESCRIPCION) VALUES (1.1,'INYC_RPI_RESUMEN','I - Importe Reg. Trimestral Rappel1 Mes3','I-RPP-Inspector-ImporteRegTrimestral-Mes3',TO_DATE('20180601','yyyymmdd'),TO_DATE('22000101','yyyymmdd'),'Version 20180718');</v>
      </c>
    </row>
    <row r="64" spans="1:2" x14ac:dyDescent="0.25">
      <c r="A64" t="str">
        <f>IF(REGLAS!J65="OBSOLETO","","INSERT INTO INYCEXT.INYC_CONF_INF_REGLAS (COD_INFORME,TABLA,NOMBRE,REGLA,F_INICIO,F_FIN,DESCRIPCION) VALUES ("&amp;REGLAS!B65&amp;",'"&amp;REGLAS!C65&amp;"','"&amp;REGLAS!D65&amp;"','"&amp;REGLAS!G65&amp;"',TO_DATE('"&amp;REGLAS!H65&amp;"','yyyymmdd'),TO_DATE('"&amp;REGLAS!I65&amp;"','yyyymmdd'),'"&amp;REGLAS!J65&amp;"');")</f>
        <v>INSERT INTO INYCEXT.INYC_CONF_INF_REGLAS (COD_INFORME,TABLA,NOMBRE,REGLA,F_INICIO,F_FIN,DESCRIPCION) VALUES (1.1,'INYC_RPI_RESUMEN','I - Importe Reg. Trimestral Rappel2 Mes1','I-RPP-Inspector-ImporteRegTrimestral-MinMes1',TO_DATE('20180601','yyyymmdd'),TO_DATE('22000101','yyyymmdd'),'Version 20180718');</v>
      </c>
      <c r="B64" t="str">
        <f>IF(REGLAS!J65="OBSOLETO","","INSERT INTO INYCEXT.INYC_CONF_INF_REGLAS@tc_link (COD_INFORME,TABLA,NOMBRE,REGLA,F_INICIO,F_FIN,DESCRIPCION) VALUES ("&amp;REGLAS!B65&amp;",'"&amp;REGLAS!C65&amp;"','"&amp;REGLAS!D65&amp;"','"&amp;REGLAS!G65&amp;"',TO_DATE('"&amp;REGLAS!H65&amp;"','yyyymmdd'),TO_DATE('"&amp;REGLAS!I65&amp;"','yyyymmdd'),'"&amp;REGLAS!J65&amp;"');")</f>
        <v>INSERT INTO INYCEXT.INYC_CONF_INF_REGLAS@tc_link (COD_INFORME,TABLA,NOMBRE,REGLA,F_INICIO,F_FIN,DESCRIPCION) VALUES (1.1,'INYC_RPI_RESUMEN','I - Importe Reg. Trimestral Rappel2 Mes1','I-RPP-Inspector-ImporteRegTrimestral-MinMes1',TO_DATE('20180601','yyyymmdd'),TO_DATE('22000101','yyyymmdd'),'Version 20180718');</v>
      </c>
    </row>
    <row r="65" spans="1:2" x14ac:dyDescent="0.25">
      <c r="A65" t="str">
        <f>IF(REGLAS!J66="OBSOLETO","","INSERT INTO INYCEXT.INYC_CONF_INF_REGLAS (COD_INFORME,TABLA,NOMBRE,REGLA,F_INICIO,F_FIN,DESCRIPCION) VALUES ("&amp;REGLAS!B66&amp;",'"&amp;REGLAS!C66&amp;"','"&amp;REGLAS!D66&amp;"','"&amp;REGLAS!G66&amp;"',TO_DATE('"&amp;REGLAS!H66&amp;"','yyyymmdd'),TO_DATE('"&amp;REGLAS!I66&amp;"','yyyymmdd'),'"&amp;REGLAS!J66&amp;"');")</f>
        <v>INSERT INTO INYCEXT.INYC_CONF_INF_REGLAS (COD_INFORME,TABLA,NOMBRE,REGLA,F_INICIO,F_FIN,DESCRIPCION) VALUES (1.1,'INYC_RPI_RESUMEN','I - Importe Reg. Trimestral Rappel2 Mes2','I-RPP-Inspector-ImporteRegTrimestral-MinMes2',TO_DATE('20180601','yyyymmdd'),TO_DATE('22000101','yyyymmdd'),'Version 20180718');</v>
      </c>
      <c r="B65" t="str">
        <f>IF(REGLAS!J66="OBSOLETO","","INSERT INTO INYCEXT.INYC_CONF_INF_REGLAS@tc_link (COD_INFORME,TABLA,NOMBRE,REGLA,F_INICIO,F_FIN,DESCRIPCION) VALUES ("&amp;REGLAS!B66&amp;",'"&amp;REGLAS!C66&amp;"','"&amp;REGLAS!D66&amp;"','"&amp;REGLAS!G66&amp;"',TO_DATE('"&amp;REGLAS!H66&amp;"','yyyymmdd'),TO_DATE('"&amp;REGLAS!I66&amp;"','yyyymmdd'),'"&amp;REGLAS!J66&amp;"');")</f>
        <v>INSERT INTO INYCEXT.INYC_CONF_INF_REGLAS@tc_link (COD_INFORME,TABLA,NOMBRE,REGLA,F_INICIO,F_FIN,DESCRIPCION) VALUES (1.1,'INYC_RPI_RESUMEN','I - Importe Reg. Trimestral Rappel2 Mes2','I-RPP-Inspector-ImporteRegTrimestral-MinMes2',TO_DATE('20180601','yyyymmdd'),TO_DATE('22000101','yyyymmdd'),'Version 20180718');</v>
      </c>
    </row>
    <row r="66" spans="1:2" x14ac:dyDescent="0.25">
      <c r="A66" t="str">
        <f>IF(REGLAS!J67="OBSOLETO","","INSERT INTO INYCEXT.INYC_CONF_INF_REGLAS (COD_INFORME,TABLA,NOMBRE,REGLA,F_INICIO,F_FIN,DESCRIPCION) VALUES ("&amp;REGLAS!B67&amp;",'"&amp;REGLAS!C67&amp;"','"&amp;REGLAS!D67&amp;"','"&amp;REGLAS!G67&amp;"',TO_DATE('"&amp;REGLAS!H67&amp;"','yyyymmdd'),TO_DATE('"&amp;REGLAS!I67&amp;"','yyyymmdd'),'"&amp;REGLAS!J67&amp;"');")</f>
        <v>INSERT INTO INYCEXT.INYC_CONF_INF_REGLAS (COD_INFORME,TABLA,NOMBRE,REGLA,F_INICIO,F_FIN,DESCRIPCION) VALUES (1.1,'INYC_RPI_RESUMEN','I - Importe Reg. Trimestral Rappel2 Mes3','I-RPP-Inspector-ImporteRegTrimestral-MinMes3',TO_DATE('20180601','yyyymmdd'),TO_DATE('22000101','yyyymmdd'),'Version 20180718');</v>
      </c>
      <c r="B66" t="str">
        <f>IF(REGLAS!J67="OBSOLETO","","INSERT INTO INYCEXT.INYC_CONF_INF_REGLAS@tc_link (COD_INFORME,TABLA,NOMBRE,REGLA,F_INICIO,F_FIN,DESCRIPCION) VALUES ("&amp;REGLAS!B67&amp;",'"&amp;REGLAS!C67&amp;"','"&amp;REGLAS!D67&amp;"','"&amp;REGLAS!G67&amp;"',TO_DATE('"&amp;REGLAS!H67&amp;"','yyyymmdd'),TO_DATE('"&amp;REGLAS!I67&amp;"','yyyymmdd'),'"&amp;REGLAS!J67&amp;"');")</f>
        <v>INSERT INTO INYCEXT.INYC_CONF_INF_REGLAS@tc_link (COD_INFORME,TABLA,NOMBRE,REGLA,F_INICIO,F_FIN,DESCRIPCION) VALUES (1.1,'INYC_RPI_RESUMEN','I - Importe Reg. Trimestral Rappel2 Mes3','I-RPP-Inspector-ImporteRegTrimestral-MinMes3',TO_DATE('20180601','yyyymmdd'),TO_DATE('22000101','yyyymmdd'),'Version 20180718');</v>
      </c>
    </row>
    <row r="67" spans="1:2" x14ac:dyDescent="0.25">
      <c r="A67" t="str">
        <f>IF(REGLAS!J68="OBSOLETO","","INSERT INTO INYCEXT.INYC_CONF_INF_REGLAS (COD_INFORME,TABLA,NOMBRE,REGLA,F_INICIO,F_FIN,DESCRIPCION) VALUES ("&amp;REGLAS!B68&amp;",'"&amp;REGLAS!C68&amp;"','"&amp;REGLAS!D68&amp;"','"&amp;REGLAS!G68&amp;"',TO_DATE('"&amp;REGLAS!H68&amp;"','yyyymmdd'),TO_DATE('"&amp;REGLAS!I68&amp;"','yyyymmdd'),'"&amp;REGLAS!J68&amp;"');")</f>
        <v>INSERT INTO INYCEXT.INYC_CONF_INF_REGLAS (COD_INFORME,TABLA,NOMBRE,REGLA,F_INICIO,F_FIN,DESCRIPCION) VALUES (1.1,'INYC_RPI_RESUMEN','SM - Pago Reg. Trimestral Final','SM-RPP-Inspector-PagoRegularizacion-Trimestral-Final',TO_DATE('20140101','yyyymmdd'),TO_DATE('20180601','yyyymmdd'),'Version 20180718');</v>
      </c>
      <c r="B67" t="str">
        <f>IF(REGLAS!J68="OBSOLETO","","INSERT INTO INYCEXT.INYC_CONF_INF_REGLAS@tc_link (COD_INFORME,TABLA,NOMBRE,REGLA,F_INICIO,F_FIN,DESCRIPCION) VALUES ("&amp;REGLAS!B68&amp;",'"&amp;REGLAS!C68&amp;"','"&amp;REGLAS!D68&amp;"','"&amp;REGLAS!G68&amp;"',TO_DATE('"&amp;REGLAS!H68&amp;"','yyyymmdd'),TO_DATE('"&amp;REGLAS!I68&amp;"','yyyymmdd'),'"&amp;REGLAS!J68&amp;"');")</f>
        <v>INSERT INTO INYCEXT.INYC_CONF_INF_REGLAS@tc_link (COD_INFORME,TABLA,NOMBRE,REGLA,F_INICIO,F_FIN,DESCRIPCION) VALUES (1.1,'INYC_RPI_RESUMEN','SM - Pago Reg. Trimestral Final','SM-RPP-Inspector-PagoRegularizacion-Trimestral-Final',TO_DATE('20140101','yyyymmdd'),TO_DATE('20180601','yyyymmdd'),'Version 20180718');</v>
      </c>
    </row>
    <row r="68" spans="1:2" x14ac:dyDescent="0.25">
      <c r="A68" t="str">
        <f>IF(REGLAS!J69="OBSOLETO","","INSERT INTO INYCEXT.INYC_CONF_INF_REGLAS (COD_INFORME,TABLA,NOMBRE,REGLA,F_INICIO,F_FIN,DESCRIPCION) VALUES ("&amp;REGLAS!B69&amp;",'"&amp;REGLAS!C69&amp;"','"&amp;REGLAS!D69&amp;"','"&amp;REGLAS!G69&amp;"',TO_DATE('"&amp;REGLAS!H69&amp;"','yyyymmdd'),TO_DATE('"&amp;REGLAS!I69&amp;"','yyyymmdd'),'"&amp;REGLAS!J69&amp;"');")</f>
        <v>INSERT INTO INYCEXT.INYC_CONF_INF_REGLAS (COD_INFORME,TABLA,NOMBRE,REGLA,F_INICIO,F_FIN,DESCRIPCION) VALUES (1.1,'INYC_RPI_RESUMEN','I - Pago Reg. Trimestral Final','I-RPP-Inspector-ImporteRegTrimestral',TO_DATE('20180601','yyyymmdd'),TO_DATE('22000101','yyyymmdd'),'Version 20180718');</v>
      </c>
      <c r="B68" t="str">
        <f>IF(REGLAS!J69="OBSOLETO","","INSERT INTO INYCEXT.INYC_CONF_INF_REGLAS@tc_link (COD_INFORME,TABLA,NOMBRE,REGLA,F_INICIO,F_FIN,DESCRIPCION) VALUES ("&amp;REGLAS!B69&amp;",'"&amp;REGLAS!C69&amp;"','"&amp;REGLAS!D69&amp;"','"&amp;REGLAS!G69&amp;"',TO_DATE('"&amp;REGLAS!H69&amp;"','yyyymmdd'),TO_DATE('"&amp;REGLAS!I69&amp;"','yyyymmdd'),'"&amp;REGLAS!J69&amp;"');")</f>
        <v>INSERT INTO INYCEXT.INYC_CONF_INF_REGLAS@tc_link (COD_INFORME,TABLA,NOMBRE,REGLA,F_INICIO,F_FIN,DESCRIPCION) VALUES (1.1,'INYC_RPI_RESUMEN','I - Pago Reg. Trimestral Final','I-RPP-Inspector-ImporteRegTrimestral',TO_DATE('20180601','yyyymmdd'),TO_DATE('22000101','yyyymmdd'),'Version 20180718');</v>
      </c>
    </row>
    <row r="69" spans="1:2" x14ac:dyDescent="0.25">
      <c r="A69" t="str">
        <f>IF(REGLAS!J70="OBSOLETO","","INSERT INTO INYCEXT.INYC_CONF_INF_REGLAS (COD_INFORME,TABLA,NOMBRE,REGLA,F_INICIO,F_FIN,DESCRIPCION) VALUES ("&amp;REGLAS!B70&amp;",'"&amp;REGLAS!C70&amp;"','"&amp;REGLAS!D70&amp;"','"&amp;REGLAS!G70&amp;"',TO_DATE('"&amp;REGLAS!H70&amp;"','yyyymmdd'),TO_DATE('"&amp;REGLAS!I70&amp;"','yyyymmdd'),'"&amp;REGLAS!J70&amp;"');")</f>
        <v>INSERT INTO INYCEXT.INYC_CONF_INF_REGLAS (COD_INFORME,TABLA,NOMBRE,REGLA,F_INICIO,F_FIN,DESCRIPCION) VALUES (1.1,'INYC_RPI_RESUMEN','SM - Consecución Anual RRTT','SM-RPP-Inspector-ConsecucionAnual-001',TO_DATE('20140101','yyyymmdd'),TO_DATE('22000101','yyyymmdd'),'');</v>
      </c>
      <c r="B69" t="str">
        <f>IF(REGLAS!J70="OBSOLETO","","INSERT INTO INYCEXT.INYC_CONF_INF_REGLAS@tc_link (COD_INFORME,TABLA,NOMBRE,REGLA,F_INICIO,F_FIN,DESCRIPCION) VALUES ("&amp;REGLAS!B70&amp;",'"&amp;REGLAS!C70&amp;"','"&amp;REGLAS!D70&amp;"','"&amp;REGLAS!G70&amp;"',TO_DATE('"&amp;REGLAS!H70&amp;"','yyyymmdd'),TO_DATE('"&amp;REGLAS!I70&amp;"','yyyymmdd'),'"&amp;REGLAS!J70&amp;"');")</f>
        <v>INSERT INTO INYCEXT.INYC_CONF_INF_REGLAS@tc_link (COD_INFORME,TABLA,NOMBRE,REGLA,F_INICIO,F_FIN,DESCRIPCION) VALUES (1.1,'INYC_RPI_RESUMEN','SM - Consecución Anual RRTT','SM-RPP-Inspector-ConsecucionAnual-001',TO_DATE('20140101','yyyymmdd'),TO_DATE('22000101','yyyymmdd'),'');</v>
      </c>
    </row>
    <row r="70" spans="1:2" x14ac:dyDescent="0.25">
      <c r="A70" t="str">
        <f>IF(REGLAS!J71="OBSOLETO","","INSERT INTO INYCEXT.INYC_CONF_INF_REGLAS (COD_INFORME,TABLA,NOMBRE,REGLA,F_INICIO,F_FIN,DESCRIPCION) VALUES ("&amp;REGLAS!B71&amp;",'"&amp;REGLAS!C71&amp;"','"&amp;REGLAS!D71&amp;"','"&amp;REGLAS!G71&amp;"',TO_DATE('"&amp;REGLAS!H71&amp;"','yyyymmdd'),TO_DATE('"&amp;REGLAS!I71&amp;"','yyyymmdd'),'"&amp;REGLAS!J71&amp;"');")</f>
        <v>INSERT INTO INYCEXT.INYC_CONF_INF_REGLAS (COD_INFORME,TABLA,NOMBRE,REGLA,F_INICIO,F_FIN,DESCRIPCION) VALUES (1.1,'INYC_RPI_RESUMEN','SM - Consecución Anual Hogar','SM-RPP-Inspector-ConsecucionAnual-002',TO_DATE('20140101','yyyymmdd'),TO_DATE('22000101','yyyymmdd'),'');</v>
      </c>
      <c r="B70" t="str">
        <f>IF(REGLAS!J71="OBSOLETO","","INSERT INTO INYCEXT.INYC_CONF_INF_REGLAS@tc_link (COD_INFORME,TABLA,NOMBRE,REGLA,F_INICIO,F_FIN,DESCRIPCION) VALUES ("&amp;REGLAS!B71&amp;",'"&amp;REGLAS!C71&amp;"','"&amp;REGLAS!D71&amp;"','"&amp;REGLAS!G71&amp;"',TO_DATE('"&amp;REGLAS!H71&amp;"','yyyymmdd'),TO_DATE('"&amp;REGLAS!I71&amp;"','yyyymmdd'),'"&amp;REGLAS!J71&amp;"');")</f>
        <v>INSERT INTO INYCEXT.INYC_CONF_INF_REGLAS@tc_link (COD_INFORME,TABLA,NOMBRE,REGLA,F_INICIO,F_FIN,DESCRIPCION) VALUES (1.1,'INYC_RPI_RESUMEN','SM - Consecución Anual Hogar','SM-RPP-Inspector-ConsecucionAnual-002',TO_DATE('20140101','yyyymmdd'),TO_DATE('22000101','yyyymmdd'),'');</v>
      </c>
    </row>
    <row r="71" spans="1:2" x14ac:dyDescent="0.25">
      <c r="A71" t="str">
        <f>IF(REGLAS!J72="OBSOLETO","","INSERT INTO INYCEXT.INYC_CONF_INF_REGLAS (COD_INFORME,TABLA,NOMBRE,REGLA,F_INICIO,F_FIN,DESCRIPCION) VALUES ("&amp;REGLAS!B72&amp;",'"&amp;REGLAS!C72&amp;"','"&amp;REGLAS!D72&amp;"','"&amp;REGLAS!G72&amp;"',TO_DATE('"&amp;REGLAS!H72&amp;"','yyyymmdd'),TO_DATE('"&amp;REGLAS!I72&amp;"','yyyymmdd'),'"&amp;REGLAS!J72&amp;"');")</f>
        <v>INSERT INTO INYCEXT.INYC_CONF_INF_REGLAS (COD_INFORME,TABLA,NOMBRE,REGLA,F_INICIO,F_FIN,DESCRIPCION) VALUES (1.1,'INYC_RPI_RESUMEN','SM - Consecución Anual RRPP','SM-RPP-Inspector-ConsecucionAnual-906',TO_DATE('20140101','yyyymmdd'),TO_DATE('22000101','yyyymmdd'),'');</v>
      </c>
      <c r="B71" t="str">
        <f>IF(REGLAS!J72="OBSOLETO","","INSERT INTO INYCEXT.INYC_CONF_INF_REGLAS@tc_link (COD_INFORME,TABLA,NOMBRE,REGLA,F_INICIO,F_FIN,DESCRIPCION) VALUES ("&amp;REGLAS!B72&amp;",'"&amp;REGLAS!C72&amp;"','"&amp;REGLAS!D72&amp;"','"&amp;REGLAS!G72&amp;"',TO_DATE('"&amp;REGLAS!H72&amp;"','yyyymmdd'),TO_DATE('"&amp;REGLAS!I72&amp;"','yyyymmdd'),'"&amp;REGLAS!J72&amp;"');")</f>
        <v>INSERT INTO INYCEXT.INYC_CONF_INF_REGLAS@tc_link (COD_INFORME,TABLA,NOMBRE,REGLA,F_INICIO,F_FIN,DESCRIPCION) VALUES (1.1,'INYC_RPI_RESUMEN','SM - Consecución Anual RRPP','SM-RPP-Inspector-ConsecucionAnual-906',TO_DATE('20140101','yyyymmdd'),TO_DATE('22000101','yyyymmdd'),'');</v>
      </c>
    </row>
    <row r="72" spans="1:2" x14ac:dyDescent="0.25">
      <c r="A72" t="str">
        <f>IF(REGLAS!J73="OBSOLETO","","INSERT INTO INYCEXT.INYC_CONF_INF_REGLAS (COD_INFORME,TABLA,NOMBRE,REGLA,F_INICIO,F_FIN,DESCRIPCION) VALUES ("&amp;REGLAS!B73&amp;",'"&amp;REGLAS!C73&amp;"','"&amp;REGLAS!D73&amp;"','"&amp;REGLAS!G73&amp;"',TO_DATE('"&amp;REGLAS!H73&amp;"','yyyymmdd'),TO_DATE('"&amp;REGLAS!I73&amp;"','yyyymmdd'),'"&amp;REGLAS!J73&amp;"');")</f>
        <v>INSERT INTO INYCEXT.INYC_CONF_INF_REGLAS (COD_INFORME,TABLA,NOMBRE,REGLA,F_INICIO,F_FIN,DESCRIPCION) VALUES (1.1,'INYC_RPI_RESUMEN','SM - Consecución Anual Total Ramos','SM-RPP-Inspector-ConsecucionAnual-998',TO_DATE('20140101','yyyymmdd'),TO_DATE('22000101','yyyymmdd'),'');</v>
      </c>
      <c r="B72" t="str">
        <f>IF(REGLAS!J73="OBSOLETO","","INSERT INTO INYCEXT.INYC_CONF_INF_REGLAS@tc_link (COD_INFORME,TABLA,NOMBRE,REGLA,F_INICIO,F_FIN,DESCRIPCION) VALUES ("&amp;REGLAS!B73&amp;",'"&amp;REGLAS!C73&amp;"','"&amp;REGLAS!D73&amp;"','"&amp;REGLAS!G73&amp;"',TO_DATE('"&amp;REGLAS!H73&amp;"','yyyymmdd'),TO_DATE('"&amp;REGLAS!I73&amp;"','yyyymmdd'),'"&amp;REGLAS!J73&amp;"');")</f>
        <v>INSERT INTO INYCEXT.INYC_CONF_INF_REGLAS@tc_link (COD_INFORME,TABLA,NOMBRE,REGLA,F_INICIO,F_FIN,DESCRIPCION) VALUES (1.1,'INYC_RPI_RESUMEN','SM - Consecución Anual Total Ramos','SM-RPP-Inspector-ConsecucionAnual-998',TO_DATE('20140101','yyyymmdd'),TO_DATE('22000101','yyyymmdd'),'');</v>
      </c>
    </row>
    <row r="73" spans="1:2" x14ac:dyDescent="0.25">
      <c r="A73" t="str">
        <f>IF(REGLAS!J74="OBSOLETO","","INSERT INTO INYCEXT.INYC_CONF_INF_REGLAS (COD_INFORME,TABLA,NOMBRE,REGLA,F_INICIO,F_FIN,DESCRIPCION) VALUES ("&amp;REGLAS!B74&amp;",'"&amp;REGLAS!C74&amp;"','"&amp;REGLAS!D74&amp;"','"&amp;REGLAS!G74&amp;"',TO_DATE('"&amp;REGLAS!H74&amp;"','yyyymmdd'),TO_DATE('"&amp;REGLAS!I74&amp;"','yyyymmdd'),'"&amp;REGLAS!J74&amp;"');")</f>
        <v>INSERT INTO INYCEXT.INYC_CONF_INF_REGLAS (COD_INFORME,TABLA,NOMBRE,REGLA,F_INICIO,F_FIN,DESCRIPCION) VALUES (1.1,'INYC_RPI_RESUMEN','SM - Consecución Anual Total Ramos Propia','SM-RPP-Inspector-ConsecucionAnual-998-Propia',TO_DATE('20140101','yyyymmdd'),TO_DATE('22000101','yyyymmdd'),'');</v>
      </c>
      <c r="B73" t="str">
        <f>IF(REGLAS!J74="OBSOLETO","","INSERT INTO INYCEXT.INYC_CONF_INF_REGLAS@tc_link (COD_INFORME,TABLA,NOMBRE,REGLA,F_INICIO,F_FIN,DESCRIPCION) VALUES ("&amp;REGLAS!B74&amp;",'"&amp;REGLAS!C74&amp;"','"&amp;REGLAS!D74&amp;"','"&amp;REGLAS!G74&amp;"',TO_DATE('"&amp;REGLAS!H74&amp;"','yyyymmdd'),TO_DATE('"&amp;REGLAS!I74&amp;"','yyyymmdd'),'"&amp;REGLAS!J74&amp;"');")</f>
        <v>INSERT INTO INYCEXT.INYC_CONF_INF_REGLAS@tc_link (COD_INFORME,TABLA,NOMBRE,REGLA,F_INICIO,F_FIN,DESCRIPCION) VALUES (1.1,'INYC_RPI_RESUMEN','SM - Consecución Anual Total Ramos Propia','SM-RPP-Inspector-ConsecucionAnual-998-Propia',TO_DATE('20140101','yyyymmdd'),TO_DATE('22000101','yyyymmdd'),'');</v>
      </c>
    </row>
    <row r="74" spans="1:2" x14ac:dyDescent="0.25">
      <c r="A74" t="str">
        <f>IF(REGLAS!J75="OBSOLETO","","INSERT INTO INYCEXT.INYC_CONF_INF_REGLAS (COD_INFORME,TABLA,NOMBRE,REGLA,F_INICIO,F_FIN,DESCRIPCION) VALUES ("&amp;REGLAS!B75&amp;",'"&amp;REGLAS!C75&amp;"','"&amp;REGLAS!D75&amp;"','"&amp;REGLAS!G75&amp;"',TO_DATE('"&amp;REGLAS!H75&amp;"','yyyymmdd'),TO_DATE('"&amp;REGLAS!I75&amp;"','yyyymmdd'),'"&amp;REGLAS!J75&amp;"');")</f>
        <v>INSERT INTO INYCEXT.INYC_CONF_INF_REGLAS (COD_INFORME,TABLA,NOMBRE,REGLA,F_INICIO,F_FIN,DESCRIPCION) VALUES (1.1,'INYC_RPI_RESUMEN','SM - Consecución Anual Importe','SM-RPP-Inspector-ConsecucionAnual-Importe',TO_DATE('20140101','yyyymmdd'),TO_DATE('22000101','yyyymmdd'),'');</v>
      </c>
      <c r="B74" t="str">
        <f>IF(REGLAS!J75="OBSOLETO","","INSERT INTO INYCEXT.INYC_CONF_INF_REGLAS@tc_link (COD_INFORME,TABLA,NOMBRE,REGLA,F_INICIO,F_FIN,DESCRIPCION) VALUES ("&amp;REGLAS!B75&amp;",'"&amp;REGLAS!C75&amp;"','"&amp;REGLAS!D75&amp;"','"&amp;REGLAS!G75&amp;"',TO_DATE('"&amp;REGLAS!H75&amp;"','yyyymmdd'),TO_DATE('"&amp;REGLAS!I75&amp;"','yyyymmdd'),'"&amp;REGLAS!J75&amp;"');")</f>
        <v>INSERT INTO INYCEXT.INYC_CONF_INF_REGLAS@tc_link (COD_INFORME,TABLA,NOMBRE,REGLA,F_INICIO,F_FIN,DESCRIPCION) VALUES (1.1,'INYC_RPI_RESUMEN','SM - Consecución Anual Importe','SM-RPP-Inspector-ConsecucionAnual-Importe',TO_DATE('20140101','yyyymmdd'),TO_DATE('22000101','yyyymmdd'),'');</v>
      </c>
    </row>
    <row r="75" spans="1:2" x14ac:dyDescent="0.25">
      <c r="A75" t="str">
        <f>IF(REGLAS!J76="OBSOLETO","","INSERT INTO INYCEXT.INYC_CONF_INF_REGLAS (COD_INFORME,TABLA,NOMBRE,REGLA,F_INICIO,F_FIN,DESCRIPCION) VALUES ("&amp;REGLAS!B76&amp;",'"&amp;REGLAS!C76&amp;"','"&amp;REGLAS!D76&amp;"','"&amp;REGLAS!G76&amp;"',TO_DATE('"&amp;REGLAS!H76&amp;"','yyyymmdd'),TO_DATE('"&amp;REGLAS!I76&amp;"','yyyymmdd'),'"&amp;REGLAS!J76&amp;"');")</f>
        <v>INSERT INTO INYCEXT.INYC_CONF_INF_REGLAS (COD_INFORME,TABLA,NOMBRE,REGLA,F_INICIO,F_FIN,DESCRIPCION) VALUES (1.1,'INYC_RPI_RESUMEN','SM - Consecución Anual PC Agentes','SM-RPP-Inspector-ConsecucionAnual-PrimaCorregida-Agentes',TO_DATE('20140101','yyyymmdd'),TO_DATE('22000101','yyyymmdd'),'');</v>
      </c>
      <c r="B75" t="str">
        <f>IF(REGLAS!J76="OBSOLETO","","INSERT INTO INYCEXT.INYC_CONF_INF_REGLAS@tc_link (COD_INFORME,TABLA,NOMBRE,REGLA,F_INICIO,F_FIN,DESCRIPCION) VALUES ("&amp;REGLAS!B76&amp;",'"&amp;REGLAS!C76&amp;"','"&amp;REGLAS!D76&amp;"','"&amp;REGLAS!G76&amp;"',TO_DATE('"&amp;REGLAS!H76&amp;"','yyyymmdd'),TO_DATE('"&amp;REGLAS!I76&amp;"','yyyymmdd'),'"&amp;REGLAS!J76&amp;"');")</f>
        <v>INSERT INTO INYCEXT.INYC_CONF_INF_REGLAS@tc_link (COD_INFORME,TABLA,NOMBRE,REGLA,F_INICIO,F_FIN,DESCRIPCION) VALUES (1.1,'INYC_RPI_RESUMEN','SM - Consecución Anual PC Agentes','SM-RPP-Inspector-ConsecucionAnual-PrimaCorregida-Agentes',TO_DATE('20140101','yyyymmdd'),TO_DATE('22000101','yyyymmdd'),'');</v>
      </c>
    </row>
    <row r="76" spans="1:2" x14ac:dyDescent="0.25">
      <c r="A76" t="str">
        <f>IF(REGLAS!J77="OBSOLETO","","INSERT INTO INYCEXT.INYC_CONF_INF_REGLAS (COD_INFORME,TABLA,NOMBRE,REGLA,F_INICIO,F_FIN,DESCRIPCION) VALUES ("&amp;REGLAS!B77&amp;",'"&amp;REGLAS!C77&amp;"','"&amp;REGLAS!D77&amp;"','"&amp;REGLAS!G77&amp;"',TO_DATE('"&amp;REGLAS!H77&amp;"','yyyymmdd'),TO_DATE('"&amp;REGLAS!I77&amp;"','yyyymmdd'),'"&amp;REGLAS!J77&amp;"');")</f>
        <v>INSERT INTO INYCEXT.INYC_CONF_INF_REGLAS (COD_INFORME,TABLA,NOMBRE,REGLA,F_INICIO,F_FIN,DESCRIPCION) VALUES (1.1,'INYC_RPI_RESUMEN','SM - Nº Pólizas Inspector RRTT Anual','SM-O-GEN-Inspector-NumeroPolizas-001-TotalAnual',TO_DATE('20140101','yyyymmdd'),TO_DATE('20180101','yyyymmdd'),'Version 20180324');</v>
      </c>
      <c r="B76" t="str">
        <f>IF(REGLAS!J77="OBSOLETO","","INSERT INTO INYCEXT.INYC_CONF_INF_REGLAS@tc_link (COD_INFORME,TABLA,NOMBRE,REGLA,F_INICIO,F_FIN,DESCRIPCION) VALUES ("&amp;REGLAS!B77&amp;",'"&amp;REGLAS!C77&amp;"','"&amp;REGLAS!D77&amp;"','"&amp;REGLAS!G77&amp;"',TO_DATE('"&amp;REGLAS!H77&amp;"','yyyymmdd'),TO_DATE('"&amp;REGLAS!I77&amp;"','yyyymmdd'),'"&amp;REGLAS!J77&amp;"');")</f>
        <v>INSERT INTO INYCEXT.INYC_CONF_INF_REGLAS@tc_link (COD_INFORME,TABLA,NOMBRE,REGLA,F_INICIO,F_FIN,DESCRIPCION) VALUES (1.1,'INYC_RPI_RESUMEN','SM - Nº Pólizas Inspector RRTT Anual','SM-O-GEN-Inspector-NumeroPolizas-001-TotalAnual',TO_DATE('20140101','yyyymmdd'),TO_DATE('20180101','yyyymmdd'),'Version 20180324');</v>
      </c>
    </row>
    <row r="77" spans="1:2" x14ac:dyDescent="0.25">
      <c r="A77" t="str">
        <f>IF(REGLAS!J78="OBSOLETO","","INSERT INTO INYCEXT.INYC_CONF_INF_REGLAS (COD_INFORME,TABLA,NOMBRE,REGLA,F_INICIO,F_FIN,DESCRIPCION) VALUES ("&amp;REGLAS!B78&amp;",'"&amp;REGLAS!C78&amp;"','"&amp;REGLAS!D78&amp;"','"&amp;REGLAS!G78&amp;"',TO_DATE('"&amp;REGLAS!H78&amp;"','yyyymmdd'),TO_DATE('"&amp;REGLAS!I78&amp;"','yyyymmdd'),'"&amp;REGLAS!J78&amp;"');")</f>
        <v>INSERT INTO INYCEXT.INYC_CONF_INF_REGLAS (COD_INFORME,TABLA,NOMBRE,REGLA,F_INICIO,F_FIN,DESCRIPCION) VALUES (1.1,'INYC_RPI_RESUMEN','SM - Nº Pólizas Inspector Hogar Anual','SM-O-GEN-Inspector-NumeroPolizas-002-TotalAnual',TO_DATE('20140101','yyyymmdd'),TO_DATE('20180101','yyyymmdd'),'Version 20180324');</v>
      </c>
      <c r="B77" t="str">
        <f>IF(REGLAS!J78="OBSOLETO","","INSERT INTO INYCEXT.INYC_CONF_INF_REGLAS@tc_link (COD_INFORME,TABLA,NOMBRE,REGLA,F_INICIO,F_FIN,DESCRIPCION) VALUES ("&amp;REGLAS!B78&amp;",'"&amp;REGLAS!C78&amp;"','"&amp;REGLAS!D78&amp;"','"&amp;REGLAS!G78&amp;"',TO_DATE('"&amp;REGLAS!H78&amp;"','yyyymmdd'),TO_DATE('"&amp;REGLAS!I78&amp;"','yyyymmdd'),'"&amp;REGLAS!J78&amp;"');")</f>
        <v>INSERT INTO INYCEXT.INYC_CONF_INF_REGLAS@tc_link (COD_INFORME,TABLA,NOMBRE,REGLA,F_INICIO,F_FIN,DESCRIPCION) VALUES (1.1,'INYC_RPI_RESUMEN','SM - Nº Pólizas Inspector Hogar Anual','SM-O-GEN-Inspector-NumeroPolizas-002-TotalAnual',TO_DATE('20140101','yyyymmdd'),TO_DATE('20180101','yyyymmdd'),'Version 20180324');</v>
      </c>
    </row>
    <row r="78" spans="1:2" x14ac:dyDescent="0.25">
      <c r="A78" t="str">
        <f>IF(REGLAS!J79="OBSOLETO","","INSERT INTO INYCEXT.INYC_CONF_INF_REGLAS (COD_INFORME,TABLA,NOMBRE,REGLA,F_INICIO,F_FIN,DESCRIPCION) VALUES ("&amp;REGLAS!B79&amp;",'"&amp;REGLAS!C79&amp;"','"&amp;REGLAS!D79&amp;"','"&amp;REGLAS!G79&amp;"',TO_DATE('"&amp;REGLAS!H79&amp;"','yyyymmdd'),TO_DATE('"&amp;REGLAS!I79&amp;"','yyyymmdd'),'"&amp;REGLAS!J79&amp;"');")</f>
        <v>INSERT INTO INYCEXT.INYC_CONF_INF_REGLAS (COD_INFORME,TABLA,NOMBRE,REGLA,F_INICIO,F_FIN,DESCRIPCION) VALUES (1.1,'INYC_RPI_RESUMEN','SM - Nº Pólizas Inspector RRPP (excl PU y conv/colec) Anual','SM-O-GEN-Inspector-NumeroPolizas-906-TotalAnual',TO_DATE('20140101','yyyymmdd'),TO_DATE('20180101','yyyymmdd'),'Version 20180324');</v>
      </c>
      <c r="B78" t="str">
        <f>IF(REGLAS!J79="OBSOLETO","","INSERT INTO INYCEXT.INYC_CONF_INF_REGLAS@tc_link (COD_INFORME,TABLA,NOMBRE,REGLA,F_INICIO,F_FIN,DESCRIPCION) VALUES ("&amp;REGLAS!B79&amp;",'"&amp;REGLAS!C79&amp;"','"&amp;REGLAS!D79&amp;"','"&amp;REGLAS!G79&amp;"',TO_DATE('"&amp;REGLAS!H79&amp;"','yyyymmdd'),TO_DATE('"&amp;REGLAS!I79&amp;"','yyyymmdd'),'"&amp;REGLAS!J79&amp;"');")</f>
        <v>INSERT INTO INYCEXT.INYC_CONF_INF_REGLAS@tc_link (COD_INFORME,TABLA,NOMBRE,REGLA,F_INICIO,F_FIN,DESCRIPCION) VALUES (1.1,'INYC_RPI_RESUMEN','SM - Nº Pólizas Inspector RRPP (excl PU y conv/colec) Anual','SM-O-GEN-Inspector-NumeroPolizas-906-TotalAnual',TO_DATE('20140101','yyyymmdd'),TO_DATE('20180101','yyyymmdd'),'Version 20180324');</v>
      </c>
    </row>
    <row r="79" spans="1:2" x14ac:dyDescent="0.25">
      <c r="A79" t="str">
        <f>IF(REGLAS!J80="OBSOLETO","","INSERT INTO INYCEXT.INYC_CONF_INF_REGLAS (COD_INFORME,TABLA,NOMBRE,REGLA,F_INICIO,F_FIN,DESCRIPCION) VALUES ("&amp;REGLAS!B80&amp;",'"&amp;REGLAS!C80&amp;"','"&amp;REGLAS!D80&amp;"','"&amp;REGLAS!G80&amp;"',TO_DATE('"&amp;REGLAS!H80&amp;"','yyyymmdd'),TO_DATE('"&amp;REGLAS!I80&amp;"','yyyymmdd'),'"&amp;REGLAS!J80&amp;"');")</f>
        <v>INSERT INTO INYCEXT.INYC_CONF_INF_REGLAS (COD_INFORME,TABLA,NOMBRE,REGLA,F_INICIO,F_FIN,DESCRIPCION) VALUES (1.1,'INYC_RPI_RESUMEN','SM - Nº Pólizas Propias Inspector Total Productos Anual','SM-O-GEN-Inspector-NumeroPolizas-998-Propia-TotalAnual',TO_DATE('20140101','yyyymmdd'),TO_DATE('20180101','yyyymmdd'),'Version 20180324');</v>
      </c>
      <c r="B79" t="str">
        <f>IF(REGLAS!J80="OBSOLETO","","INSERT INTO INYCEXT.INYC_CONF_INF_REGLAS@tc_link (COD_INFORME,TABLA,NOMBRE,REGLA,F_INICIO,F_FIN,DESCRIPCION) VALUES ("&amp;REGLAS!B80&amp;",'"&amp;REGLAS!C80&amp;"','"&amp;REGLAS!D80&amp;"','"&amp;REGLAS!G80&amp;"',TO_DATE('"&amp;REGLAS!H80&amp;"','yyyymmdd'),TO_DATE('"&amp;REGLAS!I80&amp;"','yyyymmdd'),'"&amp;REGLAS!J80&amp;"');")</f>
        <v>INSERT INTO INYCEXT.INYC_CONF_INF_REGLAS@tc_link (COD_INFORME,TABLA,NOMBRE,REGLA,F_INICIO,F_FIN,DESCRIPCION) VALUES (1.1,'INYC_RPI_RESUMEN','SM - Nº Pólizas Propias Inspector Total Productos Anual','SM-O-GEN-Inspector-NumeroPolizas-998-Propia-TotalAnual',TO_DATE('20140101','yyyymmdd'),TO_DATE('20180101','yyyymmdd'),'Version 20180324');</v>
      </c>
    </row>
    <row r="80" spans="1:2" x14ac:dyDescent="0.25">
      <c r="A80" t="str">
        <f>IF(REGLAS!J81="OBSOLETO","","INSERT INTO INYCEXT.INYC_CONF_INF_REGLAS (COD_INFORME,TABLA,NOMBRE,REGLA,F_INICIO,F_FIN,DESCRIPCION) VALUES ("&amp;REGLAS!B81&amp;",'"&amp;REGLAS!C81&amp;"','"&amp;REGLAS!D81&amp;"','"&amp;REGLAS!G81&amp;"',TO_DATE('"&amp;REGLAS!H81&amp;"','yyyymmdd'),TO_DATE('"&amp;REGLAS!I81&amp;"','yyyymmdd'),'"&amp;REGLAS!J81&amp;"');")</f>
        <v>INSERT INTO INYCEXT.INYC_CONF_INF_REGLAS (COD_INFORME,TABLA,NOMBRE,REGLA,F_INICIO,F_FIN,DESCRIPCION) VALUES (1.1,'INYC_RPI_RESUMEN','SM - Nº Pólizas Inspector Total Productos Anual','SM-O-GEN-Inspector-NumeroPolizas-998-TotalAnual',TO_DATE('20140101','yyyymmdd'),TO_DATE('20180101','yyyymmdd'),'Version 20180324');</v>
      </c>
      <c r="B80" t="str">
        <f>IF(REGLAS!J81="OBSOLETO","","INSERT INTO INYCEXT.INYC_CONF_INF_REGLAS@tc_link (COD_INFORME,TABLA,NOMBRE,REGLA,F_INICIO,F_FIN,DESCRIPCION) VALUES ("&amp;REGLAS!B81&amp;",'"&amp;REGLAS!C81&amp;"','"&amp;REGLAS!D81&amp;"','"&amp;REGLAS!G81&amp;"',TO_DATE('"&amp;REGLAS!H81&amp;"','yyyymmdd'),TO_DATE('"&amp;REGLAS!I81&amp;"','yyyymmdd'),'"&amp;REGLAS!J81&amp;"');")</f>
        <v>INSERT INTO INYCEXT.INYC_CONF_INF_REGLAS@tc_link (COD_INFORME,TABLA,NOMBRE,REGLA,F_INICIO,F_FIN,DESCRIPCION) VALUES (1.1,'INYC_RPI_RESUMEN','SM - Nº Pólizas Inspector Total Productos Anual','SM-O-GEN-Inspector-NumeroPolizas-998-TotalAnual',TO_DATE('20140101','yyyymmdd'),TO_DATE('20180101','yyyymmdd'),'Version 20180324');</v>
      </c>
    </row>
    <row r="81" spans="1:2" x14ac:dyDescent="0.25">
      <c r="A81" t="str">
        <f>IF(REGLAS!J82="OBSOLETO","","INSERT INTO INYCEXT.INYC_CONF_INF_REGLAS (COD_INFORME,TABLA,NOMBRE,REGLA,F_INICIO,F_FIN,DESCRIPCION) VALUES ("&amp;REGLAS!B82&amp;",'"&amp;REGLAS!C82&amp;"','"&amp;REGLAS!D82&amp;"','"&amp;REGLAS!G82&amp;"',TO_DATE('"&amp;REGLAS!H82&amp;"','yyyymmdd'),TO_DATE('"&amp;REGLAS!I82&amp;"','yyyymmdd'),'"&amp;REGLAS!J82&amp;"');")</f>
        <v>INSERT INTO INYCEXT.INYC_CONF_INF_REGLAS (COD_INFORME,TABLA,NOMBRE,REGLA,F_INICIO,F_FIN,DESCRIPCION) VALUES (1.1,'INYC_RPI_RESUMEN','SM - Nº Pólizas Corregidas Inspector RRTT Anual','SM-O-GEN-Inspector-NumeroPolizasCorregidas-001-TotalAnual',TO_DATE('20180101','yyyymmdd'),TO_DATE('22000101','yyyymmdd'),'Version 20180324');</v>
      </c>
      <c r="B81" t="str">
        <f>IF(REGLAS!J82="OBSOLETO","","INSERT INTO INYCEXT.INYC_CONF_INF_REGLAS@tc_link (COD_INFORME,TABLA,NOMBRE,REGLA,F_INICIO,F_FIN,DESCRIPCION) VALUES ("&amp;REGLAS!B82&amp;",'"&amp;REGLAS!C82&amp;"','"&amp;REGLAS!D82&amp;"','"&amp;REGLAS!G82&amp;"',TO_DATE('"&amp;REGLAS!H82&amp;"','yyyymmdd'),TO_DATE('"&amp;REGLAS!I82&amp;"','yyyymmdd'),'"&amp;REGLAS!J82&amp;"');")</f>
        <v>INSERT INTO INYCEXT.INYC_CONF_INF_REGLAS@tc_link (COD_INFORME,TABLA,NOMBRE,REGLA,F_INICIO,F_FIN,DESCRIPCION) VALUES (1.1,'INYC_RPI_RESUMEN','SM - Nº Pólizas Corregidas Inspector RRTT Anual','SM-O-GEN-Inspector-NumeroPolizasCorregidas-001-TotalAnual',TO_DATE('20180101','yyyymmdd'),TO_DATE('22000101','yyyymmdd'),'Version 20180324');</v>
      </c>
    </row>
    <row r="82" spans="1:2" x14ac:dyDescent="0.25">
      <c r="A82" t="str">
        <f>IF(REGLAS!J83="OBSOLETO","","INSERT INTO INYCEXT.INYC_CONF_INF_REGLAS (COD_INFORME,TABLA,NOMBRE,REGLA,F_INICIO,F_FIN,DESCRIPCION) VALUES ("&amp;REGLAS!B83&amp;",'"&amp;REGLAS!C83&amp;"','"&amp;REGLAS!D83&amp;"','"&amp;REGLAS!G83&amp;"',TO_DATE('"&amp;REGLAS!H83&amp;"','yyyymmdd'),TO_DATE('"&amp;REGLAS!I83&amp;"','yyyymmdd'),'"&amp;REGLAS!J83&amp;"');")</f>
        <v>INSERT INTO INYCEXT.INYC_CONF_INF_REGLAS (COD_INFORME,TABLA,NOMBRE,REGLA,F_INICIO,F_FIN,DESCRIPCION) VALUES (1.1,'INYC_RPI_RESUMEN','SM - Nº Pólizas Corregidas Inspector Hogar Anual','SM-O-GEN-Inspector-NumeroPolizasCorregidas-002-TotalAnual',TO_DATE('20180101','yyyymmdd'),TO_DATE('22000101','yyyymmdd'),'Version 20180324');</v>
      </c>
      <c r="B82" t="str">
        <f>IF(REGLAS!J83="OBSOLETO","","INSERT INTO INYCEXT.INYC_CONF_INF_REGLAS@tc_link (COD_INFORME,TABLA,NOMBRE,REGLA,F_INICIO,F_FIN,DESCRIPCION) VALUES ("&amp;REGLAS!B83&amp;",'"&amp;REGLAS!C83&amp;"','"&amp;REGLAS!D83&amp;"','"&amp;REGLAS!G83&amp;"',TO_DATE('"&amp;REGLAS!H83&amp;"','yyyymmdd'),TO_DATE('"&amp;REGLAS!I83&amp;"','yyyymmdd'),'"&amp;REGLAS!J83&amp;"');")</f>
        <v>INSERT INTO INYCEXT.INYC_CONF_INF_REGLAS@tc_link (COD_INFORME,TABLA,NOMBRE,REGLA,F_INICIO,F_FIN,DESCRIPCION) VALUES (1.1,'INYC_RPI_RESUMEN','SM - Nº Pólizas Corregidas Inspector Hogar Anual','SM-O-GEN-Inspector-NumeroPolizasCorregidas-002-TotalAnual',TO_DATE('20180101','yyyymmdd'),TO_DATE('22000101','yyyymmdd'),'Version 20180324');</v>
      </c>
    </row>
    <row r="83" spans="1:2" x14ac:dyDescent="0.25">
      <c r="A83" t="str">
        <f>IF(REGLAS!J84="OBSOLETO","","INSERT INTO INYCEXT.INYC_CONF_INF_REGLAS (COD_INFORME,TABLA,NOMBRE,REGLA,F_INICIO,F_FIN,DESCRIPCION) VALUES ("&amp;REGLAS!B84&amp;",'"&amp;REGLAS!C84&amp;"','"&amp;REGLAS!D84&amp;"','"&amp;REGLAS!G84&amp;"',TO_DATE('"&amp;REGLAS!H84&amp;"','yyyymmdd'),TO_DATE('"&amp;REGLAS!I84&amp;"','yyyymmdd'),'"&amp;REGLAS!J84&amp;"');")</f>
        <v>INSERT INTO INYCEXT.INYC_CONF_INF_REGLAS (COD_INFORME,TABLA,NOMBRE,REGLA,F_INICIO,F_FIN,DESCRIPCION) VALUES (1.1,'INYC_RPI_RESUMEN','SM - Nº Pólizas Corregidas Inspector RRPP (excl PU y conv/colec) Anual','SM-O-GEN-Inspector-NumeroPolizasCorregidas-906-TotalAnual',TO_DATE('20180101','yyyymmdd'),TO_DATE('22000101','yyyymmdd'),'Version 20180324');</v>
      </c>
      <c r="B83" t="str">
        <f>IF(REGLAS!J84="OBSOLETO","","INSERT INTO INYCEXT.INYC_CONF_INF_REGLAS@tc_link (COD_INFORME,TABLA,NOMBRE,REGLA,F_INICIO,F_FIN,DESCRIPCION) VALUES ("&amp;REGLAS!B84&amp;",'"&amp;REGLAS!C84&amp;"','"&amp;REGLAS!D84&amp;"','"&amp;REGLAS!G84&amp;"',TO_DATE('"&amp;REGLAS!H84&amp;"','yyyymmdd'),TO_DATE('"&amp;REGLAS!I84&amp;"','yyyymmdd'),'"&amp;REGLAS!J84&amp;"');")</f>
        <v>INSERT INTO INYCEXT.INYC_CONF_INF_REGLAS@tc_link (COD_INFORME,TABLA,NOMBRE,REGLA,F_INICIO,F_FIN,DESCRIPCION) VALUES (1.1,'INYC_RPI_RESUMEN','SM - Nº Pólizas Corregidas Inspector RRPP (excl PU y conv/colec) Anual','SM-O-GEN-Inspector-NumeroPolizasCorregidas-906-TotalAnual',TO_DATE('20180101','yyyymmdd'),TO_DATE('22000101','yyyymmdd'),'Version 20180324');</v>
      </c>
    </row>
    <row r="84" spans="1:2" x14ac:dyDescent="0.25">
      <c r="A84" t="str">
        <f>IF(REGLAS!J85="OBSOLETO","","INSERT INTO INYCEXT.INYC_CONF_INF_REGLAS (COD_INFORME,TABLA,NOMBRE,REGLA,F_INICIO,F_FIN,DESCRIPCION) VALUES ("&amp;REGLAS!B85&amp;",'"&amp;REGLAS!C85&amp;"','"&amp;REGLAS!D85&amp;"','"&amp;REGLAS!G85&amp;"',TO_DATE('"&amp;REGLAS!H85&amp;"','yyyymmdd'),TO_DATE('"&amp;REGLAS!I85&amp;"','yyyymmdd'),'"&amp;REGLAS!J85&amp;"');")</f>
        <v>INSERT INTO INYCEXT.INYC_CONF_INF_REGLAS (COD_INFORME,TABLA,NOMBRE,REGLA,F_INICIO,F_FIN,DESCRIPCION) VALUES (1.1,'INYC_RPI_RESUMEN','SM - Nº Pólizas Corregidas Propias Inspector Total Productos Anual','SM-O-GEN-Inspector-NumeroPolizasCorregidas-998-Propia-TotalAnual',TO_DATE('20180101','yyyymmdd'),TO_DATE('22000101','yyyymmdd'),'Version 20180324');</v>
      </c>
      <c r="B84" t="str">
        <f>IF(REGLAS!J85="OBSOLETO","","INSERT INTO INYCEXT.INYC_CONF_INF_REGLAS@tc_link (COD_INFORME,TABLA,NOMBRE,REGLA,F_INICIO,F_FIN,DESCRIPCION) VALUES ("&amp;REGLAS!B85&amp;",'"&amp;REGLAS!C85&amp;"','"&amp;REGLAS!D85&amp;"','"&amp;REGLAS!G85&amp;"',TO_DATE('"&amp;REGLAS!H85&amp;"','yyyymmdd'),TO_DATE('"&amp;REGLAS!I85&amp;"','yyyymmdd'),'"&amp;REGLAS!J85&amp;"');")</f>
        <v>INSERT INTO INYCEXT.INYC_CONF_INF_REGLAS@tc_link (COD_INFORME,TABLA,NOMBRE,REGLA,F_INICIO,F_FIN,DESCRIPCION) VALUES (1.1,'INYC_RPI_RESUMEN','SM - Nº Pólizas Corregidas Propias Inspector Total Productos Anual','SM-O-GEN-Inspector-NumeroPolizasCorregidas-998-Propia-TotalAnual',TO_DATE('20180101','yyyymmdd'),TO_DATE('22000101','yyyymmdd'),'Version 20180324');</v>
      </c>
    </row>
    <row r="85" spans="1:2" x14ac:dyDescent="0.25">
      <c r="A85" t="str">
        <f>IF(REGLAS!J86="OBSOLETO","","INSERT INTO INYCEXT.INYC_CONF_INF_REGLAS (COD_INFORME,TABLA,NOMBRE,REGLA,F_INICIO,F_FIN,DESCRIPCION) VALUES ("&amp;REGLAS!B86&amp;",'"&amp;REGLAS!C86&amp;"','"&amp;REGLAS!D86&amp;"','"&amp;REGLAS!G86&amp;"',TO_DATE('"&amp;REGLAS!H86&amp;"','yyyymmdd'),TO_DATE('"&amp;REGLAS!I86&amp;"','yyyymmdd'),'"&amp;REGLAS!J86&amp;"');")</f>
        <v>INSERT INTO INYCEXT.INYC_CONF_INF_REGLAS (COD_INFORME,TABLA,NOMBRE,REGLA,F_INICIO,F_FIN,DESCRIPCION) VALUES (1.1,'INYC_RPI_RESUMEN','SM - Prima Corregida Agentes Inspector Total Productos Anual','SM-O-GEN-Inspector-PrimaCorregida-998-AgentesAnual',TO_DATE('20140101','yyyymmdd'),TO_DATE('22000101','yyyymmdd'),'');</v>
      </c>
      <c r="B85" t="str">
        <f>IF(REGLAS!J86="OBSOLETO","","INSERT INTO INYCEXT.INYC_CONF_INF_REGLAS@tc_link (COD_INFORME,TABLA,NOMBRE,REGLA,F_INICIO,F_FIN,DESCRIPCION) VALUES ("&amp;REGLAS!B86&amp;",'"&amp;REGLAS!C86&amp;"','"&amp;REGLAS!D86&amp;"','"&amp;REGLAS!G86&amp;"',TO_DATE('"&amp;REGLAS!H86&amp;"','yyyymmdd'),TO_DATE('"&amp;REGLAS!I86&amp;"','yyyymmdd'),'"&amp;REGLAS!J86&amp;"');")</f>
        <v>INSERT INTO INYCEXT.INYC_CONF_INF_REGLAS@tc_link (COD_INFORME,TABLA,NOMBRE,REGLA,F_INICIO,F_FIN,DESCRIPCION) VALUES (1.1,'INYC_RPI_RESUMEN','SM - Prima Corregida Agentes Inspector Total Productos Anual','SM-O-GEN-Inspector-PrimaCorregida-998-AgentesAnual',TO_DATE('20140101','yyyymmdd'),TO_DATE('22000101','yyyymmdd'),'');</v>
      </c>
    </row>
    <row r="86" spans="1:2" x14ac:dyDescent="0.25">
      <c r="A86" t="str">
        <f>IF(REGLAS!J87="OBSOLETO","","INSERT INTO INYCEXT.INYC_CONF_INF_REGLAS (COD_INFORME,TABLA,NOMBRE,REGLA,F_INICIO,F_FIN,DESCRIPCION) VALUES ("&amp;REGLAS!B87&amp;",'"&amp;REGLAS!C87&amp;"','"&amp;REGLAS!D87&amp;"','"&amp;REGLAS!G87&amp;"',TO_DATE('"&amp;REGLAS!H87&amp;"','yyyymmdd'),TO_DATE('"&amp;REGLAS!I87&amp;"','yyyymmdd'),'"&amp;REGLAS!J87&amp;"');")</f>
        <v>INSERT INTO INYCEXT.INYC_CONF_INF_REGLAS (COD_INFORME,TABLA,NOMBRE,REGLA,F_INICIO,F_FIN,DESCRIPCION) VALUES (1.1,'INYC_RPI_RESUMEN','SM - Prima Corregida Propia Inspector Total Productos Anual','SM-O-GEN-Inspector-PrimaCorregida-998-PropiaAnual',TO_DATE('20140101','yyyymmdd'),TO_DATE('22000101','yyyymmdd'),'');</v>
      </c>
      <c r="B86" t="str">
        <f>IF(REGLAS!J87="OBSOLETO","","INSERT INTO INYCEXT.INYC_CONF_INF_REGLAS@tc_link (COD_INFORME,TABLA,NOMBRE,REGLA,F_INICIO,F_FIN,DESCRIPCION) VALUES ("&amp;REGLAS!B87&amp;",'"&amp;REGLAS!C87&amp;"','"&amp;REGLAS!D87&amp;"','"&amp;REGLAS!G87&amp;"',TO_DATE('"&amp;REGLAS!H87&amp;"','yyyymmdd'),TO_DATE('"&amp;REGLAS!I87&amp;"','yyyymmdd'),'"&amp;REGLAS!J87&amp;"');")</f>
        <v>INSERT INTO INYCEXT.INYC_CONF_INF_REGLAS@tc_link (COD_INFORME,TABLA,NOMBRE,REGLA,F_INICIO,F_FIN,DESCRIPCION) VALUES (1.1,'INYC_RPI_RESUMEN','SM - Prima Corregida Propia Inspector Total Productos Anual','SM-O-GEN-Inspector-PrimaCorregida-998-PropiaAnual',TO_DATE('20140101','yyyymmdd'),TO_DATE('22000101','yyyymmdd'),'');</v>
      </c>
    </row>
    <row r="87" spans="1:2" x14ac:dyDescent="0.25">
      <c r="A87" t="str">
        <f>IF(REGLAS!J88="OBSOLETO","","INSERT INTO INYCEXT.INYC_CONF_INF_REGLAS (COD_INFORME,TABLA,NOMBRE,REGLA,F_INICIO,F_FIN,DESCRIPCION) VALUES ("&amp;REGLAS!B88&amp;",'"&amp;REGLAS!C88&amp;"','"&amp;REGLAS!D88&amp;"','"&amp;REGLAS!G88&amp;"',TO_DATE('"&amp;REGLAS!H88&amp;"','yyyymmdd'),TO_DATE('"&amp;REGLAS!I88&amp;"','yyyymmdd'),'"&amp;REGLAS!J88&amp;"');")</f>
        <v>INSERT INTO INYCEXT.INYC_CONF_INF_REGLAS (COD_INFORME,TABLA,NOMBRE,REGLA,F_INICIO,F_FIN,DESCRIPCION) VALUES (1.1,'INYC_RPI_RESUMEN','SM - Prima Corregida Inspector Total Productos Anual','SM-O-GEN-Inspector-PrimaCorregida-998-TotalAnual',TO_DATE('20140101','yyyymmdd'),TO_DATE('22000101','yyyymmdd'),'');</v>
      </c>
      <c r="B87" t="str">
        <f>IF(REGLAS!J88="OBSOLETO","","INSERT INTO INYCEXT.INYC_CONF_INF_REGLAS@tc_link (COD_INFORME,TABLA,NOMBRE,REGLA,F_INICIO,F_FIN,DESCRIPCION) VALUES ("&amp;REGLAS!B88&amp;",'"&amp;REGLAS!C88&amp;"','"&amp;REGLAS!D88&amp;"','"&amp;REGLAS!G88&amp;"',TO_DATE('"&amp;REGLAS!H88&amp;"','yyyymmdd'),TO_DATE('"&amp;REGLAS!I88&amp;"','yyyymmdd'),'"&amp;REGLAS!J88&amp;"');")</f>
        <v>INSERT INTO INYCEXT.INYC_CONF_INF_REGLAS@tc_link (COD_INFORME,TABLA,NOMBRE,REGLA,F_INICIO,F_FIN,DESCRIPCION) VALUES (1.1,'INYC_RPI_RESUMEN','SM - Prima Corregida Inspector Total Productos Anual','SM-O-GEN-Inspector-PrimaCorregida-998-TotalAnual',TO_DATE('20140101','yyyymmdd'),TO_DATE('22000101','yyyymmdd'),'');</v>
      </c>
    </row>
    <row r="88" spans="1:2" x14ac:dyDescent="0.25">
      <c r="A88" t="str">
        <f>IF(REGLAS!J89="OBSOLETO","","INSERT INTO INYCEXT.INYC_CONF_INF_REGLAS (COD_INFORME,TABLA,NOMBRE,REGLA,F_INICIO,F_FIN,DESCRIPCION) VALUES ("&amp;REGLAS!B89&amp;",'"&amp;REGLAS!C89&amp;"','"&amp;REGLAS!D89&amp;"','"&amp;REGLAS!G89&amp;"',TO_DATE('"&amp;REGLAS!H89&amp;"','yyyymmdd'),TO_DATE('"&amp;REGLAS!I89&amp;"','yyyymmdd'),'"&amp;REGLAS!J89&amp;"');")</f>
        <v>INSERT INTO INYCEXT.INYC_CONF_INF_REGLAS (COD_INFORME,TABLA,NOMBRE,REGLA,F_INICIO,F_FIN,DESCRIPCION) VALUES (1.1,'INYC_RPI_RESUMEN','SM - Nº Pólizas Corregidas Inspector Total Productos Anual','SM-O-GEN-Inspector-NumeroPolizasCorregidas-998-TotalAnual',TO_DATE('20180101','yyyymmdd'),TO_DATE('22000101','yyyymmdd'),'Version 20180119');</v>
      </c>
      <c r="B88" t="str">
        <f>IF(REGLAS!J89="OBSOLETO","","INSERT INTO INYCEXT.INYC_CONF_INF_REGLAS@tc_link (COD_INFORME,TABLA,NOMBRE,REGLA,F_INICIO,F_FIN,DESCRIPCION) VALUES ("&amp;REGLAS!B89&amp;",'"&amp;REGLAS!C89&amp;"','"&amp;REGLAS!D89&amp;"','"&amp;REGLAS!G89&amp;"',TO_DATE('"&amp;REGLAS!H89&amp;"','yyyymmdd'),TO_DATE('"&amp;REGLAS!I89&amp;"','yyyymmdd'),'"&amp;REGLAS!J89&amp;"');")</f>
        <v>INSERT INTO INYCEXT.INYC_CONF_INF_REGLAS@tc_link (COD_INFORME,TABLA,NOMBRE,REGLA,F_INICIO,F_FIN,DESCRIPCION) VALUES (1.1,'INYC_RPI_RESUMEN','SM - Nº Pólizas Corregidas Inspector Total Productos Anual','SM-O-GEN-Inspector-NumeroPolizasCorregidas-998-TotalAnual',TO_DATE('20180101','yyyymmdd'),TO_DATE('22000101','yyyymmdd'),'Version 20180119');</v>
      </c>
    </row>
    <row r="89" spans="1:2" x14ac:dyDescent="0.25">
      <c r="A89" t="str">
        <f>IF(REGLAS!J90="OBSOLETO","","INSERT INTO INYCEXT.INYC_CONF_INF_REGLAS (COD_INFORME,TABLA,NOMBRE,REGLA,F_INICIO,F_FIN,DESCRIPCION) VALUES ("&amp;REGLAS!B90&amp;",'"&amp;REGLAS!C90&amp;"','"&amp;REGLAS!D90&amp;"','"&amp;REGLAS!G90&amp;"',TO_DATE('"&amp;REGLAS!H90&amp;"','yyyymmdd'),TO_DATE('"&amp;REGLAS!I90&amp;"','yyyymmdd'),'"&amp;REGLAS!J90&amp;"');")</f>
        <v>INSERT INTO INYCEXT.INYC_CONF_INF_REGLAS (COD_INFORME,TABLA,NOMBRE,REGLA,F_INICIO,F_FIN,DESCRIPCION) VALUES (1.1,'INYC_RPI_RESUMEN','SM - Nº Asegurados Inspector Anual','SM-O-GEN-Inspector-NumAsegurados-TotalAnual',TO_DATE('20180101','yyyymmdd'),TO_DATE('22000101','yyyymmdd'),'Version 20180117');</v>
      </c>
      <c r="B89" t="str">
        <f>IF(REGLAS!J90="OBSOLETO","","INSERT INTO INYCEXT.INYC_CONF_INF_REGLAS@tc_link (COD_INFORME,TABLA,NOMBRE,REGLA,F_INICIO,F_FIN,DESCRIPCION) VALUES ("&amp;REGLAS!B90&amp;",'"&amp;REGLAS!C90&amp;"','"&amp;REGLAS!D90&amp;"','"&amp;REGLAS!G90&amp;"',TO_DATE('"&amp;REGLAS!H90&amp;"','yyyymmdd'),TO_DATE('"&amp;REGLAS!I90&amp;"','yyyymmdd'),'"&amp;REGLAS!J90&amp;"');")</f>
        <v>INSERT INTO INYCEXT.INYC_CONF_INF_REGLAS@tc_link (COD_INFORME,TABLA,NOMBRE,REGLA,F_INICIO,F_FIN,DESCRIPCION) VALUES (1.1,'INYC_RPI_RESUMEN','SM - Nº Asegurados Inspector Anual','SM-O-GEN-Inspector-NumAsegurados-TotalAnual',TO_DATE('20180101','yyyymmdd'),TO_DATE('22000101','yyyymmdd'),'Version 20180117');</v>
      </c>
    </row>
    <row r="90" spans="1:2" x14ac:dyDescent="0.25">
      <c r="A90" t="str">
        <f>IF(REGLAS!J91="OBSOLETO","","INSERT INTO INYCEXT.INYC_CONF_INF_REGLAS (COD_INFORME,TABLA,NOMBRE,REGLA,F_INICIO,F_FIN,DESCRIPCION) VALUES ("&amp;REGLAS!B91&amp;",'"&amp;REGLAS!C91&amp;"','"&amp;REGLAS!D91&amp;"','"&amp;REGLAS!G91&amp;"',TO_DATE('"&amp;REGLAS!H91&amp;"','yyyymmdd'),TO_DATE('"&amp;REGLAS!I91&amp;"','yyyymmdd'),'"&amp;REGLAS!J91&amp;"');")</f>
        <v>INSERT INTO INYCEXT.INYC_CONF_INF_REGLAS (COD_INFORME,TABLA,NOMBRE,REGLA,F_INICIO,F_FIN,DESCRIPCION) VALUES (1.1,'INYC_RPI_RESUMEN','SM - Consecución Trimestral RRTT','SM-RPP-Inspector-ConsecucionTrimestral-001',TO_DATE('20140101','yyyymmdd'),TO_DATE('22000101','yyyymmdd'),'');</v>
      </c>
      <c r="B90" t="str">
        <f>IF(REGLAS!J91="OBSOLETO","","INSERT INTO INYCEXT.INYC_CONF_INF_REGLAS@tc_link (COD_INFORME,TABLA,NOMBRE,REGLA,F_INICIO,F_FIN,DESCRIPCION) VALUES ("&amp;REGLAS!B91&amp;",'"&amp;REGLAS!C91&amp;"','"&amp;REGLAS!D91&amp;"','"&amp;REGLAS!G91&amp;"',TO_DATE('"&amp;REGLAS!H91&amp;"','yyyymmdd'),TO_DATE('"&amp;REGLAS!I91&amp;"','yyyymmdd'),'"&amp;REGLAS!J91&amp;"');")</f>
        <v>INSERT INTO INYCEXT.INYC_CONF_INF_REGLAS@tc_link (COD_INFORME,TABLA,NOMBRE,REGLA,F_INICIO,F_FIN,DESCRIPCION) VALUES (1.1,'INYC_RPI_RESUMEN','SM - Consecución Trimestral RRTT','SM-RPP-Inspector-ConsecucionTrimestral-001',TO_DATE('20140101','yyyymmdd'),TO_DATE('22000101','yyyymmdd'),'');</v>
      </c>
    </row>
    <row r="91" spans="1:2" x14ac:dyDescent="0.25">
      <c r="A91" t="str">
        <f>IF(REGLAS!J92="OBSOLETO","","INSERT INTO INYCEXT.INYC_CONF_INF_REGLAS (COD_INFORME,TABLA,NOMBRE,REGLA,F_INICIO,F_FIN,DESCRIPCION) VALUES ("&amp;REGLAS!B92&amp;",'"&amp;REGLAS!C92&amp;"','"&amp;REGLAS!D92&amp;"','"&amp;REGLAS!G92&amp;"',TO_DATE('"&amp;REGLAS!H92&amp;"','yyyymmdd'),TO_DATE('"&amp;REGLAS!I92&amp;"','yyyymmdd'),'"&amp;REGLAS!J92&amp;"');")</f>
        <v>INSERT INTO INYCEXT.INYC_CONF_INF_REGLAS (COD_INFORME,TABLA,NOMBRE,REGLA,F_INICIO,F_FIN,DESCRIPCION) VALUES (1.1,'INYC_RPI_RESUMEN','SM - Consecución Trimestral Hogar','SM-RPP-Inspector-ConsecucionTrimestral-002',TO_DATE('20140101','yyyymmdd'),TO_DATE('22000101','yyyymmdd'),'');</v>
      </c>
      <c r="B91" t="str">
        <f>IF(REGLAS!J92="OBSOLETO","","INSERT INTO INYCEXT.INYC_CONF_INF_REGLAS@tc_link (COD_INFORME,TABLA,NOMBRE,REGLA,F_INICIO,F_FIN,DESCRIPCION) VALUES ("&amp;REGLAS!B92&amp;",'"&amp;REGLAS!C92&amp;"','"&amp;REGLAS!D92&amp;"','"&amp;REGLAS!G92&amp;"',TO_DATE('"&amp;REGLAS!H92&amp;"','yyyymmdd'),TO_DATE('"&amp;REGLAS!I92&amp;"','yyyymmdd'),'"&amp;REGLAS!J92&amp;"');")</f>
        <v>INSERT INTO INYCEXT.INYC_CONF_INF_REGLAS@tc_link (COD_INFORME,TABLA,NOMBRE,REGLA,F_INICIO,F_FIN,DESCRIPCION) VALUES (1.1,'INYC_RPI_RESUMEN','SM - Consecución Trimestral Hogar','SM-RPP-Inspector-ConsecucionTrimestral-002',TO_DATE('20140101','yyyymmdd'),TO_DATE('22000101','yyyymmdd'),'');</v>
      </c>
    </row>
    <row r="92" spans="1:2" x14ac:dyDescent="0.25">
      <c r="A92" t="str">
        <f>IF(REGLAS!J93="OBSOLETO","","INSERT INTO INYCEXT.INYC_CONF_INF_REGLAS (COD_INFORME,TABLA,NOMBRE,REGLA,F_INICIO,F_FIN,DESCRIPCION) VALUES ("&amp;REGLAS!B93&amp;",'"&amp;REGLAS!C93&amp;"','"&amp;REGLAS!D93&amp;"','"&amp;REGLAS!G93&amp;"',TO_DATE('"&amp;REGLAS!H93&amp;"','yyyymmdd'),TO_DATE('"&amp;REGLAS!I93&amp;"','yyyymmdd'),'"&amp;REGLAS!J93&amp;"');")</f>
        <v>INSERT INTO INYCEXT.INYC_CONF_INF_REGLAS (COD_INFORME,TABLA,NOMBRE,REGLA,F_INICIO,F_FIN,DESCRIPCION) VALUES (1.1,'INYC_RPI_RESUMEN','SM - Consecución Trimestral RRPP','SM-RPP-Inspector-ConsecucionTrimestral-906',TO_DATE('20140101','yyyymmdd'),TO_DATE('22000101','yyyymmdd'),'');</v>
      </c>
      <c r="B92" t="str">
        <f>IF(REGLAS!J93="OBSOLETO","","INSERT INTO INYCEXT.INYC_CONF_INF_REGLAS@tc_link (COD_INFORME,TABLA,NOMBRE,REGLA,F_INICIO,F_FIN,DESCRIPCION) VALUES ("&amp;REGLAS!B93&amp;",'"&amp;REGLAS!C93&amp;"','"&amp;REGLAS!D93&amp;"','"&amp;REGLAS!G93&amp;"',TO_DATE('"&amp;REGLAS!H93&amp;"','yyyymmdd'),TO_DATE('"&amp;REGLAS!I93&amp;"','yyyymmdd'),'"&amp;REGLAS!J93&amp;"');")</f>
        <v>INSERT INTO INYCEXT.INYC_CONF_INF_REGLAS@tc_link (COD_INFORME,TABLA,NOMBRE,REGLA,F_INICIO,F_FIN,DESCRIPCION) VALUES (1.1,'INYC_RPI_RESUMEN','SM - Consecución Trimestral RRPP','SM-RPP-Inspector-ConsecucionTrimestral-906',TO_DATE('20140101','yyyymmdd'),TO_DATE('22000101','yyyymmdd'),'');</v>
      </c>
    </row>
    <row r="93" spans="1:2" x14ac:dyDescent="0.25">
      <c r="A93" t="str">
        <f>IF(REGLAS!J94="OBSOLETO","","INSERT INTO INYCEXT.INYC_CONF_INF_REGLAS (COD_INFORME,TABLA,NOMBRE,REGLA,F_INICIO,F_FIN,DESCRIPCION) VALUES ("&amp;REGLAS!B94&amp;",'"&amp;REGLAS!C94&amp;"','"&amp;REGLAS!D94&amp;"','"&amp;REGLAS!G94&amp;"',TO_DATE('"&amp;REGLAS!H94&amp;"','yyyymmdd'),TO_DATE('"&amp;REGLAS!I94&amp;"','yyyymmdd'),'"&amp;REGLAS!J94&amp;"');")</f>
        <v>INSERT INTO INYCEXT.INYC_CONF_INF_REGLAS (COD_INFORME,TABLA,NOMBRE,REGLA,F_INICIO,F_FIN,DESCRIPCION) VALUES (1.1,'INYC_RPI_RESUMEN','SM - Consecución Trimestral Total Ramos','SM-RPP-Inspector-ConsecucionTrimestral-998',TO_DATE('20140101','yyyymmdd'),TO_DATE('22000101','yyyymmdd'),'');</v>
      </c>
      <c r="B93" t="str">
        <f>IF(REGLAS!J94="OBSOLETO","","INSERT INTO INYCEXT.INYC_CONF_INF_REGLAS@tc_link (COD_INFORME,TABLA,NOMBRE,REGLA,F_INICIO,F_FIN,DESCRIPCION) VALUES ("&amp;REGLAS!B94&amp;",'"&amp;REGLAS!C94&amp;"','"&amp;REGLAS!D94&amp;"','"&amp;REGLAS!G94&amp;"',TO_DATE('"&amp;REGLAS!H94&amp;"','yyyymmdd'),TO_DATE('"&amp;REGLAS!I94&amp;"','yyyymmdd'),'"&amp;REGLAS!J94&amp;"');")</f>
        <v>INSERT INTO INYCEXT.INYC_CONF_INF_REGLAS@tc_link (COD_INFORME,TABLA,NOMBRE,REGLA,F_INICIO,F_FIN,DESCRIPCION) VALUES (1.1,'INYC_RPI_RESUMEN','SM - Consecución Trimestral Total Ramos','SM-RPP-Inspector-ConsecucionTrimestral-998',TO_DATE('20140101','yyyymmdd'),TO_DATE('22000101','yyyymmdd'),'');</v>
      </c>
    </row>
    <row r="94" spans="1:2" x14ac:dyDescent="0.25">
      <c r="A94" t="str">
        <f>IF(REGLAS!J95="OBSOLETO","","INSERT INTO INYCEXT.INYC_CONF_INF_REGLAS (COD_INFORME,TABLA,NOMBRE,REGLA,F_INICIO,F_FIN,DESCRIPCION) VALUES ("&amp;REGLAS!B95&amp;",'"&amp;REGLAS!C95&amp;"','"&amp;REGLAS!D95&amp;"','"&amp;REGLAS!G95&amp;"',TO_DATE('"&amp;REGLAS!H95&amp;"','yyyymmdd'),TO_DATE('"&amp;REGLAS!I95&amp;"','yyyymmdd'),'"&amp;REGLAS!J95&amp;"');")</f>
        <v>INSERT INTO INYCEXT.INYC_CONF_INF_REGLAS (COD_INFORME,TABLA,NOMBRE,REGLA,F_INICIO,F_FIN,DESCRIPCION) VALUES (1.1,'INYC_RPI_RESUMEN','SM - Numero Pólizas Trimestral RRTT','SM-RPP-Inspector-NumeroPolizas-001-TotalTrimestre',TO_DATE('20140101','yyyymmdd'),TO_DATE('20180301','yyyymmdd'),'Version 20180321');</v>
      </c>
      <c r="B94" t="str">
        <f>IF(REGLAS!J95="OBSOLETO","","INSERT INTO INYCEXT.INYC_CONF_INF_REGLAS@tc_link (COD_INFORME,TABLA,NOMBRE,REGLA,F_INICIO,F_FIN,DESCRIPCION) VALUES ("&amp;REGLAS!B95&amp;",'"&amp;REGLAS!C95&amp;"','"&amp;REGLAS!D95&amp;"','"&amp;REGLAS!G95&amp;"',TO_DATE('"&amp;REGLAS!H95&amp;"','yyyymmdd'),TO_DATE('"&amp;REGLAS!I95&amp;"','yyyymmdd'),'"&amp;REGLAS!J95&amp;"');")</f>
        <v>INSERT INTO INYCEXT.INYC_CONF_INF_REGLAS@tc_link (COD_INFORME,TABLA,NOMBRE,REGLA,F_INICIO,F_FIN,DESCRIPCION) VALUES (1.1,'INYC_RPI_RESUMEN','SM - Numero Pólizas Trimestral RRTT','SM-RPP-Inspector-NumeroPolizas-001-TotalTrimestre',TO_DATE('20140101','yyyymmdd'),TO_DATE('20180301','yyyymmdd'),'Version 20180321');</v>
      </c>
    </row>
    <row r="95" spans="1:2" x14ac:dyDescent="0.25">
      <c r="A95" t="str">
        <f>IF(REGLAS!J96="OBSOLETO","","INSERT INTO INYCEXT.INYC_CONF_INF_REGLAS (COD_INFORME,TABLA,NOMBRE,REGLA,F_INICIO,F_FIN,DESCRIPCION) VALUES ("&amp;REGLAS!B96&amp;",'"&amp;REGLAS!C96&amp;"','"&amp;REGLAS!D96&amp;"','"&amp;REGLAS!G96&amp;"',TO_DATE('"&amp;REGLAS!H96&amp;"','yyyymmdd'),TO_DATE('"&amp;REGLAS!I96&amp;"','yyyymmdd'),'"&amp;REGLAS!J96&amp;"');")</f>
        <v>INSERT INTO INYCEXT.INYC_CONF_INF_REGLAS (COD_INFORME,TABLA,NOMBRE,REGLA,F_INICIO,F_FIN,DESCRIPCION) VALUES (1.1,'INYC_RPI_RESUMEN','SM - Numero Pólizas Trimestral Hogar','SM-RPP-Inspector-NumeroPolizas-002-TotalTrimestre',TO_DATE('20140101','yyyymmdd'),TO_DATE('20180301','yyyymmdd'),'Version 20180321');</v>
      </c>
      <c r="B95" t="str">
        <f>IF(REGLAS!J96="OBSOLETO","","INSERT INTO INYCEXT.INYC_CONF_INF_REGLAS@tc_link (COD_INFORME,TABLA,NOMBRE,REGLA,F_INICIO,F_FIN,DESCRIPCION) VALUES ("&amp;REGLAS!B96&amp;",'"&amp;REGLAS!C96&amp;"','"&amp;REGLAS!D96&amp;"','"&amp;REGLAS!G96&amp;"',TO_DATE('"&amp;REGLAS!H96&amp;"','yyyymmdd'),TO_DATE('"&amp;REGLAS!I96&amp;"','yyyymmdd'),'"&amp;REGLAS!J96&amp;"');")</f>
        <v>INSERT INTO INYCEXT.INYC_CONF_INF_REGLAS@tc_link (COD_INFORME,TABLA,NOMBRE,REGLA,F_INICIO,F_FIN,DESCRIPCION) VALUES (1.1,'INYC_RPI_RESUMEN','SM - Numero Pólizas Trimestral Hogar','SM-RPP-Inspector-NumeroPolizas-002-TotalTrimestre',TO_DATE('20140101','yyyymmdd'),TO_DATE('20180301','yyyymmdd'),'Version 20180321');</v>
      </c>
    </row>
    <row r="96" spans="1:2" x14ac:dyDescent="0.25">
      <c r="A96" t="str">
        <f>IF(REGLAS!J97="OBSOLETO","","INSERT INTO INYCEXT.INYC_CONF_INF_REGLAS (COD_INFORME,TABLA,NOMBRE,REGLA,F_INICIO,F_FIN,DESCRIPCION) VALUES ("&amp;REGLAS!B97&amp;",'"&amp;REGLAS!C97&amp;"','"&amp;REGLAS!D97&amp;"','"&amp;REGLAS!G97&amp;"',TO_DATE('"&amp;REGLAS!H97&amp;"','yyyymmdd'),TO_DATE('"&amp;REGLAS!I97&amp;"','yyyymmdd'),'"&amp;REGLAS!J97&amp;"');")</f>
        <v>INSERT INTO INYCEXT.INYC_CONF_INF_REGLAS (COD_INFORME,TABLA,NOMBRE,REGLA,F_INICIO,F_FIN,DESCRIPCION) VALUES (1.1,'INYC_RPI_RESUMEN','SM - Numero Pólizas Trimestral RRPP','SM-RPP-Inspector-NumeroPolizas-906-TotalTrimestre',TO_DATE('20140101','yyyymmdd'),TO_DATE('20180301','yyyymmdd'),'Version 20180321');</v>
      </c>
      <c r="B96" t="str">
        <f>IF(REGLAS!J97="OBSOLETO","","INSERT INTO INYCEXT.INYC_CONF_INF_REGLAS@tc_link (COD_INFORME,TABLA,NOMBRE,REGLA,F_INICIO,F_FIN,DESCRIPCION) VALUES ("&amp;REGLAS!B97&amp;",'"&amp;REGLAS!C97&amp;"','"&amp;REGLAS!D97&amp;"','"&amp;REGLAS!G97&amp;"',TO_DATE('"&amp;REGLAS!H97&amp;"','yyyymmdd'),TO_DATE('"&amp;REGLAS!I97&amp;"','yyyymmdd'),'"&amp;REGLAS!J97&amp;"');")</f>
        <v>INSERT INTO INYCEXT.INYC_CONF_INF_REGLAS@tc_link (COD_INFORME,TABLA,NOMBRE,REGLA,F_INICIO,F_FIN,DESCRIPCION) VALUES (1.1,'INYC_RPI_RESUMEN','SM - Numero Pólizas Trimestral RRPP','SM-RPP-Inspector-NumeroPolizas-906-TotalTrimestre',TO_DATE('20140101','yyyymmdd'),TO_DATE('20180301','yyyymmdd'),'Version 20180321');</v>
      </c>
    </row>
    <row r="97" spans="1:2" x14ac:dyDescent="0.25">
      <c r="A97" t="str">
        <f>IF(REGLAS!J98="OBSOLETO","","INSERT INTO INYCEXT.INYC_CONF_INF_REGLAS (COD_INFORME,TABLA,NOMBRE,REGLA,F_INICIO,F_FIN,DESCRIPCION) VALUES ("&amp;REGLAS!B98&amp;",'"&amp;REGLAS!C98&amp;"','"&amp;REGLAS!D98&amp;"','"&amp;REGLAS!G98&amp;"',TO_DATE('"&amp;REGLAS!H98&amp;"','yyyymmdd'),TO_DATE('"&amp;REGLAS!I98&amp;"','yyyymmdd'),'"&amp;REGLAS!J98&amp;"');")</f>
        <v>INSERT INTO INYCEXT.INYC_CONF_INF_REGLAS (COD_INFORME,TABLA,NOMBRE,REGLA,F_INICIO,F_FIN,DESCRIPCION) VALUES (1.1,'INYC_RPI_RESUMEN','SM - Numero Pólizas Trimestral Total Ramos','SM-RPP-Inspector-NumeroPolizas-998-TotalTrimestre',TO_DATE('20140101','yyyymmdd'),TO_DATE('20180301','yyyymmdd'),'Version 20180321');</v>
      </c>
      <c r="B97" t="str">
        <f>IF(REGLAS!J98="OBSOLETO","","INSERT INTO INYCEXT.INYC_CONF_INF_REGLAS@tc_link (COD_INFORME,TABLA,NOMBRE,REGLA,F_INICIO,F_FIN,DESCRIPCION) VALUES ("&amp;REGLAS!B98&amp;",'"&amp;REGLAS!C98&amp;"','"&amp;REGLAS!D98&amp;"','"&amp;REGLAS!G98&amp;"',TO_DATE('"&amp;REGLAS!H98&amp;"','yyyymmdd'),TO_DATE('"&amp;REGLAS!I98&amp;"','yyyymmdd'),'"&amp;REGLAS!J98&amp;"');")</f>
        <v>INSERT INTO INYCEXT.INYC_CONF_INF_REGLAS@tc_link (COD_INFORME,TABLA,NOMBRE,REGLA,F_INICIO,F_FIN,DESCRIPCION) VALUES (1.1,'INYC_RPI_RESUMEN','SM - Numero Pólizas Trimestral Total Ramos','SM-RPP-Inspector-NumeroPolizas-998-TotalTrimestre',TO_DATE('20140101','yyyymmdd'),TO_DATE('20180301','yyyymmdd'),'Version 20180321');</v>
      </c>
    </row>
    <row r="98" spans="1:2" x14ac:dyDescent="0.25">
      <c r="A98" t="str">
        <f>IF(REGLAS!J99="OBSOLETO","","INSERT INTO INYCEXT.INYC_CONF_INF_REGLAS (COD_INFORME,TABLA,NOMBRE,REGLA,F_INICIO,F_FIN,DESCRIPCION) VALUES ("&amp;REGLAS!B99&amp;",'"&amp;REGLAS!C99&amp;"','"&amp;REGLAS!D99&amp;"','"&amp;REGLAS!G99&amp;"',TO_DATE('"&amp;REGLAS!H99&amp;"','yyyymmdd'),TO_DATE('"&amp;REGLAS!I99&amp;"','yyyymmdd'),'"&amp;REGLAS!J99&amp;"');")</f>
        <v>INSERT INTO INYCEXT.INYC_CONF_INF_REGLAS (COD_INFORME,TABLA,NOMBRE,REGLA,F_INICIO,F_FIN,DESCRIPCION) VALUES (1.1,'INYC_RPI_RESUMEN','SM - Numero Pólizas Corregidas Trimestral RRTT','SM-O-GEN-Inspector-NumeroPolizasCorregidas-001-TotalTrimestre',TO_DATE('20180301','yyyymmdd'),TO_DATE('22000101','yyyymmdd'),'Version 20180321');</v>
      </c>
      <c r="B98" t="str">
        <f>IF(REGLAS!J99="OBSOLETO","","INSERT INTO INYCEXT.INYC_CONF_INF_REGLAS@tc_link (COD_INFORME,TABLA,NOMBRE,REGLA,F_INICIO,F_FIN,DESCRIPCION) VALUES ("&amp;REGLAS!B99&amp;",'"&amp;REGLAS!C99&amp;"','"&amp;REGLAS!D99&amp;"','"&amp;REGLAS!G99&amp;"',TO_DATE('"&amp;REGLAS!H99&amp;"','yyyymmdd'),TO_DATE('"&amp;REGLAS!I99&amp;"','yyyymmdd'),'"&amp;REGLAS!J99&amp;"');")</f>
        <v>INSERT INTO INYCEXT.INYC_CONF_INF_REGLAS@tc_link (COD_INFORME,TABLA,NOMBRE,REGLA,F_INICIO,F_FIN,DESCRIPCION) VALUES (1.1,'INYC_RPI_RESUMEN','SM - Numero Pólizas Corregidas Trimestral RRTT','SM-O-GEN-Inspector-NumeroPolizasCorregidas-001-TotalTrimestre',TO_DATE('20180301','yyyymmdd'),TO_DATE('22000101','yyyymmdd'),'Version 20180321');</v>
      </c>
    </row>
    <row r="99" spans="1:2" x14ac:dyDescent="0.25">
      <c r="A99" t="str">
        <f>IF(REGLAS!J100="OBSOLETO","","INSERT INTO INYCEXT.INYC_CONF_INF_REGLAS (COD_INFORME,TABLA,NOMBRE,REGLA,F_INICIO,F_FIN,DESCRIPCION) VALUES ("&amp;REGLAS!B100&amp;",'"&amp;REGLAS!C100&amp;"','"&amp;REGLAS!D100&amp;"','"&amp;REGLAS!G100&amp;"',TO_DATE('"&amp;REGLAS!H100&amp;"','yyyymmdd'),TO_DATE('"&amp;REGLAS!I100&amp;"','yyyymmdd'),'"&amp;REGLAS!J100&amp;"');")</f>
        <v>INSERT INTO INYCEXT.INYC_CONF_INF_REGLAS (COD_INFORME,TABLA,NOMBRE,REGLA,F_INICIO,F_FIN,DESCRIPCION) VALUES (1.1,'INYC_RPI_RESUMEN','SM - Numero Pólizas Corregidas Trimestral Hogar','SM-O-GEN-Inspector-NumeroPolizasCorregidas-002-TotalTrimestre',TO_DATE('20180301','yyyymmdd'),TO_DATE('22000101','yyyymmdd'),'Version 20180321');</v>
      </c>
      <c r="B99" t="str">
        <f>IF(REGLAS!J100="OBSOLETO","","INSERT INTO INYCEXT.INYC_CONF_INF_REGLAS@tc_link (COD_INFORME,TABLA,NOMBRE,REGLA,F_INICIO,F_FIN,DESCRIPCION) VALUES ("&amp;REGLAS!B100&amp;",'"&amp;REGLAS!C100&amp;"','"&amp;REGLAS!D100&amp;"','"&amp;REGLAS!G100&amp;"',TO_DATE('"&amp;REGLAS!H100&amp;"','yyyymmdd'),TO_DATE('"&amp;REGLAS!I100&amp;"','yyyymmdd'),'"&amp;REGLAS!J100&amp;"');")</f>
        <v>INSERT INTO INYCEXT.INYC_CONF_INF_REGLAS@tc_link (COD_INFORME,TABLA,NOMBRE,REGLA,F_INICIO,F_FIN,DESCRIPCION) VALUES (1.1,'INYC_RPI_RESUMEN','SM - Numero Pólizas Corregidas Trimestral Hogar','SM-O-GEN-Inspector-NumeroPolizasCorregidas-002-TotalTrimestre',TO_DATE('20180301','yyyymmdd'),TO_DATE('22000101','yyyymmdd'),'Version 20180321');</v>
      </c>
    </row>
    <row r="100" spans="1:2" x14ac:dyDescent="0.25">
      <c r="A100" t="str">
        <f>IF(REGLAS!J101="OBSOLETO","","INSERT INTO INYCEXT.INYC_CONF_INF_REGLAS (COD_INFORME,TABLA,NOMBRE,REGLA,F_INICIO,F_FIN,DESCRIPCION) VALUES ("&amp;REGLAS!B101&amp;",'"&amp;REGLAS!C101&amp;"','"&amp;REGLAS!D101&amp;"','"&amp;REGLAS!G101&amp;"',TO_DATE('"&amp;REGLAS!H101&amp;"','yyyymmdd'),TO_DATE('"&amp;REGLAS!I101&amp;"','yyyymmdd'),'"&amp;REGLAS!J101&amp;"');")</f>
        <v>INSERT INTO INYCEXT.INYC_CONF_INF_REGLAS (COD_INFORME,TABLA,NOMBRE,REGLA,F_INICIO,F_FIN,DESCRIPCION) VALUES (1.1,'INYC_RPI_RESUMEN','SM - Numero Pólizas Corregidas Trimestral RRPP','SM-O-GEN-Inspector-NumeroPolizasCorregidas-906-TotalTrimestre',TO_DATE('20180301','yyyymmdd'),TO_DATE('22000101','yyyymmdd'),'Version 20180321');</v>
      </c>
      <c r="B100" t="str">
        <f>IF(REGLAS!J101="OBSOLETO","","INSERT INTO INYCEXT.INYC_CONF_INF_REGLAS@tc_link (COD_INFORME,TABLA,NOMBRE,REGLA,F_INICIO,F_FIN,DESCRIPCION) VALUES ("&amp;REGLAS!B101&amp;",'"&amp;REGLAS!C101&amp;"','"&amp;REGLAS!D101&amp;"','"&amp;REGLAS!G101&amp;"',TO_DATE('"&amp;REGLAS!H101&amp;"','yyyymmdd'),TO_DATE('"&amp;REGLAS!I101&amp;"','yyyymmdd'),'"&amp;REGLAS!J101&amp;"');")</f>
        <v>INSERT INTO INYCEXT.INYC_CONF_INF_REGLAS@tc_link (COD_INFORME,TABLA,NOMBRE,REGLA,F_INICIO,F_FIN,DESCRIPCION) VALUES (1.1,'INYC_RPI_RESUMEN','SM - Numero Pólizas Corregidas Trimestral RRPP','SM-O-GEN-Inspector-NumeroPolizasCorregidas-906-TotalTrimestre',TO_DATE('20180301','yyyymmdd'),TO_DATE('22000101','yyyymmdd'),'Version 20180321');</v>
      </c>
    </row>
    <row r="101" spans="1:2" x14ac:dyDescent="0.25">
      <c r="A101" t="str">
        <f>IF(REGLAS!J102="OBSOLETO","","INSERT INTO INYCEXT.INYC_CONF_INF_REGLAS (COD_INFORME,TABLA,NOMBRE,REGLA,F_INICIO,F_FIN,DESCRIPCION) VALUES ("&amp;REGLAS!B102&amp;",'"&amp;REGLAS!C102&amp;"','"&amp;REGLAS!D102&amp;"','"&amp;REGLAS!G102&amp;"',TO_DATE('"&amp;REGLAS!H102&amp;"','yyyymmdd'),TO_DATE('"&amp;REGLAS!I102&amp;"','yyyymmdd'),'"&amp;REGLAS!J102&amp;"');")</f>
        <v>INSERT INTO INYCEXT.INYC_CONF_INF_REGLAS (COD_INFORME,TABLA,NOMBRE,REGLA,F_INICIO,F_FIN,DESCRIPCION) VALUES (1.1,'INYC_RPI_RESUMEN','SM - Numero Pólizas Corregidas Trimestral Total Ramos','SM-O-GEN-Inspector-NumeroPolizasCorregidas-998-TotalTrimestre',TO_DATE('20180301','yyyymmdd'),TO_DATE('22000101','yyyymmdd'),'Version 20180321');</v>
      </c>
      <c r="B101" t="str">
        <f>IF(REGLAS!J102="OBSOLETO","","INSERT INTO INYCEXT.INYC_CONF_INF_REGLAS@tc_link (COD_INFORME,TABLA,NOMBRE,REGLA,F_INICIO,F_FIN,DESCRIPCION) VALUES ("&amp;REGLAS!B102&amp;",'"&amp;REGLAS!C102&amp;"','"&amp;REGLAS!D102&amp;"','"&amp;REGLAS!G102&amp;"',TO_DATE('"&amp;REGLAS!H102&amp;"','yyyymmdd'),TO_DATE('"&amp;REGLAS!I102&amp;"','yyyymmdd'),'"&amp;REGLAS!J102&amp;"');")</f>
        <v>INSERT INTO INYCEXT.INYC_CONF_INF_REGLAS@tc_link (COD_INFORME,TABLA,NOMBRE,REGLA,F_INICIO,F_FIN,DESCRIPCION) VALUES (1.1,'INYC_RPI_RESUMEN','SM - Numero Pólizas Corregidas Trimestral Total Ramos','SM-O-GEN-Inspector-NumeroPolizasCorregidas-998-TotalTrimestre',TO_DATE('20180301','yyyymmdd'),TO_DATE('22000101','yyyymmdd'),'Version 20180321');</v>
      </c>
    </row>
    <row r="102" spans="1:2" x14ac:dyDescent="0.25">
      <c r="A102" t="str">
        <f>IF(REGLAS!J103="OBSOLETO","","INSERT INTO INYCEXT.INYC_CONF_INF_REGLAS (COD_INFORME,TABLA,NOMBRE,REGLA,F_INICIO,F_FIN,DESCRIPCION) VALUES ("&amp;REGLAS!B103&amp;",'"&amp;REGLAS!C103&amp;"','"&amp;REGLAS!D103&amp;"','"&amp;REGLAS!G103&amp;"',TO_DATE('"&amp;REGLAS!H103&amp;"','yyyymmdd'),TO_DATE('"&amp;REGLAS!I103&amp;"','yyyymmdd'),'"&amp;REGLAS!J103&amp;"');")</f>
        <v>INSERT INTO INYCEXT.INYC_CONF_INF_REGLAS (COD_INFORME,TABLA,NOMBRE,REGLA,F_INICIO,F_FIN,DESCRIPCION) VALUES (1.2,'INYC_RPI_DETALLE','DC - Prima Corregida Anual Total Ramos','DC-O-GEN-Inspector-PrimaCorregida-998',TO_DATE('20140101','yyyymmdd'),TO_DATE('22000101','yyyymmdd'),'Version 20180119');</v>
      </c>
      <c r="B102" t="str">
        <f>IF(REGLAS!J103="OBSOLETO","","INSERT INTO INYCEXT.INYC_CONF_INF_REGLAS@tc_link (COD_INFORME,TABLA,NOMBRE,REGLA,F_INICIO,F_FIN,DESCRIPCION) VALUES ("&amp;REGLAS!B103&amp;",'"&amp;REGLAS!C103&amp;"','"&amp;REGLAS!D103&amp;"','"&amp;REGLAS!G103&amp;"',TO_DATE('"&amp;REGLAS!H103&amp;"','yyyymmdd'),TO_DATE('"&amp;REGLAS!I103&amp;"','yyyymmdd'),'"&amp;REGLAS!J103&amp;"');")</f>
        <v>INSERT INTO INYCEXT.INYC_CONF_INF_REGLAS@tc_link (COD_INFORME,TABLA,NOMBRE,REGLA,F_INICIO,F_FIN,DESCRIPCION) VALUES (1.2,'INYC_RPI_DETALLE','DC - Prima Corregida Anual Total Ramos','DC-O-GEN-Inspector-PrimaCorregida-998',TO_DATE('20140101','yyyymmdd'),TO_DATE('22000101','yyyymmdd'),'Version 20180119');</v>
      </c>
    </row>
    <row r="103" spans="1:2" x14ac:dyDescent="0.25">
      <c r="A103" t="str">
        <f>IF(REGLAS!J104="OBSOLETO","","INSERT INTO INYCEXT.INYC_CONF_INF_REGLAS (COD_INFORME,TABLA,NOMBRE,REGLA,F_INICIO,F_FIN,DESCRIPCION) VALUES ("&amp;REGLAS!B104&amp;",'"&amp;REGLAS!C104&amp;"','"&amp;REGLAS!D104&amp;"','"&amp;REGLAS!G104&amp;"',TO_DATE('"&amp;REGLAS!H104&amp;"','yyyymmdd'),TO_DATE('"&amp;REGLAS!I104&amp;"','yyyymmdd'),'"&amp;REGLAS!J104&amp;"');")</f>
        <v>INSERT INTO INYCEXT.INYC_CONF_INF_REGLAS (COD_INFORME,TABLA,NOMBRE,REGLA,F_INICIO,F_FIN,DESCRIPCION) VALUES (1.2,'INYC_RPI_DETALLE','IC - Prima Corregida Anual Total Ramos','IC-O-GEN-Inspector-PrimaCorregida-998',TO_DATE('20140101','yyyymmdd'),TO_DATE('22000101','yyyymmdd'),'Version 20180119');</v>
      </c>
      <c r="B103" t="str">
        <f>IF(REGLAS!J104="OBSOLETO","","INSERT INTO INYCEXT.INYC_CONF_INF_REGLAS@tc_link (COD_INFORME,TABLA,NOMBRE,REGLA,F_INICIO,F_FIN,DESCRIPCION) VALUES ("&amp;REGLAS!B104&amp;",'"&amp;REGLAS!C104&amp;"','"&amp;REGLAS!D104&amp;"','"&amp;REGLAS!G104&amp;"',TO_DATE('"&amp;REGLAS!H104&amp;"','yyyymmdd'),TO_DATE('"&amp;REGLAS!I104&amp;"','yyyymmdd'),'"&amp;REGLAS!J104&amp;"');")</f>
        <v>INSERT INTO INYCEXT.INYC_CONF_INF_REGLAS@tc_link (COD_INFORME,TABLA,NOMBRE,REGLA,F_INICIO,F_FIN,DESCRIPCION) VALUES (1.2,'INYC_RPI_DETALLE','IC - Prima Corregida Anual Total Ramos','IC-O-GEN-Inspector-PrimaCorregida-998',TO_DATE('20140101','yyyymmdd'),TO_DATE('22000101','yyyymmdd'),'Version 20180119');</v>
      </c>
    </row>
    <row r="104" spans="1:2" x14ac:dyDescent="0.25">
      <c r="A104" t="str">
        <f>IF(REGLAS!J105="OBSOLETO","","INSERT INTO INYCEXT.INYC_CONF_INF_REGLAS (COD_INFORME,TABLA,NOMBRE,REGLA,F_INICIO,F_FIN,DESCRIPCION) VALUES ("&amp;REGLAS!B105&amp;",'"&amp;REGLAS!C105&amp;"','"&amp;REGLAS!D105&amp;"','"&amp;REGLAS!G105&amp;"',TO_DATE('"&amp;REGLAS!H105&amp;"','yyyymmdd'),TO_DATE('"&amp;REGLAS!I105&amp;"','yyyymmdd'),'"&amp;REGLAS!J105&amp;"');")</f>
        <v>INSERT INTO INYCEXT.INYC_CONF_INF_REGLAS (COD_INFORME,TABLA,NOMBRE,REGLA,F_INICIO,F_FIN,DESCRIPCION) VALUES (1.2,'INYC_RPI_DETALLE','DC - Numero Pólizas Total Ramos','DC-O-GEN-Inspector-NumeroPolizas-998',TO_DATE('20140101','yyyymmdd'),TO_DATE('22000101','yyyymmdd'),'Version 20180119');</v>
      </c>
      <c r="B104" t="str">
        <f>IF(REGLAS!J105="OBSOLETO","","INSERT INTO INYCEXT.INYC_CONF_INF_REGLAS@tc_link (COD_INFORME,TABLA,NOMBRE,REGLA,F_INICIO,F_FIN,DESCRIPCION) VALUES ("&amp;REGLAS!B105&amp;",'"&amp;REGLAS!C105&amp;"','"&amp;REGLAS!D105&amp;"','"&amp;REGLAS!G105&amp;"',TO_DATE('"&amp;REGLAS!H105&amp;"','yyyymmdd'),TO_DATE('"&amp;REGLAS!I105&amp;"','yyyymmdd'),'"&amp;REGLAS!J105&amp;"');")</f>
        <v>INSERT INTO INYCEXT.INYC_CONF_INF_REGLAS@tc_link (COD_INFORME,TABLA,NOMBRE,REGLA,F_INICIO,F_FIN,DESCRIPCION) VALUES (1.2,'INYC_RPI_DETALLE','DC - Numero Pólizas Total Ramos','DC-O-GEN-Inspector-NumeroPolizas-998',TO_DATE('20140101','yyyymmdd'),TO_DATE('22000101','yyyymmdd'),'Version 20180119');</v>
      </c>
    </row>
    <row r="105" spans="1:2" x14ac:dyDescent="0.25">
      <c r="A105" t="str">
        <f>IF(REGLAS!J106="OBSOLETO","","INSERT INTO INYCEXT.INYC_CONF_INF_REGLAS (COD_INFORME,TABLA,NOMBRE,REGLA,F_INICIO,F_FIN,DESCRIPCION) VALUES ("&amp;REGLAS!B106&amp;",'"&amp;REGLAS!C106&amp;"','"&amp;REGLAS!D106&amp;"','"&amp;REGLAS!G106&amp;"',TO_DATE('"&amp;REGLAS!H106&amp;"','yyyymmdd'),TO_DATE('"&amp;REGLAS!I106&amp;"','yyyymmdd'),'"&amp;REGLAS!J106&amp;"');")</f>
        <v>INSERT INTO INYCEXT.INYC_CONF_INF_REGLAS (COD_INFORME,TABLA,NOMBRE,REGLA,F_INICIO,F_FIN,DESCRIPCION) VALUES (1.2,'INYC_RPI_DETALLE','IC - Numero Pólizas Total Ramos','IC-O-GEN-Inspector-NumeroPolizas-998',TO_DATE('20140101','yyyymmdd'),TO_DATE('22000101','yyyymmdd'),'Version 20180119');</v>
      </c>
      <c r="B105" t="str">
        <f>IF(REGLAS!J106="OBSOLETO","","INSERT INTO INYCEXT.INYC_CONF_INF_REGLAS@tc_link (COD_INFORME,TABLA,NOMBRE,REGLA,F_INICIO,F_FIN,DESCRIPCION) VALUES ("&amp;REGLAS!B106&amp;",'"&amp;REGLAS!C106&amp;"','"&amp;REGLAS!D106&amp;"','"&amp;REGLAS!G106&amp;"',TO_DATE('"&amp;REGLAS!H106&amp;"','yyyymmdd'),TO_DATE('"&amp;REGLAS!I106&amp;"','yyyymmdd'),'"&amp;REGLAS!J106&amp;"');")</f>
        <v>INSERT INTO INYCEXT.INYC_CONF_INF_REGLAS@tc_link (COD_INFORME,TABLA,NOMBRE,REGLA,F_INICIO,F_FIN,DESCRIPCION) VALUES (1.2,'INYC_RPI_DETALLE','IC - Numero Pólizas Total Ramos','IC-O-GEN-Inspector-NumeroPolizas-998',TO_DATE('20140101','yyyymmdd'),TO_DATE('22000101','yyyymmdd'),'Version 20180119');</v>
      </c>
    </row>
    <row r="106" spans="1:2" x14ac:dyDescent="0.25">
      <c r="A106" t="str">
        <f>IF(REGLAS!J107="OBSOLETO","","INSERT INTO INYCEXT.INYC_CONF_INF_REGLAS (COD_INFORME,TABLA,NOMBRE,REGLA,F_INICIO,F_FIN,DESCRIPCION) VALUES ("&amp;REGLAS!B107&amp;",'"&amp;REGLAS!C107&amp;"','"&amp;REGLAS!D107&amp;"','"&amp;REGLAS!G107&amp;"',TO_DATE('"&amp;REGLAS!H107&amp;"','yyyymmdd'),TO_DATE('"&amp;REGLAS!I107&amp;"','yyyymmdd'),'"&amp;REGLAS!J107&amp;"');")</f>
        <v>INSERT INTO INYCEXT.INYC_CONF_INF_REGLAS (COD_INFORME,TABLA,NOMBRE,REGLA,F_INICIO,F_FIN,DESCRIPCION) VALUES (2.1,'INYC_RAG_RESUMEN','PM - Numero Pólizas 001','PM-E-GEN-Inspector-NumeroPolizas-001',TO_DATE('20170101','yyyymmdd'),TO_DATE('20180101','yyyymmdd'),'Version 20180117');</v>
      </c>
      <c r="B106" t="str">
        <f>IF(REGLAS!J107="OBSOLETO","","INSERT INTO INYCEXT.INYC_CONF_INF_REGLAS@tc_link (COD_INFORME,TABLA,NOMBRE,REGLA,F_INICIO,F_FIN,DESCRIPCION) VALUES ("&amp;REGLAS!B107&amp;",'"&amp;REGLAS!C107&amp;"','"&amp;REGLAS!D107&amp;"','"&amp;REGLAS!G107&amp;"',TO_DATE('"&amp;REGLAS!H107&amp;"','yyyymmdd'),TO_DATE('"&amp;REGLAS!I107&amp;"','yyyymmdd'),'"&amp;REGLAS!J107&amp;"');")</f>
        <v>INSERT INTO INYCEXT.INYC_CONF_INF_REGLAS@tc_link (COD_INFORME,TABLA,NOMBRE,REGLA,F_INICIO,F_FIN,DESCRIPCION) VALUES (2.1,'INYC_RAG_RESUMEN','PM - Numero Pólizas 001','PM-E-GEN-Inspector-NumeroPolizas-001',TO_DATE('20170101','yyyymmdd'),TO_DATE('20180101','yyyymmdd'),'Version 20180117');</v>
      </c>
    </row>
    <row r="107" spans="1:2" x14ac:dyDescent="0.25">
      <c r="A107" t="str">
        <f>IF(REGLAS!J108="OBSOLETO","","INSERT INTO INYCEXT.INYC_CONF_INF_REGLAS (COD_INFORME,TABLA,NOMBRE,REGLA,F_INICIO,F_FIN,DESCRIPCION) VALUES ("&amp;REGLAS!B108&amp;",'"&amp;REGLAS!C108&amp;"','"&amp;REGLAS!D108&amp;"','"&amp;REGLAS!G108&amp;"',TO_DATE('"&amp;REGLAS!H108&amp;"','yyyymmdd'),TO_DATE('"&amp;REGLAS!I108&amp;"','yyyymmdd'),'"&amp;REGLAS!J108&amp;"');")</f>
        <v>INSERT INTO INYCEXT.INYC_CONF_INF_REGLAS (COD_INFORME,TABLA,NOMBRE,REGLA,F_INICIO,F_FIN,DESCRIPCION) VALUES (2.1,'INYC_RAG_RESUMEN','PM - Numero Pólizas 001 Agentes','PM-E-GEN-Inspector-NumeroPolizas-001-Agentes',TO_DATE('20170101','yyyymmdd'),TO_DATE('20180101','yyyymmdd'),'Version 20180117');</v>
      </c>
      <c r="B107" t="str">
        <f>IF(REGLAS!J108="OBSOLETO","","INSERT INTO INYCEXT.INYC_CONF_INF_REGLAS@tc_link (COD_INFORME,TABLA,NOMBRE,REGLA,F_INICIO,F_FIN,DESCRIPCION) VALUES ("&amp;REGLAS!B108&amp;",'"&amp;REGLAS!C108&amp;"','"&amp;REGLAS!D108&amp;"','"&amp;REGLAS!G108&amp;"',TO_DATE('"&amp;REGLAS!H108&amp;"','yyyymmdd'),TO_DATE('"&amp;REGLAS!I108&amp;"','yyyymmdd'),'"&amp;REGLAS!J108&amp;"');")</f>
        <v>INSERT INTO INYCEXT.INYC_CONF_INF_REGLAS@tc_link (COD_INFORME,TABLA,NOMBRE,REGLA,F_INICIO,F_FIN,DESCRIPCION) VALUES (2.1,'INYC_RAG_RESUMEN','PM - Numero Pólizas 001 Agentes','PM-E-GEN-Inspector-NumeroPolizas-001-Agentes',TO_DATE('20170101','yyyymmdd'),TO_DATE('20180101','yyyymmdd'),'Version 20180117');</v>
      </c>
    </row>
    <row r="108" spans="1:2" x14ac:dyDescent="0.25">
      <c r="A108" t="str">
        <f>IF(REGLAS!J109="OBSOLETO","","INSERT INTO INYCEXT.INYC_CONF_INF_REGLAS (COD_INFORME,TABLA,NOMBRE,REGLA,F_INICIO,F_FIN,DESCRIPCION) VALUES ("&amp;REGLAS!B109&amp;",'"&amp;REGLAS!C109&amp;"','"&amp;REGLAS!D109&amp;"','"&amp;REGLAS!G109&amp;"',TO_DATE('"&amp;REGLAS!H109&amp;"','yyyymmdd'),TO_DATE('"&amp;REGLAS!I109&amp;"','yyyymmdd'),'"&amp;REGLAS!J109&amp;"');")</f>
        <v>INSERT INTO INYCEXT.INYC_CONF_INF_REGLAS (COD_INFORME,TABLA,NOMBRE,REGLA,F_INICIO,F_FIN,DESCRIPCION) VALUES (2.1,'INYC_RAG_RESUMEN','PM - Numero Pólizas 004','PM-E-GEN-Inspector-NumeroPolizas-004',TO_DATE('20140101','yyyymmdd'),TO_DATE('20180101','yyyymmdd'),'Version 20180117');</v>
      </c>
      <c r="B108" t="str">
        <f>IF(REGLAS!J109="OBSOLETO","","INSERT INTO INYCEXT.INYC_CONF_INF_REGLAS@tc_link (COD_INFORME,TABLA,NOMBRE,REGLA,F_INICIO,F_FIN,DESCRIPCION) VALUES ("&amp;REGLAS!B109&amp;",'"&amp;REGLAS!C109&amp;"','"&amp;REGLAS!D109&amp;"','"&amp;REGLAS!G109&amp;"',TO_DATE('"&amp;REGLAS!H109&amp;"','yyyymmdd'),TO_DATE('"&amp;REGLAS!I109&amp;"','yyyymmdd'),'"&amp;REGLAS!J109&amp;"');")</f>
        <v>INSERT INTO INYCEXT.INYC_CONF_INF_REGLAS@tc_link (COD_INFORME,TABLA,NOMBRE,REGLA,F_INICIO,F_FIN,DESCRIPCION) VALUES (2.1,'INYC_RAG_RESUMEN','PM - Numero Pólizas 004','PM-E-GEN-Inspector-NumeroPolizas-004',TO_DATE('20140101','yyyymmdd'),TO_DATE('20180101','yyyymmdd'),'Version 20180117');</v>
      </c>
    </row>
    <row r="109" spans="1:2" x14ac:dyDescent="0.25">
      <c r="A109" t="str">
        <f>IF(REGLAS!J110="OBSOLETO","","INSERT INTO INYCEXT.INYC_CONF_INF_REGLAS (COD_INFORME,TABLA,NOMBRE,REGLA,F_INICIO,F_FIN,DESCRIPCION) VALUES ("&amp;REGLAS!B110&amp;",'"&amp;REGLAS!C110&amp;"','"&amp;REGLAS!D110&amp;"','"&amp;REGLAS!G110&amp;"',TO_DATE('"&amp;REGLAS!H110&amp;"','yyyymmdd'),TO_DATE('"&amp;REGLAS!I110&amp;"','yyyymmdd'),'"&amp;REGLAS!J110&amp;"');")</f>
        <v>INSERT INTO INYCEXT.INYC_CONF_INF_REGLAS (COD_INFORME,TABLA,NOMBRE,REGLA,F_INICIO,F_FIN,DESCRIPCION) VALUES (2.1,'INYC_RAG_RESUMEN','PM - Numero Pólizas 004 Agentes','PM-E-GEN-Inspector-NumeroPolizas-004-Agentes',TO_DATE('20140101','yyyymmdd'),TO_DATE('20180101','yyyymmdd'),'Version 20180117');</v>
      </c>
      <c r="B109" t="str">
        <f>IF(REGLAS!J110="OBSOLETO","","INSERT INTO INYCEXT.INYC_CONF_INF_REGLAS@tc_link (COD_INFORME,TABLA,NOMBRE,REGLA,F_INICIO,F_FIN,DESCRIPCION) VALUES ("&amp;REGLAS!B110&amp;",'"&amp;REGLAS!C110&amp;"','"&amp;REGLAS!D110&amp;"','"&amp;REGLAS!G110&amp;"',TO_DATE('"&amp;REGLAS!H110&amp;"','yyyymmdd'),TO_DATE('"&amp;REGLAS!I110&amp;"','yyyymmdd'),'"&amp;REGLAS!J110&amp;"');")</f>
        <v>INSERT INTO INYCEXT.INYC_CONF_INF_REGLAS@tc_link (COD_INFORME,TABLA,NOMBRE,REGLA,F_INICIO,F_FIN,DESCRIPCION) VALUES (2.1,'INYC_RAG_RESUMEN','PM - Numero Pólizas 004 Agentes','PM-E-GEN-Inspector-NumeroPolizas-004-Agentes',TO_DATE('20140101','yyyymmdd'),TO_DATE('20180101','yyyymmdd'),'Version 20180117');</v>
      </c>
    </row>
    <row r="110" spans="1:2" x14ac:dyDescent="0.25">
      <c r="A110" t="str">
        <f>IF(REGLAS!J111="OBSOLETO","","INSERT INTO INYCEXT.INYC_CONF_INF_REGLAS (COD_INFORME,TABLA,NOMBRE,REGLA,F_INICIO,F_FIN,DESCRIPCION) VALUES ("&amp;REGLAS!B111&amp;",'"&amp;REGLAS!C111&amp;"','"&amp;REGLAS!D111&amp;"','"&amp;REGLAS!G111&amp;"',TO_DATE('"&amp;REGLAS!H111&amp;"','yyyymmdd'),TO_DATE('"&amp;REGLAS!I111&amp;"','yyyymmdd'),'"&amp;REGLAS!J111&amp;"');")</f>
        <v>INSERT INTO INYCEXT.INYC_CONF_INF_REGLAS (COD_INFORME,TABLA,NOMBRE,REGLA,F_INICIO,F_FIN,DESCRIPCION) VALUES (2.1,'INYC_RAG_RESUMEN','PM - Nº Pólizas Corregidas Inspector RRTT Propia','PM-E-GEN-Inspector-NumeroPolizasCorregidas-Decesos-Propia',TO_DATE('20180101','yyyymmdd'),TO_DATE('22000101','yyyymmdd'),'Version 20180117');</v>
      </c>
      <c r="B110" t="str">
        <f>IF(REGLAS!J111="OBSOLETO","","INSERT INTO INYCEXT.INYC_CONF_INF_REGLAS@tc_link (COD_INFORME,TABLA,NOMBRE,REGLA,F_INICIO,F_FIN,DESCRIPCION) VALUES ("&amp;REGLAS!B111&amp;",'"&amp;REGLAS!C111&amp;"','"&amp;REGLAS!D111&amp;"','"&amp;REGLAS!G111&amp;"',TO_DATE('"&amp;REGLAS!H111&amp;"','yyyymmdd'),TO_DATE('"&amp;REGLAS!I111&amp;"','yyyymmdd'),'"&amp;REGLAS!J111&amp;"');")</f>
        <v>INSERT INTO INYCEXT.INYC_CONF_INF_REGLAS@tc_link (COD_INFORME,TABLA,NOMBRE,REGLA,F_INICIO,F_FIN,DESCRIPCION) VALUES (2.1,'INYC_RAG_RESUMEN','PM - Nº Pólizas Corregidas Inspector RRTT Propia','PM-E-GEN-Inspector-NumeroPolizasCorregidas-Decesos-Propia',TO_DATE('20180101','yyyymmdd'),TO_DATE('22000101','yyyymmdd'),'Version 20180117');</v>
      </c>
    </row>
    <row r="111" spans="1:2" x14ac:dyDescent="0.25">
      <c r="A111" t="str">
        <f>IF(REGLAS!J112="OBSOLETO","","INSERT INTO INYCEXT.INYC_CONF_INF_REGLAS (COD_INFORME,TABLA,NOMBRE,REGLA,F_INICIO,F_FIN,DESCRIPCION) VALUES ("&amp;REGLAS!B112&amp;",'"&amp;REGLAS!C112&amp;"','"&amp;REGLAS!D112&amp;"','"&amp;REGLAS!G112&amp;"',TO_DATE('"&amp;REGLAS!H112&amp;"','yyyymmdd'),TO_DATE('"&amp;REGLAS!I112&amp;"','yyyymmdd'),'"&amp;REGLAS!J112&amp;"');")</f>
        <v>INSERT INTO INYCEXT.INYC_CONF_INF_REGLAS (COD_INFORME,TABLA,NOMBRE,REGLA,F_INICIO,F_FIN,DESCRIPCION) VALUES (2.1,'INYC_RAG_RESUMEN','PM - Nº Pólizas Corregidas Inspector RRTT Agentes','PM-E-GEN-Inspector-NumeroPolizasCorregidas-Decesos-Agentes',TO_DATE('20180101','yyyymmdd'),TO_DATE('22000101','yyyymmdd'),'Version 20180117');</v>
      </c>
      <c r="B111" t="str">
        <f>IF(REGLAS!J112="OBSOLETO","","INSERT INTO INYCEXT.INYC_CONF_INF_REGLAS@tc_link (COD_INFORME,TABLA,NOMBRE,REGLA,F_INICIO,F_FIN,DESCRIPCION) VALUES ("&amp;REGLAS!B112&amp;",'"&amp;REGLAS!C112&amp;"','"&amp;REGLAS!D112&amp;"','"&amp;REGLAS!G112&amp;"',TO_DATE('"&amp;REGLAS!H112&amp;"','yyyymmdd'),TO_DATE('"&amp;REGLAS!I112&amp;"','yyyymmdd'),'"&amp;REGLAS!J112&amp;"');")</f>
        <v>INSERT INTO INYCEXT.INYC_CONF_INF_REGLAS@tc_link (COD_INFORME,TABLA,NOMBRE,REGLA,F_INICIO,F_FIN,DESCRIPCION) VALUES (2.1,'INYC_RAG_RESUMEN','PM - Nº Pólizas Corregidas Inspector RRTT Agentes','PM-E-GEN-Inspector-NumeroPolizasCorregidas-Decesos-Agentes',TO_DATE('20180101','yyyymmdd'),TO_DATE('22000101','yyyymmdd'),'Version 20180117');</v>
      </c>
    </row>
    <row r="112" spans="1:2" x14ac:dyDescent="0.25">
      <c r="A112" t="str">
        <f>IF(REGLAS!J113="OBSOLETO","","INSERT INTO INYCEXT.INYC_CONF_INF_REGLAS (COD_INFORME,TABLA,NOMBRE,REGLA,F_INICIO,F_FIN,DESCRIPCION) VALUES ("&amp;REGLAS!B113&amp;",'"&amp;REGLAS!C113&amp;"','"&amp;REGLAS!D113&amp;"','"&amp;REGLAS!G113&amp;"',TO_DATE('"&amp;REGLAS!H113&amp;"','yyyymmdd'),TO_DATE('"&amp;REGLAS!I113&amp;"','yyyymmdd'),'"&amp;REGLAS!J113&amp;"');")</f>
        <v>INSERT INTO INYCEXT.INYC_CONF_INF_REGLAS (COD_INFORME,TABLA,NOMBRE,REGLA,F_INICIO,F_FIN,DESCRIPCION) VALUES (2.1,'INYC_RAG_RESUMEN','PM - Nº Pólizas Corregidas Inspector Prod. Prioritarios Propia','PM-E-GEN-Inspector-NumeroPolizasCorregidas-ProdPrioritarios-Propia',TO_DATE('20180101','yyyymmdd'),TO_DATE('22000101','yyyymmdd'),'Version 20180117');</v>
      </c>
      <c r="B112" t="str">
        <f>IF(REGLAS!J113="OBSOLETO","","INSERT INTO INYCEXT.INYC_CONF_INF_REGLAS@tc_link (COD_INFORME,TABLA,NOMBRE,REGLA,F_INICIO,F_FIN,DESCRIPCION) VALUES ("&amp;REGLAS!B113&amp;",'"&amp;REGLAS!C113&amp;"','"&amp;REGLAS!D113&amp;"','"&amp;REGLAS!G113&amp;"',TO_DATE('"&amp;REGLAS!H113&amp;"','yyyymmdd'),TO_DATE('"&amp;REGLAS!I113&amp;"','yyyymmdd'),'"&amp;REGLAS!J113&amp;"');")</f>
        <v>INSERT INTO INYCEXT.INYC_CONF_INF_REGLAS@tc_link (COD_INFORME,TABLA,NOMBRE,REGLA,F_INICIO,F_FIN,DESCRIPCION) VALUES (2.1,'INYC_RAG_RESUMEN','PM - Nº Pólizas Corregidas Inspector Prod. Prioritarios Propia','PM-E-GEN-Inspector-NumeroPolizasCorregidas-ProdPrioritarios-Propia',TO_DATE('20180101','yyyymmdd'),TO_DATE('22000101','yyyymmdd'),'Version 20180117');</v>
      </c>
    </row>
    <row r="113" spans="1:2" x14ac:dyDescent="0.25">
      <c r="A113" t="str">
        <f>IF(REGLAS!J114="OBSOLETO","","INSERT INTO INYCEXT.INYC_CONF_INF_REGLAS (COD_INFORME,TABLA,NOMBRE,REGLA,F_INICIO,F_FIN,DESCRIPCION) VALUES ("&amp;REGLAS!B114&amp;",'"&amp;REGLAS!C114&amp;"','"&amp;REGLAS!D114&amp;"','"&amp;REGLAS!G114&amp;"',TO_DATE('"&amp;REGLAS!H114&amp;"','yyyymmdd'),TO_DATE('"&amp;REGLAS!I114&amp;"','yyyymmdd'),'"&amp;REGLAS!J114&amp;"');")</f>
        <v>INSERT INTO INYCEXT.INYC_CONF_INF_REGLAS (COD_INFORME,TABLA,NOMBRE,REGLA,F_INICIO,F_FIN,DESCRIPCION) VALUES (2.1,'INYC_RAG_RESUMEN','PM - Nº Pólizas Corregidas Inspector Prod. Prioritarios Agentes','PM-E-GEN-Inspector-NumeroPolizasCorregidas-ProdPrioritarios-Agentes',TO_DATE('20180101','yyyymmdd'),TO_DATE('22000101','yyyymmdd'),'Version 20180117');</v>
      </c>
      <c r="B113" t="str">
        <f>IF(REGLAS!J114="OBSOLETO","","INSERT INTO INYCEXT.INYC_CONF_INF_REGLAS@tc_link (COD_INFORME,TABLA,NOMBRE,REGLA,F_INICIO,F_FIN,DESCRIPCION) VALUES ("&amp;REGLAS!B114&amp;",'"&amp;REGLAS!C114&amp;"','"&amp;REGLAS!D114&amp;"','"&amp;REGLAS!G114&amp;"',TO_DATE('"&amp;REGLAS!H114&amp;"','yyyymmdd'),TO_DATE('"&amp;REGLAS!I114&amp;"','yyyymmdd'),'"&amp;REGLAS!J114&amp;"');")</f>
        <v>INSERT INTO INYCEXT.INYC_CONF_INF_REGLAS@tc_link (COD_INFORME,TABLA,NOMBRE,REGLA,F_INICIO,F_FIN,DESCRIPCION) VALUES (2.1,'INYC_RAG_RESUMEN','PM - Nº Pólizas Corregidas Inspector Prod. Prioritarios Agentes','PM-E-GEN-Inspector-NumeroPolizasCorregidas-ProdPrioritarios-Agentes',TO_DATE('20180101','yyyymmdd'),TO_DATE('22000101','yyyymmdd'),'Version 20180117');</v>
      </c>
    </row>
    <row r="114" spans="1:2" x14ac:dyDescent="0.25">
      <c r="A114" t="str">
        <f>IF(REGLAS!J115="OBSOLETO","","INSERT INTO INYCEXT.INYC_CONF_INF_REGLAS (COD_INFORME,TABLA,NOMBRE,REGLA,F_INICIO,F_FIN,DESCRIPCION) VALUES ("&amp;REGLAS!B115&amp;",'"&amp;REGLAS!C115&amp;"','"&amp;REGLAS!D115&amp;"','"&amp;REGLAS!G115&amp;"',TO_DATE('"&amp;REGLAS!H115&amp;"','yyyymmdd'),TO_DATE('"&amp;REGLAS!I115&amp;"','yyyymmdd'),'"&amp;REGLAS!J115&amp;"');")</f>
        <v>INSERT INTO INYCEXT.INYC_CONF_INF_REGLAS (COD_INFORME,TABLA,NOMBRE,REGLA,F_INICIO,F_FIN,DESCRIPCION) VALUES (2.1,'INYC_RAG_RESUMEN','PM - Prima Corregida 004','PM-E-GEN-Inspector-PrimaCorregida-004',TO_DATE('20140101','yyyymmdd'),TO_DATE('20180101','yyyymmdd'),'Version 20180117');</v>
      </c>
      <c r="B114" t="str">
        <f>IF(REGLAS!J115="OBSOLETO","","INSERT INTO INYCEXT.INYC_CONF_INF_REGLAS@tc_link (COD_INFORME,TABLA,NOMBRE,REGLA,F_INICIO,F_FIN,DESCRIPCION) VALUES ("&amp;REGLAS!B115&amp;",'"&amp;REGLAS!C115&amp;"','"&amp;REGLAS!D115&amp;"','"&amp;REGLAS!G115&amp;"',TO_DATE('"&amp;REGLAS!H115&amp;"','yyyymmdd'),TO_DATE('"&amp;REGLAS!I115&amp;"','yyyymmdd'),'"&amp;REGLAS!J115&amp;"');")</f>
        <v>INSERT INTO INYCEXT.INYC_CONF_INF_REGLAS@tc_link (COD_INFORME,TABLA,NOMBRE,REGLA,F_INICIO,F_FIN,DESCRIPCION) VALUES (2.1,'INYC_RAG_RESUMEN','PM - Prima Corregida 004','PM-E-GEN-Inspector-PrimaCorregida-004',TO_DATE('20140101','yyyymmdd'),TO_DATE('20180101','yyyymmdd'),'Version 20180117');</v>
      </c>
    </row>
    <row r="115" spans="1:2" x14ac:dyDescent="0.25">
      <c r="A115" t="str">
        <f>IF(REGLAS!J116="OBSOLETO","","INSERT INTO INYCEXT.INYC_CONF_INF_REGLAS (COD_INFORME,TABLA,NOMBRE,REGLA,F_INICIO,F_FIN,DESCRIPCION) VALUES ("&amp;REGLAS!B116&amp;",'"&amp;REGLAS!C116&amp;"','"&amp;REGLAS!D116&amp;"','"&amp;REGLAS!G116&amp;"',TO_DATE('"&amp;REGLAS!H116&amp;"','yyyymmdd'),TO_DATE('"&amp;REGLAS!I116&amp;"','yyyymmdd'),'"&amp;REGLAS!J116&amp;"');")</f>
        <v>INSERT INTO INYCEXT.INYC_CONF_INF_REGLAS (COD_INFORME,TABLA,NOMBRE,REGLA,F_INICIO,F_FIN,DESCRIPCION) VALUES (2.1,'INYC_RAG_RESUMEN','PM - Prima Corregida 004 Agentes','PM-E-GEN-Inspector-PrimaCorregida-004-Agentes',TO_DATE('20140101','yyyymmdd'),TO_DATE('20180101','yyyymmdd'),'Version 20180117');</v>
      </c>
      <c r="B115" t="str">
        <f>IF(REGLAS!J116="OBSOLETO","","INSERT INTO INYCEXT.INYC_CONF_INF_REGLAS@tc_link (COD_INFORME,TABLA,NOMBRE,REGLA,F_INICIO,F_FIN,DESCRIPCION) VALUES ("&amp;REGLAS!B116&amp;",'"&amp;REGLAS!C116&amp;"','"&amp;REGLAS!D116&amp;"','"&amp;REGLAS!G116&amp;"',TO_DATE('"&amp;REGLAS!H116&amp;"','yyyymmdd'),TO_DATE('"&amp;REGLAS!I116&amp;"','yyyymmdd'),'"&amp;REGLAS!J116&amp;"');")</f>
        <v>INSERT INTO INYCEXT.INYC_CONF_INF_REGLAS@tc_link (COD_INFORME,TABLA,NOMBRE,REGLA,F_INICIO,F_FIN,DESCRIPCION) VALUES (2.1,'INYC_RAG_RESUMEN','PM - Prima Corregida 004 Agentes','PM-E-GEN-Inspector-PrimaCorregida-004-Agentes',TO_DATE('20140101','yyyymmdd'),TO_DATE('20180101','yyyymmdd'),'Version 20180117');</v>
      </c>
    </row>
    <row r="116" spans="1:2" x14ac:dyDescent="0.25">
      <c r="A116" t="str">
        <f>IF(REGLAS!J117="OBSOLETO","","INSERT INTO INYCEXT.INYC_CONF_INF_REGLAS (COD_INFORME,TABLA,NOMBRE,REGLA,F_INICIO,F_FIN,DESCRIPCION) VALUES ("&amp;REGLAS!B117&amp;",'"&amp;REGLAS!C117&amp;"','"&amp;REGLAS!D117&amp;"','"&amp;REGLAS!G117&amp;"',TO_DATE('"&amp;REGLAS!H117&amp;"','yyyymmdd'),TO_DATE('"&amp;REGLAS!I117&amp;"','yyyymmdd'),'"&amp;REGLAS!J117&amp;"');")</f>
        <v>INSERT INTO INYCEXT.INYC_CONF_INF_REGLAS (COD_INFORME,TABLA,NOMBRE,REGLA,F_INICIO,F_FIN,DESCRIPCION) VALUES (2.1,'INYC_RAG_RESUMEN','PM - Prima Corregida Inspector Prod. Prioritarios Propia','PM-E-GEN-Inspector-PrimaCorregida-ProdPrioritarios-Propia',TO_DATE('20140101','yyyymmdd'),TO_DATE('22000101','yyyymmdd'),'Version 20180117');</v>
      </c>
      <c r="B116" t="str">
        <f>IF(REGLAS!J117="OBSOLETO","","INSERT INTO INYCEXT.INYC_CONF_INF_REGLAS@tc_link (COD_INFORME,TABLA,NOMBRE,REGLA,F_INICIO,F_FIN,DESCRIPCION) VALUES ("&amp;REGLAS!B117&amp;",'"&amp;REGLAS!C117&amp;"','"&amp;REGLAS!D117&amp;"','"&amp;REGLAS!G117&amp;"',TO_DATE('"&amp;REGLAS!H117&amp;"','yyyymmdd'),TO_DATE('"&amp;REGLAS!I117&amp;"','yyyymmdd'),'"&amp;REGLAS!J117&amp;"');")</f>
        <v>INSERT INTO INYCEXT.INYC_CONF_INF_REGLAS@tc_link (COD_INFORME,TABLA,NOMBRE,REGLA,F_INICIO,F_FIN,DESCRIPCION) VALUES (2.1,'INYC_RAG_RESUMEN','PM - Prima Corregida Inspector Prod. Prioritarios Propia','PM-E-GEN-Inspector-PrimaCorregida-ProdPrioritarios-Propia',TO_DATE('20140101','yyyymmdd'),TO_DATE('22000101','yyyymmdd'),'Version 20180117');</v>
      </c>
    </row>
    <row r="117" spans="1:2" x14ac:dyDescent="0.25">
      <c r="A117" t="str">
        <f>IF(REGLAS!J118="OBSOLETO","","INSERT INTO INYCEXT.INYC_CONF_INF_REGLAS (COD_INFORME,TABLA,NOMBRE,REGLA,F_INICIO,F_FIN,DESCRIPCION) VALUES ("&amp;REGLAS!B118&amp;",'"&amp;REGLAS!C118&amp;"','"&amp;REGLAS!D118&amp;"','"&amp;REGLAS!G118&amp;"',TO_DATE('"&amp;REGLAS!H118&amp;"','yyyymmdd'),TO_DATE('"&amp;REGLAS!I118&amp;"','yyyymmdd'),'"&amp;REGLAS!J118&amp;"');")</f>
        <v>INSERT INTO INYCEXT.INYC_CONF_INF_REGLAS (COD_INFORME,TABLA,NOMBRE,REGLA,F_INICIO,F_FIN,DESCRIPCION) VALUES (2.1,'INYC_RAG_RESUMEN','PM - Prima Corregida Inspector Prod. Prioritarios Agentes','PM-E-GEN-Inspector-PrimaCorregida-ProdPrioritarios-Agentes',TO_DATE('20140101','yyyymmdd'),TO_DATE('22000101','yyyymmdd'),'Version 20180117');</v>
      </c>
      <c r="B117" t="str">
        <f>IF(REGLAS!J118="OBSOLETO","","INSERT INTO INYCEXT.INYC_CONF_INF_REGLAS@tc_link (COD_INFORME,TABLA,NOMBRE,REGLA,F_INICIO,F_FIN,DESCRIPCION) VALUES ("&amp;REGLAS!B118&amp;",'"&amp;REGLAS!C118&amp;"','"&amp;REGLAS!D118&amp;"','"&amp;REGLAS!G118&amp;"',TO_DATE('"&amp;REGLAS!H118&amp;"','yyyymmdd'),TO_DATE('"&amp;REGLAS!I118&amp;"','yyyymmdd'),'"&amp;REGLAS!J118&amp;"');")</f>
        <v>INSERT INTO INYCEXT.INYC_CONF_INF_REGLAS@tc_link (COD_INFORME,TABLA,NOMBRE,REGLA,F_INICIO,F_FIN,DESCRIPCION) VALUES (2.1,'INYC_RAG_RESUMEN','PM - Prima Corregida Inspector Prod. Prioritarios Agentes','PM-E-GEN-Inspector-PrimaCorregida-ProdPrioritarios-Agentes',TO_DATE('20140101','yyyymmdd'),TO_DATE('22000101','yyyymmdd'),'Version 20180117');</v>
      </c>
    </row>
    <row r="118" spans="1:2" x14ac:dyDescent="0.25">
      <c r="A118" t="str">
        <f>IF(REGLAS!J119="OBSOLETO","","INSERT INTO INYCEXT.INYC_CONF_INF_REGLAS (COD_INFORME,TABLA,NOMBRE,REGLA,F_INICIO,F_FIN,DESCRIPCION) VALUES ("&amp;REGLAS!B119&amp;",'"&amp;REGLAS!C119&amp;"','"&amp;REGLAS!D119&amp;"','"&amp;REGLAS!G119&amp;"',TO_DATE('"&amp;REGLAS!H119&amp;"','yyyymmdd'),TO_DATE('"&amp;REGLAS!I119&amp;"','yyyymmdd'),'"&amp;REGLAS!J119&amp;"');")</f>
        <v>INSERT INTO INYCEXT.INYC_CONF_INF_REGLAS (COD_INFORME,TABLA,NOMBRE,REGLA,F_INICIO,F_FIN,DESCRIPCION) VALUES (2.1,'INYC_RAG_RESUMEN','SM - Numero Pólizas 004 Total Mes','SM-E-GEN-Inspector-NumeroPolizas-004-TotalMes',TO_DATE('20140101','yyyymmdd'),TO_DATE('20180101','yyyymmdd'),'Version 20180117');</v>
      </c>
      <c r="B118" t="str">
        <f>IF(REGLAS!J119="OBSOLETO","","INSERT INTO INYCEXT.INYC_CONF_INF_REGLAS@tc_link (COD_INFORME,TABLA,NOMBRE,REGLA,F_INICIO,F_FIN,DESCRIPCION) VALUES ("&amp;REGLAS!B119&amp;",'"&amp;REGLAS!C119&amp;"','"&amp;REGLAS!D119&amp;"','"&amp;REGLAS!G119&amp;"',TO_DATE('"&amp;REGLAS!H119&amp;"','yyyymmdd'),TO_DATE('"&amp;REGLAS!I119&amp;"','yyyymmdd'),'"&amp;REGLAS!J119&amp;"');")</f>
        <v>INSERT INTO INYCEXT.INYC_CONF_INF_REGLAS@tc_link (COD_INFORME,TABLA,NOMBRE,REGLA,F_INICIO,F_FIN,DESCRIPCION) VALUES (2.1,'INYC_RAG_RESUMEN','SM - Numero Pólizas 004 Total Mes','SM-E-GEN-Inspector-NumeroPolizas-004-TotalMes',TO_DATE('20140101','yyyymmdd'),TO_DATE('20180101','yyyymmdd'),'Version 20180117');</v>
      </c>
    </row>
    <row r="119" spans="1:2" x14ac:dyDescent="0.25">
      <c r="A119" t="str">
        <f>IF(REGLAS!J120="OBSOLETO","","INSERT INTO INYCEXT.INYC_CONF_INF_REGLAS (COD_INFORME,TABLA,NOMBRE,REGLA,F_INICIO,F_FIN,DESCRIPCION) VALUES ("&amp;REGLAS!B120&amp;",'"&amp;REGLAS!C120&amp;"','"&amp;REGLAS!D120&amp;"','"&amp;REGLAS!G120&amp;"',TO_DATE('"&amp;REGLAS!H120&amp;"','yyyymmdd'),TO_DATE('"&amp;REGLAS!I120&amp;"','yyyymmdd'),'"&amp;REGLAS!J120&amp;"');")</f>
        <v>INSERT INTO INYCEXT.INYC_CONF_INF_REGLAS (COD_INFORME,TABLA,NOMBRE,REGLA,F_INICIO,F_FIN,DESCRIPCION) VALUES (2.1,'INYC_RAG_RESUMEN','SM - Nº Pólizas Corregidas Inspector Prod. Prioritarios Mensual','SM-E-GEN-Inspector-NumeroPolizasCorregidas-ProdPrioritarios-TotalMes',TO_DATE('20180101','yyyymmdd'),TO_DATE('22000101','yyyymmdd'),'Version 20180117');</v>
      </c>
      <c r="B119" t="str">
        <f>IF(REGLAS!J120="OBSOLETO","","INSERT INTO INYCEXT.INYC_CONF_INF_REGLAS@tc_link (COD_INFORME,TABLA,NOMBRE,REGLA,F_INICIO,F_FIN,DESCRIPCION) VALUES ("&amp;REGLAS!B120&amp;",'"&amp;REGLAS!C120&amp;"','"&amp;REGLAS!D120&amp;"','"&amp;REGLAS!G120&amp;"',TO_DATE('"&amp;REGLAS!H120&amp;"','yyyymmdd'),TO_DATE('"&amp;REGLAS!I120&amp;"','yyyymmdd'),'"&amp;REGLAS!J120&amp;"');")</f>
        <v>INSERT INTO INYCEXT.INYC_CONF_INF_REGLAS@tc_link (COD_INFORME,TABLA,NOMBRE,REGLA,F_INICIO,F_FIN,DESCRIPCION) VALUES (2.1,'INYC_RAG_RESUMEN','SM - Nº Pólizas Corregidas Inspector Prod. Prioritarios Mensual','SM-E-GEN-Inspector-NumeroPolizasCorregidas-ProdPrioritarios-TotalMes',TO_DATE('20180101','yyyymmdd'),TO_DATE('22000101','yyyymmdd'),'Version 20180117');</v>
      </c>
    </row>
    <row r="120" spans="1:2" x14ac:dyDescent="0.25">
      <c r="A120" t="str">
        <f>IF(REGLAS!J121="OBSOLETO","","INSERT INTO INYCEXT.INYC_CONF_INF_REGLAS (COD_INFORME,TABLA,NOMBRE,REGLA,F_INICIO,F_FIN,DESCRIPCION) VALUES ("&amp;REGLAS!B121&amp;",'"&amp;REGLAS!C121&amp;"','"&amp;REGLAS!D121&amp;"','"&amp;REGLAS!G121&amp;"',TO_DATE('"&amp;REGLAS!H121&amp;"','yyyymmdd'),TO_DATE('"&amp;REGLAS!I121&amp;"','yyyymmdd'),'"&amp;REGLAS!J121&amp;"');")</f>
        <v>INSERT INTO INYCEXT.INYC_CONF_INF_REGLAS (COD_INFORME,TABLA,NOMBRE,REGLA,F_INICIO,F_FIN,DESCRIPCION) VALUES (2.1,'INYC_RAG_RESUMEN','SM - Prima Corregida 004 Total Mes','SM-E-GEN-Inspector-PrimaCorregida-004-TotalMes',TO_DATE('20140101','yyyymmdd'),TO_DATE('20180101','yyyymmdd'),'Version 20180117');</v>
      </c>
      <c r="B120" t="str">
        <f>IF(REGLAS!J121="OBSOLETO","","INSERT INTO INYCEXT.INYC_CONF_INF_REGLAS@tc_link (COD_INFORME,TABLA,NOMBRE,REGLA,F_INICIO,F_FIN,DESCRIPCION) VALUES ("&amp;REGLAS!B121&amp;",'"&amp;REGLAS!C121&amp;"','"&amp;REGLAS!D121&amp;"','"&amp;REGLAS!G121&amp;"',TO_DATE('"&amp;REGLAS!H121&amp;"','yyyymmdd'),TO_DATE('"&amp;REGLAS!I121&amp;"','yyyymmdd'),'"&amp;REGLAS!J121&amp;"');")</f>
        <v>INSERT INTO INYCEXT.INYC_CONF_INF_REGLAS@tc_link (COD_INFORME,TABLA,NOMBRE,REGLA,F_INICIO,F_FIN,DESCRIPCION) VALUES (2.1,'INYC_RAG_RESUMEN','SM - Prima Corregida 004 Total Mes','SM-E-GEN-Inspector-PrimaCorregida-004-TotalMes',TO_DATE('20140101','yyyymmdd'),TO_DATE('20180101','yyyymmdd'),'Version 20180117');</v>
      </c>
    </row>
    <row r="121" spans="1:2" x14ac:dyDescent="0.25">
      <c r="A121" t="str">
        <f>IF(REGLAS!J122="OBSOLETO","","INSERT INTO INYCEXT.INYC_CONF_INF_REGLAS (COD_INFORME,TABLA,NOMBRE,REGLA,F_INICIO,F_FIN,DESCRIPCION) VALUES ("&amp;REGLAS!B122&amp;",'"&amp;REGLAS!C122&amp;"','"&amp;REGLAS!D122&amp;"','"&amp;REGLAS!G122&amp;"',TO_DATE('"&amp;REGLAS!H122&amp;"','yyyymmdd'),TO_DATE('"&amp;REGLAS!I122&amp;"','yyyymmdd'),'"&amp;REGLAS!J122&amp;"');")</f>
        <v>INSERT INTO INYCEXT.INYC_CONF_INF_REGLAS (COD_INFORME,TABLA,NOMBRE,REGLA,F_INICIO,F_FIN,DESCRIPCION) VALUES (2.1,'INYC_RAG_RESUMEN','SM - Prima Corregida Inspector Prod. Prioritarios Mensual','SM-E-GEN-Inspector-PrimaCorregida-ProdPrioritarios-TotalMes',TO_DATE('20140101','yyyymmdd'),TO_DATE('22000101','yyyymmdd'),'Version 20180117');</v>
      </c>
      <c r="B121" t="str">
        <f>IF(REGLAS!J122="OBSOLETO","","INSERT INTO INYCEXT.INYC_CONF_INF_REGLAS@tc_link (COD_INFORME,TABLA,NOMBRE,REGLA,F_INICIO,F_FIN,DESCRIPCION) VALUES ("&amp;REGLAS!B122&amp;",'"&amp;REGLAS!C122&amp;"','"&amp;REGLAS!D122&amp;"','"&amp;REGLAS!G122&amp;"',TO_DATE('"&amp;REGLAS!H122&amp;"','yyyymmdd'),TO_DATE('"&amp;REGLAS!I122&amp;"','yyyymmdd'),'"&amp;REGLAS!J122&amp;"');")</f>
        <v>INSERT INTO INYCEXT.INYC_CONF_INF_REGLAS@tc_link (COD_INFORME,TABLA,NOMBRE,REGLA,F_INICIO,F_FIN,DESCRIPCION) VALUES (2.1,'INYC_RAG_RESUMEN','SM - Prima Corregida Inspector Prod. Prioritarios Mensual','SM-E-GEN-Inspector-PrimaCorregida-ProdPrioritarios-TotalMes',TO_DATE('20140101','yyyymmdd'),TO_DATE('22000101','yyyymmdd'),'Version 20180117');</v>
      </c>
    </row>
    <row r="122" spans="1:2" x14ac:dyDescent="0.25">
      <c r="A122" t="str">
        <f>IF(REGLAS!J123="OBSOLETO","","INSERT INTO INYCEXT.INYC_CONF_INF_REGLAS (COD_INFORME,TABLA,NOMBRE,REGLA,F_INICIO,F_FIN,DESCRIPCION) VALUES ("&amp;REGLAS!B123&amp;",'"&amp;REGLAS!C123&amp;"','"&amp;REGLAS!D123&amp;"','"&amp;REGLAS!G123&amp;"',TO_DATE('"&amp;REGLAS!H123&amp;"','yyyymmdd'),TO_DATE('"&amp;REGLAS!I123&amp;"','yyyymmdd'),'"&amp;REGLAS!J123&amp;"');")</f>
        <v>INSERT INTO INYCEXT.INYC_CONF_INF_REGLAS (COD_INFORME,TABLA,NOMBRE,REGLA,F_INICIO,F_FIN,DESCRIPCION) VALUES (2.1,'INYC_RAG_RESUMEN','SM - Pago Mensual Rappel Primas','SM-E-RP2-Inspector-PagoMensual',TO_DATE('20140101','yyyymmdd'),TO_DATE('22000101','yyyymmdd'),'');</v>
      </c>
      <c r="B122" t="str">
        <f>IF(REGLAS!J123="OBSOLETO","","INSERT INTO INYCEXT.INYC_CONF_INF_REGLAS@tc_link (COD_INFORME,TABLA,NOMBRE,REGLA,F_INICIO,F_FIN,DESCRIPCION) VALUES ("&amp;REGLAS!B123&amp;",'"&amp;REGLAS!C123&amp;"','"&amp;REGLAS!D123&amp;"','"&amp;REGLAS!G123&amp;"',TO_DATE('"&amp;REGLAS!H123&amp;"','yyyymmdd'),TO_DATE('"&amp;REGLAS!I123&amp;"','yyyymmdd'),'"&amp;REGLAS!J123&amp;"');")</f>
        <v>INSERT INTO INYCEXT.INYC_CONF_INF_REGLAS@tc_link (COD_INFORME,TABLA,NOMBRE,REGLA,F_INICIO,F_FIN,DESCRIPCION) VALUES (2.1,'INYC_RAG_RESUMEN','SM - Pago Mensual Rappel Primas','SM-E-RP2-Inspector-PagoMensual',TO_DATE('20140101','yyyymmdd'),TO_DATE('22000101','yyyymmdd'),'');</v>
      </c>
    </row>
    <row r="123" spans="1:2" x14ac:dyDescent="0.25">
      <c r="A123" t="str">
        <f>IF(REGLAS!J124="OBSOLETO","","INSERT INTO INYCEXT.INYC_CONF_INF_REGLAS (COD_INFORME,TABLA,NOMBRE,REGLA,F_INICIO,F_FIN,DESCRIPCION) VALUES ("&amp;REGLAS!B124&amp;",'"&amp;REGLAS!C124&amp;"','"&amp;REGLAS!D124&amp;"','"&amp;REGLAS!G124&amp;"',TO_DATE('"&amp;REGLAS!H124&amp;"','yyyymmdd'),TO_DATE('"&amp;REGLAS!I124&amp;"','yyyymmdd'),'"&amp;REGLAS!J124&amp;"');")</f>
        <v>INSERT INTO INYCEXT.INYC_CONF_INF_REGLAS (COD_INFORME,TABLA,NOMBRE,REGLA,F_INICIO,F_FIN,DESCRIPCION) VALUES (2.1,'INYC_RAG_RESUMEN','SM - Pago Mensual Superrapel','SM-E-SP-Inspector-PagoMensual',TO_DATE('20140101','yyyymmdd'),TO_DATE('22000101','yyyymmdd'),'');</v>
      </c>
      <c r="B123" t="str">
        <f>IF(REGLAS!J124="OBSOLETO","","INSERT INTO INYCEXT.INYC_CONF_INF_REGLAS@tc_link (COD_INFORME,TABLA,NOMBRE,REGLA,F_INICIO,F_FIN,DESCRIPCION) VALUES ("&amp;REGLAS!B124&amp;",'"&amp;REGLAS!C124&amp;"','"&amp;REGLAS!D124&amp;"','"&amp;REGLAS!G124&amp;"',TO_DATE('"&amp;REGLAS!H124&amp;"','yyyymmdd'),TO_DATE('"&amp;REGLAS!I124&amp;"','yyyymmdd'),'"&amp;REGLAS!J124&amp;"');")</f>
        <v>INSERT INTO INYCEXT.INYC_CONF_INF_REGLAS@tc_link (COD_INFORME,TABLA,NOMBRE,REGLA,F_INICIO,F_FIN,DESCRIPCION) VALUES (2.1,'INYC_RAG_RESUMEN','SM - Pago Mensual Superrapel','SM-E-SP-Inspector-PagoMensual',TO_DATE('20140101','yyyymmdd'),TO_DATE('22000101','yyyymmdd'),'');</v>
      </c>
    </row>
    <row r="124" spans="1:2" x14ac:dyDescent="0.25">
      <c r="A124" t="str">
        <f>IF(REGLAS!J125="OBSOLETO","","INSERT INTO INYCEXT.INYC_CONF_INF_REGLAS (COD_INFORME,TABLA,NOMBRE,REGLA,F_INICIO,F_FIN,DESCRIPCION) VALUES ("&amp;REGLAS!B125&amp;",'"&amp;REGLAS!C125&amp;"','"&amp;REGLAS!D125&amp;"','"&amp;REGLAS!G125&amp;"',TO_DATE('"&amp;REGLAS!H125&amp;"','yyyymmdd'),TO_DATE('"&amp;REGLAS!I125&amp;"','yyyymmdd'),'"&amp;REGLAS!J125&amp;"');")</f>
        <v/>
      </c>
      <c r="B124" t="str">
        <f>IF(REGLAS!J125="OBSOLETO","","INSERT INTO INYCEXT.INYC_CONF_INF_REGLAS@tc_link (COD_INFORME,TABLA,NOMBRE,REGLA,F_INICIO,F_FIN,DESCRIPCION) VALUES ("&amp;REGLAS!B125&amp;",'"&amp;REGLAS!C125&amp;"','"&amp;REGLAS!D125&amp;"','"&amp;REGLAS!G125&amp;"',TO_DATE('"&amp;REGLAS!H125&amp;"','yyyymmdd'),TO_DATE('"&amp;REGLAS!I125&amp;"','yyyymmdd'),'"&amp;REGLAS!J125&amp;"');")</f>
        <v/>
      </c>
    </row>
    <row r="125" spans="1:2" x14ac:dyDescent="0.25">
      <c r="A125" t="str">
        <f>IF(REGLAS!J126="OBSOLETO","","INSERT INTO INYCEXT.INYC_CONF_INF_REGLAS (COD_INFORME,TABLA,NOMBRE,REGLA,F_INICIO,F_FIN,DESCRIPCION) VALUES ("&amp;REGLAS!B126&amp;",'"&amp;REGLAS!C126&amp;"','"&amp;REGLAS!D126&amp;"','"&amp;REGLAS!G126&amp;"',TO_DATE('"&amp;REGLAS!H126&amp;"','yyyymmdd'),TO_DATE('"&amp;REGLAS!I126&amp;"','yyyymmdd'),'"&amp;REGLAS!J126&amp;"');")</f>
        <v/>
      </c>
      <c r="B125" t="str">
        <f>IF(REGLAS!J126="OBSOLETO","","INSERT INTO INYCEXT.INYC_CONF_INF_REGLAS@tc_link (COD_INFORME,TABLA,NOMBRE,REGLA,F_INICIO,F_FIN,DESCRIPCION) VALUES ("&amp;REGLAS!B126&amp;",'"&amp;REGLAS!C126&amp;"','"&amp;REGLAS!D126&amp;"','"&amp;REGLAS!G126&amp;"',TO_DATE('"&amp;REGLAS!H126&amp;"','yyyymmdd'),TO_DATE('"&amp;REGLAS!I126&amp;"','yyyymmdd'),'"&amp;REGLAS!J126&amp;"');")</f>
        <v/>
      </c>
    </row>
    <row r="126" spans="1:2" x14ac:dyDescent="0.25">
      <c r="A126" t="str">
        <f>IF(REGLAS!J127="OBSOLETO","","INSERT INTO INYCEXT.INYC_CONF_INF_REGLAS (COD_INFORME,TABLA,NOMBRE,REGLA,F_INICIO,F_FIN,DESCRIPCION) VALUES ("&amp;REGLAS!B127&amp;",'"&amp;REGLAS!C127&amp;"','"&amp;REGLAS!D127&amp;"','"&amp;REGLAS!G127&amp;"',TO_DATE('"&amp;REGLAS!H127&amp;"','yyyymmdd'),TO_DATE('"&amp;REGLAS!I127&amp;"','yyyymmdd'),'"&amp;REGLAS!J127&amp;"');")</f>
        <v/>
      </c>
      <c r="B126" t="str">
        <f>IF(REGLAS!J127="OBSOLETO","","INSERT INTO INYCEXT.INYC_CONF_INF_REGLAS@tc_link (COD_INFORME,TABLA,NOMBRE,REGLA,F_INICIO,F_FIN,DESCRIPCION) VALUES ("&amp;REGLAS!B127&amp;",'"&amp;REGLAS!C127&amp;"','"&amp;REGLAS!D127&amp;"','"&amp;REGLAS!G127&amp;"',TO_DATE('"&amp;REGLAS!H127&amp;"','yyyymmdd'),TO_DATE('"&amp;REGLAS!I127&amp;"','yyyymmdd'),'"&amp;REGLAS!J127&amp;"');")</f>
        <v/>
      </c>
    </row>
    <row r="127" spans="1:2" x14ac:dyDescent="0.25">
      <c r="A127" t="str">
        <f>IF(REGLAS!J128="OBSOLETO","","INSERT INTO INYCEXT.INYC_CONF_INF_REGLAS (COD_INFORME,TABLA,NOMBRE,REGLA,F_INICIO,F_FIN,DESCRIPCION) VALUES ("&amp;REGLAS!B128&amp;",'"&amp;REGLAS!C128&amp;"','"&amp;REGLAS!D128&amp;"','"&amp;REGLAS!G128&amp;"',TO_DATE('"&amp;REGLAS!H128&amp;"','yyyymmdd'),TO_DATE('"&amp;REGLAS!I128&amp;"','yyyymmdd'),'"&amp;REGLAS!J128&amp;"');")</f>
        <v/>
      </c>
      <c r="B127" t="str">
        <f>IF(REGLAS!J128="OBSOLETO","","INSERT INTO INYCEXT.INYC_CONF_INF_REGLAS@tc_link (COD_INFORME,TABLA,NOMBRE,REGLA,F_INICIO,F_FIN,DESCRIPCION) VALUES ("&amp;REGLAS!B128&amp;",'"&amp;REGLAS!C128&amp;"','"&amp;REGLAS!D128&amp;"','"&amp;REGLAS!G128&amp;"',TO_DATE('"&amp;REGLAS!H128&amp;"','yyyymmdd'),TO_DATE('"&amp;REGLAS!I128&amp;"','yyyymmdd'),'"&amp;REGLAS!J128&amp;"');")</f>
        <v/>
      </c>
    </row>
    <row r="128" spans="1:2" x14ac:dyDescent="0.25">
      <c r="A128" t="str">
        <f>IF(REGLAS!J129="OBSOLETO","","INSERT INTO INYCEXT.INYC_CONF_INF_REGLAS (COD_INFORME,TABLA,NOMBRE,REGLA,F_INICIO,F_FIN,DESCRIPCION) VALUES ("&amp;REGLAS!B129&amp;",'"&amp;REGLAS!C129&amp;"','"&amp;REGLAS!D129&amp;"','"&amp;REGLAS!G129&amp;"',TO_DATE('"&amp;REGLAS!H129&amp;"','yyyymmdd'),TO_DATE('"&amp;REGLAS!I129&amp;"','yyyymmdd'),'"&amp;REGLAS!J129&amp;"');")</f>
        <v/>
      </c>
      <c r="B128" t="str">
        <f>IF(REGLAS!J129="OBSOLETO","","INSERT INTO INYCEXT.INYC_CONF_INF_REGLAS@tc_link (COD_INFORME,TABLA,NOMBRE,REGLA,F_INICIO,F_FIN,DESCRIPCION) VALUES ("&amp;REGLAS!B129&amp;",'"&amp;REGLAS!C129&amp;"','"&amp;REGLAS!D129&amp;"','"&amp;REGLAS!G129&amp;"',TO_DATE('"&amp;REGLAS!H129&amp;"','yyyymmdd'),TO_DATE('"&amp;REGLAS!I129&amp;"','yyyymmdd'),'"&amp;REGLAS!J129&amp;"');")</f>
        <v/>
      </c>
    </row>
    <row r="129" spans="1:2" x14ac:dyDescent="0.25">
      <c r="A129" t="str">
        <f>IF(REGLAS!J130="OBSOLETO","","INSERT INTO INYCEXT.INYC_CONF_INF_REGLAS (COD_INFORME,TABLA,NOMBRE,REGLA,F_INICIO,F_FIN,DESCRIPCION) VALUES ("&amp;REGLAS!B130&amp;",'"&amp;REGLAS!C130&amp;"','"&amp;REGLAS!D130&amp;"','"&amp;REGLAS!G130&amp;"',TO_DATE('"&amp;REGLAS!H130&amp;"','yyyymmdd'),TO_DATE('"&amp;REGLAS!I130&amp;"','yyyymmdd'),'"&amp;REGLAS!J130&amp;"');")</f>
        <v/>
      </c>
      <c r="B129" t="str">
        <f>IF(REGLAS!J130="OBSOLETO","","INSERT INTO INYCEXT.INYC_CONF_INF_REGLAS@tc_link (COD_INFORME,TABLA,NOMBRE,REGLA,F_INICIO,F_FIN,DESCRIPCION) VALUES ("&amp;REGLAS!B130&amp;",'"&amp;REGLAS!C130&amp;"','"&amp;REGLAS!D130&amp;"','"&amp;REGLAS!G130&amp;"',TO_DATE('"&amp;REGLAS!H130&amp;"','yyyymmdd'),TO_DATE('"&amp;REGLAS!I130&amp;"','yyyymmdd'),'"&amp;REGLAS!J130&amp;"');")</f>
        <v/>
      </c>
    </row>
    <row r="130" spans="1:2" x14ac:dyDescent="0.25">
      <c r="A130" t="str">
        <f>IF(REGLAS!J131="OBSOLETO","","INSERT INTO INYCEXT.INYC_CONF_INF_REGLAS (COD_INFORME,TABLA,NOMBRE,REGLA,F_INICIO,F_FIN,DESCRIPCION) VALUES ("&amp;REGLAS!B131&amp;",'"&amp;REGLAS!C131&amp;"','"&amp;REGLAS!D131&amp;"','"&amp;REGLAS!G131&amp;"',TO_DATE('"&amp;REGLAS!H131&amp;"','yyyymmdd'),TO_DATE('"&amp;REGLAS!I131&amp;"','yyyymmdd'),'"&amp;REGLAS!J131&amp;"');")</f>
        <v/>
      </c>
      <c r="B130" t="str">
        <f>IF(REGLAS!J131="OBSOLETO","","INSERT INTO INYCEXT.INYC_CONF_INF_REGLAS@tc_link (COD_INFORME,TABLA,NOMBRE,REGLA,F_INICIO,F_FIN,DESCRIPCION) VALUES ("&amp;REGLAS!B131&amp;",'"&amp;REGLAS!C131&amp;"','"&amp;REGLAS!D131&amp;"','"&amp;REGLAS!G131&amp;"',TO_DATE('"&amp;REGLAS!H131&amp;"','yyyymmdd'),TO_DATE('"&amp;REGLAS!I131&amp;"','yyyymmdd'),'"&amp;REGLAS!J131&amp;"');")</f>
        <v/>
      </c>
    </row>
    <row r="131" spans="1:2" x14ac:dyDescent="0.25">
      <c r="A131" t="str">
        <f>IF(REGLAS!J132="OBSOLETO","","INSERT INTO INYCEXT.INYC_CONF_INF_REGLAS (COD_INFORME,TABLA,NOMBRE,REGLA,F_INICIO,F_FIN,DESCRIPCION) VALUES ("&amp;REGLAS!B132&amp;",'"&amp;REGLAS!C132&amp;"','"&amp;REGLAS!D132&amp;"','"&amp;REGLAS!G132&amp;"',TO_DATE('"&amp;REGLAS!H132&amp;"','yyyymmdd'),TO_DATE('"&amp;REGLAS!I132&amp;"','yyyymmdd'),'"&amp;REGLAS!J132&amp;"');")</f>
        <v>INSERT INTO INYCEXT.INYC_CONF_INF_REGLAS (COD_INFORME,TABLA,NOMBRE,REGLA,F_INICIO,F_FIN,DESCRIPCION) VALUES (2.2,'INYC_RAG_DETALLE','DC - Primas Corregidas 998','DC-E-GEN-Inspector-PrimaCorregida-998',TO_DATE('20140101','yyyymmdd'),TO_DATE('22000101','yyyymmdd'),'Version 20180119');</v>
      </c>
      <c r="B131" t="str">
        <f>IF(REGLAS!J132="OBSOLETO","","INSERT INTO INYCEXT.INYC_CONF_INF_REGLAS@tc_link (COD_INFORME,TABLA,NOMBRE,REGLA,F_INICIO,F_FIN,DESCRIPCION) VALUES ("&amp;REGLAS!B132&amp;",'"&amp;REGLAS!C132&amp;"','"&amp;REGLAS!D132&amp;"','"&amp;REGLAS!G132&amp;"',TO_DATE('"&amp;REGLAS!H132&amp;"','yyyymmdd'),TO_DATE('"&amp;REGLAS!I132&amp;"','yyyymmdd'),'"&amp;REGLAS!J132&amp;"');")</f>
        <v>INSERT INTO INYCEXT.INYC_CONF_INF_REGLAS@tc_link (COD_INFORME,TABLA,NOMBRE,REGLA,F_INICIO,F_FIN,DESCRIPCION) VALUES (2.2,'INYC_RAG_DETALLE','DC - Primas Corregidas 998','DC-E-GEN-Inspector-PrimaCorregida-998',TO_DATE('20140101','yyyymmdd'),TO_DATE('22000101','yyyymmdd'),'Version 20180119');</v>
      </c>
    </row>
    <row r="132" spans="1:2" x14ac:dyDescent="0.25">
      <c r="A132" t="str">
        <f>IF(REGLAS!J133="OBSOLETO","","INSERT INTO INYCEXT.INYC_CONF_INF_REGLAS (COD_INFORME,TABLA,NOMBRE,REGLA,F_INICIO,F_FIN,DESCRIPCION) VALUES ("&amp;REGLAS!B133&amp;",'"&amp;REGLAS!C133&amp;"','"&amp;REGLAS!D133&amp;"','"&amp;REGLAS!G133&amp;"',TO_DATE('"&amp;REGLAS!H133&amp;"','yyyymmdd'),TO_DATE('"&amp;REGLAS!I133&amp;"','yyyymmdd'),'"&amp;REGLAS!J133&amp;"');")</f>
        <v>INSERT INTO INYCEXT.INYC_CONF_INF_REGLAS (COD_INFORME,TABLA,NOMBRE,REGLA,F_INICIO,F_FIN,DESCRIPCION) VALUES (2.2,'INYC_RAG_DETALLE','IC - Primas Corregidas 998','IC-E-GEN-Inspector-PrimaCorregida-998',TO_DATE('20140101','yyyymmdd'),TO_DATE('22000101','yyyymmdd'),'Version 20180119');</v>
      </c>
      <c r="B132" t="str">
        <f>IF(REGLAS!J133="OBSOLETO","","INSERT INTO INYCEXT.INYC_CONF_INF_REGLAS@tc_link (COD_INFORME,TABLA,NOMBRE,REGLA,F_INICIO,F_FIN,DESCRIPCION) VALUES ("&amp;REGLAS!B133&amp;",'"&amp;REGLAS!C133&amp;"','"&amp;REGLAS!D133&amp;"','"&amp;REGLAS!G133&amp;"',TO_DATE('"&amp;REGLAS!H133&amp;"','yyyymmdd'),TO_DATE('"&amp;REGLAS!I133&amp;"','yyyymmdd'),'"&amp;REGLAS!J133&amp;"');")</f>
        <v>INSERT INTO INYCEXT.INYC_CONF_INF_REGLAS@tc_link (COD_INFORME,TABLA,NOMBRE,REGLA,F_INICIO,F_FIN,DESCRIPCION) VALUES (2.2,'INYC_RAG_DETALLE','IC - Primas Corregidas 998','IC-E-GEN-Inspector-PrimaCorregida-998',TO_DATE('20140101','yyyymmdd'),TO_DATE('22000101','yyyymmdd'),'Version 20180119');</v>
      </c>
    </row>
    <row r="133" spans="1:2" x14ac:dyDescent="0.25">
      <c r="A133" t="str">
        <f>IF(REGLAS!J134="OBSOLETO","","INSERT INTO INYCEXT.INYC_CONF_INF_REGLAS (COD_INFORME,TABLA,NOMBRE,REGLA,F_INICIO,F_FIN,DESCRIPCION) VALUES ("&amp;REGLAS!B134&amp;",'"&amp;REGLAS!C134&amp;"','"&amp;REGLAS!D134&amp;"','"&amp;REGLAS!G134&amp;"',TO_DATE('"&amp;REGLAS!H134&amp;"','yyyymmdd'),TO_DATE('"&amp;REGLAS!I134&amp;"','yyyymmdd'),'"&amp;REGLAS!J134&amp;"');")</f>
        <v>INSERT INTO INYCEXT.INYC_CONF_INF_REGLAS (COD_INFORME,TABLA,NOMBRE,REGLA,F_INICIO,F_FIN,DESCRIPCION) VALUES (2.2,'INYC_RAG_DETALLE','DC - Numero Pólizas 998','DC-E-GEN-Inspector-NumeroPolizas-998',TO_DATE('20140101','yyyymmdd'),TO_DATE('22000101','yyyymmdd'),'Version 20180119');</v>
      </c>
      <c r="B133" t="str">
        <f>IF(REGLAS!J134="OBSOLETO","","INSERT INTO INYCEXT.INYC_CONF_INF_REGLAS@tc_link (COD_INFORME,TABLA,NOMBRE,REGLA,F_INICIO,F_FIN,DESCRIPCION) VALUES ("&amp;REGLAS!B134&amp;",'"&amp;REGLAS!C134&amp;"','"&amp;REGLAS!D134&amp;"','"&amp;REGLAS!G134&amp;"',TO_DATE('"&amp;REGLAS!H134&amp;"','yyyymmdd'),TO_DATE('"&amp;REGLAS!I134&amp;"','yyyymmdd'),'"&amp;REGLAS!J134&amp;"');")</f>
        <v>INSERT INTO INYCEXT.INYC_CONF_INF_REGLAS@tc_link (COD_INFORME,TABLA,NOMBRE,REGLA,F_INICIO,F_FIN,DESCRIPCION) VALUES (2.2,'INYC_RAG_DETALLE','DC - Numero Pólizas 998','DC-E-GEN-Inspector-NumeroPolizas-998',TO_DATE('20140101','yyyymmdd'),TO_DATE('22000101','yyyymmdd'),'Version 20180119');</v>
      </c>
    </row>
    <row r="134" spans="1:2" x14ac:dyDescent="0.25">
      <c r="A134" t="str">
        <f>IF(REGLAS!J135="OBSOLETO","","INSERT INTO INYCEXT.INYC_CONF_INF_REGLAS (COD_INFORME,TABLA,NOMBRE,REGLA,F_INICIO,F_FIN,DESCRIPCION) VALUES ("&amp;REGLAS!B135&amp;",'"&amp;REGLAS!C135&amp;"','"&amp;REGLAS!D135&amp;"','"&amp;REGLAS!G135&amp;"',TO_DATE('"&amp;REGLAS!H135&amp;"','yyyymmdd'),TO_DATE('"&amp;REGLAS!I135&amp;"','yyyymmdd'),'"&amp;REGLAS!J135&amp;"');")</f>
        <v>INSERT INTO INYCEXT.INYC_CONF_INF_REGLAS (COD_INFORME,TABLA,NOMBRE,REGLA,F_INICIO,F_FIN,DESCRIPCION) VALUES (2.2,'INYC_RAG_DETALLE','IC - Numero Pólizas 998','IC-E-GEN-Inspector-NumeroPolizas-998',TO_DATE('20140101','yyyymmdd'),TO_DATE('22000101','yyyymmdd'),'Version 20180119');</v>
      </c>
      <c r="B134" t="str">
        <f>IF(REGLAS!J135="OBSOLETO","","INSERT INTO INYCEXT.INYC_CONF_INF_REGLAS@tc_link (COD_INFORME,TABLA,NOMBRE,REGLA,F_INICIO,F_FIN,DESCRIPCION) VALUES ("&amp;REGLAS!B135&amp;",'"&amp;REGLAS!C135&amp;"','"&amp;REGLAS!D135&amp;"','"&amp;REGLAS!G135&amp;"',TO_DATE('"&amp;REGLAS!H135&amp;"','yyyymmdd'),TO_DATE('"&amp;REGLAS!I135&amp;"','yyyymmdd'),'"&amp;REGLAS!J135&amp;"');")</f>
        <v>INSERT INTO INYCEXT.INYC_CONF_INF_REGLAS@tc_link (COD_INFORME,TABLA,NOMBRE,REGLA,F_INICIO,F_FIN,DESCRIPCION) VALUES (2.2,'INYC_RAG_DETALLE','IC - Numero Pólizas 998','IC-E-GEN-Inspector-NumeroPolizas-998',TO_DATE('20140101','yyyymmdd'),TO_DATE('22000101','yyyymmdd'),'Version 20180119');</v>
      </c>
    </row>
    <row r="135" spans="1:2" x14ac:dyDescent="0.25">
      <c r="A135" t="str">
        <f>IF(REGLAS!J136="OBSOLETO","","INSERT INTO INYCEXT.INYC_CONF_INF_REGLAS (COD_INFORME,TABLA,NOMBRE,REGLA,F_INICIO,F_FIN,DESCRIPCION) VALUES ("&amp;REGLAS!B136&amp;",'"&amp;REGLAS!C136&amp;"','"&amp;REGLAS!D136&amp;"','"&amp;REGLAS!G136&amp;"',TO_DATE('"&amp;REGLAS!H136&amp;"','yyyymmdd'),TO_DATE('"&amp;REGLAS!I136&amp;"','yyyymmdd'),'"&amp;REGLAS!J136&amp;"');")</f>
        <v>INSERT INTO INYCEXT.INYC_CONF_INF_REGLAS (COD_INFORME,TABLA,NOMBRE,REGLA,F_INICIO,F_FIN,DESCRIPCION) VALUES (2.3,'INYC_RAGT_RESUMEN','PM - Prima Corregida Inspector Prod. Prioritarios Propia','PM-E-GEN-Inspector-PrimaCorregida-ProdPrioritarios-Propia',TO_DATE('20190101','yyyymmdd'),TO_DATE('22000101','yyyymmdd'),'Version 20190205');</v>
      </c>
      <c r="B135" t="str">
        <f>IF(REGLAS!J136="OBSOLETO","","INSERT INTO INYCEXT.INYC_CONF_INF_REGLAS@tc_link (COD_INFORME,TABLA,NOMBRE,REGLA,F_INICIO,F_FIN,DESCRIPCION) VALUES ("&amp;REGLAS!B136&amp;",'"&amp;REGLAS!C136&amp;"','"&amp;REGLAS!D136&amp;"','"&amp;REGLAS!G136&amp;"',TO_DATE('"&amp;REGLAS!H136&amp;"','yyyymmdd'),TO_DATE('"&amp;REGLAS!I136&amp;"','yyyymmdd'),'"&amp;REGLAS!J136&amp;"');")</f>
        <v>INSERT INTO INYCEXT.INYC_CONF_INF_REGLAS@tc_link (COD_INFORME,TABLA,NOMBRE,REGLA,F_INICIO,F_FIN,DESCRIPCION) VALUES (2.3,'INYC_RAGT_RESUMEN','PM - Prima Corregida Inspector Prod. Prioritarios Propia','PM-E-GEN-Inspector-PrimaCorregida-ProdPrioritarios-Propia',TO_DATE('20190101','yyyymmdd'),TO_DATE('22000101','yyyymmdd'),'Version 20190205');</v>
      </c>
    </row>
    <row r="136" spans="1:2" x14ac:dyDescent="0.25">
      <c r="A136" t="str">
        <f>IF(REGLAS!J137="OBSOLETO","","INSERT INTO INYCEXT.INYC_CONF_INF_REGLAS (COD_INFORME,TABLA,NOMBRE,REGLA,F_INICIO,F_FIN,DESCRIPCION) VALUES ("&amp;REGLAS!B137&amp;",'"&amp;REGLAS!C137&amp;"','"&amp;REGLAS!D137&amp;"','"&amp;REGLAS!G137&amp;"',TO_DATE('"&amp;REGLAS!H137&amp;"','yyyymmdd'),TO_DATE('"&amp;REGLAS!I137&amp;"','yyyymmdd'),'"&amp;REGLAS!J137&amp;"');")</f>
        <v>INSERT INTO INYCEXT.INYC_CONF_INF_REGLAS (COD_INFORME,TABLA,NOMBRE,REGLA,F_INICIO,F_FIN,DESCRIPCION) VALUES (2.3,'INYC_RAGT_RESUMEN','PM - Prima Corregida Inspector Prod. Prioritarios Agentes','PM-E-GEN-Inspector-PrimaCorregida-ProdPrioritarios-Agentes',TO_DATE('20190101','yyyymmdd'),TO_DATE('22000101','yyyymmdd'),'Version 20190205');</v>
      </c>
      <c r="B136" t="str">
        <f>IF(REGLAS!J137="OBSOLETO","","INSERT INTO INYCEXT.INYC_CONF_INF_REGLAS@tc_link (COD_INFORME,TABLA,NOMBRE,REGLA,F_INICIO,F_FIN,DESCRIPCION) VALUES ("&amp;REGLAS!B137&amp;",'"&amp;REGLAS!C137&amp;"','"&amp;REGLAS!D137&amp;"','"&amp;REGLAS!G137&amp;"',TO_DATE('"&amp;REGLAS!H137&amp;"','yyyymmdd'),TO_DATE('"&amp;REGLAS!I137&amp;"','yyyymmdd'),'"&amp;REGLAS!J137&amp;"');")</f>
        <v>INSERT INTO INYCEXT.INYC_CONF_INF_REGLAS@tc_link (COD_INFORME,TABLA,NOMBRE,REGLA,F_INICIO,F_FIN,DESCRIPCION) VALUES (2.3,'INYC_RAGT_RESUMEN','PM - Prima Corregida Inspector Prod. Prioritarios Agentes','PM-E-GEN-Inspector-PrimaCorregida-ProdPrioritarios-Agentes',TO_DATE('20190101','yyyymmdd'),TO_DATE('22000101','yyyymmdd'),'Version 20190205');</v>
      </c>
    </row>
    <row r="137" spans="1:2" x14ac:dyDescent="0.25">
      <c r="A137" t="str">
        <f>IF(REGLAS!J138="OBSOLETO","","INSERT INTO INYCEXT.INYC_CONF_INF_REGLAS (COD_INFORME,TABLA,NOMBRE,REGLA,F_INICIO,F_FIN,DESCRIPCION) VALUES ("&amp;REGLAS!B138&amp;",'"&amp;REGLAS!C138&amp;"','"&amp;REGLAS!D138&amp;"','"&amp;REGLAS!G138&amp;"',TO_DATE('"&amp;REGLAS!H138&amp;"','yyyymmdd'),TO_DATE('"&amp;REGLAS!I138&amp;"','yyyymmdd'),'"&amp;REGLAS!J138&amp;"');")</f>
        <v>INSERT INTO INYCEXT.INYC_CONF_INF_REGLAS (COD_INFORME,TABLA,NOMBRE,REGLA,F_INICIO,F_FIN,DESCRIPCION) VALUES (2.3,'INYC_RAGT_RESUMEN','PM - Nº Pólizas Corregidas Inspector Prod. Prioritarios Propia','PM-E-GEN-Inspector-NumeroPolizasCorregidas-ProdPrioritarios-Propia',TO_DATE('20190101','yyyymmdd'),TO_DATE('22000101','yyyymmdd'),'Version 20190205');</v>
      </c>
      <c r="B137" t="str">
        <f>IF(REGLAS!J138="OBSOLETO","","INSERT INTO INYCEXT.INYC_CONF_INF_REGLAS@tc_link (COD_INFORME,TABLA,NOMBRE,REGLA,F_INICIO,F_FIN,DESCRIPCION) VALUES ("&amp;REGLAS!B138&amp;",'"&amp;REGLAS!C138&amp;"','"&amp;REGLAS!D138&amp;"','"&amp;REGLAS!G138&amp;"',TO_DATE('"&amp;REGLAS!H138&amp;"','yyyymmdd'),TO_DATE('"&amp;REGLAS!I138&amp;"','yyyymmdd'),'"&amp;REGLAS!J138&amp;"');")</f>
        <v>INSERT INTO INYCEXT.INYC_CONF_INF_REGLAS@tc_link (COD_INFORME,TABLA,NOMBRE,REGLA,F_INICIO,F_FIN,DESCRIPCION) VALUES (2.3,'INYC_RAGT_RESUMEN','PM - Nº Pólizas Corregidas Inspector Prod. Prioritarios Propia','PM-E-GEN-Inspector-NumeroPolizasCorregidas-ProdPrioritarios-Propia',TO_DATE('20190101','yyyymmdd'),TO_DATE('22000101','yyyymmdd'),'Version 20190205');</v>
      </c>
    </row>
    <row r="138" spans="1:2" x14ac:dyDescent="0.25">
      <c r="A138" t="str">
        <f>IF(REGLAS!J139="OBSOLETO","","INSERT INTO INYCEXT.INYC_CONF_INF_REGLAS (COD_INFORME,TABLA,NOMBRE,REGLA,F_INICIO,F_FIN,DESCRIPCION) VALUES ("&amp;REGLAS!B139&amp;",'"&amp;REGLAS!C139&amp;"','"&amp;REGLAS!D139&amp;"','"&amp;REGLAS!G139&amp;"',TO_DATE('"&amp;REGLAS!H139&amp;"','yyyymmdd'),TO_DATE('"&amp;REGLAS!I139&amp;"','yyyymmdd'),'"&amp;REGLAS!J139&amp;"');")</f>
        <v>INSERT INTO INYCEXT.INYC_CONF_INF_REGLAS (COD_INFORME,TABLA,NOMBRE,REGLA,F_INICIO,F_FIN,DESCRIPCION) VALUES (2.3,'INYC_RAGT_RESUMEN','PM - Nº Pólizas Corregidas Inspector Prod. Prioritarios Agentes','PM-E-GEN-Inspector-NumeroPolizasCorregidas-ProdPrioritarios-Agentes',TO_DATE('20190101','yyyymmdd'),TO_DATE('22000101','yyyymmdd'),'Version 20190205');</v>
      </c>
      <c r="B138" t="str">
        <f>IF(REGLAS!J139="OBSOLETO","","INSERT INTO INYCEXT.INYC_CONF_INF_REGLAS@tc_link (COD_INFORME,TABLA,NOMBRE,REGLA,F_INICIO,F_FIN,DESCRIPCION) VALUES ("&amp;REGLAS!B139&amp;",'"&amp;REGLAS!C139&amp;"','"&amp;REGLAS!D139&amp;"','"&amp;REGLAS!G139&amp;"',TO_DATE('"&amp;REGLAS!H139&amp;"','yyyymmdd'),TO_DATE('"&amp;REGLAS!I139&amp;"','yyyymmdd'),'"&amp;REGLAS!J139&amp;"');")</f>
        <v>INSERT INTO INYCEXT.INYC_CONF_INF_REGLAS@tc_link (COD_INFORME,TABLA,NOMBRE,REGLA,F_INICIO,F_FIN,DESCRIPCION) VALUES (2.3,'INYC_RAGT_RESUMEN','PM - Nº Pólizas Corregidas Inspector Prod. Prioritarios Agentes','PM-E-GEN-Inspector-NumeroPolizasCorregidas-ProdPrioritarios-Agentes',TO_DATE('20190101','yyyymmdd'),TO_DATE('22000101','yyyymmdd'),'Version 20190205');</v>
      </c>
    </row>
    <row r="139" spans="1:2" x14ac:dyDescent="0.25">
      <c r="A139" t="str">
        <f>IF(REGLAS!J140="OBSOLETO","","INSERT INTO INYCEXT.INYC_CONF_INF_REGLAS (COD_INFORME,TABLA,NOMBRE,REGLA,F_INICIO,F_FIN,DESCRIPCION) VALUES ("&amp;REGLAS!B140&amp;",'"&amp;REGLAS!C140&amp;"','"&amp;REGLAS!D140&amp;"','"&amp;REGLAS!G140&amp;"',TO_DATE('"&amp;REGLAS!H140&amp;"','yyyymmdd'),TO_DATE('"&amp;REGLAS!I140&amp;"','yyyymmdd'),'"&amp;REGLAS!J140&amp;"');")</f>
        <v>INSERT INTO INYCEXT.INYC_CONF_INF_REGLAS (COD_INFORME,TABLA,NOMBRE,REGLA,F_INICIO,F_FIN,DESCRIPCION) VALUES (2.3,'INYC_RAGT_RESUMEN','SM - Nº Pólizas Corregidas Inspector Prod. Prioritarios Trimestral','SM-E-GEN-Inspector-NumeroPolizasCorregidas-ProdPrioritarios-TotalTrimestre',TO_DATE('20190101','yyyymmdd'),TO_DATE('22000101','yyyymmdd'),'Version 20190205');</v>
      </c>
      <c r="B139" t="str">
        <f>IF(REGLAS!J140="OBSOLETO","","INSERT INTO INYCEXT.INYC_CONF_INF_REGLAS@tc_link (COD_INFORME,TABLA,NOMBRE,REGLA,F_INICIO,F_FIN,DESCRIPCION) VALUES ("&amp;REGLAS!B140&amp;",'"&amp;REGLAS!C140&amp;"','"&amp;REGLAS!D140&amp;"','"&amp;REGLAS!G140&amp;"',TO_DATE('"&amp;REGLAS!H140&amp;"','yyyymmdd'),TO_DATE('"&amp;REGLAS!I140&amp;"','yyyymmdd'),'"&amp;REGLAS!J140&amp;"');")</f>
        <v>INSERT INTO INYCEXT.INYC_CONF_INF_REGLAS@tc_link (COD_INFORME,TABLA,NOMBRE,REGLA,F_INICIO,F_FIN,DESCRIPCION) VALUES (2.3,'INYC_RAGT_RESUMEN','SM - Nº Pólizas Corregidas Inspector Prod. Prioritarios Trimestral','SM-E-GEN-Inspector-NumeroPolizasCorregidas-ProdPrioritarios-TotalTrimestre',TO_DATE('20190101','yyyymmdd'),TO_DATE('22000101','yyyymmdd'),'Version 20190205');</v>
      </c>
    </row>
    <row r="140" spans="1:2" x14ac:dyDescent="0.25">
      <c r="A140" t="str">
        <f>IF(REGLAS!J141="OBSOLETO","","INSERT INTO INYCEXT.INYC_CONF_INF_REGLAS (COD_INFORME,TABLA,NOMBRE,REGLA,F_INICIO,F_FIN,DESCRIPCION) VALUES ("&amp;REGLAS!B141&amp;",'"&amp;REGLAS!C141&amp;"','"&amp;REGLAS!D141&amp;"','"&amp;REGLAS!G141&amp;"',TO_DATE('"&amp;REGLAS!H141&amp;"','yyyymmdd'),TO_DATE('"&amp;REGLAS!I141&amp;"','yyyymmdd'),'"&amp;REGLAS!J141&amp;"');")</f>
        <v>INSERT INTO INYCEXT.INYC_CONF_INF_REGLAS (COD_INFORME,TABLA,NOMBRE,REGLA,F_INICIO,F_FIN,DESCRIPCION) VALUES (2.3,'INYC_RAGT_RESUMEN','SM - Pago Trimestral Pólizas Corregidas','SM-E-RP3-Inspector-PolCorr-PagoTrimestre',TO_DATE('20190101','yyyymmdd'),TO_DATE('22000101','yyyymmdd'),'Version 20190205');</v>
      </c>
      <c r="B140" t="str">
        <f>IF(REGLAS!J141="OBSOLETO","","INSERT INTO INYCEXT.INYC_CONF_INF_REGLAS@tc_link (COD_INFORME,TABLA,NOMBRE,REGLA,F_INICIO,F_FIN,DESCRIPCION) VALUES ("&amp;REGLAS!B141&amp;",'"&amp;REGLAS!C141&amp;"','"&amp;REGLAS!D141&amp;"','"&amp;REGLAS!G141&amp;"',TO_DATE('"&amp;REGLAS!H141&amp;"','yyyymmdd'),TO_DATE('"&amp;REGLAS!I141&amp;"','yyyymmdd'),'"&amp;REGLAS!J141&amp;"');")</f>
        <v>INSERT INTO INYCEXT.INYC_CONF_INF_REGLAS@tc_link (COD_INFORME,TABLA,NOMBRE,REGLA,F_INICIO,F_FIN,DESCRIPCION) VALUES (2.3,'INYC_RAGT_RESUMEN','SM - Pago Trimestral Pólizas Corregidas','SM-E-RP3-Inspector-PolCorr-PagoTrimestre',TO_DATE('20190101','yyyymmdd'),TO_DATE('22000101','yyyymmdd'),'Version 20190205');</v>
      </c>
    </row>
    <row r="141" spans="1:2" x14ac:dyDescent="0.25">
      <c r="A141" t="str">
        <f>IF(REGLAS!J142="OBSOLETO","","INSERT INTO INYCEXT.INYC_CONF_INF_REGLAS (COD_INFORME,TABLA,NOMBRE,REGLA,F_INICIO,F_FIN,DESCRIPCION) VALUES ("&amp;REGLAS!B142&amp;",'"&amp;REGLAS!C142&amp;"','"&amp;REGLAS!D142&amp;"','"&amp;REGLAS!G142&amp;"',TO_DATE('"&amp;REGLAS!H142&amp;"','yyyymmdd'),TO_DATE('"&amp;REGLAS!I142&amp;"','yyyymmdd'),'"&amp;REGLAS!J142&amp;"');")</f>
        <v>INSERT INTO INYCEXT.INYC_CONF_INF_REGLAS (COD_INFORME,TABLA,NOMBRE,REGLA,F_INICIO,F_FIN,DESCRIPCION) VALUES (2.3,'INYC_RAGT_RESUMEN','SM - Objetivo Anual Pólizas Prod. Prioritarios','SM-E-GEN-Inspector-NumeroPolizas-ProdPrioritarios-ObjetivoAnual',TO_DATE('20190101','yyyymmdd'),TO_DATE('20191201','yyyymmdd'),'Version 20191228');</v>
      </c>
      <c r="B141" t="str">
        <f>IF(REGLAS!J142="OBSOLETO","","INSERT INTO INYCEXT.INYC_CONF_INF_REGLAS@tc_link (COD_INFORME,TABLA,NOMBRE,REGLA,F_INICIO,F_FIN,DESCRIPCION) VALUES ("&amp;REGLAS!B142&amp;",'"&amp;REGLAS!C142&amp;"','"&amp;REGLAS!D142&amp;"','"&amp;REGLAS!G142&amp;"',TO_DATE('"&amp;REGLAS!H142&amp;"','yyyymmdd'),TO_DATE('"&amp;REGLAS!I142&amp;"','yyyymmdd'),'"&amp;REGLAS!J142&amp;"');")</f>
        <v>INSERT INTO INYCEXT.INYC_CONF_INF_REGLAS@tc_link (COD_INFORME,TABLA,NOMBRE,REGLA,F_INICIO,F_FIN,DESCRIPCION) VALUES (2.3,'INYC_RAGT_RESUMEN','SM - Objetivo Anual Pólizas Prod. Prioritarios','SM-E-GEN-Inspector-NumeroPolizas-ProdPrioritarios-ObjetivoAnual',TO_DATE('20190101','yyyymmdd'),TO_DATE('20191201','yyyymmdd'),'Version 20191228');</v>
      </c>
    </row>
    <row r="142" spans="1:2" x14ac:dyDescent="0.25">
      <c r="A142" t="str">
        <f>IF(REGLAS!J143="OBSOLETO","","INSERT INTO INYCEXT.INYC_CONF_INF_REGLAS (COD_INFORME,TABLA,NOMBRE,REGLA,F_INICIO,F_FIN,DESCRIPCION) VALUES ("&amp;REGLAS!B143&amp;",'"&amp;REGLAS!C143&amp;"','"&amp;REGLAS!D143&amp;"','"&amp;REGLAS!G143&amp;"',TO_DATE('"&amp;REGLAS!H143&amp;"','yyyymmdd'),TO_DATE('"&amp;REGLAS!I143&amp;"','yyyymmdd'),'"&amp;REGLAS!J143&amp;"');")</f>
        <v>INSERT INTO INYCEXT.INYC_CONF_INF_REGLAS (COD_INFORME,TABLA,NOMBRE,REGLA,F_INICIO,F_FIN,DESCRIPCION) VALUES (2.3,'INYC_RAGT_RESUMEN','SM - Prima Corregida Inspector Prod. Prioritarios Trimestral','SM-E-GEN-Inspector-PrimaCorregida-ProdPrioritarios-TotalTrimestre',TO_DATE('20190101','yyyymmdd'),TO_DATE('22000101','yyyymmdd'),'Version 20190205');</v>
      </c>
      <c r="B142" t="str">
        <f>IF(REGLAS!J143="OBSOLETO","","INSERT INTO INYCEXT.INYC_CONF_INF_REGLAS@tc_link (COD_INFORME,TABLA,NOMBRE,REGLA,F_INICIO,F_FIN,DESCRIPCION) VALUES ("&amp;REGLAS!B143&amp;",'"&amp;REGLAS!C143&amp;"','"&amp;REGLAS!D143&amp;"','"&amp;REGLAS!G143&amp;"',TO_DATE('"&amp;REGLAS!H143&amp;"','yyyymmdd'),TO_DATE('"&amp;REGLAS!I143&amp;"','yyyymmdd'),'"&amp;REGLAS!J143&amp;"');")</f>
        <v>INSERT INTO INYCEXT.INYC_CONF_INF_REGLAS@tc_link (COD_INFORME,TABLA,NOMBRE,REGLA,F_INICIO,F_FIN,DESCRIPCION) VALUES (2.3,'INYC_RAGT_RESUMEN','SM - Prima Corregida Inspector Prod. Prioritarios Trimestral','SM-E-GEN-Inspector-PrimaCorregida-ProdPrioritarios-TotalTrimestre',TO_DATE('20190101','yyyymmdd'),TO_DATE('22000101','yyyymmdd'),'Version 20190205');</v>
      </c>
    </row>
    <row r="143" spans="1:2" x14ac:dyDescent="0.25">
      <c r="A143" t="str">
        <f>IF(REGLAS!J144="OBSOLETO","","INSERT INTO INYCEXT.INYC_CONF_INF_REGLAS (COD_INFORME,TABLA,NOMBRE,REGLA,F_INICIO,F_FIN,DESCRIPCION) VALUES ("&amp;REGLAS!B144&amp;",'"&amp;REGLAS!C144&amp;"','"&amp;REGLAS!D144&amp;"','"&amp;REGLAS!G144&amp;"',TO_DATE('"&amp;REGLAS!H144&amp;"','yyyymmdd'),TO_DATE('"&amp;REGLAS!I144&amp;"','yyyymmdd'),'"&amp;REGLAS!J144&amp;"');")</f>
        <v>INSERT INTO INYCEXT.INYC_CONF_INF_REGLAS (COD_INFORME,TABLA,NOMBRE,REGLA,F_INICIO,F_FIN,DESCRIPCION) VALUES (2.3,'INYC_RAGT_RESUMEN','SM - Pago Trimestral Prima Corregida','SM-E-RP2-Inspector-PrimaCorregida-PagoTrimestre',TO_DATE('20190101','yyyymmdd'),TO_DATE('22000101','yyyymmdd'),'Version 20190205');</v>
      </c>
      <c r="B143" t="str">
        <f>IF(REGLAS!J144="OBSOLETO","","INSERT INTO INYCEXT.INYC_CONF_INF_REGLAS@tc_link (COD_INFORME,TABLA,NOMBRE,REGLA,F_INICIO,F_FIN,DESCRIPCION) VALUES ("&amp;REGLAS!B144&amp;",'"&amp;REGLAS!C144&amp;"','"&amp;REGLAS!D144&amp;"','"&amp;REGLAS!G144&amp;"',TO_DATE('"&amp;REGLAS!H144&amp;"','yyyymmdd'),TO_DATE('"&amp;REGLAS!I144&amp;"','yyyymmdd'),'"&amp;REGLAS!J144&amp;"');")</f>
        <v>INSERT INTO INYCEXT.INYC_CONF_INF_REGLAS@tc_link (COD_INFORME,TABLA,NOMBRE,REGLA,F_INICIO,F_FIN,DESCRIPCION) VALUES (2.3,'INYC_RAGT_RESUMEN','SM - Pago Trimestral Prima Corregida','SM-E-RP2-Inspector-PrimaCorregida-PagoTrimestre',TO_DATE('20190101','yyyymmdd'),TO_DATE('22000101','yyyymmdd'),'Version 20190205');</v>
      </c>
    </row>
    <row r="144" spans="1:2" x14ac:dyDescent="0.25">
      <c r="A144" t="str">
        <f>IF(REGLAS!J145="OBSOLETO","","INSERT INTO INYCEXT.INYC_CONF_INF_REGLAS (COD_INFORME,TABLA,NOMBRE,REGLA,F_INICIO,F_FIN,DESCRIPCION) VALUES ("&amp;REGLAS!B145&amp;",'"&amp;REGLAS!C145&amp;"','"&amp;REGLAS!D145&amp;"','"&amp;REGLAS!G145&amp;"',TO_DATE('"&amp;REGLAS!H145&amp;"','yyyymmdd'),TO_DATE('"&amp;REGLAS!I145&amp;"','yyyymmdd'),'"&amp;REGLAS!J145&amp;"');")</f>
        <v>INSERT INTO INYCEXT.INYC_CONF_INF_REGLAS (COD_INFORME,TABLA,NOMBRE,REGLA,F_INICIO,F_FIN,DESCRIPCION) VALUES (2.3,'INYC_RAGT_RESUMEN','SM-E-GEN-Inspector-PrimaCorregida-ProdPrioritarios-ObjetivoAnual','SM-E-GEN-Inspector-PrimaCorregida-ProdPrioritarios-ObjetivoAnual',TO_DATE('20190101','yyyymmdd'),TO_DATE('20191201','yyyymmdd'),'Version 20191228');</v>
      </c>
      <c r="B144" t="str">
        <f>IF(REGLAS!J145="OBSOLETO","","INSERT INTO INYCEXT.INYC_CONF_INF_REGLAS@tc_link (COD_INFORME,TABLA,NOMBRE,REGLA,F_INICIO,F_FIN,DESCRIPCION) VALUES ("&amp;REGLAS!B145&amp;",'"&amp;REGLAS!C145&amp;"','"&amp;REGLAS!D145&amp;"','"&amp;REGLAS!G145&amp;"',TO_DATE('"&amp;REGLAS!H145&amp;"','yyyymmdd'),TO_DATE('"&amp;REGLAS!I145&amp;"','yyyymmdd'),'"&amp;REGLAS!J145&amp;"');")</f>
        <v>INSERT INTO INYCEXT.INYC_CONF_INF_REGLAS@tc_link (COD_INFORME,TABLA,NOMBRE,REGLA,F_INICIO,F_FIN,DESCRIPCION) VALUES (2.3,'INYC_RAGT_RESUMEN','SM-E-GEN-Inspector-PrimaCorregida-ProdPrioritarios-ObjetivoAnual','SM-E-GEN-Inspector-PrimaCorregida-ProdPrioritarios-ObjetivoAnual',TO_DATE('20190101','yyyymmdd'),TO_DATE('20191201','yyyymmdd'),'Version 20191228');</v>
      </c>
    </row>
    <row r="145" spans="1:2" x14ac:dyDescent="0.25">
      <c r="A145" t="str">
        <f>IF(REGLAS!J146="OBSOLETO","","INSERT INTO INYCEXT.INYC_CONF_INF_REGLAS (COD_INFORME,TABLA,NOMBRE,REGLA,F_INICIO,F_FIN,DESCRIPCION) VALUES ("&amp;REGLAS!B146&amp;",'"&amp;REGLAS!C146&amp;"','"&amp;REGLAS!D146&amp;"','"&amp;REGLAS!G146&amp;"',TO_DATE('"&amp;REGLAS!H146&amp;"','yyyymmdd'),TO_DATE('"&amp;REGLAS!I146&amp;"','yyyymmdd'),'"&amp;REGLAS!J146&amp;"');")</f>
        <v>INSERT INTO INYCEXT.INYC_CONF_INF_REGLAS (COD_INFORME,TABLA,NOMBRE,REGLA,F_INICIO,F_FIN,DESCRIPCION) VALUES (2.3,'INYC_RAGT_RESUMEN','SM - Consecución Acumulada Pólizas Productos Prioritarios','SM-E-GEN-AgenteGrupo-Consecucion-Polizas-ProdPrioritarios',TO_DATE('20191201','yyyymmdd'),TO_DATE('22000101','yyyymmdd'),'Version 20191228');</v>
      </c>
      <c r="B145" t="str">
        <f>IF(REGLAS!J146="OBSOLETO","","INSERT INTO INYCEXT.INYC_CONF_INF_REGLAS@tc_link (COD_INFORME,TABLA,NOMBRE,REGLA,F_INICIO,F_FIN,DESCRIPCION) VALUES ("&amp;REGLAS!B146&amp;",'"&amp;REGLAS!C146&amp;"','"&amp;REGLAS!D146&amp;"','"&amp;REGLAS!G146&amp;"',TO_DATE('"&amp;REGLAS!H146&amp;"','yyyymmdd'),TO_DATE('"&amp;REGLAS!I146&amp;"','yyyymmdd'),'"&amp;REGLAS!J146&amp;"');")</f>
        <v>INSERT INTO INYCEXT.INYC_CONF_INF_REGLAS@tc_link (COD_INFORME,TABLA,NOMBRE,REGLA,F_INICIO,F_FIN,DESCRIPCION) VALUES (2.3,'INYC_RAGT_RESUMEN','SM - Consecución Acumulada Pólizas Productos Prioritarios','SM-E-GEN-AgenteGrupo-Consecucion-Polizas-ProdPrioritarios',TO_DATE('20191201','yyyymmdd'),TO_DATE('22000101','yyyymmdd'),'Version 20191228');</v>
      </c>
    </row>
    <row r="146" spans="1:2" x14ac:dyDescent="0.25">
      <c r="A146" t="str">
        <f>IF(REGLAS!J147="OBSOLETO","","INSERT INTO INYCEXT.INYC_CONF_INF_REGLAS (COD_INFORME,TABLA,NOMBRE,REGLA,F_INICIO,F_FIN,DESCRIPCION) VALUES ("&amp;REGLAS!B147&amp;",'"&amp;REGLAS!C147&amp;"','"&amp;REGLAS!D147&amp;"','"&amp;REGLAS!G147&amp;"',TO_DATE('"&amp;REGLAS!H147&amp;"','yyyymmdd'),TO_DATE('"&amp;REGLAS!I147&amp;"','yyyymmdd'),'"&amp;REGLAS!J147&amp;"');")</f>
        <v>INSERT INTO INYCEXT.INYC_CONF_INF_REGLAS (COD_INFORME,TABLA,NOMBRE,REGLA,F_INICIO,F_FIN,DESCRIPCION) VALUES (2.3,'INYC_RAGT_RESUMEN','SM - Consecución Acumulada Primas Productos Prioritarios','SM-E-GEN-AgenteGrupo-Consecucion-Primas',TO_DATE('20191201','yyyymmdd'),TO_DATE('22000101','yyyymmdd'),'Version 20191228');</v>
      </c>
      <c r="B146" t="str">
        <f>IF(REGLAS!J147="OBSOLETO","","INSERT INTO INYCEXT.INYC_CONF_INF_REGLAS@tc_link (COD_INFORME,TABLA,NOMBRE,REGLA,F_INICIO,F_FIN,DESCRIPCION) VALUES ("&amp;REGLAS!B147&amp;",'"&amp;REGLAS!C147&amp;"','"&amp;REGLAS!D147&amp;"','"&amp;REGLAS!G147&amp;"',TO_DATE('"&amp;REGLAS!H147&amp;"','yyyymmdd'),TO_DATE('"&amp;REGLAS!I147&amp;"','yyyymmdd'),'"&amp;REGLAS!J147&amp;"');")</f>
        <v>INSERT INTO INYCEXT.INYC_CONF_INF_REGLAS@tc_link (COD_INFORME,TABLA,NOMBRE,REGLA,F_INICIO,F_FIN,DESCRIPCION) VALUES (2.3,'INYC_RAGT_RESUMEN','SM - Consecución Acumulada Primas Productos Prioritarios','SM-E-GEN-AgenteGrupo-Consecucion-Primas',TO_DATE('20191201','yyyymmdd'),TO_DATE('22000101','yyyymmdd'),'Version 20191228');</v>
      </c>
    </row>
    <row r="147" spans="1:2" x14ac:dyDescent="0.25">
      <c r="A147" t="str">
        <f>IF(REGLAS!J148="OBSOLETO","","INSERT INTO INYCEXT.INYC_CONF_INF_REGLAS (COD_INFORME,TABLA,NOMBRE,REGLA,F_INICIO,F_FIN,DESCRIPCION) VALUES ("&amp;REGLAS!B148&amp;",'"&amp;REGLAS!C148&amp;"','"&amp;REGLAS!D148&amp;"','"&amp;REGLAS!G148&amp;"',TO_DATE('"&amp;REGLAS!H148&amp;"','yyyymmdd'),TO_DATE('"&amp;REGLAS!I148&amp;"','yyyymmdd'),'"&amp;REGLAS!J148&amp;"');")</f>
        <v>INSERT INTO INYCEXT.INYC_CONF_INF_REGLAS (COD_INFORME,TABLA,NOMBRE,REGLA,F_INICIO,F_FIN,DESCRIPCION) VALUES (2.3,'INYC_RAGT_RESUMEN','SM - Acumulado de Meses en la Categoría Actual','SM-E-GEN-Categoria-Meses',TO_DATE('20191201','yyyymmdd'),TO_DATE('22000101','yyyymmdd'),'Version 20191228');</v>
      </c>
      <c r="B147" t="str">
        <f>IF(REGLAS!J148="OBSOLETO","","INSERT INTO INYCEXT.INYC_CONF_INF_REGLAS@tc_link (COD_INFORME,TABLA,NOMBRE,REGLA,F_INICIO,F_FIN,DESCRIPCION) VALUES ("&amp;REGLAS!B148&amp;",'"&amp;REGLAS!C148&amp;"','"&amp;REGLAS!D148&amp;"','"&amp;REGLAS!G148&amp;"',TO_DATE('"&amp;REGLAS!H148&amp;"','yyyymmdd'),TO_DATE('"&amp;REGLAS!I148&amp;"','yyyymmdd'),'"&amp;REGLAS!J148&amp;"');")</f>
        <v>INSERT INTO INYCEXT.INYC_CONF_INF_REGLAS@tc_link (COD_INFORME,TABLA,NOMBRE,REGLA,F_INICIO,F_FIN,DESCRIPCION) VALUES (2.3,'INYC_RAGT_RESUMEN','SM - Acumulado de Meses en la Categoría Actual','SM-E-GEN-Categoria-Meses',TO_DATE('20191201','yyyymmdd'),TO_DATE('22000101','yyyymmdd'),'Version 20191228');</v>
      </c>
    </row>
    <row r="148" spans="1:2" x14ac:dyDescent="0.25">
      <c r="A148" t="str">
        <f>IF(REGLAS!J149="OBSOLETO","","INSERT INTO INYCEXT.INYC_CONF_INF_REGLAS (COD_INFORME,TABLA,NOMBRE,REGLA,F_INICIO,F_FIN,DESCRIPCION) VALUES ("&amp;REGLAS!B149&amp;",'"&amp;REGLAS!C149&amp;"','"&amp;REGLAS!D149&amp;"','"&amp;REGLAS!G149&amp;"',TO_DATE('"&amp;REGLAS!H149&amp;"','yyyymmdd'),TO_DATE('"&amp;REGLAS!I149&amp;"','yyyymmdd'),'"&amp;REGLAS!J149&amp;"');")</f>
        <v>INSERT INTO INYCEXT.INYC_CONF_INF_REGLAS (COD_INFORME,TABLA,NOMBRE,REGLA,F_INICIO,F_FIN,DESCRIPCION) VALUES (3.1,'INYC_RA_RESUMEN','PM - Numero Pólizas 0329030 (Todos)','PM-E-GEN-Agente-NumeroPolizas-0329030',TO_DATE('20140101','yyyymmdd'),TO_DATE('20180101','yyyymmdd'),'Version 20180124');</v>
      </c>
      <c r="B148" t="str">
        <f>IF(REGLAS!J149="OBSOLETO","","INSERT INTO INYCEXT.INYC_CONF_INF_REGLAS@tc_link (COD_INFORME,TABLA,NOMBRE,REGLA,F_INICIO,F_FIN,DESCRIPCION) VALUES ("&amp;REGLAS!B149&amp;",'"&amp;REGLAS!C149&amp;"','"&amp;REGLAS!D149&amp;"','"&amp;REGLAS!G149&amp;"',TO_DATE('"&amp;REGLAS!H149&amp;"','yyyymmdd'),TO_DATE('"&amp;REGLAS!I149&amp;"','yyyymmdd'),'"&amp;REGLAS!J149&amp;"');")</f>
        <v>INSERT INTO INYCEXT.INYC_CONF_INF_REGLAS@tc_link (COD_INFORME,TABLA,NOMBRE,REGLA,F_INICIO,F_FIN,DESCRIPCION) VALUES (3.1,'INYC_RA_RESUMEN','PM - Numero Pólizas 0329030 (Todos)','PM-E-GEN-Agente-NumeroPolizas-0329030',TO_DATE('20140101','yyyymmdd'),TO_DATE('20180101','yyyymmdd'),'Version 20180124');</v>
      </c>
    </row>
    <row r="149" spans="1:2" x14ac:dyDescent="0.25">
      <c r="A149" t="str">
        <f>IF(REGLAS!J150="OBSOLETO","","INSERT INTO INYCEXT.INYC_CONF_INF_REGLAS (COD_INFORME,TABLA,NOMBRE,REGLA,F_INICIO,F_FIN,DESCRIPCION) VALUES ("&amp;REGLAS!B150&amp;",'"&amp;REGLAS!C150&amp;"','"&amp;REGLAS!D150&amp;"','"&amp;REGLAS!G150&amp;"',TO_DATE('"&amp;REGLAS!H150&amp;"','yyyymmdd'),TO_DATE('"&amp;REGLAS!I150&amp;"','yyyymmdd'),'"&amp;REGLAS!J150&amp;"');")</f>
        <v>INSERT INTO INYCEXT.INYC_CONF_INF_REGLAS (COD_INFORME,TABLA,NOMBRE,REGLA,F_INICIO,F_FIN,DESCRIPCION) VALUES (3.1,'INYC_RA_RESUMEN','PM - Numero Pólizas Especiales (RS1)','PM-E-GEN-Agente-NumeroPolizas-Especiales',TO_DATE('20140101','yyyymmdd'),TO_DATE('20180101','yyyymmdd'),'Version 20180124');</v>
      </c>
      <c r="B149" t="str">
        <f>IF(REGLAS!J150="OBSOLETO","","INSERT INTO INYCEXT.INYC_CONF_INF_REGLAS@tc_link (COD_INFORME,TABLA,NOMBRE,REGLA,F_INICIO,F_FIN,DESCRIPCION) VALUES ("&amp;REGLAS!B150&amp;",'"&amp;REGLAS!C150&amp;"','"&amp;REGLAS!D150&amp;"','"&amp;REGLAS!G150&amp;"',TO_DATE('"&amp;REGLAS!H150&amp;"','yyyymmdd'),TO_DATE('"&amp;REGLAS!I150&amp;"','yyyymmdd'),'"&amp;REGLAS!J150&amp;"');")</f>
        <v>INSERT INTO INYCEXT.INYC_CONF_INF_REGLAS@tc_link (COD_INFORME,TABLA,NOMBRE,REGLA,F_INICIO,F_FIN,DESCRIPCION) VALUES (3.1,'INYC_RA_RESUMEN','PM - Numero Pólizas Especiales (RS1)','PM-E-GEN-Agente-NumeroPolizas-Especiales',TO_DATE('20140101','yyyymmdd'),TO_DATE('20180101','yyyymmdd'),'Version 20180124');</v>
      </c>
    </row>
    <row r="150" spans="1:2" x14ac:dyDescent="0.25">
      <c r="A150" t="str">
        <f>IF(REGLAS!J151="OBSOLETO","","INSERT INTO INYCEXT.INYC_CONF_INF_REGLAS (COD_INFORME,TABLA,NOMBRE,REGLA,F_INICIO,F_FIN,DESCRIPCION) VALUES ("&amp;REGLAS!B151&amp;",'"&amp;REGLAS!C151&amp;"','"&amp;REGLAS!D151&amp;"','"&amp;REGLAS!G151&amp;"',TO_DATE('"&amp;REGLAS!H151&amp;"','yyyymmdd'),TO_DATE('"&amp;REGLAS!I151&amp;"','yyyymmdd'),'"&amp;REGLAS!J151&amp;"');")</f>
        <v>INSERT INTO INYCEXT.INYC_CONF_INF_REGLAS (COD_INFORME,TABLA,NOMBRE,REGLA,F_INICIO,F_FIN,DESCRIPCION) VALUES (3.1,'INYC_RA_RESUMEN','PM - Numero Pólizas Corregidas 004 (RS1)','PM-E-GEN-Agente-NumeroPolizas-004',TO_DATE('20140101','yyyymmdd'),TO_DATE('20180101','yyyymmdd'),'Version 20180124');</v>
      </c>
      <c r="B150" t="str">
        <f>IF(REGLAS!J151="OBSOLETO","","INSERT INTO INYCEXT.INYC_CONF_INF_REGLAS@tc_link (COD_INFORME,TABLA,NOMBRE,REGLA,F_INICIO,F_FIN,DESCRIPCION) VALUES ("&amp;REGLAS!B151&amp;",'"&amp;REGLAS!C151&amp;"','"&amp;REGLAS!D151&amp;"','"&amp;REGLAS!G151&amp;"',TO_DATE('"&amp;REGLAS!H151&amp;"','yyyymmdd'),TO_DATE('"&amp;REGLAS!I151&amp;"','yyyymmdd'),'"&amp;REGLAS!J151&amp;"');")</f>
        <v>INSERT INTO INYCEXT.INYC_CONF_INF_REGLAS@tc_link (COD_INFORME,TABLA,NOMBRE,REGLA,F_INICIO,F_FIN,DESCRIPCION) VALUES (3.1,'INYC_RA_RESUMEN','PM - Numero Pólizas Corregidas 004 (RS1)','PM-E-GEN-Agente-NumeroPolizas-004',TO_DATE('20140101','yyyymmdd'),TO_DATE('20180101','yyyymmdd'),'Version 20180124');</v>
      </c>
    </row>
    <row r="151" spans="1:2" x14ac:dyDescent="0.25">
      <c r="A151" t="str">
        <f>IF(REGLAS!J152="OBSOLETO","","INSERT INTO INYCEXT.INYC_CONF_INF_REGLAS (COD_INFORME,TABLA,NOMBRE,REGLA,F_INICIO,F_FIN,DESCRIPCION) VALUES ("&amp;REGLAS!B152&amp;",'"&amp;REGLAS!C152&amp;"','"&amp;REGLAS!D152&amp;"','"&amp;REGLAS!G152&amp;"',TO_DATE('"&amp;REGLAS!H152&amp;"','yyyymmdd'),TO_DATE('"&amp;REGLAS!I152&amp;"','yyyymmdd'),'"&amp;REGLAS!J152&amp;"');")</f>
        <v/>
      </c>
      <c r="B151" t="str">
        <f>IF(REGLAS!J152="OBSOLETO","","INSERT INTO INYCEXT.INYC_CONF_INF_REGLAS@tc_link (COD_INFORME,TABLA,NOMBRE,REGLA,F_INICIO,F_FIN,DESCRIPCION) VALUES ("&amp;REGLAS!B152&amp;",'"&amp;REGLAS!C152&amp;"','"&amp;REGLAS!D152&amp;"','"&amp;REGLAS!G152&amp;"',TO_DATE('"&amp;REGLAS!H152&amp;"','yyyymmdd'),TO_DATE('"&amp;REGLAS!I152&amp;"','yyyymmdd'),'"&amp;REGLAS!J152&amp;"');")</f>
        <v/>
      </c>
    </row>
    <row r="152" spans="1:2" x14ac:dyDescent="0.25">
      <c r="A152" t="str">
        <f>IF(REGLAS!J153="OBSOLETO","","INSERT INTO INYCEXT.INYC_CONF_INF_REGLAS (COD_INFORME,TABLA,NOMBRE,REGLA,F_INICIO,F_FIN,DESCRIPCION) VALUES ("&amp;REGLAS!B153&amp;",'"&amp;REGLAS!C153&amp;"','"&amp;REGLAS!D153&amp;"','"&amp;REGLAS!G153&amp;"',TO_DATE('"&amp;REGLAS!H153&amp;"','yyyymmdd'),TO_DATE('"&amp;REGLAS!I153&amp;"','yyyymmdd'),'"&amp;REGLAS!J153&amp;"');")</f>
        <v/>
      </c>
      <c r="B152" t="str">
        <f>IF(REGLAS!J153="OBSOLETO","","INSERT INTO INYCEXT.INYC_CONF_INF_REGLAS@tc_link (COD_INFORME,TABLA,NOMBRE,REGLA,F_INICIO,F_FIN,DESCRIPCION) VALUES ("&amp;REGLAS!B153&amp;",'"&amp;REGLAS!C153&amp;"','"&amp;REGLAS!D153&amp;"','"&amp;REGLAS!G153&amp;"',TO_DATE('"&amp;REGLAS!H153&amp;"','yyyymmdd'),TO_DATE('"&amp;REGLAS!I153&amp;"','yyyymmdd'),'"&amp;REGLAS!J153&amp;"');")</f>
        <v/>
      </c>
    </row>
    <row r="153" spans="1:2" x14ac:dyDescent="0.25">
      <c r="A153" t="str">
        <f>IF(REGLAS!J154="OBSOLETO","","INSERT INTO INYCEXT.INYC_CONF_INF_REGLAS (COD_INFORME,TABLA,NOMBRE,REGLA,F_INICIO,F_FIN,DESCRIPCION) VALUES ("&amp;REGLAS!B154&amp;",'"&amp;REGLAS!C154&amp;"','"&amp;REGLAS!D154&amp;"','"&amp;REGLAS!G154&amp;"',TO_DATE('"&amp;REGLAS!H154&amp;"','yyyymmdd'),TO_DATE('"&amp;REGLAS!I154&amp;"','yyyymmdd'),'"&amp;REGLAS!J154&amp;"');")</f>
        <v>INSERT INTO INYCEXT.INYC_CONF_INF_REGLAS (COD_INFORME,TABLA,NOMBRE,REGLA,F_INICIO,F_FIN,DESCRIPCION) VALUES (3.1,'INYC_RA_RESUMEN','SM - Numero Pólizas 004 y 0329030 Total Mes','SM-E-RS1-Agente-NumeroPolizas-TotalMes-SinCorregir',TO_DATE('20170101','yyyymmdd'),TO_DATE('22000101','yyyymmdd'),'');</v>
      </c>
      <c r="B153" t="str">
        <f>IF(REGLAS!J154="OBSOLETO","","INSERT INTO INYCEXT.INYC_CONF_INF_REGLAS@tc_link (COD_INFORME,TABLA,NOMBRE,REGLA,F_INICIO,F_FIN,DESCRIPCION) VALUES ("&amp;REGLAS!B154&amp;",'"&amp;REGLAS!C154&amp;"','"&amp;REGLAS!D154&amp;"','"&amp;REGLAS!G154&amp;"',TO_DATE('"&amp;REGLAS!H154&amp;"','yyyymmdd'),TO_DATE('"&amp;REGLAS!I154&amp;"','yyyymmdd'),'"&amp;REGLAS!J154&amp;"');")</f>
        <v>INSERT INTO INYCEXT.INYC_CONF_INF_REGLAS@tc_link (COD_INFORME,TABLA,NOMBRE,REGLA,F_INICIO,F_FIN,DESCRIPCION) VALUES (3.1,'INYC_RA_RESUMEN','SM - Numero Pólizas 004 y 0329030 Total Mes','SM-E-RS1-Agente-NumeroPolizas-TotalMes-SinCorregir',TO_DATE('20170101','yyyymmdd'),TO_DATE('22000101','yyyymmdd'),'');</v>
      </c>
    </row>
    <row r="154" spans="1:2" x14ac:dyDescent="0.25">
      <c r="A154" t="str">
        <f>IF(REGLAS!J155="OBSOLETO","","INSERT INTO INYCEXT.INYC_CONF_INF_REGLAS (COD_INFORME,TABLA,NOMBRE,REGLA,F_INICIO,F_FIN,DESCRIPCION) VALUES ("&amp;REGLAS!B155&amp;",'"&amp;REGLAS!C155&amp;"','"&amp;REGLAS!D155&amp;"','"&amp;REGLAS!G155&amp;"',TO_DATE('"&amp;REGLAS!H155&amp;"','yyyymmdd'),TO_DATE('"&amp;REGLAS!I155&amp;"','yyyymmdd'),'"&amp;REGLAS!J155&amp;"');")</f>
        <v>INSERT INTO INYCEXT.INYC_CONF_INF_REGLAS (COD_INFORME,TABLA,NOMBRE,REGLA,F_INICIO,F_FIN,DESCRIPCION) VALUES (3.1,'INYC_RA_RESUMEN','SM - Numero Pólizas Especiales Total Mes','SM-E-RS1-Agente-NumeroPolizasEspeciales-TotalMes',TO_DATE('20170101','yyyymmdd'),TO_DATE('20180101','yyyymmdd'),'Version 20180124');</v>
      </c>
      <c r="B154" t="str">
        <f>IF(REGLAS!J155="OBSOLETO","","INSERT INTO INYCEXT.INYC_CONF_INF_REGLAS@tc_link (COD_INFORME,TABLA,NOMBRE,REGLA,F_INICIO,F_FIN,DESCRIPCION) VALUES ("&amp;REGLAS!B155&amp;",'"&amp;REGLAS!C155&amp;"','"&amp;REGLAS!D155&amp;"','"&amp;REGLAS!G155&amp;"',TO_DATE('"&amp;REGLAS!H155&amp;"','yyyymmdd'),TO_DATE('"&amp;REGLAS!I155&amp;"','yyyymmdd'),'"&amp;REGLAS!J155&amp;"');")</f>
        <v>INSERT INTO INYCEXT.INYC_CONF_INF_REGLAS@tc_link (COD_INFORME,TABLA,NOMBRE,REGLA,F_INICIO,F_FIN,DESCRIPCION) VALUES (3.1,'INYC_RA_RESUMEN','SM - Numero Pólizas Especiales Total Mes','SM-E-RS1-Agente-NumeroPolizasEspeciales-TotalMes',TO_DATE('20170101','yyyymmdd'),TO_DATE('20180101','yyyymmdd'),'Version 20180124');</v>
      </c>
    </row>
    <row r="155" spans="1:2" x14ac:dyDescent="0.25">
      <c r="A155" t="str">
        <f>IF(REGLAS!J156="OBSOLETO","","INSERT INTO INYCEXT.INYC_CONF_INF_REGLAS (COD_INFORME,TABLA,NOMBRE,REGLA,F_INICIO,F_FIN,DESCRIPCION) VALUES ("&amp;REGLAS!B156&amp;",'"&amp;REGLAS!C156&amp;"','"&amp;REGLAS!D156&amp;"','"&amp;REGLAS!G156&amp;"',TO_DATE('"&amp;REGLAS!H156&amp;"','yyyymmdd'),TO_DATE('"&amp;REGLAS!I156&amp;"','yyyymmdd'),'"&amp;REGLAS!J156&amp;"');")</f>
        <v>INSERT INTO INYCEXT.INYC_CONF_INF_REGLAS (COD_INFORME,TABLA,NOMBRE,REGLA,F_INICIO,F_FIN,DESCRIPCION) VALUES (3.1,'INYC_RA_RESUMEN','SM - Numero Pólizas 001 y 0329030 Total Mes','SM-E-RS2-Agente-NumeroPolizas-TotalMes-SinCorregir',TO_DATE('20170101','yyyymmdd'),TO_DATE('22000101','yyyymmdd'),'');</v>
      </c>
      <c r="B155" t="str">
        <f>IF(REGLAS!J156="OBSOLETO","","INSERT INTO INYCEXT.INYC_CONF_INF_REGLAS@tc_link (COD_INFORME,TABLA,NOMBRE,REGLA,F_INICIO,F_FIN,DESCRIPCION) VALUES ("&amp;REGLAS!B156&amp;",'"&amp;REGLAS!C156&amp;"','"&amp;REGLAS!D156&amp;"','"&amp;REGLAS!G156&amp;"',TO_DATE('"&amp;REGLAS!H156&amp;"','yyyymmdd'),TO_DATE('"&amp;REGLAS!I156&amp;"','yyyymmdd'),'"&amp;REGLAS!J156&amp;"');")</f>
        <v>INSERT INTO INYCEXT.INYC_CONF_INF_REGLAS@tc_link (COD_INFORME,TABLA,NOMBRE,REGLA,F_INICIO,F_FIN,DESCRIPCION) VALUES (3.1,'INYC_RA_RESUMEN','SM - Numero Pólizas 001 y 0329030 Total Mes','SM-E-RS2-Agente-NumeroPolizas-TotalMes-SinCorregir',TO_DATE('20170101','yyyymmdd'),TO_DATE('22000101','yyyymmdd'),'');</v>
      </c>
    </row>
    <row r="156" spans="1:2" x14ac:dyDescent="0.25">
      <c r="A156" t="str">
        <f>IF(REGLAS!J157="OBSOLETO","","INSERT INTO INYCEXT.INYC_CONF_INF_REGLAS (COD_INFORME,TABLA,NOMBRE,REGLA,F_INICIO,F_FIN,DESCRIPCION) VALUES ("&amp;REGLAS!B157&amp;",'"&amp;REGLAS!C157&amp;"','"&amp;REGLAS!D157&amp;"','"&amp;REGLAS!G157&amp;"',TO_DATE('"&amp;REGLAS!H157&amp;"','yyyymmdd'),TO_DATE('"&amp;REGLAS!I157&amp;"','yyyymmdd'),'"&amp;REGLAS!J157&amp;"');")</f>
        <v>INSERT INTO INYCEXT.INYC_CONF_INF_REGLAS (COD_INFORME,TABLA,NOMBRE,REGLA,F_INICIO,F_FIN,DESCRIPCION) VALUES (3.1,'INYC_RA_RESUMEN','SM - Numero Pólizas 003 y 0329030 Total Mes','SM-E-RS3-Agente-NumeroPolizas-TotalMes-SinCorregir',TO_DATE('20170101','yyyymmdd'),TO_DATE('22000101','yyyymmdd'),'');</v>
      </c>
      <c r="B156" t="str">
        <f>IF(REGLAS!J157="OBSOLETO","","INSERT INTO INYCEXT.INYC_CONF_INF_REGLAS@tc_link (COD_INFORME,TABLA,NOMBRE,REGLA,F_INICIO,F_FIN,DESCRIPCION) VALUES ("&amp;REGLAS!B157&amp;",'"&amp;REGLAS!C157&amp;"','"&amp;REGLAS!D157&amp;"','"&amp;REGLAS!G157&amp;"',TO_DATE('"&amp;REGLAS!H157&amp;"','yyyymmdd'),TO_DATE('"&amp;REGLAS!I157&amp;"','yyyymmdd'),'"&amp;REGLAS!J157&amp;"');")</f>
        <v>INSERT INTO INYCEXT.INYC_CONF_INF_REGLAS@tc_link (COD_INFORME,TABLA,NOMBRE,REGLA,F_INICIO,F_FIN,DESCRIPCION) VALUES (3.1,'INYC_RA_RESUMEN','SM - Numero Pólizas 003 y 0329030 Total Mes','SM-E-RS3-Agente-NumeroPolizas-TotalMes-SinCorregir',TO_DATE('20170101','yyyymmdd'),TO_DATE('22000101','yyyymmdd'),'');</v>
      </c>
    </row>
    <row r="157" spans="1:2" x14ac:dyDescent="0.25">
      <c r="A157" t="str">
        <f>IF(REGLAS!J158="OBSOLETO","","INSERT INTO INYCEXT.INYC_CONF_INF_REGLAS (COD_INFORME,TABLA,NOMBRE,REGLA,F_INICIO,F_FIN,DESCRIPCION) VALUES ("&amp;REGLAS!B158&amp;",'"&amp;REGLAS!C158&amp;"','"&amp;REGLAS!D158&amp;"','"&amp;REGLAS!G158&amp;"',TO_DATE('"&amp;REGLAS!H158&amp;"','yyyymmdd'),TO_DATE('"&amp;REGLAS!I158&amp;"','yyyymmdd'),'"&amp;REGLAS!J158&amp;"');")</f>
        <v>INSERT INTO INYCEXT.INYC_CONF_INF_REGLAS (COD_INFORME,TABLA,NOMBRE,REGLA,F_INICIO,F_FIN,DESCRIPCION) VALUES (3.1,'INYC_RA_RESUMEN','SM - Numero Pólizas RS Total Mes','SM-E-RS-Agente-NumeroPolizas-TotalMes',TO_DATE('20140101','yyyymmdd'),TO_DATE('22000101','yyyymmdd'),'');</v>
      </c>
      <c r="B157" t="str">
        <f>IF(REGLAS!J158="OBSOLETO","","INSERT INTO INYCEXT.INYC_CONF_INF_REGLAS@tc_link (COD_INFORME,TABLA,NOMBRE,REGLA,F_INICIO,F_FIN,DESCRIPCION) VALUES ("&amp;REGLAS!B158&amp;",'"&amp;REGLAS!C158&amp;"','"&amp;REGLAS!D158&amp;"','"&amp;REGLAS!G158&amp;"',TO_DATE('"&amp;REGLAS!H158&amp;"','yyyymmdd'),TO_DATE('"&amp;REGLAS!I158&amp;"','yyyymmdd'),'"&amp;REGLAS!J158&amp;"');")</f>
        <v>INSERT INTO INYCEXT.INYC_CONF_INF_REGLAS@tc_link (COD_INFORME,TABLA,NOMBRE,REGLA,F_INICIO,F_FIN,DESCRIPCION) VALUES (3.1,'INYC_RA_RESUMEN','SM - Numero Pólizas RS Total Mes','SM-E-RS-Agente-NumeroPolizas-TotalMes',TO_DATE('20140101','yyyymmdd'),TO_DATE('22000101','yyyymmdd'),'');</v>
      </c>
    </row>
    <row r="158" spans="1:2" x14ac:dyDescent="0.25">
      <c r="A158" t="str">
        <f>IF(REGLAS!J159="OBSOLETO","","INSERT INTO INYCEXT.INYC_CONF_INF_REGLAS (COD_INFORME,TABLA,NOMBRE,REGLA,F_INICIO,F_FIN,DESCRIPCION) VALUES ("&amp;REGLAS!B159&amp;",'"&amp;REGLAS!C159&amp;"','"&amp;REGLAS!D159&amp;"','"&amp;REGLAS!G159&amp;"',TO_DATE('"&amp;REGLAS!H159&amp;"','yyyymmdd'),TO_DATE('"&amp;REGLAS!I159&amp;"','yyyymmdd'),'"&amp;REGLAS!J159&amp;"');")</f>
        <v>INSERT INTO INYCEXT.INYC_CONF_INF_REGLAS (COD_INFORME,TABLA,NOMBRE,REGLA,F_INICIO,F_FIN,DESCRIPCION) VALUES (3.1,'INYC_RA_RESUMEN','SM - Nº Pólizas Agente Accidentes Mensual','SM-E-GEN-Agente-NumeroPolizas-Accidente-TotalMes',TO_DATE('20180101','yyyymmdd'),TO_DATE('22000101','yyyymmdd'),'Version 20180125');</v>
      </c>
      <c r="B158" t="str">
        <f>IF(REGLAS!J159="OBSOLETO","","INSERT INTO INYCEXT.INYC_CONF_INF_REGLAS@tc_link (COD_INFORME,TABLA,NOMBRE,REGLA,F_INICIO,F_FIN,DESCRIPCION) VALUES ("&amp;REGLAS!B159&amp;",'"&amp;REGLAS!C159&amp;"','"&amp;REGLAS!D159&amp;"','"&amp;REGLAS!G159&amp;"',TO_DATE('"&amp;REGLAS!H159&amp;"','yyyymmdd'),TO_DATE('"&amp;REGLAS!I159&amp;"','yyyymmdd'),'"&amp;REGLAS!J159&amp;"');")</f>
        <v>INSERT INTO INYCEXT.INYC_CONF_INF_REGLAS@tc_link (COD_INFORME,TABLA,NOMBRE,REGLA,F_INICIO,F_FIN,DESCRIPCION) VALUES (3.1,'INYC_RA_RESUMEN','SM - Nº Pólizas Agente Accidentes Mensual','SM-E-GEN-Agente-NumeroPolizas-Accidente-TotalMes',TO_DATE('20180101','yyyymmdd'),TO_DATE('22000101','yyyymmdd'),'Version 20180125');</v>
      </c>
    </row>
    <row r="159" spans="1:2" x14ac:dyDescent="0.25">
      <c r="A159" t="str">
        <f>IF(REGLAS!J160="OBSOLETO","","INSERT INTO INYCEXT.INYC_CONF_INF_REGLAS (COD_INFORME,TABLA,NOMBRE,REGLA,F_INICIO,F_FIN,DESCRIPCION) VALUES ("&amp;REGLAS!B160&amp;",'"&amp;REGLAS!C160&amp;"','"&amp;REGLAS!D160&amp;"','"&amp;REGLAS!G160&amp;"',TO_DATE('"&amp;REGLAS!H160&amp;"','yyyymmdd'),TO_DATE('"&amp;REGLAS!I160&amp;"','yyyymmdd'),'"&amp;REGLAS!J160&amp;"');")</f>
        <v>INSERT INTO INYCEXT.INYC_CONF_INF_REGLAS (COD_INFORME,TABLA,NOMBRE,REGLA,F_INICIO,F_FIN,DESCRIPCION) VALUES (3.1,'INYC_RA_RESUMEN','SM - Nº Pólizas Agente Hogar Mensual','SM-E-GEN-Agente-NumeroPolizas-Hogar-TotalMes',TO_DATE('20180101','yyyymmdd'),TO_DATE('22000101','yyyymmdd'),'Version 20180125');</v>
      </c>
      <c r="B159" t="str">
        <f>IF(REGLAS!J160="OBSOLETO","","INSERT INTO INYCEXT.INYC_CONF_INF_REGLAS@tc_link (COD_INFORME,TABLA,NOMBRE,REGLA,F_INICIO,F_FIN,DESCRIPCION) VALUES ("&amp;REGLAS!B160&amp;",'"&amp;REGLAS!C160&amp;"','"&amp;REGLAS!D160&amp;"','"&amp;REGLAS!G160&amp;"',TO_DATE('"&amp;REGLAS!H160&amp;"','yyyymmdd'),TO_DATE('"&amp;REGLAS!I160&amp;"','yyyymmdd'),'"&amp;REGLAS!J160&amp;"');")</f>
        <v>INSERT INTO INYCEXT.INYC_CONF_INF_REGLAS@tc_link (COD_INFORME,TABLA,NOMBRE,REGLA,F_INICIO,F_FIN,DESCRIPCION) VALUES (3.1,'INYC_RA_RESUMEN','SM - Nº Pólizas Agente Hogar Mensual','SM-E-GEN-Agente-NumeroPolizas-Hogar-TotalMes',TO_DATE('20180101','yyyymmdd'),TO_DATE('22000101','yyyymmdd'),'Version 20180125');</v>
      </c>
    </row>
    <row r="160" spans="1:2" x14ac:dyDescent="0.25">
      <c r="A160" t="str">
        <f>IF(REGLAS!J161="OBSOLETO","","INSERT INTO INYCEXT.INYC_CONF_INF_REGLAS (COD_INFORME,TABLA,NOMBRE,REGLA,F_INICIO,F_FIN,DESCRIPCION) VALUES ("&amp;REGLAS!B161&amp;",'"&amp;REGLAS!C161&amp;"','"&amp;REGLAS!D161&amp;"','"&amp;REGLAS!G161&amp;"',TO_DATE('"&amp;REGLAS!H161&amp;"','yyyymmdd'),TO_DATE('"&amp;REGLAS!I161&amp;"','yyyymmdd'),'"&amp;REGLAS!J161&amp;"');")</f>
        <v>INSERT INTO INYCEXT.INYC_CONF_INF_REGLAS (COD_INFORME,TABLA,NOMBRE,REGLA,F_INICIO,F_FIN,DESCRIPCION) VALUES (3.1,'INYC_RA_RESUMEN','SM - Nº Pólizas Agente Comunidades Mensual','SM-E-GEN-Agente-NumeroPolizas-Comunidades-TotalMes',TO_DATE('20180101','yyyymmdd'),TO_DATE('22000101','yyyymmdd'),'Version 20180125');</v>
      </c>
      <c r="B160" t="str">
        <f>IF(REGLAS!J161="OBSOLETO","","INSERT INTO INYCEXT.INYC_CONF_INF_REGLAS@tc_link (COD_INFORME,TABLA,NOMBRE,REGLA,F_INICIO,F_FIN,DESCRIPCION) VALUES ("&amp;REGLAS!B161&amp;",'"&amp;REGLAS!C161&amp;"','"&amp;REGLAS!D161&amp;"','"&amp;REGLAS!G161&amp;"',TO_DATE('"&amp;REGLAS!H161&amp;"','yyyymmdd'),TO_DATE('"&amp;REGLAS!I161&amp;"','yyyymmdd'),'"&amp;REGLAS!J161&amp;"');")</f>
        <v>INSERT INTO INYCEXT.INYC_CONF_INF_REGLAS@tc_link (COD_INFORME,TABLA,NOMBRE,REGLA,F_INICIO,F_FIN,DESCRIPCION) VALUES (3.1,'INYC_RA_RESUMEN','SM - Nº Pólizas Agente Comunidades Mensual','SM-E-GEN-Agente-NumeroPolizas-Comunidades-TotalMes',TO_DATE('20180101','yyyymmdd'),TO_DATE('22000101','yyyymmdd'),'Version 20180125');</v>
      </c>
    </row>
    <row r="161" spans="1:2" x14ac:dyDescent="0.25">
      <c r="A161" t="str">
        <f>IF(REGLAS!J162="OBSOLETO","","INSERT INTO INYCEXT.INYC_CONF_INF_REGLAS (COD_INFORME,TABLA,NOMBRE,REGLA,F_INICIO,F_FIN,DESCRIPCION) VALUES ("&amp;REGLAS!B162&amp;",'"&amp;REGLAS!C162&amp;"','"&amp;REGLAS!D162&amp;"','"&amp;REGLAS!G162&amp;"',TO_DATE('"&amp;REGLAS!H162&amp;"','yyyymmdd'),TO_DATE('"&amp;REGLAS!I162&amp;"','yyyymmdd'),'"&amp;REGLAS!J162&amp;"');")</f>
        <v>INSERT INTO INYCEXT.INYC_CONF_INF_REGLAS (COD_INFORME,TABLA,NOMBRE,REGLA,F_INICIO,F_FIN,DESCRIPCION) VALUES (3.1,'INYC_RA_RESUMEN','SM - Nº Pólizas Agente RRTT Mensual','SM-E-GEN-Agente-NumeroPolizas-Decesos-TotalMes',TO_DATE('20180101','yyyymmdd'),TO_DATE('22000101','yyyymmdd'),'Version 20180125');</v>
      </c>
      <c r="B161" t="str">
        <f>IF(REGLAS!J162="OBSOLETO","","INSERT INTO INYCEXT.INYC_CONF_INF_REGLAS@tc_link (COD_INFORME,TABLA,NOMBRE,REGLA,F_INICIO,F_FIN,DESCRIPCION) VALUES ("&amp;REGLAS!B162&amp;",'"&amp;REGLAS!C162&amp;"','"&amp;REGLAS!D162&amp;"','"&amp;REGLAS!G162&amp;"',TO_DATE('"&amp;REGLAS!H162&amp;"','yyyymmdd'),TO_DATE('"&amp;REGLAS!I162&amp;"','yyyymmdd'),'"&amp;REGLAS!J162&amp;"');")</f>
        <v>INSERT INTO INYCEXT.INYC_CONF_INF_REGLAS@tc_link (COD_INFORME,TABLA,NOMBRE,REGLA,F_INICIO,F_FIN,DESCRIPCION) VALUES (3.1,'INYC_RA_RESUMEN','SM - Nº Pólizas Agente RRTT Mensual','SM-E-GEN-Agente-NumeroPolizas-Decesos-TotalMes',TO_DATE('20180101','yyyymmdd'),TO_DATE('22000101','yyyymmdd'),'Version 20180125');</v>
      </c>
    </row>
    <row r="162" spans="1:2" x14ac:dyDescent="0.25">
      <c r="A162" t="str">
        <f>IF(REGLAS!J163="OBSOLETO","","INSERT INTO INYCEXT.INYC_CONF_INF_REGLAS (COD_INFORME,TABLA,NOMBRE,REGLA,F_INICIO,F_FIN,DESCRIPCION) VALUES ("&amp;REGLAS!B163&amp;",'"&amp;REGLAS!C163&amp;"','"&amp;REGLAS!D163&amp;"','"&amp;REGLAS!G163&amp;"',TO_DATE('"&amp;REGLAS!H163&amp;"','yyyymmdd'),TO_DATE('"&amp;REGLAS!I163&amp;"','yyyymmdd'),'"&amp;REGLAS!J163&amp;"');")</f>
        <v>INSERT INTO INYCEXT.INYC_CONF_INF_REGLAS (COD_INFORME,TABLA,NOMBRE,REGLA,F_INICIO,F_FIN,DESCRIPCION) VALUES (3.1,'INYC_RA_RESUMEN','SM - Nº Pólizas Agente Prod. Prioritarios Mensual','SM-E-GEN-Agente-NumeroPolizas-ProdPrioritarios-TotalMes',TO_DATE('20180101','yyyymmdd'),TO_DATE('22000101','yyyymmdd'),'Version 20180125');</v>
      </c>
      <c r="B162" t="str">
        <f>IF(REGLAS!J163="OBSOLETO","","INSERT INTO INYCEXT.INYC_CONF_INF_REGLAS@tc_link (COD_INFORME,TABLA,NOMBRE,REGLA,F_INICIO,F_FIN,DESCRIPCION) VALUES ("&amp;REGLAS!B163&amp;",'"&amp;REGLAS!C163&amp;"','"&amp;REGLAS!D163&amp;"','"&amp;REGLAS!G163&amp;"',TO_DATE('"&amp;REGLAS!H163&amp;"','yyyymmdd'),TO_DATE('"&amp;REGLAS!I163&amp;"','yyyymmdd'),'"&amp;REGLAS!J163&amp;"');")</f>
        <v>INSERT INTO INYCEXT.INYC_CONF_INF_REGLAS@tc_link (COD_INFORME,TABLA,NOMBRE,REGLA,F_INICIO,F_FIN,DESCRIPCION) VALUES (3.1,'INYC_RA_RESUMEN','SM - Nº Pólizas Agente Prod. Prioritarios Mensual','SM-E-GEN-Agente-NumeroPolizas-ProdPrioritarios-TotalMes',TO_DATE('20180101','yyyymmdd'),TO_DATE('22000101','yyyymmdd'),'Version 20180125');</v>
      </c>
    </row>
    <row r="163" spans="1:2" x14ac:dyDescent="0.25">
      <c r="A163" t="str">
        <f>IF(REGLAS!J164="OBSOLETO","","INSERT INTO INYCEXT.INYC_CONF_INF_REGLAS (COD_INFORME,TABLA,NOMBRE,REGLA,F_INICIO,F_FIN,DESCRIPCION) VALUES ("&amp;REGLAS!B164&amp;",'"&amp;REGLAS!C164&amp;"','"&amp;REGLAS!D164&amp;"','"&amp;REGLAS!G164&amp;"',TO_DATE('"&amp;REGLAS!H164&amp;"','yyyymmdd'),TO_DATE('"&amp;REGLAS!I164&amp;"','yyyymmdd'),'"&amp;REGLAS!J164&amp;"');")</f>
        <v>INSERT INTO INYCEXT.INYC_CONF_INF_REGLAS (COD_INFORME,TABLA,NOMBRE,REGLA,F_INICIO,F_FIN,DESCRIPCION) VALUES (3.1,'INYC_RA_RESUMEN','PM- Nº Pólizas asistencia ETERNA','PM-E-COM-NumeroAsistencias',TO_DATE('20190101','yyyymmdd'),TO_DATE('22000101','yyyymmdd'),'Version 20190121');</v>
      </c>
      <c r="B163" t="str">
        <f>IF(REGLAS!J164="OBSOLETO","","INSERT INTO INYCEXT.INYC_CONF_INF_REGLAS@tc_link (COD_INFORME,TABLA,NOMBRE,REGLA,F_INICIO,F_FIN,DESCRIPCION) VALUES ("&amp;REGLAS!B164&amp;",'"&amp;REGLAS!C164&amp;"','"&amp;REGLAS!D164&amp;"','"&amp;REGLAS!G164&amp;"',TO_DATE('"&amp;REGLAS!H164&amp;"','yyyymmdd'),TO_DATE('"&amp;REGLAS!I164&amp;"','yyyymmdd'),'"&amp;REGLAS!J164&amp;"');")</f>
        <v>INSERT INTO INYCEXT.INYC_CONF_INF_REGLAS@tc_link (COD_INFORME,TABLA,NOMBRE,REGLA,F_INICIO,F_FIN,DESCRIPCION) VALUES (3.1,'INYC_RA_RESUMEN','PM- Nº Pólizas asistencia ETERNA','PM-E-COM-NumeroAsistencias',TO_DATE('20190101','yyyymmdd'),TO_DATE('22000101','yyyymmdd'),'Version 20190121');</v>
      </c>
    </row>
    <row r="164" spans="1:2" x14ac:dyDescent="0.25">
      <c r="A164" t="str">
        <f>IF(REGLAS!J165="OBSOLETO","","INSERT INTO INYCEXT.INYC_CONF_INF_REGLAS (COD_INFORME,TABLA,NOMBRE,REGLA,F_INICIO,F_FIN,DESCRIPCION) VALUES ("&amp;REGLAS!B165&amp;",'"&amp;REGLAS!C165&amp;"','"&amp;REGLAS!D165&amp;"','"&amp;REGLAS!G165&amp;"',TO_DATE('"&amp;REGLAS!H165&amp;"','yyyymmdd'),TO_DATE('"&amp;REGLAS!I165&amp;"','yyyymmdd'),'"&amp;REGLAS!J165&amp;"');")</f>
        <v>INSERT INTO INYCEXT.INYC_CONF_INF_REGLAS (COD_INFORME,TABLA,NOMBRE,REGLA,F_INICIO,F_FIN,DESCRIPCION) VALUES (3.1,'INYC_RA_RESUMEN','SM - Nº Asegurados Agente Mensual','SM-E-GEN-Agente-NumAsegurados-TotalMes',TO_DATE('20180101','yyyymmdd'),TO_DATE('22000101','yyyymmdd'),'Version 20180125');</v>
      </c>
      <c r="B164" t="str">
        <f>IF(REGLAS!J165="OBSOLETO","","INSERT INTO INYCEXT.INYC_CONF_INF_REGLAS@tc_link (COD_INFORME,TABLA,NOMBRE,REGLA,F_INICIO,F_FIN,DESCRIPCION) VALUES ("&amp;REGLAS!B165&amp;",'"&amp;REGLAS!C165&amp;"','"&amp;REGLAS!D165&amp;"','"&amp;REGLAS!G165&amp;"',TO_DATE('"&amp;REGLAS!H165&amp;"','yyyymmdd'),TO_DATE('"&amp;REGLAS!I165&amp;"','yyyymmdd'),'"&amp;REGLAS!J165&amp;"');")</f>
        <v>INSERT INTO INYCEXT.INYC_CONF_INF_REGLAS@tc_link (COD_INFORME,TABLA,NOMBRE,REGLA,F_INICIO,F_FIN,DESCRIPCION) VALUES (3.1,'INYC_RA_RESUMEN','SM - Nº Asegurados Agente Mensual','SM-E-GEN-Agente-NumAsegurados-TotalMes',TO_DATE('20180101','yyyymmdd'),TO_DATE('22000101','yyyymmdd'),'Version 20180125');</v>
      </c>
    </row>
    <row r="165" spans="1:2" x14ac:dyDescent="0.25">
      <c r="A165" t="str">
        <f>IF(REGLAS!J166="OBSOLETO","","INSERT INTO INYCEXT.INYC_CONF_INF_REGLAS (COD_INFORME,TABLA,NOMBRE,REGLA,F_INICIO,F_FIN,DESCRIPCION) VALUES ("&amp;REGLAS!B166&amp;",'"&amp;REGLAS!C166&amp;"','"&amp;REGLAS!D166&amp;"','"&amp;REGLAS!G166&amp;"',TO_DATE('"&amp;REGLAS!H166&amp;"','yyyymmdd'),TO_DATE('"&amp;REGLAS!I166&amp;"','yyyymmdd'),'"&amp;REGLAS!J166&amp;"');")</f>
        <v>INSERT INTO INYCEXT.INYC_CONF_INF_REGLAS (COD_INFORME,TABLA,NOMBRE,REGLA,F_INICIO,F_FIN,DESCRIPCION) VALUES (3.1,'INYC_RA_RESUMEN','SM - Numero Pólizas RS Resto Mes Anterior','SM-E-RS-Agente-NumeroPolizas-RestoMesAnterior',TO_DATE('20140101','yyyymmdd'),TO_DATE('22000101','yyyymmdd'),'');</v>
      </c>
      <c r="B165" t="str">
        <f>IF(REGLAS!J166="OBSOLETO","","INSERT INTO INYCEXT.INYC_CONF_INF_REGLAS@tc_link (COD_INFORME,TABLA,NOMBRE,REGLA,F_INICIO,F_FIN,DESCRIPCION) VALUES ("&amp;REGLAS!B166&amp;",'"&amp;REGLAS!C166&amp;"','"&amp;REGLAS!D166&amp;"','"&amp;REGLAS!G166&amp;"',TO_DATE('"&amp;REGLAS!H166&amp;"','yyyymmdd'),TO_DATE('"&amp;REGLAS!I166&amp;"','yyyymmdd'),'"&amp;REGLAS!J166&amp;"');")</f>
        <v>INSERT INTO INYCEXT.INYC_CONF_INF_REGLAS@tc_link (COD_INFORME,TABLA,NOMBRE,REGLA,F_INICIO,F_FIN,DESCRIPCION) VALUES (3.1,'INYC_RA_RESUMEN','SM - Numero Pólizas RS Resto Mes Anterior','SM-E-RS-Agente-NumeroPolizas-RestoMesAnterior',TO_DATE('20140101','yyyymmdd'),TO_DATE('22000101','yyyymmdd'),'');</v>
      </c>
    </row>
    <row r="166" spans="1:2" x14ac:dyDescent="0.25">
      <c r="A166" t="str">
        <f>IF(REGLAS!J167="OBSOLETO","","INSERT INTO INYCEXT.INYC_CONF_INF_REGLAS (COD_INFORME,TABLA,NOMBRE,REGLA,F_INICIO,F_FIN,DESCRIPCION) VALUES ("&amp;REGLAS!B167&amp;",'"&amp;REGLAS!C167&amp;"','"&amp;REGLAS!D167&amp;"','"&amp;REGLAS!G167&amp;"',TO_DATE('"&amp;REGLAS!H167&amp;"','yyyymmdd'),TO_DATE('"&amp;REGLAS!I167&amp;"','yyyymmdd'),'"&amp;REGLAS!J167&amp;"');")</f>
        <v>INSERT INTO INYCEXT.INYC_CONF_INF_REGLAS (COD_INFORME,TABLA,NOMBRE,REGLA,F_INICIO,F_FIN,DESCRIPCION) VALUES (3.1,'INYC_RA_RESUMEN','SM - Numero Pólizas RS Resto','SM-E-RS-Agente-NumeroPolizas-Resto',TO_DATE('20140101','yyyymmdd'),TO_DATE('22000101','yyyymmdd'),'');</v>
      </c>
      <c r="B166" t="str">
        <f>IF(REGLAS!J167="OBSOLETO","","INSERT INTO INYCEXT.INYC_CONF_INF_REGLAS@tc_link (COD_INFORME,TABLA,NOMBRE,REGLA,F_INICIO,F_FIN,DESCRIPCION) VALUES ("&amp;REGLAS!B167&amp;",'"&amp;REGLAS!C167&amp;"','"&amp;REGLAS!D167&amp;"','"&amp;REGLAS!G167&amp;"',TO_DATE('"&amp;REGLAS!H167&amp;"','yyyymmdd'),TO_DATE('"&amp;REGLAS!I167&amp;"','yyyymmdd'),'"&amp;REGLAS!J167&amp;"');")</f>
        <v>INSERT INTO INYCEXT.INYC_CONF_INF_REGLAS@tc_link (COD_INFORME,TABLA,NOMBRE,REGLA,F_INICIO,F_FIN,DESCRIPCION) VALUES (3.1,'INYC_RA_RESUMEN','SM - Numero Pólizas RS Resto','SM-E-RS-Agente-NumeroPolizas-Resto',TO_DATE('20140101','yyyymmdd'),TO_DATE('22000101','yyyymmdd'),'');</v>
      </c>
    </row>
    <row r="167" spans="1:2" x14ac:dyDescent="0.25">
      <c r="A167" t="str">
        <f>IF(REGLAS!J168="OBSOLETO","","INSERT INTO INYCEXT.INYC_CONF_INF_REGLAS (COD_INFORME,TABLA,NOMBRE,REGLA,F_INICIO,F_FIN,DESCRIPCION) VALUES ("&amp;REGLAS!B168&amp;",'"&amp;REGLAS!C168&amp;"','"&amp;REGLAS!D168&amp;"','"&amp;REGLAS!G168&amp;"',TO_DATE('"&amp;REGLAS!H168&amp;"','yyyymmdd'),TO_DATE('"&amp;REGLAS!I168&amp;"','yyyymmdd'),'"&amp;REGLAS!J168&amp;"');")</f>
        <v>INSERT INTO INYCEXT.INYC_CONF_INF_REGLAS (COD_INFORME,TABLA,NOMBRE,REGLA,F_INICIO,F_FIN,DESCRIPCION) VALUES (3.1,'INYC_RA_RESUMEN','SM - Pago Mensual Rappel','SM-E-R-Agente-PagoMensual',TO_DATE('20140101','yyyymmdd'),TO_DATE('22000101','yyyymmdd'),'');</v>
      </c>
      <c r="B167" t="str">
        <f>IF(REGLAS!J168="OBSOLETO","","INSERT INTO INYCEXT.INYC_CONF_INF_REGLAS@tc_link (COD_INFORME,TABLA,NOMBRE,REGLA,F_INICIO,F_FIN,DESCRIPCION) VALUES ("&amp;REGLAS!B168&amp;",'"&amp;REGLAS!C168&amp;"','"&amp;REGLAS!D168&amp;"','"&amp;REGLAS!G168&amp;"',TO_DATE('"&amp;REGLAS!H168&amp;"','yyyymmdd'),TO_DATE('"&amp;REGLAS!I168&amp;"','yyyymmdd'),'"&amp;REGLAS!J168&amp;"');")</f>
        <v>INSERT INTO INYCEXT.INYC_CONF_INF_REGLAS@tc_link (COD_INFORME,TABLA,NOMBRE,REGLA,F_INICIO,F_FIN,DESCRIPCION) VALUES (3.1,'INYC_RA_RESUMEN','SM - Pago Mensual Rappel','SM-E-R-Agente-PagoMensual',TO_DATE('20140101','yyyymmdd'),TO_DATE('22000101','yyyymmdd'),'');</v>
      </c>
    </row>
    <row r="168" spans="1:2" x14ac:dyDescent="0.25">
      <c r="A168" t="str">
        <f>IF(REGLAS!J169="OBSOLETO","","INSERT INTO INYCEXT.INYC_CONF_INF_REGLAS (COD_INFORME,TABLA,NOMBRE,REGLA,F_INICIO,F_FIN,DESCRIPCION) VALUES ("&amp;REGLAS!B169&amp;",'"&amp;REGLAS!C169&amp;"','"&amp;REGLAS!D169&amp;"','"&amp;REGLAS!G169&amp;"',TO_DATE('"&amp;REGLAS!H169&amp;"','yyyymmdd'),TO_DATE('"&amp;REGLAS!I169&amp;"','yyyymmdd'),'"&amp;REGLAS!J169&amp;"');")</f>
        <v>INSERT INTO INYCEXT.INYC_CONF_INF_REGLAS (COD_INFORME,TABLA,NOMBRE,REGLA,F_INICIO,F_FIN,DESCRIPCION) VALUES (3.1,'INYC_RA_RESUMEN','SM - Pago Mensual Superrapel','SM-E-S-Agente-PagoMensual',TO_DATE('20140101','yyyymmdd'),TO_DATE('22000101','yyyymmdd'),'');</v>
      </c>
      <c r="B168" t="str">
        <f>IF(REGLAS!J169="OBSOLETO","","INSERT INTO INYCEXT.INYC_CONF_INF_REGLAS@tc_link (COD_INFORME,TABLA,NOMBRE,REGLA,F_INICIO,F_FIN,DESCRIPCION) VALUES ("&amp;REGLAS!B169&amp;",'"&amp;REGLAS!C169&amp;"','"&amp;REGLAS!D169&amp;"','"&amp;REGLAS!G169&amp;"',TO_DATE('"&amp;REGLAS!H169&amp;"','yyyymmdd'),TO_DATE('"&amp;REGLAS!I169&amp;"','yyyymmdd'),'"&amp;REGLAS!J169&amp;"');")</f>
        <v>INSERT INTO INYCEXT.INYC_CONF_INF_REGLAS@tc_link (COD_INFORME,TABLA,NOMBRE,REGLA,F_INICIO,F_FIN,DESCRIPCION) VALUES (3.1,'INYC_RA_RESUMEN','SM - Pago Mensual Superrapel','SM-E-S-Agente-PagoMensual',TO_DATE('20140101','yyyymmdd'),TO_DATE('22000101','yyyymmdd'),'');</v>
      </c>
    </row>
    <row r="169" spans="1:2" x14ac:dyDescent="0.25">
      <c r="A169" t="str">
        <f>IF(REGLAS!J170="OBSOLETO","","INSERT INTO INYCEXT.INYC_CONF_INF_REGLAS (COD_INFORME,TABLA,NOMBRE,REGLA,F_INICIO,F_FIN,DESCRIPCION) VALUES ("&amp;REGLAS!B170&amp;",'"&amp;REGLAS!C170&amp;"','"&amp;REGLAS!D170&amp;"','"&amp;REGLAS!G170&amp;"',TO_DATE('"&amp;REGLAS!H170&amp;"','yyyymmdd'),TO_DATE('"&amp;REGLAS!I170&amp;"','yyyymmdd'),'"&amp;REGLAS!J170&amp;"');")</f>
        <v>INSERT INTO INYCEXT.INYC_CONF_INF_REGLAS (COD_INFORME,TABLA,NOMBRE,REGLA,F_INICIO,F_FIN,DESCRIPCION) VALUES (3.1,'INYC_RA_RESUMEN','SM - Pago Mensual Rappel agentes 317','SM-E-R-Agente-Tipo317-PagoMensual',TO_DATE('20200101','yyyymmdd'),TO_DATE('22000101','yyyymmdd'),'Version 20200214');</v>
      </c>
      <c r="B169" t="str">
        <f>IF(REGLAS!J170="OBSOLETO","","INSERT INTO INYCEXT.INYC_CONF_INF_REGLAS@tc_link (COD_INFORME,TABLA,NOMBRE,REGLA,F_INICIO,F_FIN,DESCRIPCION) VALUES ("&amp;REGLAS!B170&amp;",'"&amp;REGLAS!C170&amp;"','"&amp;REGLAS!D170&amp;"','"&amp;REGLAS!G170&amp;"',TO_DATE('"&amp;REGLAS!H170&amp;"','yyyymmdd'),TO_DATE('"&amp;REGLAS!I170&amp;"','yyyymmdd'),'"&amp;REGLAS!J170&amp;"');")</f>
        <v>INSERT INTO INYCEXT.INYC_CONF_INF_REGLAS@tc_link (COD_INFORME,TABLA,NOMBRE,REGLA,F_INICIO,F_FIN,DESCRIPCION) VALUES (3.1,'INYC_RA_RESUMEN','SM - Pago Mensual Rappel agentes 317','SM-E-R-Agente-Tipo317-PagoMensual',TO_DATE('20200101','yyyymmdd'),TO_DATE('22000101','yyyymmdd'),'Version 20200214');</v>
      </c>
    </row>
    <row r="170" spans="1:2" x14ac:dyDescent="0.25">
      <c r="A170" t="str">
        <f>IF(REGLAS!J171="OBSOLETO","","INSERT INTO INYCEXT.INYC_CONF_INF_REGLAS (COD_INFORME,TABLA,NOMBRE,REGLA,F_INICIO,F_FIN,DESCRIPCION) VALUES ("&amp;REGLAS!B171&amp;",'"&amp;REGLAS!C171&amp;"','"&amp;REGLAS!D171&amp;"','"&amp;REGLAS!G171&amp;"',TO_DATE('"&amp;REGLAS!H171&amp;"','yyyymmdd'),TO_DATE('"&amp;REGLAS!I171&amp;"','yyyymmdd'),'"&amp;REGLAS!J171&amp;"');")</f>
        <v>INSERT INTO INYCEXT.INYC_CONF_INF_REGLAS (COD_INFORME,TABLA,NOMBRE,REGLA,F_INICIO,F_FIN,DESCRIPCION) VALUES (3.1,'INYC_RA_RESUMEN','SM - Pago Mensual Superrapel agente 317','SM-E-SR-Agente-Tipo317-PagoMensual',TO_DATE('20200101','yyyymmdd'),TO_DATE('22000101','yyyymmdd'),'Version 20200214');</v>
      </c>
      <c r="B170" t="str">
        <f>IF(REGLAS!J171="OBSOLETO","","INSERT INTO INYCEXT.INYC_CONF_INF_REGLAS@tc_link (COD_INFORME,TABLA,NOMBRE,REGLA,F_INICIO,F_FIN,DESCRIPCION) VALUES ("&amp;REGLAS!B171&amp;",'"&amp;REGLAS!C171&amp;"','"&amp;REGLAS!D171&amp;"','"&amp;REGLAS!G171&amp;"',TO_DATE('"&amp;REGLAS!H171&amp;"','yyyymmdd'),TO_DATE('"&amp;REGLAS!I171&amp;"','yyyymmdd'),'"&amp;REGLAS!J171&amp;"');")</f>
        <v>INSERT INTO INYCEXT.INYC_CONF_INF_REGLAS@tc_link (COD_INFORME,TABLA,NOMBRE,REGLA,F_INICIO,F_FIN,DESCRIPCION) VALUES (3.1,'INYC_RA_RESUMEN','SM - Pago Mensual Superrapel agente 317','SM-E-SR-Agente-Tipo317-PagoMensual',TO_DATE('20200101','yyyymmdd'),TO_DATE('22000101','yyyymmdd'),'Version 20200214');</v>
      </c>
    </row>
    <row r="171" spans="1:2" x14ac:dyDescent="0.25">
      <c r="A171" t="str">
        <f>IF(REGLAS!J172="OBSOLETO","","INSERT INTO INYCEXT.INYC_CONF_INF_REGLAS (COD_INFORME,TABLA,NOMBRE,REGLA,F_INICIO,F_FIN,DESCRIPCION) VALUES ("&amp;REGLAS!B172&amp;",'"&amp;REGLAS!C172&amp;"','"&amp;REGLAS!D172&amp;"','"&amp;REGLAS!G172&amp;"',TO_DATE('"&amp;REGLAS!H172&amp;"','yyyymmdd'),TO_DATE('"&amp;REGLAS!I172&amp;"','yyyymmdd'),'"&amp;REGLAS!J172&amp;"');")</f>
        <v/>
      </c>
      <c r="B171" t="str">
        <f>IF(REGLAS!J172="OBSOLETO","","INSERT INTO INYCEXT.INYC_CONF_INF_REGLAS@tc_link (COD_INFORME,TABLA,NOMBRE,REGLA,F_INICIO,F_FIN,DESCRIPCION) VALUES ("&amp;REGLAS!B172&amp;",'"&amp;REGLAS!C172&amp;"','"&amp;REGLAS!D172&amp;"','"&amp;REGLAS!G172&amp;"',TO_DATE('"&amp;REGLAS!H172&amp;"','yyyymmdd'),TO_DATE('"&amp;REGLAS!I172&amp;"','yyyymmdd'),'"&amp;REGLAS!J172&amp;"');")</f>
        <v/>
      </c>
    </row>
    <row r="172" spans="1:2" x14ac:dyDescent="0.25">
      <c r="A172" t="str">
        <f>IF(REGLAS!J173="OBSOLETO","","INSERT INTO INYCEXT.INYC_CONF_INF_REGLAS (COD_INFORME,TABLA,NOMBRE,REGLA,F_INICIO,F_FIN,DESCRIPCION) VALUES ("&amp;REGLAS!B173&amp;",'"&amp;REGLAS!C173&amp;"','"&amp;REGLAS!D173&amp;"','"&amp;REGLAS!G173&amp;"',TO_DATE('"&amp;REGLAS!H173&amp;"','yyyymmdd'),TO_DATE('"&amp;REGLAS!I173&amp;"','yyyymmdd'),'"&amp;REGLAS!J173&amp;"');")</f>
        <v/>
      </c>
      <c r="B172" t="str">
        <f>IF(REGLAS!J173="OBSOLETO","","INSERT INTO INYCEXT.INYC_CONF_INF_REGLAS@tc_link (COD_INFORME,TABLA,NOMBRE,REGLA,F_INICIO,F_FIN,DESCRIPCION) VALUES ("&amp;REGLAS!B173&amp;",'"&amp;REGLAS!C173&amp;"','"&amp;REGLAS!D173&amp;"','"&amp;REGLAS!G173&amp;"',TO_DATE('"&amp;REGLAS!H173&amp;"','yyyymmdd'),TO_DATE('"&amp;REGLAS!I173&amp;"','yyyymmdd'),'"&amp;REGLAS!J173&amp;"');")</f>
        <v/>
      </c>
    </row>
    <row r="173" spans="1:2" x14ac:dyDescent="0.25">
      <c r="A173" t="str">
        <f>IF(REGLAS!J174="OBSOLETO","","INSERT INTO INYCEXT.INYC_CONF_INF_REGLAS (COD_INFORME,TABLA,NOMBRE,REGLA,F_INICIO,F_FIN,DESCRIPCION) VALUES ("&amp;REGLAS!B174&amp;",'"&amp;REGLAS!C174&amp;"','"&amp;REGLAS!D174&amp;"','"&amp;REGLAS!G174&amp;"',TO_DATE('"&amp;REGLAS!H174&amp;"','yyyymmdd'),TO_DATE('"&amp;REGLAS!I174&amp;"','yyyymmdd'),'"&amp;REGLAS!J174&amp;"');")</f>
        <v/>
      </c>
      <c r="B173" t="str">
        <f>IF(REGLAS!J174="OBSOLETO","","INSERT INTO INYCEXT.INYC_CONF_INF_REGLAS@tc_link (COD_INFORME,TABLA,NOMBRE,REGLA,F_INICIO,F_FIN,DESCRIPCION) VALUES ("&amp;REGLAS!B174&amp;",'"&amp;REGLAS!C174&amp;"','"&amp;REGLAS!D174&amp;"','"&amp;REGLAS!G174&amp;"',TO_DATE('"&amp;REGLAS!H174&amp;"','yyyymmdd'),TO_DATE('"&amp;REGLAS!I174&amp;"','yyyymmdd'),'"&amp;REGLAS!J174&amp;"');")</f>
        <v/>
      </c>
    </row>
    <row r="174" spans="1:2" x14ac:dyDescent="0.25">
      <c r="A174" t="str">
        <f>IF(REGLAS!J175="OBSOLETO","","INSERT INTO INYCEXT.INYC_CONF_INF_REGLAS (COD_INFORME,TABLA,NOMBRE,REGLA,F_INICIO,F_FIN,DESCRIPCION) VALUES ("&amp;REGLAS!B175&amp;",'"&amp;REGLAS!C175&amp;"','"&amp;REGLAS!D175&amp;"','"&amp;REGLAS!G175&amp;"',TO_DATE('"&amp;REGLAS!H175&amp;"','yyyymmdd'),TO_DATE('"&amp;REGLAS!I175&amp;"','yyyymmdd'),'"&amp;REGLAS!J175&amp;"');")</f>
        <v>INSERT INTO INYCEXT.INYC_CONF_INF_REGLAS (COD_INFORME,TABLA,NOMBRE,REGLA,F_INICIO,F_FIN,DESCRIPCION) VALUES (3.1,'INYC_RA_RESUMEN','SM - Numero Polizas corregidas Prod Prioritarios','SM-E-GEN-Agente-NumeroPolizasCorregidas-ProdPrioritarios-TotalTrimestre',TO_DATE('20190101','yyyymmdd'),TO_DATE('22000101','yyyymmdd'),'Version 20190326');</v>
      </c>
      <c r="B174" t="str">
        <f>IF(REGLAS!J175="OBSOLETO","","INSERT INTO INYCEXT.INYC_CONF_INF_REGLAS@tc_link (COD_INFORME,TABLA,NOMBRE,REGLA,F_INICIO,F_FIN,DESCRIPCION) VALUES ("&amp;REGLAS!B175&amp;",'"&amp;REGLAS!C175&amp;"','"&amp;REGLAS!D175&amp;"','"&amp;REGLAS!G175&amp;"',TO_DATE('"&amp;REGLAS!H175&amp;"','yyyymmdd'),TO_DATE('"&amp;REGLAS!I175&amp;"','yyyymmdd'),'"&amp;REGLAS!J175&amp;"');")</f>
        <v>INSERT INTO INYCEXT.INYC_CONF_INF_REGLAS@tc_link (COD_INFORME,TABLA,NOMBRE,REGLA,F_INICIO,F_FIN,DESCRIPCION) VALUES (3.1,'INYC_RA_RESUMEN','SM - Numero Polizas corregidas Prod Prioritarios','SM-E-GEN-Agente-NumeroPolizasCorregidas-ProdPrioritarios-TotalTrimestre',TO_DATE('20190101','yyyymmdd'),TO_DATE('22000101','yyyymmdd'),'Version 20190326');</v>
      </c>
    </row>
    <row r="175" spans="1:2" x14ac:dyDescent="0.25">
      <c r="A175" t="str">
        <f>IF(REGLAS!J176="OBSOLETO","","INSERT INTO INYCEXT.INYC_CONF_INF_REGLAS (COD_INFORME,TABLA,NOMBRE,REGLA,F_INICIO,F_FIN,DESCRIPCION) VALUES ("&amp;REGLAS!B176&amp;",'"&amp;REGLAS!C176&amp;"','"&amp;REGLAS!D176&amp;"','"&amp;REGLAS!G176&amp;"',TO_DATE('"&amp;REGLAS!H176&amp;"','yyyymmdd'),TO_DATE('"&amp;REGLAS!I176&amp;"','yyyymmdd'),'"&amp;REGLAS!J176&amp;"');")</f>
        <v>INSERT INTO INYCEXT.INYC_CONF_INF_REGLAS (COD_INFORME,TABLA,NOMBRE,REGLA,F_INICIO,F_FIN,DESCRIPCION) VALUES (3.1,'INYC_RA_RESUMEN','SM -Pago Trimestral','SM-E-R-Agente-PagoTrimestre',TO_DATE('20190101','yyyymmdd'),TO_DATE('22000101','yyyymmdd'),'Version 20190326');</v>
      </c>
      <c r="B175" t="str">
        <f>IF(REGLAS!J176="OBSOLETO","","INSERT INTO INYCEXT.INYC_CONF_INF_REGLAS@tc_link (COD_INFORME,TABLA,NOMBRE,REGLA,F_INICIO,F_FIN,DESCRIPCION) VALUES ("&amp;REGLAS!B176&amp;",'"&amp;REGLAS!C176&amp;"','"&amp;REGLAS!D176&amp;"','"&amp;REGLAS!G176&amp;"',TO_DATE('"&amp;REGLAS!H176&amp;"','yyyymmdd'),TO_DATE('"&amp;REGLAS!I176&amp;"','yyyymmdd'),'"&amp;REGLAS!J176&amp;"');")</f>
        <v>INSERT INTO INYCEXT.INYC_CONF_INF_REGLAS@tc_link (COD_INFORME,TABLA,NOMBRE,REGLA,F_INICIO,F_FIN,DESCRIPCION) VALUES (3.1,'INYC_RA_RESUMEN','SM -Pago Trimestral','SM-E-R-Agente-PagoTrimestre',TO_DATE('20190101','yyyymmdd'),TO_DATE('22000101','yyyymmdd'),'Version 20190326');</v>
      </c>
    </row>
    <row r="176" spans="1:2" x14ac:dyDescent="0.25">
      <c r="A176" t="str">
        <f>IF(REGLAS!J177="OBSOLETO","","INSERT INTO INYCEXT.INYC_CONF_INF_REGLAS (COD_INFORME,TABLA,NOMBRE,REGLA,F_INICIO,F_FIN,DESCRIPCION) VALUES ("&amp;REGLAS!B177&amp;",'"&amp;REGLAS!C177&amp;"','"&amp;REGLAS!D177&amp;"','"&amp;REGLAS!G177&amp;"',TO_DATE('"&amp;REGLAS!H177&amp;"','yyyymmdd'),TO_DATE('"&amp;REGLAS!I177&amp;"','yyyymmdd'),'"&amp;REGLAS!J177&amp;"');")</f>
        <v>INSERT INTO INYCEXT.INYC_CONF_INF_REGLAS (COD_INFORME,TABLA,NOMBRE,REGLA,F_INICIO,F_FIN,DESCRIPCION) VALUES (3.2,'INYC_RA_DETALLE','DC - Numero Pólizas 998','DC-E-GEN-Agente-NumeroPolizas-998',TO_DATE('20140101','yyyymmdd'),TO_DATE('22000101','yyyymmdd'),'');</v>
      </c>
      <c r="B176" t="str">
        <f>IF(REGLAS!J177="OBSOLETO","","INSERT INTO INYCEXT.INYC_CONF_INF_REGLAS@tc_link (COD_INFORME,TABLA,NOMBRE,REGLA,F_INICIO,F_FIN,DESCRIPCION) VALUES ("&amp;REGLAS!B177&amp;",'"&amp;REGLAS!C177&amp;"','"&amp;REGLAS!D177&amp;"','"&amp;REGLAS!G177&amp;"',TO_DATE('"&amp;REGLAS!H177&amp;"','yyyymmdd'),TO_DATE('"&amp;REGLAS!I177&amp;"','yyyymmdd'),'"&amp;REGLAS!J177&amp;"');")</f>
        <v>INSERT INTO INYCEXT.INYC_CONF_INF_REGLAS@tc_link (COD_INFORME,TABLA,NOMBRE,REGLA,F_INICIO,F_FIN,DESCRIPCION) VALUES (3.2,'INYC_RA_DETALLE','DC - Numero Pólizas 998','DC-E-GEN-Agente-NumeroPolizas-998',TO_DATE('20140101','yyyymmdd'),TO_DATE('22000101','yyyymmdd'),'');</v>
      </c>
    </row>
    <row r="177" spans="1:2" x14ac:dyDescent="0.25">
      <c r="A177" t="str">
        <f>IF(REGLAS!J178="OBSOLETO","","INSERT INTO INYCEXT.INYC_CONF_INF_REGLAS (COD_INFORME,TABLA,NOMBRE,REGLA,F_INICIO,F_FIN,DESCRIPCION) VALUES ("&amp;REGLAS!B178&amp;",'"&amp;REGLAS!C178&amp;"','"&amp;REGLAS!D178&amp;"','"&amp;REGLAS!G178&amp;"',TO_DATE('"&amp;REGLAS!H178&amp;"','yyyymmdd'),TO_DATE('"&amp;REGLAS!I178&amp;"','yyyymmdd'),'"&amp;REGLAS!J178&amp;"');")</f>
        <v>INSERT INTO INYCEXT.INYC_CONF_INF_REGLAS (COD_INFORME,TABLA,NOMBRE,REGLA,F_INICIO,F_FIN,DESCRIPCION) VALUES (4.1,'INYC_CONCURSO','SM - Puntos Agentes','SM-E-CP-Agente-PuntosPoliza-Acumulado',TO_DATE('20170101','yyyymmdd'),TO_DATE('22000101','yyyymmdd'),'');</v>
      </c>
      <c r="B177" t="str">
        <f>IF(REGLAS!J178="OBSOLETO","","INSERT INTO INYCEXT.INYC_CONF_INF_REGLAS@tc_link (COD_INFORME,TABLA,NOMBRE,REGLA,F_INICIO,F_FIN,DESCRIPCION) VALUES ("&amp;REGLAS!B178&amp;",'"&amp;REGLAS!C178&amp;"','"&amp;REGLAS!D178&amp;"','"&amp;REGLAS!G178&amp;"',TO_DATE('"&amp;REGLAS!H178&amp;"','yyyymmdd'),TO_DATE('"&amp;REGLAS!I178&amp;"','yyyymmdd'),'"&amp;REGLAS!J178&amp;"');")</f>
        <v>INSERT INTO INYCEXT.INYC_CONF_INF_REGLAS@tc_link (COD_INFORME,TABLA,NOMBRE,REGLA,F_INICIO,F_FIN,DESCRIPCION) VALUES (4.1,'INYC_CONCURSO','SM - Puntos Agentes','SM-E-CP-Agente-PuntosPoliza-Acumulado',TO_DATE('20170101','yyyymmdd'),TO_DATE('22000101','yyyymmdd'),'');</v>
      </c>
    </row>
    <row r="178" spans="1:2" x14ac:dyDescent="0.25">
      <c r="A178" t="str">
        <f>IF(REGLAS!J179="OBSOLETO","","INSERT INTO INYCEXT.INYC_CONF_INF_REGLAS (COD_INFORME,TABLA,NOMBRE,REGLA,F_INICIO,F_FIN,DESCRIPCION) VALUES ("&amp;REGLAS!B179&amp;",'"&amp;REGLAS!C179&amp;"','"&amp;REGLAS!D179&amp;"','"&amp;REGLAS!G179&amp;"',TO_DATE('"&amp;REGLAS!H179&amp;"','yyyymmdd'),TO_DATE('"&amp;REGLAS!I179&amp;"','yyyymmdd'),'"&amp;REGLAS!J179&amp;"');")</f>
        <v>INSERT INTO INYCEXT.INYC_CONF_INF_REGLAS (COD_INFORME,TABLA,NOMBRE,REGLA,F_INICIO,F_FIN,DESCRIPCION) VALUES (4.1,'INYC_CONCURSO','SM - Primas Agentes','SM-E-CP-Agente-PrimaCorregida-Acumulado',TO_DATE('20170101','yyyymmdd'),TO_DATE('22000101','yyyymmdd'),'');</v>
      </c>
      <c r="B178" t="str">
        <f>IF(REGLAS!J179="OBSOLETO","","INSERT INTO INYCEXT.INYC_CONF_INF_REGLAS@tc_link (COD_INFORME,TABLA,NOMBRE,REGLA,F_INICIO,F_FIN,DESCRIPCION) VALUES ("&amp;REGLAS!B179&amp;",'"&amp;REGLAS!C179&amp;"','"&amp;REGLAS!D179&amp;"','"&amp;REGLAS!G179&amp;"',TO_DATE('"&amp;REGLAS!H179&amp;"','yyyymmdd'),TO_DATE('"&amp;REGLAS!I179&amp;"','yyyymmdd'),'"&amp;REGLAS!J179&amp;"');")</f>
        <v>INSERT INTO INYCEXT.INYC_CONF_INF_REGLAS@tc_link (COD_INFORME,TABLA,NOMBRE,REGLA,F_INICIO,F_FIN,DESCRIPCION) VALUES (4.1,'INYC_CONCURSO','SM - Primas Agentes','SM-E-CP-Agente-PrimaCorregida-Acumulado',TO_DATE('20170101','yyyymmdd'),TO_DATE('22000101','yyyymmdd'),'');</v>
      </c>
    </row>
    <row r="179" spans="1:2" x14ac:dyDescent="0.25">
      <c r="A179" t="str">
        <f>IF(REGLAS!J180="OBSOLETO","","INSERT INTO INYCEXT.INYC_CONF_INF_REGLAS (COD_INFORME,TABLA,NOMBRE,REGLA,F_INICIO,F_FIN,DESCRIPCION) VALUES ("&amp;REGLAS!B180&amp;",'"&amp;REGLAS!C180&amp;"','"&amp;REGLAS!D180&amp;"','"&amp;REGLAS!G180&amp;"',TO_DATE('"&amp;REGLAS!H180&amp;"','yyyymmdd'),TO_DATE('"&amp;REGLAS!I180&amp;"','yyyymmdd'),'"&amp;REGLAS!J180&amp;"');")</f>
        <v>INSERT INTO INYCEXT.INYC_CONF_INF_REGLAS (COD_INFORME,TABLA,NOMBRE,REGLA,F_INICIO,F_FIN,DESCRIPCION) VALUES (4.1,'INYC_CONCURSO','SM - Puntos Agentes con Grupo','SM-E-CP-Inspector-PuntosPoliza-Acumulado',TO_DATE('20170101','yyyymmdd'),TO_DATE('22000101','yyyymmdd'),'');</v>
      </c>
      <c r="B179" t="str">
        <f>IF(REGLAS!J180="OBSOLETO","","INSERT INTO INYCEXT.INYC_CONF_INF_REGLAS@tc_link (COD_INFORME,TABLA,NOMBRE,REGLA,F_INICIO,F_FIN,DESCRIPCION) VALUES ("&amp;REGLAS!B180&amp;",'"&amp;REGLAS!C180&amp;"','"&amp;REGLAS!D180&amp;"','"&amp;REGLAS!G180&amp;"',TO_DATE('"&amp;REGLAS!H180&amp;"','yyyymmdd'),TO_DATE('"&amp;REGLAS!I180&amp;"','yyyymmdd'),'"&amp;REGLAS!J180&amp;"');")</f>
        <v>INSERT INTO INYCEXT.INYC_CONF_INF_REGLAS@tc_link (COD_INFORME,TABLA,NOMBRE,REGLA,F_INICIO,F_FIN,DESCRIPCION) VALUES (4.1,'INYC_CONCURSO','SM - Puntos Agentes con Grupo','SM-E-CP-Inspector-PuntosPoliza-Acumulado',TO_DATE('20170101','yyyymmdd'),TO_DATE('22000101','yyyymmdd'),'');</v>
      </c>
    </row>
    <row r="180" spans="1:2" x14ac:dyDescent="0.25">
      <c r="A180" t="str">
        <f>IF(REGLAS!J181="OBSOLETO","","INSERT INTO INYCEXT.INYC_CONF_INF_REGLAS (COD_INFORME,TABLA,NOMBRE,REGLA,F_INICIO,F_FIN,DESCRIPCION) VALUES ("&amp;REGLAS!B181&amp;",'"&amp;REGLAS!C181&amp;"','"&amp;REGLAS!D181&amp;"','"&amp;REGLAS!G181&amp;"',TO_DATE('"&amp;REGLAS!H181&amp;"','yyyymmdd'),TO_DATE('"&amp;REGLAS!I181&amp;"','yyyymmdd'),'"&amp;REGLAS!J181&amp;"');")</f>
        <v>INSERT INTO INYCEXT.INYC_CONF_INF_REGLAS (COD_INFORME,TABLA,NOMBRE,REGLA,F_INICIO,F_FIN,DESCRIPCION) VALUES (4.1,'INYC_CONCURSO','SM - Primas Agentes con Grupo','SM-E-CP-Inspector-PrimaCorregida-Acumulado',TO_DATE('20170101','yyyymmdd'),TO_DATE('22000101','yyyymmdd'),'');</v>
      </c>
      <c r="B180" t="str">
        <f>IF(REGLAS!J181="OBSOLETO","","INSERT INTO INYCEXT.INYC_CONF_INF_REGLAS@tc_link (COD_INFORME,TABLA,NOMBRE,REGLA,F_INICIO,F_FIN,DESCRIPCION) VALUES ("&amp;REGLAS!B181&amp;",'"&amp;REGLAS!C181&amp;"','"&amp;REGLAS!D181&amp;"','"&amp;REGLAS!G181&amp;"',TO_DATE('"&amp;REGLAS!H181&amp;"','yyyymmdd'),TO_DATE('"&amp;REGLAS!I181&amp;"','yyyymmdd'),'"&amp;REGLAS!J181&amp;"');")</f>
        <v>INSERT INTO INYCEXT.INYC_CONF_INF_REGLAS@tc_link (COD_INFORME,TABLA,NOMBRE,REGLA,F_INICIO,F_FIN,DESCRIPCION) VALUES (4.1,'INYC_CONCURSO','SM - Primas Agentes con Grupo','SM-E-CP-Inspector-PrimaCorregida-Acumulado',TO_DATE('20170101','yyyymmdd'),TO_DATE('22000101','yyyymmdd'),'');</v>
      </c>
    </row>
    <row r="181" spans="1:2" x14ac:dyDescent="0.25">
      <c r="A181" t="str">
        <f>IF(REGLAS!J182="OBSOLETO","","INSERT INTO INYCEXT.INYC_CONF_INF_REGLAS (COD_INFORME,TABLA,NOMBRE,REGLA,F_INICIO,F_FIN,DESCRIPCION) VALUES ("&amp;REGLAS!B182&amp;",'"&amp;REGLAS!C182&amp;"','"&amp;REGLAS!D182&amp;"','"&amp;REGLAS!G182&amp;"',TO_DATE('"&amp;REGLAS!H182&amp;"','yyyymmdd'),TO_DATE('"&amp;REGLAS!I182&amp;"','yyyymmdd'),'"&amp;REGLAS!J182&amp;"');")</f>
        <v>INSERT INTO INYCEXT.INYC_CONF_INF_REGLAS (COD_INFORME,TABLA,NOMBRE,REGLA,F_INICIO,F_FIN,DESCRIPCION) VALUES (5.1,'INYC_INCENTIVO','Incremento Numero de Asegurados','SM-E-IE-NumAsegurados',TO_DATE('20140101','yyyymmdd'),TO_DATE('22000101','yyyymmdd'),'');</v>
      </c>
      <c r="B181" t="str">
        <f>IF(REGLAS!J182="OBSOLETO","","INSERT INTO INYCEXT.INYC_CONF_INF_REGLAS@tc_link (COD_INFORME,TABLA,NOMBRE,REGLA,F_INICIO,F_FIN,DESCRIPCION) VALUES ("&amp;REGLAS!B182&amp;",'"&amp;REGLAS!C182&amp;"','"&amp;REGLAS!D182&amp;"','"&amp;REGLAS!G182&amp;"',TO_DATE('"&amp;REGLAS!H182&amp;"','yyyymmdd'),TO_DATE('"&amp;REGLAS!I182&amp;"','yyyymmdd'),'"&amp;REGLAS!J182&amp;"');")</f>
        <v>INSERT INTO INYCEXT.INYC_CONF_INF_REGLAS@tc_link (COD_INFORME,TABLA,NOMBRE,REGLA,F_INICIO,F_FIN,DESCRIPCION) VALUES (5.1,'INYC_INCENTIVO','Incremento Numero de Asegurados','SM-E-IE-NumAsegurados',TO_DATE('20140101','yyyymmdd'),TO_DATE('22000101','yyyymmdd'),'');</v>
      </c>
    </row>
    <row r="182" spans="1:2" x14ac:dyDescent="0.25">
      <c r="A182" t="str">
        <f>IF(REGLAS!J183="OBSOLETO","","INSERT INTO INYCEXT.INYC_CONF_INF_REGLAS (COD_INFORME,TABLA,NOMBRE,REGLA,F_INICIO,F_FIN,DESCRIPCION) VALUES ("&amp;REGLAS!B183&amp;",'"&amp;REGLAS!C183&amp;"','"&amp;REGLAS!D183&amp;"','"&amp;REGLAS!G183&amp;"',TO_DATE('"&amp;REGLAS!H183&amp;"','yyyymmdd'),TO_DATE('"&amp;REGLAS!I183&amp;"','yyyymmdd'),'"&amp;REGLAS!J183&amp;"');")</f>
        <v>INSERT INTO INYCEXT.INYC_CONF_INF_REGLAS (COD_INFORME,TABLA,NOMBRE,REGLA,F_INICIO,F_FIN,DESCRIPCION) VALUES (5.1,'INYC_INCENTIVO','Incremento Numero de Asegurados','SM-E-IE-NumAsegurados-Importe',TO_DATE('20140101','yyyymmdd'),TO_DATE('22000101','yyyymmdd'),'');</v>
      </c>
      <c r="B182" t="str">
        <f>IF(REGLAS!J183="OBSOLETO","","INSERT INTO INYCEXT.INYC_CONF_INF_REGLAS@tc_link (COD_INFORME,TABLA,NOMBRE,REGLA,F_INICIO,F_FIN,DESCRIPCION) VALUES ("&amp;REGLAS!B183&amp;",'"&amp;REGLAS!C183&amp;"','"&amp;REGLAS!D183&amp;"','"&amp;REGLAS!G183&amp;"',TO_DATE('"&amp;REGLAS!H183&amp;"','yyyymmdd'),TO_DATE('"&amp;REGLAS!I183&amp;"','yyyymmdd'),'"&amp;REGLAS!J183&amp;"');")</f>
        <v>INSERT INTO INYCEXT.INYC_CONF_INF_REGLAS@tc_link (COD_INFORME,TABLA,NOMBRE,REGLA,F_INICIO,F_FIN,DESCRIPCION) VALUES (5.1,'INYC_INCENTIVO','Incremento Numero de Asegurados','SM-E-IE-NumAsegurados-Importe',TO_DATE('20140101','yyyymmdd'),TO_DATE('22000101','yyyymmdd'),'');</v>
      </c>
    </row>
    <row r="183" spans="1:2" x14ac:dyDescent="0.25">
      <c r="A183" t="str">
        <f>IF(REGLAS!J184="OBSOLETO","","INSERT INTO INYCEXT.INYC_CONF_INF_REGLAS (COD_INFORME,TABLA,NOMBRE,REGLA,F_INICIO,F_FIN,DESCRIPCION) VALUES ("&amp;REGLAS!B184&amp;",'"&amp;REGLAS!C184&amp;"','"&amp;REGLAS!D184&amp;"','"&amp;REGLAS!G184&amp;"',TO_DATE('"&amp;REGLAS!H184&amp;"','yyyymmdd'),TO_DATE('"&amp;REGLAS!I184&amp;"','yyyymmdd'),'"&amp;REGLAS!J184&amp;"');")</f>
        <v>INSERT INTO INYCEXT.INYC_CONF_INF_REGLAS (COD_INFORME,TABLA,NOMBRE,REGLA,F_INICIO,F_FIN,DESCRIPCION) VALUES (5.1,'INYC_INCENTIVO','Incremento Numero de Asegurados','SM-E-IE-NumAsegurados-Obj',TO_DATE('20140101','yyyymmdd'),TO_DATE('22000101','yyyymmdd'),'');</v>
      </c>
      <c r="B183" t="str">
        <f>IF(REGLAS!J184="OBSOLETO","","INSERT INTO INYCEXT.INYC_CONF_INF_REGLAS@tc_link (COD_INFORME,TABLA,NOMBRE,REGLA,F_INICIO,F_FIN,DESCRIPCION) VALUES ("&amp;REGLAS!B184&amp;",'"&amp;REGLAS!C184&amp;"','"&amp;REGLAS!D184&amp;"','"&amp;REGLAS!G184&amp;"',TO_DATE('"&amp;REGLAS!H184&amp;"','yyyymmdd'),TO_DATE('"&amp;REGLAS!I184&amp;"','yyyymmdd'),'"&amp;REGLAS!J184&amp;"');")</f>
        <v>INSERT INTO INYCEXT.INYC_CONF_INF_REGLAS@tc_link (COD_INFORME,TABLA,NOMBRE,REGLA,F_INICIO,F_FIN,DESCRIPCION) VALUES (5.1,'INYC_INCENTIVO','Incremento Numero de Asegurados','SM-E-IE-NumAsegurados-Obj',TO_DATE('20140101','yyyymmdd'),TO_DATE('22000101','yyyymmdd'),'');</v>
      </c>
    </row>
    <row r="184" spans="1:2" x14ac:dyDescent="0.25">
      <c r="A184" t="str">
        <f>IF(REGLAS!J185="OBSOLETO","","INSERT INTO INYCEXT.INYC_CONF_INF_REGLAS (COD_INFORME,TABLA,NOMBRE,REGLA,F_INICIO,F_FIN,DESCRIPCION) VALUES ("&amp;REGLAS!B185&amp;",'"&amp;REGLAS!C185&amp;"','"&amp;REGLAS!D185&amp;"','"&amp;REGLAS!G185&amp;"',TO_DATE('"&amp;REGLAS!H185&amp;"','yyyymmdd'),TO_DATE('"&amp;REGLAS!I185&amp;"','yyyymmdd'),'"&amp;REGLAS!J185&amp;"');")</f>
        <v>INSERT INTO INYCEXT.INYC_CONF_INF_REGLAS (COD_INFORME,TABLA,NOMBRE,REGLA,F_INICIO,F_FIN,DESCRIPCION) VALUES (5.1,'INYC_INCENTIVO','Incremento Numero de Asegurados','SM-E-IE-NumAsegurados-Porcentaje',TO_DATE('20140101','yyyymmdd'),TO_DATE('22000101','yyyymmdd'),'');</v>
      </c>
      <c r="B184" t="str">
        <f>IF(REGLAS!J185="OBSOLETO","","INSERT INTO INYCEXT.INYC_CONF_INF_REGLAS@tc_link (COD_INFORME,TABLA,NOMBRE,REGLA,F_INICIO,F_FIN,DESCRIPCION) VALUES ("&amp;REGLAS!B185&amp;",'"&amp;REGLAS!C185&amp;"','"&amp;REGLAS!D185&amp;"','"&amp;REGLAS!G185&amp;"',TO_DATE('"&amp;REGLAS!H185&amp;"','yyyymmdd'),TO_DATE('"&amp;REGLAS!I185&amp;"','yyyymmdd'),'"&amp;REGLAS!J185&amp;"');")</f>
        <v>INSERT INTO INYCEXT.INYC_CONF_INF_REGLAS@tc_link (COD_INFORME,TABLA,NOMBRE,REGLA,F_INICIO,F_FIN,DESCRIPCION) VALUES (5.1,'INYC_INCENTIVO','Incremento Numero de Asegurados','SM-E-IE-NumAsegurados-Porcentaje',TO_DATE('20140101','yyyymmdd'),TO_DATE('22000101','yyyymmdd'),'');</v>
      </c>
    </row>
    <row r="185" spans="1:2" x14ac:dyDescent="0.25">
      <c r="A185" t="str">
        <f>IF(REGLAS!J186="OBSOLETO","","INSERT INTO INYCEXT.INYC_CONF_INF_REGLAS (COD_INFORME,TABLA,NOMBRE,REGLA,F_INICIO,F_FIN,DESCRIPCION) VALUES ("&amp;REGLAS!B186&amp;",'"&amp;REGLAS!C186&amp;"','"&amp;REGLAS!D186&amp;"','"&amp;REGLAS!G186&amp;"',TO_DATE('"&amp;REGLAS!H186&amp;"','yyyymmdd'),TO_DATE('"&amp;REGLAS!I186&amp;"','yyyymmdd'),'"&amp;REGLAS!J186&amp;"');")</f>
        <v>INSERT INTO INYCEXT.INYC_CONF_INF_REGLAS (COD_INFORME,TABLA,NOMBRE,REGLA,F_INICIO,F_FIN,DESCRIPCION) VALUES (5.1,'INYC_INCENTIVO','Nivel Maximo de Anulaciones en Numero de Polizas','SM-E-IE-NivelAnulaciones',TO_DATE('20140101','yyyymmdd'),TO_DATE('22000101','yyyymmdd'),'');</v>
      </c>
      <c r="B185" t="str">
        <f>IF(REGLAS!J186="OBSOLETO","","INSERT INTO INYCEXT.INYC_CONF_INF_REGLAS@tc_link (COD_INFORME,TABLA,NOMBRE,REGLA,F_INICIO,F_FIN,DESCRIPCION) VALUES ("&amp;REGLAS!B186&amp;",'"&amp;REGLAS!C186&amp;"','"&amp;REGLAS!D186&amp;"','"&amp;REGLAS!G186&amp;"',TO_DATE('"&amp;REGLAS!H186&amp;"','yyyymmdd'),TO_DATE('"&amp;REGLAS!I186&amp;"','yyyymmdd'),'"&amp;REGLAS!J186&amp;"');")</f>
        <v>INSERT INTO INYCEXT.INYC_CONF_INF_REGLAS@tc_link (COD_INFORME,TABLA,NOMBRE,REGLA,F_INICIO,F_FIN,DESCRIPCION) VALUES (5.1,'INYC_INCENTIVO','Nivel Maximo de Anulaciones en Numero de Polizas','SM-E-IE-NivelAnulaciones',TO_DATE('20140101','yyyymmdd'),TO_DATE('22000101','yyyymmdd'),'');</v>
      </c>
    </row>
    <row r="186" spans="1:2" x14ac:dyDescent="0.25">
      <c r="A186" t="str">
        <f>IF(REGLAS!J187="OBSOLETO","","INSERT INTO INYCEXT.INYC_CONF_INF_REGLAS (COD_INFORME,TABLA,NOMBRE,REGLA,F_INICIO,F_FIN,DESCRIPCION) VALUES ("&amp;REGLAS!B187&amp;",'"&amp;REGLAS!C187&amp;"','"&amp;REGLAS!D187&amp;"','"&amp;REGLAS!G187&amp;"',TO_DATE('"&amp;REGLAS!H187&amp;"','yyyymmdd'),TO_DATE('"&amp;REGLAS!I187&amp;"','yyyymmdd'),'"&amp;REGLAS!J187&amp;"');")</f>
        <v>INSERT INTO INYCEXT.INYC_CONF_INF_REGLAS (COD_INFORME,TABLA,NOMBRE,REGLA,F_INICIO,F_FIN,DESCRIPCION) VALUES (5.1,'INYC_INCENTIVO','Nivel Maximo de Anulaciones en Numero de Polizas','SM-E-IE-NivelAnulaciones-Importe',TO_DATE('20140101','yyyymmdd'),TO_DATE('22000101','yyyymmdd'),'');</v>
      </c>
      <c r="B186" t="str">
        <f>IF(REGLAS!J187="OBSOLETO","","INSERT INTO INYCEXT.INYC_CONF_INF_REGLAS@tc_link (COD_INFORME,TABLA,NOMBRE,REGLA,F_INICIO,F_FIN,DESCRIPCION) VALUES ("&amp;REGLAS!B187&amp;",'"&amp;REGLAS!C187&amp;"','"&amp;REGLAS!D187&amp;"','"&amp;REGLAS!G187&amp;"',TO_DATE('"&amp;REGLAS!H187&amp;"','yyyymmdd'),TO_DATE('"&amp;REGLAS!I187&amp;"','yyyymmdd'),'"&amp;REGLAS!J187&amp;"');")</f>
        <v>INSERT INTO INYCEXT.INYC_CONF_INF_REGLAS@tc_link (COD_INFORME,TABLA,NOMBRE,REGLA,F_INICIO,F_FIN,DESCRIPCION) VALUES (5.1,'INYC_INCENTIVO','Nivel Maximo de Anulaciones en Numero de Polizas','SM-E-IE-NivelAnulaciones-Importe',TO_DATE('20140101','yyyymmdd'),TO_DATE('22000101','yyyymmdd'),'');</v>
      </c>
    </row>
    <row r="187" spans="1:2" x14ac:dyDescent="0.25">
      <c r="A187" t="str">
        <f>IF(REGLAS!J188="OBSOLETO","","INSERT INTO INYCEXT.INYC_CONF_INF_REGLAS (COD_INFORME,TABLA,NOMBRE,REGLA,F_INICIO,F_FIN,DESCRIPCION) VALUES ("&amp;REGLAS!B188&amp;",'"&amp;REGLAS!C188&amp;"','"&amp;REGLAS!D188&amp;"','"&amp;REGLAS!G188&amp;"',TO_DATE('"&amp;REGLAS!H188&amp;"','yyyymmdd'),TO_DATE('"&amp;REGLAS!I188&amp;"','yyyymmdd'),'"&amp;REGLAS!J188&amp;"');")</f>
        <v>INSERT INTO INYCEXT.INYC_CONF_INF_REGLAS (COD_INFORME,TABLA,NOMBRE,REGLA,F_INICIO,F_FIN,DESCRIPCION) VALUES (5.1,'INYC_INCENTIVO','Nivel Maximo de Anulaciones en Numero de Polizas','SM-E-IE-NivelAnulaciones-Obj',TO_DATE('20140101','yyyymmdd'),TO_DATE('22000101','yyyymmdd'),'');</v>
      </c>
      <c r="B187" t="str">
        <f>IF(REGLAS!J188="OBSOLETO","","INSERT INTO INYCEXT.INYC_CONF_INF_REGLAS@tc_link (COD_INFORME,TABLA,NOMBRE,REGLA,F_INICIO,F_FIN,DESCRIPCION) VALUES ("&amp;REGLAS!B188&amp;",'"&amp;REGLAS!C188&amp;"','"&amp;REGLAS!D188&amp;"','"&amp;REGLAS!G188&amp;"',TO_DATE('"&amp;REGLAS!H188&amp;"','yyyymmdd'),TO_DATE('"&amp;REGLAS!I188&amp;"','yyyymmdd'),'"&amp;REGLAS!J188&amp;"');")</f>
        <v>INSERT INTO INYCEXT.INYC_CONF_INF_REGLAS@tc_link (COD_INFORME,TABLA,NOMBRE,REGLA,F_INICIO,F_FIN,DESCRIPCION) VALUES (5.1,'INYC_INCENTIVO','Nivel Maximo de Anulaciones en Numero de Polizas','SM-E-IE-NivelAnulaciones-Obj',TO_DATE('20140101','yyyymmdd'),TO_DATE('22000101','yyyymmdd'),'');</v>
      </c>
    </row>
    <row r="188" spans="1:2" x14ac:dyDescent="0.25">
      <c r="A188" t="str">
        <f>IF(REGLAS!J189="OBSOLETO","","INSERT INTO INYCEXT.INYC_CONF_INF_REGLAS (COD_INFORME,TABLA,NOMBRE,REGLA,F_INICIO,F_FIN,DESCRIPCION) VALUES ("&amp;REGLAS!B189&amp;",'"&amp;REGLAS!C189&amp;"','"&amp;REGLAS!D189&amp;"','"&amp;REGLAS!G189&amp;"',TO_DATE('"&amp;REGLAS!H189&amp;"','yyyymmdd'),TO_DATE('"&amp;REGLAS!I189&amp;"','yyyymmdd'),'"&amp;REGLAS!J189&amp;"');")</f>
        <v>INSERT INTO INYCEXT.INYC_CONF_INF_REGLAS (COD_INFORME,TABLA,NOMBRE,REGLA,F_INICIO,F_FIN,DESCRIPCION) VALUES (5.1,'INYC_INCENTIVO','Nivel Maximo de Anulaciones en Numero de Polizas','SM-E-IE-NivelAnulaciones-Porcentaje',TO_DATE('20140101','yyyymmdd'),TO_DATE('22000101','yyyymmdd'),'');</v>
      </c>
      <c r="B188" t="str">
        <f>IF(REGLAS!J189="OBSOLETO","","INSERT INTO INYCEXT.INYC_CONF_INF_REGLAS@tc_link (COD_INFORME,TABLA,NOMBRE,REGLA,F_INICIO,F_FIN,DESCRIPCION) VALUES ("&amp;REGLAS!B189&amp;",'"&amp;REGLAS!C189&amp;"','"&amp;REGLAS!D189&amp;"','"&amp;REGLAS!G189&amp;"',TO_DATE('"&amp;REGLAS!H189&amp;"','yyyymmdd'),TO_DATE('"&amp;REGLAS!I189&amp;"','yyyymmdd'),'"&amp;REGLAS!J189&amp;"');")</f>
        <v>INSERT INTO INYCEXT.INYC_CONF_INF_REGLAS@tc_link (COD_INFORME,TABLA,NOMBRE,REGLA,F_INICIO,F_FIN,DESCRIPCION) VALUES (5.1,'INYC_INCENTIVO','Nivel Maximo de Anulaciones en Numero de Polizas','SM-E-IE-NivelAnulaciones-Porcentaje',TO_DATE('20140101','yyyymmdd'),TO_DATE('22000101','yyyymmdd'),'');</v>
      </c>
    </row>
    <row r="189" spans="1:2" x14ac:dyDescent="0.25">
      <c r="A189" t="str">
        <f>IF(REGLAS!J190="OBSOLETO","","INSERT INTO INYCEXT.INYC_CONF_INF_REGLAS (COD_INFORME,TABLA,NOMBRE,REGLA,F_INICIO,F_FIN,DESCRIPCION) VALUES ("&amp;REGLAS!B190&amp;",'"&amp;REGLAS!C190&amp;"','"&amp;REGLAS!D190&amp;"','"&amp;REGLAS!G190&amp;"',TO_DATE('"&amp;REGLAS!H190&amp;"','yyyymmdd'),TO_DATE('"&amp;REGLAS!I190&amp;"','yyyymmdd'),'"&amp;REGLAS!J190&amp;"');")</f>
        <v>INSERT INTO INYCEXT.INYC_CONF_INF_REGLAS (COD_INFORME,TABLA,NOMBRE,REGLA,F_INICIO,F_FIN,DESCRIPCION) VALUES (5.1,'INYC_INCENTIVO','Nivel Maximo de Pendiente','SM-E-IE-NivelPendiente',TO_DATE('20140101','yyyymmdd'),TO_DATE('22000101','yyyymmdd'),'');</v>
      </c>
      <c r="B189" t="str">
        <f>IF(REGLAS!J190="OBSOLETO","","INSERT INTO INYCEXT.INYC_CONF_INF_REGLAS@tc_link (COD_INFORME,TABLA,NOMBRE,REGLA,F_INICIO,F_FIN,DESCRIPCION) VALUES ("&amp;REGLAS!B190&amp;",'"&amp;REGLAS!C190&amp;"','"&amp;REGLAS!D190&amp;"','"&amp;REGLAS!G190&amp;"',TO_DATE('"&amp;REGLAS!H190&amp;"','yyyymmdd'),TO_DATE('"&amp;REGLAS!I190&amp;"','yyyymmdd'),'"&amp;REGLAS!J190&amp;"');")</f>
        <v>INSERT INTO INYCEXT.INYC_CONF_INF_REGLAS@tc_link (COD_INFORME,TABLA,NOMBRE,REGLA,F_INICIO,F_FIN,DESCRIPCION) VALUES (5.1,'INYC_INCENTIVO','Nivel Maximo de Pendiente','SM-E-IE-NivelPendiente',TO_DATE('20140101','yyyymmdd'),TO_DATE('22000101','yyyymmdd'),'');</v>
      </c>
    </row>
    <row r="190" spans="1:2" x14ac:dyDescent="0.25">
      <c r="A190" t="str">
        <f>IF(REGLAS!J191="OBSOLETO","","INSERT INTO INYCEXT.INYC_CONF_INF_REGLAS (COD_INFORME,TABLA,NOMBRE,REGLA,F_INICIO,F_FIN,DESCRIPCION) VALUES ("&amp;REGLAS!B191&amp;",'"&amp;REGLAS!C191&amp;"','"&amp;REGLAS!D191&amp;"','"&amp;REGLAS!G191&amp;"',TO_DATE('"&amp;REGLAS!H191&amp;"','yyyymmdd'),TO_DATE('"&amp;REGLAS!I191&amp;"','yyyymmdd'),'"&amp;REGLAS!J191&amp;"');")</f>
        <v>INSERT INTO INYCEXT.INYC_CONF_INF_REGLAS (COD_INFORME,TABLA,NOMBRE,REGLA,F_INICIO,F_FIN,DESCRIPCION) VALUES (5.1,'INYC_INCENTIVO','Nivel Maximo de Pendiente','SM-E-IE-NivelPendiente-Importe',TO_DATE('20140101','yyyymmdd'),TO_DATE('22000101','yyyymmdd'),'');</v>
      </c>
      <c r="B190" t="str">
        <f>IF(REGLAS!J191="OBSOLETO","","INSERT INTO INYCEXT.INYC_CONF_INF_REGLAS@tc_link (COD_INFORME,TABLA,NOMBRE,REGLA,F_INICIO,F_FIN,DESCRIPCION) VALUES ("&amp;REGLAS!B191&amp;",'"&amp;REGLAS!C191&amp;"','"&amp;REGLAS!D191&amp;"','"&amp;REGLAS!G191&amp;"',TO_DATE('"&amp;REGLAS!H191&amp;"','yyyymmdd'),TO_DATE('"&amp;REGLAS!I191&amp;"','yyyymmdd'),'"&amp;REGLAS!J191&amp;"');")</f>
        <v>INSERT INTO INYCEXT.INYC_CONF_INF_REGLAS@tc_link (COD_INFORME,TABLA,NOMBRE,REGLA,F_INICIO,F_FIN,DESCRIPCION) VALUES (5.1,'INYC_INCENTIVO','Nivel Maximo de Pendiente','SM-E-IE-NivelPendiente-Importe',TO_DATE('20140101','yyyymmdd'),TO_DATE('22000101','yyyymmdd'),'');</v>
      </c>
    </row>
    <row r="191" spans="1:2" x14ac:dyDescent="0.25">
      <c r="A191" t="str">
        <f>IF(REGLAS!J192="OBSOLETO","","INSERT INTO INYCEXT.INYC_CONF_INF_REGLAS (COD_INFORME,TABLA,NOMBRE,REGLA,F_INICIO,F_FIN,DESCRIPCION) VALUES ("&amp;REGLAS!B192&amp;",'"&amp;REGLAS!C192&amp;"','"&amp;REGLAS!D192&amp;"','"&amp;REGLAS!G192&amp;"',TO_DATE('"&amp;REGLAS!H192&amp;"','yyyymmdd'),TO_DATE('"&amp;REGLAS!I192&amp;"','yyyymmdd'),'"&amp;REGLAS!J192&amp;"');")</f>
        <v>INSERT INTO INYCEXT.INYC_CONF_INF_REGLAS (COD_INFORME,TABLA,NOMBRE,REGLA,F_INICIO,F_FIN,DESCRIPCION) VALUES (5.1,'INYC_INCENTIVO','Nivel Maximo de Pendiente','SM-E-IE-NivelPendiente-Obj',TO_DATE('20140101','yyyymmdd'),TO_DATE('22000101','yyyymmdd'),'');</v>
      </c>
      <c r="B191" t="str">
        <f>IF(REGLAS!J192="OBSOLETO","","INSERT INTO INYCEXT.INYC_CONF_INF_REGLAS@tc_link (COD_INFORME,TABLA,NOMBRE,REGLA,F_INICIO,F_FIN,DESCRIPCION) VALUES ("&amp;REGLAS!B192&amp;",'"&amp;REGLAS!C192&amp;"','"&amp;REGLAS!D192&amp;"','"&amp;REGLAS!G192&amp;"',TO_DATE('"&amp;REGLAS!H192&amp;"','yyyymmdd'),TO_DATE('"&amp;REGLAS!I192&amp;"','yyyymmdd'),'"&amp;REGLAS!J192&amp;"');")</f>
        <v>INSERT INTO INYCEXT.INYC_CONF_INF_REGLAS@tc_link (COD_INFORME,TABLA,NOMBRE,REGLA,F_INICIO,F_FIN,DESCRIPCION) VALUES (5.1,'INYC_INCENTIVO','Nivel Maximo de Pendiente','SM-E-IE-NivelPendiente-Obj',TO_DATE('20140101','yyyymmdd'),TO_DATE('22000101','yyyymmdd'),'');</v>
      </c>
    </row>
    <row r="192" spans="1:2" x14ac:dyDescent="0.25">
      <c r="A192" t="str">
        <f>IF(REGLAS!J193="OBSOLETO","","INSERT INTO INYCEXT.INYC_CONF_INF_REGLAS (COD_INFORME,TABLA,NOMBRE,REGLA,F_INICIO,F_FIN,DESCRIPCION) VALUES ("&amp;REGLAS!B193&amp;",'"&amp;REGLAS!C193&amp;"','"&amp;REGLAS!D193&amp;"','"&amp;REGLAS!G193&amp;"',TO_DATE('"&amp;REGLAS!H193&amp;"','yyyymmdd'),TO_DATE('"&amp;REGLAS!I193&amp;"','yyyymmdd'),'"&amp;REGLAS!J193&amp;"');")</f>
        <v>INSERT INTO INYCEXT.INYC_CONF_INF_REGLAS (COD_INFORME,TABLA,NOMBRE,REGLA,F_INICIO,F_FIN,DESCRIPCION) VALUES (5.1,'INYC_INCENTIVO','Nivel Maximo de Pendiente','SM-E-IE-NivelPendiente-Porcentaje',TO_DATE('20140101','yyyymmdd'),TO_DATE('22000101','yyyymmdd'),'');</v>
      </c>
      <c r="B192" t="str">
        <f>IF(REGLAS!J193="OBSOLETO","","INSERT INTO INYCEXT.INYC_CONF_INF_REGLAS@tc_link (COD_INFORME,TABLA,NOMBRE,REGLA,F_INICIO,F_FIN,DESCRIPCION) VALUES ("&amp;REGLAS!B193&amp;",'"&amp;REGLAS!C193&amp;"','"&amp;REGLAS!D193&amp;"','"&amp;REGLAS!G193&amp;"',TO_DATE('"&amp;REGLAS!H193&amp;"','yyyymmdd'),TO_DATE('"&amp;REGLAS!I193&amp;"','yyyymmdd'),'"&amp;REGLAS!J193&amp;"');")</f>
        <v>INSERT INTO INYCEXT.INYC_CONF_INF_REGLAS@tc_link (COD_INFORME,TABLA,NOMBRE,REGLA,F_INICIO,F_FIN,DESCRIPCION) VALUES (5.1,'INYC_INCENTIVO','Nivel Maximo de Pendiente','SM-E-IE-NivelPendiente-Porcentaje',TO_DATE('20140101','yyyymmdd'),TO_DATE('22000101','yyyymmdd'),'');</v>
      </c>
    </row>
    <row r="193" spans="1:2" x14ac:dyDescent="0.25">
      <c r="A193" t="str">
        <f>IF(REGLAS!J194="OBSOLETO","","INSERT INTO INYCEXT.INYC_CONF_INF_REGLAS (COD_INFORME,TABLA,NOMBRE,REGLA,F_INICIO,F_FIN,DESCRIPCION) VALUES ("&amp;REGLAS!B194&amp;",'"&amp;REGLAS!C194&amp;"','"&amp;REGLAS!D194&amp;"','"&amp;REGLAS!G194&amp;"',TO_DATE('"&amp;REGLAS!H194&amp;"','yyyymmdd'),TO_DATE('"&amp;REGLAS!I194&amp;"','yyyymmdd'),'"&amp;REGLAS!J194&amp;"');")</f>
        <v>INSERT INTO INYCEXT.INYC_CONF_INF_REGLAS (COD_INFORME,TABLA,NOMBRE,REGLA,F_INICIO,F_FIN,DESCRIPCION) VALUES (5.1,'INYC_INCENTIVO','RRGG Hogar','SM-E-IE-RRGG-Hogar',TO_DATE('20140101','yyyymmdd'),TO_DATE('22000101','yyyymmdd'),'');</v>
      </c>
      <c r="B193" t="str">
        <f>IF(REGLAS!J194="OBSOLETO","","INSERT INTO INYCEXT.INYC_CONF_INF_REGLAS@tc_link (COD_INFORME,TABLA,NOMBRE,REGLA,F_INICIO,F_FIN,DESCRIPCION) VALUES ("&amp;REGLAS!B194&amp;",'"&amp;REGLAS!C194&amp;"','"&amp;REGLAS!D194&amp;"','"&amp;REGLAS!G194&amp;"',TO_DATE('"&amp;REGLAS!H194&amp;"','yyyymmdd'),TO_DATE('"&amp;REGLAS!I194&amp;"','yyyymmdd'),'"&amp;REGLAS!J194&amp;"');")</f>
        <v>INSERT INTO INYCEXT.INYC_CONF_INF_REGLAS@tc_link (COD_INFORME,TABLA,NOMBRE,REGLA,F_INICIO,F_FIN,DESCRIPCION) VALUES (5.1,'INYC_INCENTIVO','RRGG Hogar','SM-E-IE-RRGG-Hogar',TO_DATE('20140101','yyyymmdd'),TO_DATE('22000101','yyyymmdd'),'');</v>
      </c>
    </row>
    <row r="194" spans="1:2" x14ac:dyDescent="0.25">
      <c r="A194" t="str">
        <f>IF(REGLAS!J195="OBSOLETO","","INSERT INTO INYCEXT.INYC_CONF_INF_REGLAS (COD_INFORME,TABLA,NOMBRE,REGLA,F_INICIO,F_FIN,DESCRIPCION) VALUES ("&amp;REGLAS!B195&amp;",'"&amp;REGLAS!C195&amp;"','"&amp;REGLAS!D195&amp;"','"&amp;REGLAS!G195&amp;"',TO_DATE('"&amp;REGLAS!H195&amp;"','yyyymmdd'),TO_DATE('"&amp;REGLAS!I195&amp;"','yyyymmdd'),'"&amp;REGLAS!J195&amp;"');")</f>
        <v>INSERT INTO INYCEXT.INYC_CONF_INF_REGLAS (COD_INFORME,TABLA,NOMBRE,REGLA,F_INICIO,F_FIN,DESCRIPCION) VALUES (5.1,'INYC_INCENTIVO','RRGG Hogar','SM-E-IE-RRGG-Hogar-Importe',TO_DATE('20140101','yyyymmdd'),TO_DATE('22000101','yyyymmdd'),'');</v>
      </c>
      <c r="B194" t="str">
        <f>IF(REGLAS!J195="OBSOLETO","","INSERT INTO INYCEXT.INYC_CONF_INF_REGLAS@tc_link (COD_INFORME,TABLA,NOMBRE,REGLA,F_INICIO,F_FIN,DESCRIPCION) VALUES ("&amp;REGLAS!B195&amp;",'"&amp;REGLAS!C195&amp;"','"&amp;REGLAS!D195&amp;"','"&amp;REGLAS!G195&amp;"',TO_DATE('"&amp;REGLAS!H195&amp;"','yyyymmdd'),TO_DATE('"&amp;REGLAS!I195&amp;"','yyyymmdd'),'"&amp;REGLAS!J195&amp;"');")</f>
        <v>INSERT INTO INYCEXT.INYC_CONF_INF_REGLAS@tc_link (COD_INFORME,TABLA,NOMBRE,REGLA,F_INICIO,F_FIN,DESCRIPCION) VALUES (5.1,'INYC_INCENTIVO','RRGG Hogar','SM-E-IE-RRGG-Hogar-Importe',TO_DATE('20140101','yyyymmdd'),TO_DATE('22000101','yyyymmdd'),'');</v>
      </c>
    </row>
    <row r="195" spans="1:2" x14ac:dyDescent="0.25">
      <c r="A195" t="str">
        <f>IF(REGLAS!J196="OBSOLETO","","INSERT INTO INYCEXT.INYC_CONF_INF_REGLAS (COD_INFORME,TABLA,NOMBRE,REGLA,F_INICIO,F_FIN,DESCRIPCION) VALUES ("&amp;REGLAS!B196&amp;",'"&amp;REGLAS!C196&amp;"','"&amp;REGLAS!D196&amp;"','"&amp;REGLAS!G196&amp;"',TO_DATE('"&amp;REGLAS!H196&amp;"','yyyymmdd'),TO_DATE('"&amp;REGLAS!I196&amp;"','yyyymmdd'),'"&amp;REGLAS!J196&amp;"');")</f>
        <v>INSERT INTO INYCEXT.INYC_CONF_INF_REGLAS (COD_INFORME,TABLA,NOMBRE,REGLA,F_INICIO,F_FIN,DESCRIPCION) VALUES (5.1,'INYC_INCENTIVO','RRGG Hogar','SM-E-IE-RRGG-Hogar-Obj',TO_DATE('20140101','yyyymmdd'),TO_DATE('22000101','yyyymmdd'),'');</v>
      </c>
      <c r="B195" t="str">
        <f>IF(REGLAS!J196="OBSOLETO","","INSERT INTO INYCEXT.INYC_CONF_INF_REGLAS@tc_link (COD_INFORME,TABLA,NOMBRE,REGLA,F_INICIO,F_FIN,DESCRIPCION) VALUES ("&amp;REGLAS!B196&amp;",'"&amp;REGLAS!C196&amp;"','"&amp;REGLAS!D196&amp;"','"&amp;REGLAS!G196&amp;"',TO_DATE('"&amp;REGLAS!H196&amp;"','yyyymmdd'),TO_DATE('"&amp;REGLAS!I196&amp;"','yyyymmdd'),'"&amp;REGLAS!J196&amp;"');")</f>
        <v>INSERT INTO INYCEXT.INYC_CONF_INF_REGLAS@tc_link (COD_INFORME,TABLA,NOMBRE,REGLA,F_INICIO,F_FIN,DESCRIPCION) VALUES (5.1,'INYC_INCENTIVO','RRGG Hogar','SM-E-IE-RRGG-Hogar-Obj',TO_DATE('20140101','yyyymmdd'),TO_DATE('22000101','yyyymmdd'),'');</v>
      </c>
    </row>
    <row r="196" spans="1:2" x14ac:dyDescent="0.25">
      <c r="A196" t="str">
        <f>IF(REGLAS!J197="OBSOLETO","","INSERT INTO INYCEXT.INYC_CONF_INF_REGLAS (COD_INFORME,TABLA,NOMBRE,REGLA,F_INICIO,F_FIN,DESCRIPCION) VALUES ("&amp;REGLAS!B197&amp;",'"&amp;REGLAS!C197&amp;"','"&amp;REGLAS!D197&amp;"','"&amp;REGLAS!G197&amp;"',TO_DATE('"&amp;REGLAS!H197&amp;"','yyyymmdd'),TO_DATE('"&amp;REGLAS!I197&amp;"','yyyymmdd'),'"&amp;REGLAS!J197&amp;"');")</f>
        <v>INSERT INTO INYCEXT.INYC_CONF_INF_REGLAS (COD_INFORME,TABLA,NOMBRE,REGLA,F_INICIO,F_FIN,DESCRIPCION) VALUES (5.1,'INYC_INCENTIVO','RRGG Hogar','SM-E-IE-RRGG-Hogar-Porcentaje',TO_DATE('20140101','yyyymmdd'),TO_DATE('22000101','yyyymmdd'),'');</v>
      </c>
      <c r="B196" t="str">
        <f>IF(REGLAS!J197="OBSOLETO","","INSERT INTO INYCEXT.INYC_CONF_INF_REGLAS@tc_link (COD_INFORME,TABLA,NOMBRE,REGLA,F_INICIO,F_FIN,DESCRIPCION) VALUES ("&amp;REGLAS!B197&amp;",'"&amp;REGLAS!C197&amp;"','"&amp;REGLAS!D197&amp;"','"&amp;REGLAS!G197&amp;"',TO_DATE('"&amp;REGLAS!H197&amp;"','yyyymmdd'),TO_DATE('"&amp;REGLAS!I197&amp;"','yyyymmdd'),'"&amp;REGLAS!J197&amp;"');")</f>
        <v>INSERT INTO INYCEXT.INYC_CONF_INF_REGLAS@tc_link (COD_INFORME,TABLA,NOMBRE,REGLA,F_INICIO,F_FIN,DESCRIPCION) VALUES (5.1,'INYC_INCENTIVO','RRGG Hogar','SM-E-IE-RRGG-Hogar-Porcentaje',TO_DATE('20140101','yyyymmdd'),TO_DATE('22000101','yyyymmdd'),'');</v>
      </c>
    </row>
    <row r="197" spans="1:2" x14ac:dyDescent="0.25">
      <c r="A197" t="str">
        <f>IF(REGLAS!J198="OBSOLETO","","INSERT INTO INYCEXT.INYC_CONF_INF_REGLAS (COD_INFORME,TABLA,NOMBRE,REGLA,F_INICIO,F_FIN,DESCRIPCION) VALUES ("&amp;REGLAS!B198&amp;",'"&amp;REGLAS!C198&amp;"','"&amp;REGLAS!D198&amp;"','"&amp;REGLAS!G198&amp;"',TO_DATE('"&amp;REGLAS!H198&amp;"','yyyymmdd'),TO_DATE('"&amp;REGLAS!I198&amp;"','yyyymmdd'),'"&amp;REGLAS!J198&amp;"');")</f>
        <v>INSERT INTO INYCEXT.INYC_CONF_INF_REGLAS (COD_INFORME,TABLA,NOMBRE,REGLA,F_INICIO,F_FIN,DESCRIPCION) VALUES (5.1,'INYC_INCENTIVO','RRGG Comunidades','SM-E-IE-RRGG-Comunidades',TO_DATE('20140101','yyyymmdd'),TO_DATE('22000101','yyyymmdd'),'');</v>
      </c>
      <c r="B197" t="str">
        <f>IF(REGLAS!J198="OBSOLETO","","INSERT INTO INYCEXT.INYC_CONF_INF_REGLAS@tc_link (COD_INFORME,TABLA,NOMBRE,REGLA,F_INICIO,F_FIN,DESCRIPCION) VALUES ("&amp;REGLAS!B198&amp;",'"&amp;REGLAS!C198&amp;"','"&amp;REGLAS!D198&amp;"','"&amp;REGLAS!G198&amp;"',TO_DATE('"&amp;REGLAS!H198&amp;"','yyyymmdd'),TO_DATE('"&amp;REGLAS!I198&amp;"','yyyymmdd'),'"&amp;REGLAS!J198&amp;"');")</f>
        <v>INSERT INTO INYCEXT.INYC_CONF_INF_REGLAS@tc_link (COD_INFORME,TABLA,NOMBRE,REGLA,F_INICIO,F_FIN,DESCRIPCION) VALUES (5.1,'INYC_INCENTIVO','RRGG Comunidades','SM-E-IE-RRGG-Comunidades',TO_DATE('20140101','yyyymmdd'),TO_DATE('22000101','yyyymmdd'),'');</v>
      </c>
    </row>
    <row r="198" spans="1:2" x14ac:dyDescent="0.25">
      <c r="A198" t="str">
        <f>IF(REGLAS!J199="OBSOLETO","","INSERT INTO INYCEXT.INYC_CONF_INF_REGLAS (COD_INFORME,TABLA,NOMBRE,REGLA,F_INICIO,F_FIN,DESCRIPCION) VALUES ("&amp;REGLAS!B199&amp;",'"&amp;REGLAS!C199&amp;"','"&amp;REGLAS!D199&amp;"','"&amp;REGLAS!G199&amp;"',TO_DATE('"&amp;REGLAS!H199&amp;"','yyyymmdd'),TO_DATE('"&amp;REGLAS!I199&amp;"','yyyymmdd'),'"&amp;REGLAS!J199&amp;"');")</f>
        <v>INSERT INTO INYCEXT.INYC_CONF_INF_REGLAS (COD_INFORME,TABLA,NOMBRE,REGLA,F_INICIO,F_FIN,DESCRIPCION) VALUES (5.1,'INYC_INCENTIVO','RRGG Comunidades','SM-E-IE-RRGG-Comunidades-Importe',TO_DATE('20140101','yyyymmdd'),TO_DATE('22000101','yyyymmdd'),'');</v>
      </c>
      <c r="B198" t="str">
        <f>IF(REGLAS!J199="OBSOLETO","","INSERT INTO INYCEXT.INYC_CONF_INF_REGLAS@tc_link (COD_INFORME,TABLA,NOMBRE,REGLA,F_INICIO,F_FIN,DESCRIPCION) VALUES ("&amp;REGLAS!B199&amp;",'"&amp;REGLAS!C199&amp;"','"&amp;REGLAS!D199&amp;"','"&amp;REGLAS!G199&amp;"',TO_DATE('"&amp;REGLAS!H199&amp;"','yyyymmdd'),TO_DATE('"&amp;REGLAS!I199&amp;"','yyyymmdd'),'"&amp;REGLAS!J199&amp;"');")</f>
        <v>INSERT INTO INYCEXT.INYC_CONF_INF_REGLAS@tc_link (COD_INFORME,TABLA,NOMBRE,REGLA,F_INICIO,F_FIN,DESCRIPCION) VALUES (5.1,'INYC_INCENTIVO','RRGG Comunidades','SM-E-IE-RRGG-Comunidades-Importe',TO_DATE('20140101','yyyymmdd'),TO_DATE('22000101','yyyymmdd'),'');</v>
      </c>
    </row>
    <row r="199" spans="1:2" x14ac:dyDescent="0.25">
      <c r="A199" t="str">
        <f>IF(REGLAS!J200="OBSOLETO","","INSERT INTO INYCEXT.INYC_CONF_INF_REGLAS (COD_INFORME,TABLA,NOMBRE,REGLA,F_INICIO,F_FIN,DESCRIPCION) VALUES ("&amp;REGLAS!B200&amp;",'"&amp;REGLAS!C200&amp;"','"&amp;REGLAS!D200&amp;"','"&amp;REGLAS!G200&amp;"',TO_DATE('"&amp;REGLAS!H200&amp;"','yyyymmdd'),TO_DATE('"&amp;REGLAS!I200&amp;"','yyyymmdd'),'"&amp;REGLAS!J200&amp;"');")</f>
        <v>INSERT INTO INYCEXT.INYC_CONF_INF_REGLAS (COD_INFORME,TABLA,NOMBRE,REGLA,F_INICIO,F_FIN,DESCRIPCION) VALUES (5.1,'INYC_INCENTIVO','RRGG Comunidades','SM-E-IE-RRGG-Comunidades-Obj',TO_DATE('20140101','yyyymmdd'),TO_DATE('22000101','yyyymmdd'),'');</v>
      </c>
      <c r="B199" t="str">
        <f>IF(REGLAS!J200="OBSOLETO","","INSERT INTO INYCEXT.INYC_CONF_INF_REGLAS@tc_link (COD_INFORME,TABLA,NOMBRE,REGLA,F_INICIO,F_FIN,DESCRIPCION) VALUES ("&amp;REGLAS!B200&amp;",'"&amp;REGLAS!C200&amp;"','"&amp;REGLAS!D200&amp;"','"&amp;REGLAS!G200&amp;"',TO_DATE('"&amp;REGLAS!H200&amp;"','yyyymmdd'),TO_DATE('"&amp;REGLAS!I200&amp;"','yyyymmdd'),'"&amp;REGLAS!J200&amp;"');")</f>
        <v>INSERT INTO INYCEXT.INYC_CONF_INF_REGLAS@tc_link (COD_INFORME,TABLA,NOMBRE,REGLA,F_INICIO,F_FIN,DESCRIPCION) VALUES (5.1,'INYC_INCENTIVO','RRGG Comunidades','SM-E-IE-RRGG-Comunidades-Obj',TO_DATE('20140101','yyyymmdd'),TO_DATE('22000101','yyyymmdd'),'');</v>
      </c>
    </row>
    <row r="200" spans="1:2" x14ac:dyDescent="0.25">
      <c r="A200" t="str">
        <f>IF(REGLAS!J201="OBSOLETO","","INSERT INTO INYCEXT.INYC_CONF_INF_REGLAS (COD_INFORME,TABLA,NOMBRE,REGLA,F_INICIO,F_FIN,DESCRIPCION) VALUES ("&amp;REGLAS!B201&amp;",'"&amp;REGLAS!C201&amp;"','"&amp;REGLAS!D201&amp;"','"&amp;REGLAS!G201&amp;"',TO_DATE('"&amp;REGLAS!H201&amp;"','yyyymmdd'),TO_DATE('"&amp;REGLAS!I201&amp;"','yyyymmdd'),'"&amp;REGLAS!J201&amp;"');")</f>
        <v>INSERT INTO INYCEXT.INYC_CONF_INF_REGLAS (COD_INFORME,TABLA,NOMBRE,REGLA,F_INICIO,F_FIN,DESCRIPCION) VALUES (5.1,'INYC_INCENTIVO','RRGG Comunidades','SM-E-IE-RRGG-Comunidades-Porcentaje',TO_DATE('20140101','yyyymmdd'),TO_DATE('22000101','yyyymmdd'),'');</v>
      </c>
      <c r="B200" t="str">
        <f>IF(REGLAS!J201="OBSOLETO","","INSERT INTO INYCEXT.INYC_CONF_INF_REGLAS@tc_link (COD_INFORME,TABLA,NOMBRE,REGLA,F_INICIO,F_FIN,DESCRIPCION) VALUES ("&amp;REGLAS!B201&amp;",'"&amp;REGLAS!C201&amp;"','"&amp;REGLAS!D201&amp;"','"&amp;REGLAS!G201&amp;"',TO_DATE('"&amp;REGLAS!H201&amp;"','yyyymmdd'),TO_DATE('"&amp;REGLAS!I201&amp;"','yyyymmdd'),'"&amp;REGLAS!J201&amp;"');")</f>
        <v>INSERT INTO INYCEXT.INYC_CONF_INF_REGLAS@tc_link (COD_INFORME,TABLA,NOMBRE,REGLA,F_INICIO,F_FIN,DESCRIPCION) VALUES (5.1,'INYC_INCENTIVO','RRGG Comunidades','SM-E-IE-RRGG-Comunidades-Porcentaje',TO_DATE('20140101','yyyymmdd'),TO_DATE('22000101','yyyymmdd'),'');</v>
      </c>
    </row>
    <row r="201" spans="1:2" x14ac:dyDescent="0.25">
      <c r="A201" t="str">
        <f>IF(REGLAS!J202="OBSOLETO","","INSERT INTO INYCEXT.INYC_CONF_INF_REGLAS (COD_INFORME,TABLA,NOMBRE,REGLA,F_INICIO,F_FIN,DESCRIPCION) VALUES ("&amp;REGLAS!B202&amp;",'"&amp;REGLAS!C202&amp;"','"&amp;REGLAS!D202&amp;"','"&amp;REGLAS!G202&amp;"',TO_DATE('"&amp;REGLAS!H202&amp;"','yyyymmdd'),TO_DATE('"&amp;REGLAS!I202&amp;"','yyyymmdd'),'"&amp;REGLAS!J202&amp;"');")</f>
        <v>INSERT INTO INYCEXT.INYC_CONF_INF_REGLAS (COD_INFORME,TABLA,NOMBRE,REGLA,F_INICIO,F_FIN,DESCRIPCION) VALUES (5.1,'INYC_INCENTIVO','RRGG Accidentes de la Mujer','SM-E-IE-RRGG-Accidentes',TO_DATE('20140101','yyyymmdd'),TO_DATE('22000101','yyyymmdd'),'');</v>
      </c>
      <c r="B201" t="str">
        <f>IF(REGLAS!J202="OBSOLETO","","INSERT INTO INYCEXT.INYC_CONF_INF_REGLAS@tc_link (COD_INFORME,TABLA,NOMBRE,REGLA,F_INICIO,F_FIN,DESCRIPCION) VALUES ("&amp;REGLAS!B202&amp;",'"&amp;REGLAS!C202&amp;"','"&amp;REGLAS!D202&amp;"','"&amp;REGLAS!G202&amp;"',TO_DATE('"&amp;REGLAS!H202&amp;"','yyyymmdd'),TO_DATE('"&amp;REGLAS!I202&amp;"','yyyymmdd'),'"&amp;REGLAS!J202&amp;"');")</f>
        <v>INSERT INTO INYCEXT.INYC_CONF_INF_REGLAS@tc_link (COD_INFORME,TABLA,NOMBRE,REGLA,F_INICIO,F_FIN,DESCRIPCION) VALUES (5.1,'INYC_INCENTIVO','RRGG Accidentes de la Mujer','SM-E-IE-RRGG-Accidentes',TO_DATE('20140101','yyyymmdd'),TO_DATE('22000101','yyyymmdd'),'');</v>
      </c>
    </row>
    <row r="202" spans="1:2" x14ac:dyDescent="0.25">
      <c r="A202" t="str">
        <f>IF(REGLAS!J203="OBSOLETO","","INSERT INTO INYCEXT.INYC_CONF_INF_REGLAS (COD_INFORME,TABLA,NOMBRE,REGLA,F_INICIO,F_FIN,DESCRIPCION) VALUES ("&amp;REGLAS!B203&amp;",'"&amp;REGLAS!C203&amp;"','"&amp;REGLAS!D203&amp;"','"&amp;REGLAS!G203&amp;"',TO_DATE('"&amp;REGLAS!H203&amp;"','yyyymmdd'),TO_DATE('"&amp;REGLAS!I203&amp;"','yyyymmdd'),'"&amp;REGLAS!J203&amp;"');")</f>
        <v>INSERT INTO INYCEXT.INYC_CONF_INF_REGLAS (COD_INFORME,TABLA,NOMBRE,REGLA,F_INICIO,F_FIN,DESCRIPCION) VALUES (5.1,'INYC_INCENTIVO','RRGG Accidentes de la Mujer','SM-E-IE-RRGG-Accidentes-Importe',TO_DATE('20140101','yyyymmdd'),TO_DATE('22000101','yyyymmdd'),'');</v>
      </c>
      <c r="B202" t="str">
        <f>IF(REGLAS!J203="OBSOLETO","","INSERT INTO INYCEXT.INYC_CONF_INF_REGLAS@tc_link (COD_INFORME,TABLA,NOMBRE,REGLA,F_INICIO,F_FIN,DESCRIPCION) VALUES ("&amp;REGLAS!B203&amp;",'"&amp;REGLAS!C203&amp;"','"&amp;REGLAS!D203&amp;"','"&amp;REGLAS!G203&amp;"',TO_DATE('"&amp;REGLAS!H203&amp;"','yyyymmdd'),TO_DATE('"&amp;REGLAS!I203&amp;"','yyyymmdd'),'"&amp;REGLAS!J203&amp;"');")</f>
        <v>INSERT INTO INYCEXT.INYC_CONF_INF_REGLAS@tc_link (COD_INFORME,TABLA,NOMBRE,REGLA,F_INICIO,F_FIN,DESCRIPCION) VALUES (5.1,'INYC_INCENTIVO','RRGG Accidentes de la Mujer','SM-E-IE-RRGG-Accidentes-Importe',TO_DATE('20140101','yyyymmdd'),TO_DATE('22000101','yyyymmdd'),'');</v>
      </c>
    </row>
    <row r="203" spans="1:2" x14ac:dyDescent="0.25">
      <c r="A203" t="str">
        <f>IF(REGLAS!J204="OBSOLETO","","INSERT INTO INYCEXT.INYC_CONF_INF_REGLAS (COD_INFORME,TABLA,NOMBRE,REGLA,F_INICIO,F_FIN,DESCRIPCION) VALUES ("&amp;REGLAS!B204&amp;",'"&amp;REGLAS!C204&amp;"','"&amp;REGLAS!D204&amp;"','"&amp;REGLAS!G204&amp;"',TO_DATE('"&amp;REGLAS!H204&amp;"','yyyymmdd'),TO_DATE('"&amp;REGLAS!I204&amp;"','yyyymmdd'),'"&amp;REGLAS!J204&amp;"');")</f>
        <v>INSERT INTO INYCEXT.INYC_CONF_INF_REGLAS (COD_INFORME,TABLA,NOMBRE,REGLA,F_INICIO,F_FIN,DESCRIPCION) VALUES (5.1,'INYC_INCENTIVO','RRGG Accidentes de la Mujer','SM-E-IE-RRGG-Accidentes-Obj',TO_DATE('20140101','yyyymmdd'),TO_DATE('22000101','yyyymmdd'),'');</v>
      </c>
      <c r="B203" t="str">
        <f>IF(REGLAS!J204="OBSOLETO","","INSERT INTO INYCEXT.INYC_CONF_INF_REGLAS@tc_link (COD_INFORME,TABLA,NOMBRE,REGLA,F_INICIO,F_FIN,DESCRIPCION) VALUES ("&amp;REGLAS!B204&amp;",'"&amp;REGLAS!C204&amp;"','"&amp;REGLAS!D204&amp;"','"&amp;REGLAS!G204&amp;"',TO_DATE('"&amp;REGLAS!H204&amp;"','yyyymmdd'),TO_DATE('"&amp;REGLAS!I204&amp;"','yyyymmdd'),'"&amp;REGLAS!J204&amp;"');")</f>
        <v>INSERT INTO INYCEXT.INYC_CONF_INF_REGLAS@tc_link (COD_INFORME,TABLA,NOMBRE,REGLA,F_INICIO,F_FIN,DESCRIPCION) VALUES (5.1,'INYC_INCENTIVO','RRGG Accidentes de la Mujer','SM-E-IE-RRGG-Accidentes-Obj',TO_DATE('20140101','yyyymmdd'),TO_DATE('22000101','yyyymmdd'),'');</v>
      </c>
    </row>
    <row r="204" spans="1:2" x14ac:dyDescent="0.25">
      <c r="A204" t="str">
        <f>IF(REGLAS!J205="OBSOLETO","","INSERT INTO INYCEXT.INYC_CONF_INF_REGLAS (COD_INFORME,TABLA,NOMBRE,REGLA,F_INICIO,F_FIN,DESCRIPCION) VALUES ("&amp;REGLAS!B205&amp;",'"&amp;REGLAS!C205&amp;"','"&amp;REGLAS!D205&amp;"','"&amp;REGLAS!G205&amp;"',TO_DATE('"&amp;REGLAS!H205&amp;"','yyyymmdd'),TO_DATE('"&amp;REGLAS!I205&amp;"','yyyymmdd'),'"&amp;REGLAS!J205&amp;"');")</f>
        <v>INSERT INTO INYCEXT.INYC_CONF_INF_REGLAS (COD_INFORME,TABLA,NOMBRE,REGLA,F_INICIO,F_FIN,DESCRIPCION) VALUES (5.1,'INYC_INCENTIVO','RRGG Accidentes de la Mujer','SM-E-IE-RRGG-Accidentes-Porcentaje',TO_DATE('20140101','yyyymmdd'),TO_DATE('22000101','yyyymmdd'),'');</v>
      </c>
      <c r="B204" t="str">
        <f>IF(REGLAS!J205="OBSOLETO","","INSERT INTO INYCEXT.INYC_CONF_INF_REGLAS@tc_link (COD_INFORME,TABLA,NOMBRE,REGLA,F_INICIO,F_FIN,DESCRIPCION) VALUES ("&amp;REGLAS!B205&amp;",'"&amp;REGLAS!C205&amp;"','"&amp;REGLAS!D205&amp;"','"&amp;REGLAS!G205&amp;"',TO_DATE('"&amp;REGLAS!H205&amp;"','yyyymmdd'),TO_DATE('"&amp;REGLAS!I205&amp;"','yyyymmdd'),'"&amp;REGLAS!J205&amp;"');")</f>
        <v>INSERT INTO INYCEXT.INYC_CONF_INF_REGLAS@tc_link (COD_INFORME,TABLA,NOMBRE,REGLA,F_INICIO,F_FIN,DESCRIPCION) VALUES (5.1,'INYC_INCENTIVO','RRGG Accidentes de la Mujer','SM-E-IE-RRGG-Accidentes-Porcentaje',TO_DATE('20140101','yyyymmdd'),TO_DATE('22000101','yyyymmdd'),'');</v>
      </c>
    </row>
    <row r="205" spans="1:2" x14ac:dyDescent="0.25">
      <c r="A205" t="str">
        <f>IF(REGLAS!J206="OBSOLETO","","INSERT INTO INYCEXT.INYC_CONF_INF_REGLAS (COD_INFORME,TABLA,NOMBRE,REGLA,F_INICIO,F_FIN,DESCRIPCION) VALUES ("&amp;REGLAS!B206&amp;",'"&amp;REGLAS!C206&amp;"','"&amp;REGLAS!D206&amp;"','"&amp;REGLAS!G206&amp;"',TO_DATE('"&amp;REGLAS!H206&amp;"','yyyymmdd'),TO_DATE('"&amp;REGLAS!I206&amp;"','yyyymmdd'),'"&amp;REGLAS!J206&amp;"');")</f>
        <v>INSERT INTO INYCEXT.INYC_CONF_INF_REGLAS (COD_INFORME,TABLA,NOMBRE,REGLA,F_INICIO,F_FIN,DESCRIPCION) VALUES (5.1,'INYC_INCENTIVO','Pago','SM E-IE-Pago-Total',TO_DATE('20140101','yyyymmdd'),TO_DATE('22000101','yyyymmdd'),'');</v>
      </c>
      <c r="B205" t="str">
        <f>IF(REGLAS!J206="OBSOLETO","","INSERT INTO INYCEXT.INYC_CONF_INF_REGLAS@tc_link (COD_INFORME,TABLA,NOMBRE,REGLA,F_INICIO,F_FIN,DESCRIPCION) VALUES ("&amp;REGLAS!B206&amp;",'"&amp;REGLAS!C206&amp;"','"&amp;REGLAS!D206&amp;"','"&amp;REGLAS!G206&amp;"',TO_DATE('"&amp;REGLAS!H206&amp;"','yyyymmdd'),TO_DATE('"&amp;REGLAS!I206&amp;"','yyyymmdd'),'"&amp;REGLAS!J206&amp;"');")</f>
        <v>INSERT INTO INYCEXT.INYC_CONF_INF_REGLAS@tc_link (COD_INFORME,TABLA,NOMBRE,REGLA,F_INICIO,F_FIN,DESCRIPCION) VALUES (5.1,'INYC_INCENTIVO','Pago','SM E-IE-Pago-Total',TO_DATE('20140101','yyyymmdd'),TO_DATE('22000101','yyyymmdd'),'');</v>
      </c>
    </row>
    <row r="206" spans="1:2" x14ac:dyDescent="0.25">
      <c r="A206" t="str">
        <f>IF(REGLAS!J207="OBSOLETO","","INSERT INTO INYCEXT.INYC_CONF_INF_REGLAS (COD_INFORME,TABLA,NOMBRE,REGLA,F_INICIO,F_FIN,DESCRIPCION) VALUES ("&amp;REGLAS!B207&amp;",'"&amp;REGLAS!C207&amp;"','"&amp;REGLAS!D207&amp;"','"&amp;REGLAS!G207&amp;"',TO_DATE('"&amp;REGLAS!H207&amp;"','yyyymmdd'),TO_DATE('"&amp;REGLAS!I207&amp;"','yyyymmdd'),'"&amp;REGLAS!J207&amp;"');")</f>
        <v>INSERT INTO INYCEXT.INYC_CONF_INF_REGLAS (COD_INFORME,TABLA,NOMBRE,REGLA,F_INICIO,F_FIN,DESCRIPCION) VALUES (6.1,'INYC_RPA_RESUMEN','Detalle por Linea','PM-O-GEN-Agente-NumeroPolizas-001',TO_DATE('20140101','yyyymmdd'),TO_DATE('20180101','yyyymmdd'),'Version 20180117');</v>
      </c>
      <c r="B206" t="str">
        <f>IF(REGLAS!J207="OBSOLETO","","INSERT INTO INYCEXT.INYC_CONF_INF_REGLAS@tc_link (COD_INFORME,TABLA,NOMBRE,REGLA,F_INICIO,F_FIN,DESCRIPCION) VALUES ("&amp;REGLAS!B207&amp;",'"&amp;REGLAS!C207&amp;"','"&amp;REGLAS!D207&amp;"','"&amp;REGLAS!G207&amp;"',TO_DATE('"&amp;REGLAS!H207&amp;"','yyyymmdd'),TO_DATE('"&amp;REGLAS!I207&amp;"','yyyymmdd'),'"&amp;REGLAS!J207&amp;"');")</f>
        <v>INSERT INTO INYCEXT.INYC_CONF_INF_REGLAS@tc_link (COD_INFORME,TABLA,NOMBRE,REGLA,F_INICIO,F_FIN,DESCRIPCION) VALUES (6.1,'INYC_RPA_RESUMEN','Detalle por Linea','PM-O-GEN-Agente-NumeroPolizas-001',TO_DATE('20140101','yyyymmdd'),TO_DATE('20180101','yyyymmdd'),'Version 20180117');</v>
      </c>
    </row>
    <row r="207" spans="1:2" x14ac:dyDescent="0.25">
      <c r="A207" t="str">
        <f>IF(REGLAS!J208="OBSOLETO","","INSERT INTO INYCEXT.INYC_CONF_INF_REGLAS (COD_INFORME,TABLA,NOMBRE,REGLA,F_INICIO,F_FIN,DESCRIPCION) VALUES ("&amp;REGLAS!B208&amp;",'"&amp;REGLAS!C208&amp;"','"&amp;REGLAS!D208&amp;"','"&amp;REGLAS!G208&amp;"',TO_DATE('"&amp;REGLAS!H208&amp;"','yyyymmdd'),TO_DATE('"&amp;REGLAS!I208&amp;"','yyyymmdd'),'"&amp;REGLAS!J208&amp;"');")</f>
        <v>INSERT INTO INYCEXT.INYC_CONF_INF_REGLAS (COD_INFORME,TABLA,NOMBRE,REGLA,F_INICIO,F_FIN,DESCRIPCION) VALUES (6.1,'INYC_RPA_RESUMEN','PM - Nº Asegurados Agente','PM-O-GEN-Agente-NumAsegurados',TO_DATE('20180101','yyyymmdd'),TO_DATE('22000101','yyyymmdd'),'Version 20180117');</v>
      </c>
      <c r="B207" t="str">
        <f>IF(REGLAS!J208="OBSOLETO","","INSERT INTO INYCEXT.INYC_CONF_INF_REGLAS@tc_link (COD_INFORME,TABLA,NOMBRE,REGLA,F_INICIO,F_FIN,DESCRIPCION) VALUES ("&amp;REGLAS!B208&amp;",'"&amp;REGLAS!C208&amp;"','"&amp;REGLAS!D208&amp;"','"&amp;REGLAS!G208&amp;"',TO_DATE('"&amp;REGLAS!H208&amp;"','yyyymmdd'),TO_DATE('"&amp;REGLAS!I208&amp;"','yyyymmdd'),'"&amp;REGLAS!J208&amp;"');")</f>
        <v>INSERT INTO INYCEXT.INYC_CONF_INF_REGLAS@tc_link (COD_INFORME,TABLA,NOMBRE,REGLA,F_INICIO,F_FIN,DESCRIPCION) VALUES (6.1,'INYC_RPA_RESUMEN','PM - Nº Asegurados Agente','PM-O-GEN-Agente-NumAsegurados',TO_DATE('20180101','yyyymmdd'),TO_DATE('22000101','yyyymmdd'),'Version 20180117');</v>
      </c>
    </row>
    <row r="208" spans="1:2" x14ac:dyDescent="0.25">
      <c r="A208" t="str">
        <f>IF(REGLAS!J209="OBSOLETO","","INSERT INTO INYCEXT.INYC_CONF_INF_REGLAS (COD_INFORME,TABLA,NOMBRE,REGLA,F_INICIO,F_FIN,DESCRIPCION) VALUES ("&amp;REGLAS!B209&amp;",'"&amp;REGLAS!C209&amp;"','"&amp;REGLAS!D209&amp;"','"&amp;REGLAS!G209&amp;"',TO_DATE('"&amp;REGLAS!H209&amp;"','yyyymmdd'),TO_DATE('"&amp;REGLAS!I209&amp;"','yyyymmdd'),'"&amp;REGLAS!J209&amp;"');")</f>
        <v>INSERT INTO INYCEXT.INYC_CONF_INF_REGLAS (COD_INFORME,TABLA,NOMBRE,REGLA,F_INICIO,F_FIN,DESCRIPCION) VALUES (6.1,'INYC_RPA_RESUMEN','Detalle por Linea','PM-O-GEN-Agente-NumeroPolizas-002',TO_DATE('20140101','yyyymmdd'),TO_DATE('22000101','yyyymmdd'),'');</v>
      </c>
      <c r="B208" t="str">
        <f>IF(REGLAS!J209="OBSOLETO","","INSERT INTO INYCEXT.INYC_CONF_INF_REGLAS@tc_link (COD_INFORME,TABLA,NOMBRE,REGLA,F_INICIO,F_FIN,DESCRIPCION) VALUES ("&amp;REGLAS!B209&amp;",'"&amp;REGLAS!C209&amp;"','"&amp;REGLAS!D209&amp;"','"&amp;REGLAS!G209&amp;"',TO_DATE('"&amp;REGLAS!H209&amp;"','yyyymmdd'),TO_DATE('"&amp;REGLAS!I209&amp;"','yyyymmdd'),'"&amp;REGLAS!J209&amp;"');")</f>
        <v>INSERT INTO INYCEXT.INYC_CONF_INF_REGLAS@tc_link (COD_INFORME,TABLA,NOMBRE,REGLA,F_INICIO,F_FIN,DESCRIPCION) VALUES (6.1,'INYC_RPA_RESUMEN','Detalle por Linea','PM-O-GEN-Agente-NumeroPolizas-002',TO_DATE('20140101','yyyymmdd'),TO_DATE('22000101','yyyymmdd'),'');</v>
      </c>
    </row>
    <row r="209" spans="1:2" x14ac:dyDescent="0.25">
      <c r="A209" t="str">
        <f>IF(REGLAS!J210="OBSOLETO","","INSERT INTO INYCEXT.INYC_CONF_INF_REGLAS (COD_INFORME,TABLA,NOMBRE,REGLA,F_INICIO,F_FIN,DESCRIPCION) VALUES ("&amp;REGLAS!B210&amp;",'"&amp;REGLAS!C210&amp;"','"&amp;REGLAS!D210&amp;"','"&amp;REGLAS!G210&amp;"',TO_DATE('"&amp;REGLAS!H210&amp;"','yyyymmdd'),TO_DATE('"&amp;REGLAS!I210&amp;"','yyyymmdd'),'"&amp;REGLAS!J210&amp;"');")</f>
        <v>INSERT INTO INYCEXT.INYC_CONF_INF_REGLAS (COD_INFORME,TABLA,NOMBRE,REGLA,F_INICIO,F_FIN,DESCRIPCION) VALUES (6.1,'INYC_RPA_RESUMEN','Detalle por Linea','PM-O-GEN-Agente-NumeroPolizas-906',TO_DATE('20170101','yyyymmdd'),TO_DATE('22000101','yyyymmdd'),'');</v>
      </c>
      <c r="B209" t="str">
        <f>IF(REGLAS!J210="OBSOLETO","","INSERT INTO INYCEXT.INYC_CONF_INF_REGLAS@tc_link (COD_INFORME,TABLA,NOMBRE,REGLA,F_INICIO,F_FIN,DESCRIPCION) VALUES ("&amp;REGLAS!B210&amp;",'"&amp;REGLAS!C210&amp;"','"&amp;REGLAS!D210&amp;"','"&amp;REGLAS!G210&amp;"',TO_DATE('"&amp;REGLAS!H210&amp;"','yyyymmdd'),TO_DATE('"&amp;REGLAS!I210&amp;"','yyyymmdd'),'"&amp;REGLAS!J210&amp;"');")</f>
        <v>INSERT INTO INYCEXT.INYC_CONF_INF_REGLAS@tc_link (COD_INFORME,TABLA,NOMBRE,REGLA,F_INICIO,F_FIN,DESCRIPCION) VALUES (6.1,'INYC_RPA_RESUMEN','Detalle por Linea','PM-O-GEN-Agente-NumeroPolizas-906',TO_DATE('20170101','yyyymmdd'),TO_DATE('22000101','yyyymmdd'),'');</v>
      </c>
    </row>
    <row r="210" spans="1:2" x14ac:dyDescent="0.25">
      <c r="A210" t="str">
        <f>IF(REGLAS!J211="OBSOLETO","","INSERT INTO INYCEXT.INYC_CONF_INF_REGLAS (COD_INFORME,TABLA,NOMBRE,REGLA,F_INICIO,F_FIN,DESCRIPCION) VALUES ("&amp;REGLAS!B211&amp;",'"&amp;REGLAS!C211&amp;"','"&amp;REGLAS!D211&amp;"','"&amp;REGLAS!G211&amp;"',TO_DATE('"&amp;REGLAS!H211&amp;"','yyyymmdd'),TO_DATE('"&amp;REGLAS!I211&amp;"','yyyymmdd'),'"&amp;REGLAS!J211&amp;"');")</f>
        <v/>
      </c>
      <c r="B210" t="str">
        <f>IF(REGLAS!J211="OBSOLETO","","INSERT INTO INYCEXT.INYC_CONF_INF_REGLAS@tc_link (COD_INFORME,TABLA,NOMBRE,REGLA,F_INICIO,F_FIN,DESCRIPCION) VALUES ("&amp;REGLAS!B211&amp;",'"&amp;REGLAS!C211&amp;"','"&amp;REGLAS!D211&amp;"','"&amp;REGLAS!G211&amp;"',TO_DATE('"&amp;REGLAS!H211&amp;"','yyyymmdd'),TO_DATE('"&amp;REGLAS!I211&amp;"','yyyymmdd'),'"&amp;REGLAS!J211&amp;"');")</f>
        <v/>
      </c>
    </row>
    <row r="211" spans="1:2" x14ac:dyDescent="0.25">
      <c r="A211" t="str">
        <f>IF(REGLAS!J212="OBSOLETO","","INSERT INTO INYCEXT.INYC_CONF_INF_REGLAS (COD_INFORME,TABLA,NOMBRE,REGLA,F_INICIO,F_FIN,DESCRIPCION) VALUES ("&amp;REGLAS!B212&amp;",'"&amp;REGLAS!C212&amp;"','"&amp;REGLAS!D212&amp;"','"&amp;REGLAS!G212&amp;"',TO_DATE('"&amp;REGLAS!H212&amp;"','yyyymmdd'),TO_DATE('"&amp;REGLAS!I212&amp;"','yyyymmdd'),'"&amp;REGLAS!J212&amp;"');")</f>
        <v/>
      </c>
      <c r="B211" t="str">
        <f>IF(REGLAS!J212="OBSOLETO","","INSERT INTO INYCEXT.INYC_CONF_INF_REGLAS@tc_link (COD_INFORME,TABLA,NOMBRE,REGLA,F_INICIO,F_FIN,DESCRIPCION) VALUES ("&amp;REGLAS!B212&amp;",'"&amp;REGLAS!C212&amp;"','"&amp;REGLAS!D212&amp;"','"&amp;REGLAS!G212&amp;"',TO_DATE('"&amp;REGLAS!H212&amp;"','yyyymmdd'),TO_DATE('"&amp;REGLAS!I212&amp;"','yyyymmdd'),'"&amp;REGLAS!J212&amp;"');")</f>
        <v/>
      </c>
    </row>
    <row r="212" spans="1:2" x14ac:dyDescent="0.25">
      <c r="A212" t="str">
        <f>IF(REGLAS!J213="OBSOLETO","","INSERT INTO INYCEXT.INYC_CONF_INF_REGLAS (COD_INFORME,TABLA,NOMBRE,REGLA,F_INICIO,F_FIN,DESCRIPCION) VALUES ("&amp;REGLAS!B213&amp;",'"&amp;REGLAS!C213&amp;"','"&amp;REGLAS!D213&amp;"','"&amp;REGLAS!G213&amp;"',TO_DATE('"&amp;REGLAS!H213&amp;"','yyyymmdd'),TO_DATE('"&amp;REGLAS!I213&amp;"','yyyymmdd'),'"&amp;REGLAS!J213&amp;"');")</f>
        <v/>
      </c>
      <c r="B212" t="str">
        <f>IF(REGLAS!J213="OBSOLETO","","INSERT INTO INYCEXT.INYC_CONF_INF_REGLAS@tc_link (COD_INFORME,TABLA,NOMBRE,REGLA,F_INICIO,F_FIN,DESCRIPCION) VALUES ("&amp;REGLAS!B213&amp;",'"&amp;REGLAS!C213&amp;"','"&amp;REGLAS!D213&amp;"','"&amp;REGLAS!G213&amp;"',TO_DATE('"&amp;REGLAS!H213&amp;"','yyyymmdd'),TO_DATE('"&amp;REGLAS!I213&amp;"','yyyymmdd'),'"&amp;REGLAS!J213&amp;"');")</f>
        <v/>
      </c>
    </row>
    <row r="213" spans="1:2" x14ac:dyDescent="0.25">
      <c r="A213" t="str">
        <f>IF(REGLAS!J214="OBSOLETO","","INSERT INTO INYCEXT.INYC_CONF_INF_REGLAS (COD_INFORME,TABLA,NOMBRE,REGLA,F_INICIO,F_FIN,DESCRIPCION) VALUES ("&amp;REGLAS!B214&amp;",'"&amp;REGLAS!C214&amp;"','"&amp;REGLAS!D214&amp;"','"&amp;REGLAS!G214&amp;"',TO_DATE('"&amp;REGLAS!H214&amp;"','yyyymmdd'),TO_DATE('"&amp;REGLAS!I214&amp;"','yyyymmdd'),'"&amp;REGLAS!J214&amp;"');")</f>
        <v/>
      </c>
      <c r="B213" t="str">
        <f>IF(REGLAS!J214="OBSOLETO","","INSERT INTO INYCEXT.INYC_CONF_INF_REGLAS@tc_link (COD_INFORME,TABLA,NOMBRE,REGLA,F_INICIO,F_FIN,DESCRIPCION) VALUES ("&amp;REGLAS!B214&amp;",'"&amp;REGLAS!C214&amp;"','"&amp;REGLAS!D214&amp;"','"&amp;REGLAS!G214&amp;"',TO_DATE('"&amp;REGLAS!H214&amp;"','yyyymmdd'),TO_DATE('"&amp;REGLAS!I214&amp;"','yyyymmdd'),'"&amp;REGLAS!J214&amp;"');")</f>
        <v/>
      </c>
    </row>
    <row r="214" spans="1:2" x14ac:dyDescent="0.25">
      <c r="A214" t="str">
        <f>IF(REGLAS!J215="OBSOLETO","","INSERT INTO INYCEXT.INYC_CONF_INF_REGLAS (COD_INFORME,TABLA,NOMBRE,REGLA,F_INICIO,F_FIN,DESCRIPCION) VALUES ("&amp;REGLAS!B215&amp;",'"&amp;REGLAS!C215&amp;"','"&amp;REGLAS!D215&amp;"','"&amp;REGLAS!G215&amp;"',TO_DATE('"&amp;REGLAS!H215&amp;"','yyyymmdd'),TO_DATE('"&amp;REGLAS!I215&amp;"','yyyymmdd'),'"&amp;REGLAS!J215&amp;"');")</f>
        <v>INSERT INTO INYCEXT.INYC_CONF_INF_REGLAS (COD_INFORME,TABLA,NOMBRE,REGLA,F_INICIO,F_FIN,DESCRIPCION) VALUES (6.1,'INYC_RPA_RESUMEN','Total Productos','PM-O-RPP-Agente-NumeroPolizas-998-Otros-Productos',TO_DATE('20140101','yyyymmdd'),TO_DATE('22000101','yyyymmdd'),'');</v>
      </c>
      <c r="B214" t="str">
        <f>IF(REGLAS!J215="OBSOLETO","","INSERT INTO INYCEXT.INYC_CONF_INF_REGLAS@tc_link (COD_INFORME,TABLA,NOMBRE,REGLA,F_INICIO,F_FIN,DESCRIPCION) VALUES ("&amp;REGLAS!B215&amp;",'"&amp;REGLAS!C215&amp;"','"&amp;REGLAS!D215&amp;"','"&amp;REGLAS!G215&amp;"',TO_DATE('"&amp;REGLAS!H215&amp;"','yyyymmdd'),TO_DATE('"&amp;REGLAS!I215&amp;"','yyyymmdd'),'"&amp;REGLAS!J215&amp;"');")</f>
        <v>INSERT INTO INYCEXT.INYC_CONF_INF_REGLAS@tc_link (COD_INFORME,TABLA,NOMBRE,REGLA,F_INICIO,F_FIN,DESCRIPCION) VALUES (6.1,'INYC_RPA_RESUMEN','Total Productos','PM-O-RPP-Agente-NumeroPolizas-998-Otros-Productos',TO_DATE('20140101','yyyymmdd'),TO_DATE('22000101','yyyymmdd'),'');</v>
      </c>
    </row>
    <row r="215" spans="1:2" x14ac:dyDescent="0.25">
      <c r="A215" t="str">
        <f>IF(REGLAS!J216="OBSOLETO","","INSERT INTO INYCEXT.INYC_CONF_INF_REGLAS (COD_INFORME,TABLA,NOMBRE,REGLA,F_INICIO,F_FIN,DESCRIPCION) VALUES ("&amp;REGLAS!B216&amp;",'"&amp;REGLAS!C216&amp;"','"&amp;REGLAS!D216&amp;"','"&amp;REGLAS!G216&amp;"',TO_DATE('"&amp;REGLAS!H216&amp;"','yyyymmdd'),TO_DATE('"&amp;REGLAS!I216&amp;"','yyyymmdd'),'"&amp;REGLAS!J216&amp;"');")</f>
        <v>INSERT INTO INYCEXT.INYC_CONF_INF_REGLAS (COD_INFORME,TABLA,NOMBRE,REGLA,F_INICIO,F_FIN,DESCRIPCION) VALUES (6.1,'INYC_RPA_RESUMEN','Total Productos','PM-O-RPP-Agente-NumeroPolizas-998-01501-Campania',TO_DATE('20140101','yyyymmdd'),TO_DATE('22000101','yyyymmdd'),'');</v>
      </c>
      <c r="B215" t="str">
        <f>IF(REGLAS!J216="OBSOLETO","","INSERT INTO INYCEXT.INYC_CONF_INF_REGLAS@tc_link (COD_INFORME,TABLA,NOMBRE,REGLA,F_INICIO,F_FIN,DESCRIPCION) VALUES ("&amp;REGLAS!B216&amp;",'"&amp;REGLAS!C216&amp;"','"&amp;REGLAS!D216&amp;"','"&amp;REGLAS!G216&amp;"',TO_DATE('"&amp;REGLAS!H216&amp;"','yyyymmdd'),TO_DATE('"&amp;REGLAS!I216&amp;"','yyyymmdd'),'"&amp;REGLAS!J216&amp;"');")</f>
        <v>INSERT INTO INYCEXT.INYC_CONF_INF_REGLAS@tc_link (COD_INFORME,TABLA,NOMBRE,REGLA,F_INICIO,F_FIN,DESCRIPCION) VALUES (6.1,'INYC_RPA_RESUMEN','Total Productos','PM-O-RPP-Agente-NumeroPolizas-998-01501-Campania',TO_DATE('20140101','yyyymmdd'),TO_DATE('22000101','yyyymmdd'),'');</v>
      </c>
    </row>
    <row r="216" spans="1:2" x14ac:dyDescent="0.25">
      <c r="A216" t="str">
        <f>IF(REGLAS!J217="OBSOLETO","","INSERT INTO INYCEXT.INYC_CONF_INF_REGLAS (COD_INFORME,TABLA,NOMBRE,REGLA,F_INICIO,F_FIN,DESCRIPCION) VALUES ("&amp;REGLAS!B217&amp;",'"&amp;REGLAS!C217&amp;"','"&amp;REGLAS!D217&amp;"','"&amp;REGLAS!G217&amp;"',TO_DATE('"&amp;REGLAS!H217&amp;"','yyyymmdd'),TO_DATE('"&amp;REGLAS!I217&amp;"','yyyymmdd'),'"&amp;REGLAS!J217&amp;"');")</f>
        <v/>
      </c>
      <c r="B216" t="str">
        <f>IF(REGLAS!J217="OBSOLETO","","INSERT INTO INYCEXT.INYC_CONF_INF_REGLAS@tc_link (COD_INFORME,TABLA,NOMBRE,REGLA,F_INICIO,F_FIN,DESCRIPCION) VALUES ("&amp;REGLAS!B217&amp;",'"&amp;REGLAS!C217&amp;"','"&amp;REGLAS!D217&amp;"','"&amp;REGLAS!G217&amp;"',TO_DATE('"&amp;REGLAS!H217&amp;"','yyyymmdd'),TO_DATE('"&amp;REGLAS!I217&amp;"','yyyymmdd'),'"&amp;REGLAS!J217&amp;"');")</f>
        <v/>
      </c>
    </row>
    <row r="217" spans="1:2" x14ac:dyDescent="0.25">
      <c r="A217" t="str">
        <f>IF(REGLAS!J218="OBSOLETO","","INSERT INTO INYCEXT.INYC_CONF_INF_REGLAS (COD_INFORME,TABLA,NOMBRE,REGLA,F_INICIO,F_FIN,DESCRIPCION) VALUES ("&amp;REGLAS!B218&amp;",'"&amp;REGLAS!C218&amp;"','"&amp;REGLAS!D218&amp;"','"&amp;REGLAS!G218&amp;"',TO_DATE('"&amp;REGLAS!H218&amp;"','yyyymmdd'),TO_DATE('"&amp;REGLAS!I218&amp;"','yyyymmdd'),'"&amp;REGLAS!J218&amp;"');")</f>
        <v>INSERT INTO INYCEXT.INYC_CONF_INF_REGLAS (COD_INFORME,TABLA,NOMBRE,REGLA,F_INICIO,F_FIN,DESCRIPCION) VALUES (6.1,'INYC_RPA_RESUMEN','Total Productos','PM-O-RPP-Agente-NumeroPolizas-998-01501-01503-AgNO20',TO_DATE('20140101','yyyymmdd'),TO_DATE('22000101','yyyymmdd'),'');</v>
      </c>
      <c r="B217" t="str">
        <f>IF(REGLAS!J218="OBSOLETO","","INSERT INTO INYCEXT.INYC_CONF_INF_REGLAS@tc_link (COD_INFORME,TABLA,NOMBRE,REGLA,F_INICIO,F_FIN,DESCRIPCION) VALUES ("&amp;REGLAS!B218&amp;",'"&amp;REGLAS!C218&amp;"','"&amp;REGLAS!D218&amp;"','"&amp;REGLAS!G218&amp;"',TO_DATE('"&amp;REGLAS!H218&amp;"','yyyymmdd'),TO_DATE('"&amp;REGLAS!I218&amp;"','yyyymmdd'),'"&amp;REGLAS!J218&amp;"');")</f>
        <v>INSERT INTO INYCEXT.INYC_CONF_INF_REGLAS@tc_link (COD_INFORME,TABLA,NOMBRE,REGLA,F_INICIO,F_FIN,DESCRIPCION) VALUES (6.1,'INYC_RPA_RESUMEN','Total Productos','PM-O-RPP-Agente-NumeroPolizas-998-01501-01503-AgNO20',TO_DATE('20140101','yyyymmdd'),TO_DATE('22000101','yyyymmdd'),'');</v>
      </c>
    </row>
    <row r="218" spans="1:2" x14ac:dyDescent="0.25">
      <c r="A218" t="str">
        <f>IF(REGLAS!J219="OBSOLETO","","INSERT INTO INYCEXT.INYC_CONF_INF_REGLAS (COD_INFORME,TABLA,NOMBRE,REGLA,F_INICIO,F_FIN,DESCRIPCION) VALUES ("&amp;REGLAS!B219&amp;",'"&amp;REGLAS!C219&amp;"','"&amp;REGLAS!D219&amp;"','"&amp;REGLAS!G219&amp;"',TO_DATE('"&amp;REGLAS!H219&amp;"','yyyymmdd'),TO_DATE('"&amp;REGLAS!I219&amp;"','yyyymmdd'),'"&amp;REGLAS!J219&amp;"');")</f>
        <v/>
      </c>
      <c r="B218" t="str">
        <f>IF(REGLAS!J219="OBSOLETO","","INSERT INTO INYCEXT.INYC_CONF_INF_REGLAS@tc_link (COD_INFORME,TABLA,NOMBRE,REGLA,F_INICIO,F_FIN,DESCRIPCION) VALUES ("&amp;REGLAS!B219&amp;",'"&amp;REGLAS!C219&amp;"','"&amp;REGLAS!D219&amp;"','"&amp;REGLAS!G219&amp;"',TO_DATE('"&amp;REGLAS!H219&amp;"','yyyymmdd'),TO_DATE('"&amp;REGLAS!I219&amp;"','yyyymmdd'),'"&amp;REGLAS!J219&amp;"');")</f>
        <v/>
      </c>
    </row>
    <row r="219" spans="1:2" x14ac:dyDescent="0.25">
      <c r="A219" t="str">
        <f>IF(REGLAS!J220="OBSOLETO","","INSERT INTO INYCEXT.INYC_CONF_INF_REGLAS (COD_INFORME,TABLA,NOMBRE,REGLA,F_INICIO,F_FIN,DESCRIPCION) VALUES ("&amp;REGLAS!B220&amp;",'"&amp;REGLAS!C220&amp;"','"&amp;REGLAS!D220&amp;"','"&amp;REGLAS!G220&amp;"',TO_DATE('"&amp;REGLAS!H220&amp;"','yyyymmdd'),TO_DATE('"&amp;REGLAS!I220&amp;"','yyyymmdd'),'"&amp;REGLAS!J220&amp;"');")</f>
        <v>INSERT INTO INYCEXT.INYC_CONF_INF_REGLAS (COD_INFORME,TABLA,NOMBRE,REGLA,F_INICIO,F_FIN,DESCRIPCION) VALUES (6.1,'INYC_RPA_RESUMEN','Total Productos','PM-O-GEN-Agente-Prima-998',TO_DATE('20140101','yyyymmdd'),TO_DATE('22000101','yyyymmdd'),'');</v>
      </c>
      <c r="B219" t="str">
        <f>IF(REGLAS!J220="OBSOLETO","","INSERT INTO INYCEXT.INYC_CONF_INF_REGLAS@tc_link (COD_INFORME,TABLA,NOMBRE,REGLA,F_INICIO,F_FIN,DESCRIPCION) VALUES ("&amp;REGLAS!B220&amp;",'"&amp;REGLAS!C220&amp;"','"&amp;REGLAS!D220&amp;"','"&amp;REGLAS!G220&amp;"',TO_DATE('"&amp;REGLAS!H220&amp;"','yyyymmdd'),TO_DATE('"&amp;REGLAS!I220&amp;"','yyyymmdd'),'"&amp;REGLAS!J220&amp;"');")</f>
        <v>INSERT INTO INYCEXT.INYC_CONF_INF_REGLAS@tc_link (COD_INFORME,TABLA,NOMBRE,REGLA,F_INICIO,F_FIN,DESCRIPCION) VALUES (6.1,'INYC_RPA_RESUMEN','Total Productos','PM-O-GEN-Agente-Prima-998',TO_DATE('20140101','yyyymmdd'),TO_DATE('22000101','yyyymmdd'),'');</v>
      </c>
    </row>
    <row r="220" spans="1:2" x14ac:dyDescent="0.25">
      <c r="A220" t="str">
        <f>IF(REGLAS!J221="OBSOLETO","","INSERT INTO INYCEXT.INYC_CONF_INF_REGLAS (COD_INFORME,TABLA,NOMBRE,REGLA,F_INICIO,F_FIN,DESCRIPCION) VALUES ("&amp;REGLAS!B221&amp;",'"&amp;REGLAS!C221&amp;"','"&amp;REGLAS!D221&amp;"','"&amp;REGLAS!G221&amp;"',TO_DATE('"&amp;REGLAS!H221&amp;"','yyyymmdd'),TO_DATE('"&amp;REGLAS!I221&amp;"','yyyymmdd'),'"&amp;REGLAS!J221&amp;"');")</f>
        <v>INSERT INTO INYCEXT.INYC_CONF_INF_REGLAS (COD_INFORME,TABLA,NOMBRE,REGLA,F_INICIO,F_FIN,DESCRIPCION) VALUES (6.1,'INYC_RPA_RESUMEN','SM - Nº Pólizas Agente RRTT Mensual','SM-O-GEN-Agente-NumeroPolizas-001-TotalMes',TO_DATE('20140101','yyyymmdd'),TO_DATE('22000101','yyyymmdd'),'Version 20180427');</v>
      </c>
      <c r="B220" t="str">
        <f>IF(REGLAS!J221="OBSOLETO","","INSERT INTO INYCEXT.INYC_CONF_INF_REGLAS@tc_link (COD_INFORME,TABLA,NOMBRE,REGLA,F_INICIO,F_FIN,DESCRIPCION) VALUES ("&amp;REGLAS!B221&amp;",'"&amp;REGLAS!C221&amp;"','"&amp;REGLAS!D221&amp;"','"&amp;REGLAS!G221&amp;"',TO_DATE('"&amp;REGLAS!H221&amp;"','yyyymmdd'),TO_DATE('"&amp;REGLAS!I221&amp;"','yyyymmdd'),'"&amp;REGLAS!J221&amp;"');")</f>
        <v>INSERT INTO INYCEXT.INYC_CONF_INF_REGLAS@tc_link (COD_INFORME,TABLA,NOMBRE,REGLA,F_INICIO,F_FIN,DESCRIPCION) VALUES (6.1,'INYC_RPA_RESUMEN','SM - Nº Pólizas Agente RRTT Mensual','SM-O-GEN-Agente-NumeroPolizas-001-TotalMes',TO_DATE('20140101','yyyymmdd'),TO_DATE('22000101','yyyymmdd'),'Version 20180427');</v>
      </c>
    </row>
    <row r="221" spans="1:2" x14ac:dyDescent="0.25">
      <c r="A221" t="str">
        <f>IF(REGLAS!J222="OBSOLETO","","INSERT INTO INYCEXT.INYC_CONF_INF_REGLAS (COD_INFORME,TABLA,NOMBRE,REGLA,F_INICIO,F_FIN,DESCRIPCION) VALUES ("&amp;REGLAS!B222&amp;",'"&amp;REGLAS!C222&amp;"','"&amp;REGLAS!D222&amp;"','"&amp;REGLAS!G222&amp;"',TO_DATE('"&amp;REGLAS!H222&amp;"','yyyymmdd'),TO_DATE('"&amp;REGLAS!I222&amp;"','yyyymmdd'),'"&amp;REGLAS!J222&amp;"');")</f>
        <v>INSERT INTO INYCEXT.INYC_CONF_INF_REGLAS (COD_INFORME,TABLA,NOMBRE,REGLA,F_INICIO,F_FIN,DESCRIPCION) VALUES (6.1,'INYC_RPA_RESUMEN','SM - Nº Asegurados Agente Mensual','SM-O-GEN-Agente-NumAsegurados-TotalMes',TO_DATE('20180101','yyyymmdd'),TO_DATE('22000101','yyyymmdd'),'Version 20180117');</v>
      </c>
      <c r="B221" t="str">
        <f>IF(REGLAS!J222="OBSOLETO","","INSERT INTO INYCEXT.INYC_CONF_INF_REGLAS@tc_link (COD_INFORME,TABLA,NOMBRE,REGLA,F_INICIO,F_FIN,DESCRIPCION) VALUES ("&amp;REGLAS!B222&amp;",'"&amp;REGLAS!C222&amp;"','"&amp;REGLAS!D222&amp;"','"&amp;REGLAS!G222&amp;"',TO_DATE('"&amp;REGLAS!H222&amp;"','yyyymmdd'),TO_DATE('"&amp;REGLAS!I222&amp;"','yyyymmdd'),'"&amp;REGLAS!J222&amp;"');")</f>
        <v>INSERT INTO INYCEXT.INYC_CONF_INF_REGLAS@tc_link (COD_INFORME,TABLA,NOMBRE,REGLA,F_INICIO,F_FIN,DESCRIPCION) VALUES (6.1,'INYC_RPA_RESUMEN','SM - Nº Asegurados Agente Mensual','SM-O-GEN-Agente-NumAsegurados-TotalMes',TO_DATE('20180101','yyyymmdd'),TO_DATE('22000101','yyyymmdd'),'Version 20180117');</v>
      </c>
    </row>
    <row r="222" spans="1:2" x14ac:dyDescent="0.25">
      <c r="A222" t="str">
        <f>IF(REGLAS!J223="OBSOLETO","","INSERT INTO INYCEXT.INYC_CONF_INF_REGLAS (COD_INFORME,TABLA,NOMBRE,REGLA,F_INICIO,F_FIN,DESCRIPCION) VALUES ("&amp;REGLAS!B223&amp;",'"&amp;REGLAS!C223&amp;"','"&amp;REGLAS!D223&amp;"','"&amp;REGLAS!G223&amp;"',TO_DATE('"&amp;REGLAS!H223&amp;"','yyyymmdd'),TO_DATE('"&amp;REGLAS!I223&amp;"','yyyymmdd'),'"&amp;REGLAS!J223&amp;"');")</f>
        <v>INSERT INTO INYCEXT.INYC_CONF_INF_REGLAS (COD_INFORME,TABLA,NOMBRE,REGLA,F_INICIO,F_FIN,DESCRIPCION) VALUES (6.1,'INYC_RPA_RESUMEN','SM - Nº Pólizas Agente Hogar Mensual','SM-O-GEN-Agente-NumeroPolizas-002-TotalMes',TO_DATE('20140101','yyyymmdd'),TO_DATE('22000101','yyyymmdd'),'');</v>
      </c>
      <c r="B222" t="str">
        <f>IF(REGLAS!J223="OBSOLETO","","INSERT INTO INYCEXT.INYC_CONF_INF_REGLAS@tc_link (COD_INFORME,TABLA,NOMBRE,REGLA,F_INICIO,F_FIN,DESCRIPCION) VALUES ("&amp;REGLAS!B223&amp;",'"&amp;REGLAS!C223&amp;"','"&amp;REGLAS!D223&amp;"','"&amp;REGLAS!G223&amp;"',TO_DATE('"&amp;REGLAS!H223&amp;"','yyyymmdd'),TO_DATE('"&amp;REGLAS!I223&amp;"','yyyymmdd'),'"&amp;REGLAS!J223&amp;"');")</f>
        <v>INSERT INTO INYCEXT.INYC_CONF_INF_REGLAS@tc_link (COD_INFORME,TABLA,NOMBRE,REGLA,F_INICIO,F_FIN,DESCRIPCION) VALUES (6.1,'INYC_RPA_RESUMEN','SM - Nº Pólizas Agente Hogar Mensual','SM-O-GEN-Agente-NumeroPolizas-002-TotalMes',TO_DATE('20140101','yyyymmdd'),TO_DATE('22000101','yyyymmdd'),'');</v>
      </c>
    </row>
    <row r="223" spans="1:2" x14ac:dyDescent="0.25">
      <c r="A223" t="str">
        <f>IF(REGLAS!J224="OBSOLETO","","INSERT INTO INYCEXT.INYC_CONF_INF_REGLAS (COD_INFORME,TABLA,NOMBRE,REGLA,F_INICIO,F_FIN,DESCRIPCION) VALUES ("&amp;REGLAS!B224&amp;",'"&amp;REGLAS!C224&amp;"','"&amp;REGLAS!D224&amp;"','"&amp;REGLAS!G224&amp;"',TO_DATE('"&amp;REGLAS!H224&amp;"','yyyymmdd'),TO_DATE('"&amp;REGLAS!I224&amp;"','yyyymmdd'),'"&amp;REGLAS!J224&amp;"');")</f>
        <v>INSERT INTO INYCEXT.INYC_CONF_INF_REGLAS (COD_INFORME,TABLA,NOMBRE,REGLA,F_INICIO,F_FIN,DESCRIPCION) VALUES (6.1,'INYC_RPA_RESUMEN','SM - Nº Pólizas Agente RRPP (excl PU y conv/colec) Mensual','SM-O-GEN-Agente-NumeroPolizas-906-TotalMes',TO_DATE('20170101','yyyymmdd'),TO_DATE('22000101','yyyymmdd'),'');</v>
      </c>
      <c r="B223" t="str">
        <f>IF(REGLAS!J224="OBSOLETO","","INSERT INTO INYCEXT.INYC_CONF_INF_REGLAS@tc_link (COD_INFORME,TABLA,NOMBRE,REGLA,F_INICIO,F_FIN,DESCRIPCION) VALUES ("&amp;REGLAS!B224&amp;",'"&amp;REGLAS!C224&amp;"','"&amp;REGLAS!D224&amp;"','"&amp;REGLAS!G224&amp;"',TO_DATE('"&amp;REGLAS!H224&amp;"','yyyymmdd'),TO_DATE('"&amp;REGLAS!I224&amp;"','yyyymmdd'),'"&amp;REGLAS!J224&amp;"');")</f>
        <v>INSERT INTO INYCEXT.INYC_CONF_INF_REGLAS@tc_link (COD_INFORME,TABLA,NOMBRE,REGLA,F_INICIO,F_FIN,DESCRIPCION) VALUES (6.1,'INYC_RPA_RESUMEN','SM - Nº Pólizas Agente RRPP (excl PU y conv/colec) Mensual','SM-O-GEN-Agente-NumeroPolizas-906-TotalMes',TO_DATE('20170101','yyyymmdd'),TO_DATE('22000101','yyyymmdd'),'');</v>
      </c>
    </row>
    <row r="224" spans="1:2" x14ac:dyDescent="0.25">
      <c r="A224" t="str">
        <f>IF(REGLAS!J225="OBSOLETO","","INSERT INTO INYCEXT.INYC_CONF_INF_REGLAS (COD_INFORME,TABLA,NOMBRE,REGLA,F_INICIO,F_FIN,DESCRIPCION) VALUES ("&amp;REGLAS!B225&amp;",'"&amp;REGLAS!C225&amp;"','"&amp;REGLAS!D225&amp;"','"&amp;REGLAS!G225&amp;"',TO_DATE('"&amp;REGLAS!H225&amp;"','yyyymmdd'),TO_DATE('"&amp;REGLAS!I225&amp;"','yyyymmdd'),'"&amp;REGLAS!J225&amp;"');")</f>
        <v>INSERT INTO INYCEXT.INYC_CONF_INF_REGLAS (COD_INFORME,TABLA,NOMBRE,REGLA,F_INICIO,F_FIN,DESCRIPCION) VALUES (6.1,'INYC_RPA_RESUMEN','SM - Nº Pólizas Agente Ocaso Oro Mensual','SM-O-GEN-Agente-NumeroPolizas-007-TotalMes',TO_DATE('20220101','yyyymmdd'),TO_DATE('22000101','yyyymmdd'),'Version 20220323');</v>
      </c>
      <c r="B224" t="str">
        <f>IF(REGLAS!J225="OBSOLETO","","INSERT INTO INYCEXT.INYC_CONF_INF_REGLAS@tc_link (COD_INFORME,TABLA,NOMBRE,REGLA,F_INICIO,F_FIN,DESCRIPCION) VALUES ("&amp;REGLAS!B225&amp;",'"&amp;REGLAS!C225&amp;"','"&amp;REGLAS!D225&amp;"','"&amp;REGLAS!G225&amp;"',TO_DATE('"&amp;REGLAS!H225&amp;"','yyyymmdd'),TO_DATE('"&amp;REGLAS!I225&amp;"','yyyymmdd'),'"&amp;REGLAS!J225&amp;"');")</f>
        <v>INSERT INTO INYCEXT.INYC_CONF_INF_REGLAS@tc_link (COD_INFORME,TABLA,NOMBRE,REGLA,F_INICIO,F_FIN,DESCRIPCION) VALUES (6.1,'INYC_RPA_RESUMEN','SM - Nº Pólizas Agente Ocaso Oro Mensual','SM-O-GEN-Agente-NumeroPolizas-007-TotalMes',TO_DATE('20220101','yyyymmdd'),TO_DATE('22000101','yyyymmdd'),'Version 20220323');</v>
      </c>
    </row>
    <row r="225" spans="1:2" x14ac:dyDescent="0.25">
      <c r="A225" t="str">
        <f>IF(REGLAS!J226="OBSOLETO","","INSERT INTO INYCEXT.INYC_CONF_INF_REGLAS (COD_INFORME,TABLA,NOMBRE,REGLA,F_INICIO,F_FIN,DESCRIPCION) VALUES ("&amp;REGLAS!B226&amp;",'"&amp;REGLAS!C226&amp;"','"&amp;REGLAS!D226&amp;"','"&amp;REGLAS!G226&amp;"',TO_DATE('"&amp;REGLAS!H226&amp;"','yyyymmdd'),TO_DATE('"&amp;REGLAS!I226&amp;"','yyyymmdd'),'"&amp;REGLAS!J226&amp;"');")</f>
        <v/>
      </c>
      <c r="B225" t="str">
        <f>IF(REGLAS!J226="OBSOLETO","","INSERT INTO INYCEXT.INYC_CONF_INF_REGLAS@tc_link (COD_INFORME,TABLA,NOMBRE,REGLA,F_INICIO,F_FIN,DESCRIPCION) VALUES ("&amp;REGLAS!B226&amp;",'"&amp;REGLAS!C226&amp;"','"&amp;REGLAS!D226&amp;"','"&amp;REGLAS!G226&amp;"',TO_DATE('"&amp;REGLAS!H226&amp;"','yyyymmdd'),TO_DATE('"&amp;REGLAS!I226&amp;"','yyyymmdd'),'"&amp;REGLAS!J226&amp;"');")</f>
        <v/>
      </c>
    </row>
    <row r="226" spans="1:2" x14ac:dyDescent="0.25">
      <c r="A226" t="str">
        <f>IF(REGLAS!J227="OBSOLETO","","INSERT INTO INYCEXT.INYC_CONF_INF_REGLAS (COD_INFORME,TABLA,NOMBRE,REGLA,F_INICIO,F_FIN,DESCRIPCION) VALUES ("&amp;REGLAS!B227&amp;",'"&amp;REGLAS!C227&amp;"','"&amp;REGLAS!D227&amp;"','"&amp;REGLAS!G227&amp;"',TO_DATE('"&amp;REGLAS!H227&amp;"','yyyymmdd'),TO_DATE('"&amp;REGLAS!I227&amp;"','yyyymmdd'),'"&amp;REGLAS!J227&amp;"');")</f>
        <v/>
      </c>
      <c r="B226" t="str">
        <f>IF(REGLAS!J227="OBSOLETO","","INSERT INTO INYCEXT.INYC_CONF_INF_REGLAS@tc_link (COD_INFORME,TABLA,NOMBRE,REGLA,F_INICIO,F_FIN,DESCRIPCION) VALUES ("&amp;REGLAS!B227&amp;",'"&amp;REGLAS!C227&amp;"','"&amp;REGLAS!D227&amp;"','"&amp;REGLAS!G227&amp;"',TO_DATE('"&amp;REGLAS!H227&amp;"','yyyymmdd'),TO_DATE('"&amp;REGLAS!I227&amp;"','yyyymmdd'),'"&amp;REGLAS!J227&amp;"');")</f>
        <v/>
      </c>
    </row>
    <row r="227" spans="1:2" x14ac:dyDescent="0.25">
      <c r="A227" t="str">
        <f>IF(REGLAS!J228="OBSOLETO","","INSERT INTO INYCEXT.INYC_CONF_INF_REGLAS (COD_INFORME,TABLA,NOMBRE,REGLA,F_INICIO,F_FIN,DESCRIPCION) VALUES ("&amp;REGLAS!B228&amp;",'"&amp;REGLAS!C228&amp;"','"&amp;REGLAS!D228&amp;"','"&amp;REGLAS!G228&amp;"',TO_DATE('"&amp;REGLAS!H228&amp;"','yyyymmdd'),TO_DATE('"&amp;REGLAS!I228&amp;"','yyyymmdd'),'"&amp;REGLAS!J228&amp;"');")</f>
        <v/>
      </c>
      <c r="B227" t="str">
        <f>IF(REGLAS!J228="OBSOLETO","","INSERT INTO INYCEXT.INYC_CONF_INF_REGLAS@tc_link (COD_INFORME,TABLA,NOMBRE,REGLA,F_INICIO,F_FIN,DESCRIPCION) VALUES ("&amp;REGLAS!B228&amp;",'"&amp;REGLAS!C228&amp;"','"&amp;REGLAS!D228&amp;"','"&amp;REGLAS!G228&amp;"',TO_DATE('"&amp;REGLAS!H228&amp;"','yyyymmdd'),TO_DATE('"&amp;REGLAS!I228&amp;"','yyyymmdd'),'"&amp;REGLAS!J228&amp;"');")</f>
        <v/>
      </c>
    </row>
    <row r="228" spans="1:2" x14ac:dyDescent="0.25">
      <c r="A228" t="str">
        <f>IF(REGLAS!J229="OBSOLETO","","INSERT INTO INYCEXT.INYC_CONF_INF_REGLAS (COD_INFORME,TABLA,NOMBRE,REGLA,F_INICIO,F_FIN,DESCRIPCION) VALUES ("&amp;REGLAS!B229&amp;",'"&amp;REGLAS!C229&amp;"','"&amp;REGLAS!D229&amp;"','"&amp;REGLAS!G229&amp;"',TO_DATE('"&amp;REGLAS!H229&amp;"','yyyymmdd'),TO_DATE('"&amp;REGLAS!I229&amp;"','yyyymmdd'),'"&amp;REGLAS!J229&amp;"');")</f>
        <v/>
      </c>
      <c r="B228" t="str">
        <f>IF(REGLAS!J229="OBSOLETO","","INSERT INTO INYCEXT.INYC_CONF_INF_REGLAS@tc_link (COD_INFORME,TABLA,NOMBRE,REGLA,F_INICIO,F_FIN,DESCRIPCION) VALUES ("&amp;REGLAS!B229&amp;",'"&amp;REGLAS!C229&amp;"','"&amp;REGLAS!D229&amp;"','"&amp;REGLAS!G229&amp;"',TO_DATE('"&amp;REGLAS!H229&amp;"','yyyymmdd'),TO_DATE('"&amp;REGLAS!I229&amp;"','yyyymmdd'),'"&amp;REGLAS!J229&amp;"');")</f>
        <v/>
      </c>
    </row>
    <row r="229" spans="1:2" x14ac:dyDescent="0.25">
      <c r="A229" t="str">
        <f>IF(REGLAS!J230="OBSOLETO","","INSERT INTO INYCEXT.INYC_CONF_INF_REGLAS (COD_INFORME,TABLA,NOMBRE,REGLA,F_INICIO,F_FIN,DESCRIPCION) VALUES ("&amp;REGLAS!B230&amp;",'"&amp;REGLAS!C230&amp;"','"&amp;REGLAS!D230&amp;"','"&amp;REGLAS!G230&amp;"',TO_DATE('"&amp;REGLAS!H230&amp;"','yyyymmdd'),TO_DATE('"&amp;REGLAS!I230&amp;"','yyyymmdd'),'"&amp;REGLAS!J230&amp;"');")</f>
        <v/>
      </c>
      <c r="B229" t="str">
        <f>IF(REGLAS!J230="OBSOLETO","","INSERT INTO INYCEXT.INYC_CONF_INF_REGLAS@tc_link (COD_INFORME,TABLA,NOMBRE,REGLA,F_INICIO,F_FIN,DESCRIPCION) VALUES ("&amp;REGLAS!B230&amp;",'"&amp;REGLAS!C230&amp;"','"&amp;REGLAS!D230&amp;"','"&amp;REGLAS!G230&amp;"',TO_DATE('"&amp;REGLAS!H230&amp;"','yyyymmdd'),TO_DATE('"&amp;REGLAS!I230&amp;"','yyyymmdd'),'"&amp;REGLAS!J230&amp;"');")</f>
        <v/>
      </c>
    </row>
    <row r="230" spans="1:2" x14ac:dyDescent="0.25">
      <c r="A230" t="str">
        <f>IF(REGLAS!J231="OBSOLETO","","INSERT INTO INYCEXT.INYC_CONF_INF_REGLAS (COD_INFORME,TABLA,NOMBRE,REGLA,F_INICIO,F_FIN,DESCRIPCION) VALUES ("&amp;REGLAS!B231&amp;",'"&amp;REGLAS!C231&amp;"','"&amp;REGLAS!D231&amp;"','"&amp;REGLAS!G231&amp;"',TO_DATE('"&amp;REGLAS!H231&amp;"','yyyymmdd'),TO_DATE('"&amp;REGLAS!I231&amp;"','yyyymmdd'),'"&amp;REGLAS!J231&amp;"');")</f>
        <v/>
      </c>
      <c r="B230" t="str">
        <f>IF(REGLAS!J231="OBSOLETO","","INSERT INTO INYCEXT.INYC_CONF_INF_REGLAS@tc_link (COD_INFORME,TABLA,NOMBRE,REGLA,F_INICIO,F_FIN,DESCRIPCION) VALUES ("&amp;REGLAS!B231&amp;",'"&amp;REGLAS!C231&amp;"','"&amp;REGLAS!D231&amp;"','"&amp;REGLAS!G231&amp;"',TO_DATE('"&amp;REGLAS!H231&amp;"','yyyymmdd'),TO_DATE('"&amp;REGLAS!I231&amp;"','yyyymmdd'),'"&amp;REGLAS!J231&amp;"');")</f>
        <v/>
      </c>
    </row>
    <row r="231" spans="1:2" x14ac:dyDescent="0.25">
      <c r="A231" t="str">
        <f>IF(REGLAS!J232="OBSOLETO","","INSERT INTO INYCEXT.INYC_CONF_INF_REGLAS (COD_INFORME,TABLA,NOMBRE,REGLA,F_INICIO,F_FIN,DESCRIPCION) VALUES ("&amp;REGLAS!B232&amp;",'"&amp;REGLAS!C232&amp;"','"&amp;REGLAS!D232&amp;"','"&amp;REGLAS!G232&amp;"',TO_DATE('"&amp;REGLAS!H232&amp;"','yyyymmdd'),TO_DATE('"&amp;REGLAS!I232&amp;"','yyyymmdd'),'"&amp;REGLAS!J232&amp;"');")</f>
        <v/>
      </c>
      <c r="B231" t="str">
        <f>IF(REGLAS!J232="OBSOLETO","","INSERT INTO INYCEXT.INYC_CONF_INF_REGLAS@tc_link (COD_INFORME,TABLA,NOMBRE,REGLA,F_INICIO,F_FIN,DESCRIPCION) VALUES ("&amp;REGLAS!B232&amp;",'"&amp;REGLAS!C232&amp;"','"&amp;REGLAS!D232&amp;"','"&amp;REGLAS!G232&amp;"',TO_DATE('"&amp;REGLAS!H232&amp;"','yyyymmdd'),TO_DATE('"&amp;REGLAS!I232&amp;"','yyyymmdd'),'"&amp;REGLAS!J232&amp;"');")</f>
        <v/>
      </c>
    </row>
    <row r="232" spans="1:2" x14ac:dyDescent="0.25">
      <c r="A232" t="str">
        <f>IF(REGLAS!J233="OBSOLETO","","INSERT INTO INYCEXT.INYC_CONF_INF_REGLAS (COD_INFORME,TABLA,NOMBRE,REGLA,F_INICIO,F_FIN,DESCRIPCION) VALUES ("&amp;REGLAS!B233&amp;",'"&amp;REGLAS!C233&amp;"','"&amp;REGLAS!D233&amp;"','"&amp;REGLAS!G233&amp;"',TO_DATE('"&amp;REGLAS!H233&amp;"','yyyymmdd'),TO_DATE('"&amp;REGLAS!I233&amp;"','yyyymmdd'),'"&amp;REGLAS!J233&amp;"');")</f>
        <v>INSERT INTO INYCEXT.INYC_CONF_INF_REGLAS (COD_INFORME,TABLA,NOMBRE,REGLA,F_INICIO,F_FIN,DESCRIPCION) VALUES (6.1,'INYC_RPA_RESUMEN','Resumen Mensual','SM-O-RPP-Agente-NumeroPolizas-998-Total-Mes',TO_DATE('20140101','yyyymmdd'),TO_DATE('22000101','yyyymmdd'),'');</v>
      </c>
      <c r="B232" t="str">
        <f>IF(REGLAS!J233="OBSOLETO","","INSERT INTO INYCEXT.INYC_CONF_INF_REGLAS@tc_link (COD_INFORME,TABLA,NOMBRE,REGLA,F_INICIO,F_FIN,DESCRIPCION) VALUES ("&amp;REGLAS!B233&amp;",'"&amp;REGLAS!C233&amp;"','"&amp;REGLAS!D233&amp;"','"&amp;REGLAS!G233&amp;"',TO_DATE('"&amp;REGLAS!H233&amp;"','yyyymmdd'),TO_DATE('"&amp;REGLAS!I233&amp;"','yyyymmdd'),'"&amp;REGLAS!J233&amp;"');")</f>
        <v>INSERT INTO INYCEXT.INYC_CONF_INF_REGLAS@tc_link (COD_INFORME,TABLA,NOMBRE,REGLA,F_INICIO,F_FIN,DESCRIPCION) VALUES (6.1,'INYC_RPA_RESUMEN','Resumen Mensual','SM-O-RPP-Agente-NumeroPolizas-998-Total-Mes',TO_DATE('20140101','yyyymmdd'),TO_DATE('22000101','yyyymmdd'),'');</v>
      </c>
    </row>
    <row r="233" spans="1:2" x14ac:dyDescent="0.25">
      <c r="A233" t="str">
        <f>IF(REGLAS!J234="OBSOLETO","","INSERT INTO INYCEXT.INYC_CONF_INF_REGLAS (COD_INFORME,TABLA,NOMBRE,REGLA,F_INICIO,F_FIN,DESCRIPCION) VALUES ("&amp;REGLAS!B234&amp;",'"&amp;REGLAS!C234&amp;"','"&amp;REGLAS!D234&amp;"','"&amp;REGLAS!G234&amp;"',TO_DATE('"&amp;REGLAS!H234&amp;"','yyyymmdd'),TO_DATE('"&amp;REGLAS!I234&amp;"','yyyymmdd'),'"&amp;REGLAS!J234&amp;"');")</f>
        <v>INSERT INTO INYCEXT.INYC_CONF_INF_REGLAS (COD_INFORME,TABLA,NOMBRE,REGLA,F_INICIO,F_FIN,DESCRIPCION) VALUES (6.1,'INYC_RPA_RESUMEN','Resumen Mensual','SM-O-GEN-Agente-NumeroPolizas-998-TotalMes',TO_DATE('20180101','yyyymmdd'),TO_DATE('22000101','yyyymmdd'),'Version 20180425');</v>
      </c>
      <c r="B233" t="str">
        <f>IF(REGLAS!J234="OBSOLETO","","INSERT INTO INYCEXT.INYC_CONF_INF_REGLAS@tc_link (COD_INFORME,TABLA,NOMBRE,REGLA,F_INICIO,F_FIN,DESCRIPCION) VALUES ("&amp;REGLAS!B234&amp;",'"&amp;REGLAS!C234&amp;"','"&amp;REGLAS!D234&amp;"','"&amp;REGLAS!G234&amp;"',TO_DATE('"&amp;REGLAS!H234&amp;"','yyyymmdd'),TO_DATE('"&amp;REGLAS!I234&amp;"','yyyymmdd'),'"&amp;REGLAS!J234&amp;"');")</f>
        <v>INSERT INTO INYCEXT.INYC_CONF_INF_REGLAS@tc_link (COD_INFORME,TABLA,NOMBRE,REGLA,F_INICIO,F_FIN,DESCRIPCION) VALUES (6.1,'INYC_RPA_RESUMEN','Resumen Mensual','SM-O-GEN-Agente-NumeroPolizas-998-TotalMes',TO_DATE('20180101','yyyymmdd'),TO_DATE('22000101','yyyymmdd'),'Version 20180425');</v>
      </c>
    </row>
    <row r="234" spans="1:2" x14ac:dyDescent="0.25">
      <c r="A234" t="str">
        <f>IF(REGLAS!J235="OBSOLETO","","INSERT INTO INYCEXT.INYC_CONF_INF_REGLAS (COD_INFORME,TABLA,NOMBRE,REGLA,F_INICIO,F_FIN,DESCRIPCION) VALUES ("&amp;REGLAS!B235&amp;",'"&amp;REGLAS!C235&amp;"','"&amp;REGLAS!D235&amp;"','"&amp;REGLAS!G235&amp;"',TO_DATE('"&amp;REGLAS!H235&amp;"','yyyymmdd'),TO_DATE('"&amp;REGLAS!I235&amp;"','yyyymmdd'),'"&amp;REGLAS!J235&amp;"');")</f>
        <v>INSERT INTO INYCEXT.INYC_CONF_INF_REGLAS (COD_INFORME,TABLA,NOMBRE,REGLA,F_INICIO,F_FIN,DESCRIPCION) VALUES (6.1,'INYC_RPA_RESUMEN','SM - Nº Pólizas Corregidas Agente Total Productos Mensual','SM-O-GEN-Agente-NumeroPolizasCorregidas-998-TotalMes',TO_DATE('20220101','yyyymmdd'),TO_DATE('22000101','yyyymmdd'),'Version 20220323');</v>
      </c>
      <c r="B234" t="str">
        <f>IF(REGLAS!J235="OBSOLETO","","INSERT INTO INYCEXT.INYC_CONF_INF_REGLAS@tc_link (COD_INFORME,TABLA,NOMBRE,REGLA,F_INICIO,F_FIN,DESCRIPCION) VALUES ("&amp;REGLAS!B235&amp;",'"&amp;REGLAS!C235&amp;"','"&amp;REGLAS!D235&amp;"','"&amp;REGLAS!G235&amp;"',TO_DATE('"&amp;REGLAS!H235&amp;"','yyyymmdd'),TO_DATE('"&amp;REGLAS!I235&amp;"','yyyymmdd'),'"&amp;REGLAS!J235&amp;"');")</f>
        <v>INSERT INTO INYCEXT.INYC_CONF_INF_REGLAS@tc_link (COD_INFORME,TABLA,NOMBRE,REGLA,F_INICIO,F_FIN,DESCRIPCION) VALUES (6.1,'INYC_RPA_RESUMEN','SM - Nº Pólizas Corregidas Agente Total Productos Mensual','SM-O-GEN-Agente-NumeroPolizasCorregidas-998-TotalMes',TO_DATE('20220101','yyyymmdd'),TO_DATE('22000101','yyyymmdd'),'Version 20220323');</v>
      </c>
    </row>
    <row r="235" spans="1:2" x14ac:dyDescent="0.25">
      <c r="A235" t="str">
        <f>IF(REGLAS!J236="OBSOLETO","","INSERT INTO INYCEXT.INYC_CONF_INF_REGLAS (COD_INFORME,TABLA,NOMBRE,REGLA,F_INICIO,F_FIN,DESCRIPCION) VALUES ("&amp;REGLAS!B236&amp;",'"&amp;REGLAS!C236&amp;"','"&amp;REGLAS!D236&amp;"','"&amp;REGLAS!G236&amp;"',TO_DATE('"&amp;REGLAS!H236&amp;"','yyyymmdd'),TO_DATE('"&amp;REGLAS!I236&amp;"','yyyymmdd'),'"&amp;REGLAS!J236&amp;"');")</f>
        <v/>
      </c>
      <c r="B235" t="str">
        <f>IF(REGLAS!J236="OBSOLETO","","INSERT INTO INYCEXT.INYC_CONF_INF_REGLAS@tc_link (COD_INFORME,TABLA,NOMBRE,REGLA,F_INICIO,F_FIN,DESCRIPCION) VALUES ("&amp;REGLAS!B236&amp;",'"&amp;REGLAS!C236&amp;"','"&amp;REGLAS!D236&amp;"','"&amp;REGLAS!G236&amp;"',TO_DATE('"&amp;REGLAS!H236&amp;"','yyyymmdd'),TO_DATE('"&amp;REGLAS!I236&amp;"','yyyymmdd'),'"&amp;REGLAS!J236&amp;"');")</f>
        <v/>
      </c>
    </row>
    <row r="236" spans="1:2" x14ac:dyDescent="0.25">
      <c r="A236" t="str">
        <f>IF(REGLAS!J237="OBSOLETO","","INSERT INTO INYCEXT.INYC_CONF_INF_REGLAS (COD_INFORME,TABLA,NOMBRE,REGLA,F_INICIO,F_FIN,DESCRIPCION) VALUES ("&amp;REGLAS!B237&amp;",'"&amp;REGLAS!C237&amp;"','"&amp;REGLAS!D237&amp;"','"&amp;REGLAS!G237&amp;"',TO_DATE('"&amp;REGLAS!H237&amp;"','yyyymmdd'),TO_DATE('"&amp;REGLAS!I237&amp;"','yyyymmdd'),'"&amp;REGLAS!J237&amp;"');")</f>
        <v/>
      </c>
      <c r="B236" t="str">
        <f>IF(REGLAS!J237="OBSOLETO","","INSERT INTO INYCEXT.INYC_CONF_INF_REGLAS@tc_link (COD_INFORME,TABLA,NOMBRE,REGLA,F_INICIO,F_FIN,DESCRIPCION) VALUES ("&amp;REGLAS!B237&amp;",'"&amp;REGLAS!C237&amp;"','"&amp;REGLAS!D237&amp;"','"&amp;REGLAS!G237&amp;"',TO_DATE('"&amp;REGLAS!H237&amp;"','yyyymmdd'),TO_DATE('"&amp;REGLAS!I237&amp;"','yyyymmdd'),'"&amp;REGLAS!J237&amp;"');")</f>
        <v/>
      </c>
    </row>
    <row r="237" spans="1:2" x14ac:dyDescent="0.25">
      <c r="A237" t="str">
        <f>IF(REGLAS!J238="OBSOLETO","","INSERT INTO INYCEXT.INYC_CONF_INF_REGLAS (COD_INFORME,TABLA,NOMBRE,REGLA,F_INICIO,F_FIN,DESCRIPCION) VALUES ("&amp;REGLAS!B238&amp;",'"&amp;REGLAS!C238&amp;"','"&amp;REGLAS!D238&amp;"','"&amp;REGLAS!G238&amp;"',TO_DATE('"&amp;REGLAS!H238&amp;"','yyyymmdd'),TO_DATE('"&amp;REGLAS!I238&amp;"','yyyymmdd'),'"&amp;REGLAS!J238&amp;"');")</f>
        <v/>
      </c>
      <c r="B237" t="str">
        <f>IF(REGLAS!J238="OBSOLETO","","INSERT INTO INYCEXT.INYC_CONF_INF_REGLAS@tc_link (COD_INFORME,TABLA,NOMBRE,REGLA,F_INICIO,F_FIN,DESCRIPCION) VALUES ("&amp;REGLAS!B238&amp;",'"&amp;REGLAS!C238&amp;"','"&amp;REGLAS!D238&amp;"','"&amp;REGLAS!G238&amp;"',TO_DATE('"&amp;REGLAS!H238&amp;"','yyyymmdd'),TO_DATE('"&amp;REGLAS!I238&amp;"','yyyymmdd'),'"&amp;REGLAS!J238&amp;"');")</f>
        <v/>
      </c>
    </row>
    <row r="238" spans="1:2" x14ac:dyDescent="0.25">
      <c r="A238" t="str">
        <f>IF(REGLAS!J239="OBSOLETO","","INSERT INTO INYCEXT.INYC_CONF_INF_REGLAS (COD_INFORME,TABLA,NOMBRE,REGLA,F_INICIO,F_FIN,DESCRIPCION) VALUES ("&amp;REGLAS!B239&amp;",'"&amp;REGLAS!C239&amp;"','"&amp;REGLAS!D239&amp;"','"&amp;REGLAS!G239&amp;"',TO_DATE('"&amp;REGLAS!H239&amp;"','yyyymmdd'),TO_DATE('"&amp;REGLAS!I239&amp;"','yyyymmdd'),'"&amp;REGLAS!J239&amp;"');")</f>
        <v>INSERT INTO INYCEXT.INYC_CONF_INF_REGLAS (COD_INFORME,TABLA,NOMBRE,REGLA,F_INICIO,F_FIN,DESCRIPCION) VALUES (6.1,'INYC_RPA_RESUMEN','Resumen Mensual','SM-O-RPP-Agente-NumeroPolizas-998-Total-Mes-Resto',TO_DATE('20140101','yyyymmdd'),TO_DATE('22000101','yyyymmdd'),'');</v>
      </c>
      <c r="B238" t="str">
        <f>IF(REGLAS!J239="OBSOLETO","","INSERT INTO INYCEXT.INYC_CONF_INF_REGLAS@tc_link (COD_INFORME,TABLA,NOMBRE,REGLA,F_INICIO,F_FIN,DESCRIPCION) VALUES ("&amp;REGLAS!B239&amp;",'"&amp;REGLAS!C239&amp;"','"&amp;REGLAS!D239&amp;"','"&amp;REGLAS!G239&amp;"',TO_DATE('"&amp;REGLAS!H239&amp;"','yyyymmdd'),TO_DATE('"&amp;REGLAS!I239&amp;"','yyyymmdd'),'"&amp;REGLAS!J239&amp;"');")</f>
        <v>INSERT INTO INYCEXT.INYC_CONF_INF_REGLAS@tc_link (COD_INFORME,TABLA,NOMBRE,REGLA,F_INICIO,F_FIN,DESCRIPCION) VALUES (6.1,'INYC_RPA_RESUMEN','Resumen Mensual','SM-O-RPP-Agente-NumeroPolizas-998-Total-Mes-Resto',TO_DATE('20140101','yyyymmdd'),TO_DATE('22000101','yyyymmdd'),'');</v>
      </c>
    </row>
    <row r="239" spans="1:2" x14ac:dyDescent="0.25">
      <c r="A239" t="str">
        <f>IF(REGLAS!J240="OBSOLETO","","INSERT INTO INYCEXT.INYC_CONF_INF_REGLAS (COD_INFORME,TABLA,NOMBRE,REGLA,F_INICIO,F_FIN,DESCRIPCION) VALUES ("&amp;REGLAS!B240&amp;",'"&amp;REGLAS!C240&amp;"','"&amp;REGLAS!D240&amp;"','"&amp;REGLAS!G240&amp;"',TO_DATE('"&amp;REGLAS!H240&amp;"','yyyymmdd'),TO_DATE('"&amp;REGLAS!I240&amp;"','yyyymmdd'),'"&amp;REGLAS!J240&amp;"');")</f>
        <v>INSERT INTO INYCEXT.INYC_CONF_INF_REGLAS (COD_INFORME,TABLA,NOMBRE,REGLA,F_INICIO,F_FIN,DESCRIPCION) VALUES (6.1,'INYC_RPA_RESUMEN','Resumen Mensual','SM-O-RPP-Agente-NumeroPolizas-998-01501-Campania-Resto',TO_DATE('20140101','yyyymmdd'),TO_DATE('22000101','yyyymmdd'),'');</v>
      </c>
      <c r="B239" t="str">
        <f>IF(REGLAS!J240="OBSOLETO","","INSERT INTO INYCEXT.INYC_CONF_INF_REGLAS@tc_link (COD_INFORME,TABLA,NOMBRE,REGLA,F_INICIO,F_FIN,DESCRIPCION) VALUES ("&amp;REGLAS!B240&amp;",'"&amp;REGLAS!C240&amp;"','"&amp;REGLAS!D240&amp;"','"&amp;REGLAS!G240&amp;"',TO_DATE('"&amp;REGLAS!H240&amp;"','yyyymmdd'),TO_DATE('"&amp;REGLAS!I240&amp;"','yyyymmdd'),'"&amp;REGLAS!J240&amp;"');")</f>
        <v>INSERT INTO INYCEXT.INYC_CONF_INF_REGLAS@tc_link (COD_INFORME,TABLA,NOMBRE,REGLA,F_INICIO,F_FIN,DESCRIPCION) VALUES (6.1,'INYC_RPA_RESUMEN','Resumen Mensual','SM-O-RPP-Agente-NumeroPolizas-998-01501-Campania-Resto',TO_DATE('20140101','yyyymmdd'),TO_DATE('22000101','yyyymmdd'),'');</v>
      </c>
    </row>
    <row r="240" spans="1:2" x14ac:dyDescent="0.25">
      <c r="A240" t="str">
        <f>IF(REGLAS!J241="OBSOLETO","","INSERT INTO INYCEXT.INYC_CONF_INF_REGLAS (COD_INFORME,TABLA,NOMBRE,REGLA,F_INICIO,F_FIN,DESCRIPCION) VALUES ("&amp;REGLAS!B241&amp;",'"&amp;REGLAS!C241&amp;"','"&amp;REGLAS!D241&amp;"','"&amp;REGLAS!G241&amp;"',TO_DATE('"&amp;REGLAS!H241&amp;"','yyyymmdd'),TO_DATE('"&amp;REGLAS!I241&amp;"','yyyymmdd'),'"&amp;REGLAS!J241&amp;"');")</f>
        <v/>
      </c>
      <c r="B240" t="str">
        <f>IF(REGLAS!J241="OBSOLETO","","INSERT INTO INYCEXT.INYC_CONF_INF_REGLAS@tc_link (COD_INFORME,TABLA,NOMBRE,REGLA,F_INICIO,F_FIN,DESCRIPCION) VALUES ("&amp;REGLAS!B241&amp;",'"&amp;REGLAS!C241&amp;"','"&amp;REGLAS!D241&amp;"','"&amp;REGLAS!G241&amp;"',TO_DATE('"&amp;REGLAS!H241&amp;"','yyyymmdd'),TO_DATE('"&amp;REGLAS!I241&amp;"','yyyymmdd'),'"&amp;REGLAS!J241&amp;"');")</f>
        <v/>
      </c>
    </row>
    <row r="241" spans="1:2" x14ac:dyDescent="0.25">
      <c r="A241" t="str">
        <f>IF(REGLAS!J242="OBSOLETO","","INSERT INTO INYCEXT.INYC_CONF_INF_REGLAS (COD_INFORME,TABLA,NOMBRE,REGLA,F_INICIO,F_FIN,DESCRIPCION) VALUES ("&amp;REGLAS!B242&amp;",'"&amp;REGLAS!C242&amp;"','"&amp;REGLAS!D242&amp;"','"&amp;REGLAS!G242&amp;"',TO_DATE('"&amp;REGLAS!H242&amp;"','yyyymmdd'),TO_DATE('"&amp;REGLAS!I242&amp;"','yyyymmdd'),'"&amp;REGLAS!J242&amp;"');")</f>
        <v>INSERT INTO INYCEXT.INYC_CONF_INF_REGLAS (COD_INFORME,TABLA,NOMBRE,REGLA,F_INICIO,F_FIN,DESCRIPCION) VALUES (6.1,'INYC_RPA_RESUMEN','Resumen Mensual','SM-O-RPP-Agente-NumeroPolizas-998-01501-01503-Recup-AgNO20-Resto',TO_DATE('20140101','yyyymmdd'),TO_DATE('22000101','yyyymmdd'),'');</v>
      </c>
      <c r="B241" t="str">
        <f>IF(REGLAS!J242="OBSOLETO","","INSERT INTO INYCEXT.INYC_CONF_INF_REGLAS@tc_link (COD_INFORME,TABLA,NOMBRE,REGLA,F_INICIO,F_FIN,DESCRIPCION) VALUES ("&amp;REGLAS!B242&amp;",'"&amp;REGLAS!C242&amp;"','"&amp;REGLAS!D242&amp;"','"&amp;REGLAS!G242&amp;"',TO_DATE('"&amp;REGLAS!H242&amp;"','yyyymmdd'),TO_DATE('"&amp;REGLAS!I242&amp;"','yyyymmdd'),'"&amp;REGLAS!J242&amp;"');")</f>
        <v>INSERT INTO INYCEXT.INYC_CONF_INF_REGLAS@tc_link (COD_INFORME,TABLA,NOMBRE,REGLA,F_INICIO,F_FIN,DESCRIPCION) VALUES (6.1,'INYC_RPA_RESUMEN','Resumen Mensual','SM-O-RPP-Agente-NumeroPolizas-998-01501-01503-Recup-AgNO20-Resto',TO_DATE('20140101','yyyymmdd'),TO_DATE('22000101','yyyymmdd'),'');</v>
      </c>
    </row>
    <row r="242" spans="1:2" x14ac:dyDescent="0.25">
      <c r="A242" t="str">
        <f>IF(REGLAS!J243="OBSOLETO","","INSERT INTO INYCEXT.INYC_CONF_INF_REGLAS (COD_INFORME,TABLA,NOMBRE,REGLA,F_INICIO,F_FIN,DESCRIPCION) VALUES ("&amp;REGLAS!B243&amp;",'"&amp;REGLAS!C243&amp;"','"&amp;REGLAS!D243&amp;"','"&amp;REGLAS!G243&amp;"',TO_DATE('"&amp;REGLAS!H243&amp;"','yyyymmdd'),TO_DATE('"&amp;REGLAS!I243&amp;"','yyyymmdd'),'"&amp;REGLAS!J243&amp;"');")</f>
        <v>INSERT INTO INYCEXT.INYC_CONF_INF_REGLAS (COD_INFORME,TABLA,NOMBRE,REGLA,F_INICIO,F_FIN,DESCRIPCION) VALUES (6.1,'INYC_RPA_RESUMEN','Resumen Mensual','SM-O-RPP-Agente-NumeroPolizas-998-Otros-Productos',TO_DATE('20140101','yyyymmdd'),TO_DATE('22000101','yyyymmdd'),'');</v>
      </c>
      <c r="B242" t="str">
        <f>IF(REGLAS!J243="OBSOLETO","","INSERT INTO INYCEXT.INYC_CONF_INF_REGLAS@tc_link (COD_INFORME,TABLA,NOMBRE,REGLA,F_INICIO,F_FIN,DESCRIPCION) VALUES ("&amp;REGLAS!B243&amp;",'"&amp;REGLAS!C243&amp;"','"&amp;REGLAS!D243&amp;"','"&amp;REGLAS!G243&amp;"',TO_DATE('"&amp;REGLAS!H243&amp;"','yyyymmdd'),TO_DATE('"&amp;REGLAS!I243&amp;"','yyyymmdd'),'"&amp;REGLAS!J243&amp;"');")</f>
        <v>INSERT INTO INYCEXT.INYC_CONF_INF_REGLAS@tc_link (COD_INFORME,TABLA,NOMBRE,REGLA,F_INICIO,F_FIN,DESCRIPCION) VALUES (6.1,'INYC_RPA_RESUMEN','Resumen Mensual','SM-O-RPP-Agente-NumeroPolizas-998-Otros-Productos',TO_DATE('20140101','yyyymmdd'),TO_DATE('22000101','yyyymmdd'),'');</v>
      </c>
    </row>
    <row r="243" spans="1:2" x14ac:dyDescent="0.25">
      <c r="A243" t="str">
        <f>IF(REGLAS!J244="OBSOLETO","","INSERT INTO INYCEXT.INYC_CONF_INF_REGLAS (COD_INFORME,TABLA,NOMBRE,REGLA,F_INICIO,F_FIN,DESCRIPCION) VALUES ("&amp;REGLAS!B244&amp;",'"&amp;REGLAS!C244&amp;"','"&amp;REGLAS!D244&amp;"','"&amp;REGLAS!G244&amp;"',TO_DATE('"&amp;REGLAS!H244&amp;"','yyyymmdd'),TO_DATE('"&amp;REGLAS!I244&amp;"','yyyymmdd'),'"&amp;REGLAS!J244&amp;"');")</f>
        <v>INSERT INTO INYCEXT.INYC_CONF_INF_REGLAS (COD_INFORME,TABLA,NOMBRE,REGLA,F_INICIO,F_FIN,DESCRIPCION) VALUES (6.1,'INYC_RPA_RESUMEN','Resumen Mensual','SM-O-RPP-Agente-NumeroPolizas-998-01501-Campania-SinResto',TO_DATE('20140101','yyyymmdd'),TO_DATE('22000101','yyyymmdd'),'');</v>
      </c>
      <c r="B243" t="str">
        <f>IF(REGLAS!J244="OBSOLETO","","INSERT INTO INYCEXT.INYC_CONF_INF_REGLAS@tc_link (COD_INFORME,TABLA,NOMBRE,REGLA,F_INICIO,F_FIN,DESCRIPCION) VALUES ("&amp;REGLAS!B244&amp;",'"&amp;REGLAS!C244&amp;"','"&amp;REGLAS!D244&amp;"','"&amp;REGLAS!G244&amp;"',TO_DATE('"&amp;REGLAS!H244&amp;"','yyyymmdd'),TO_DATE('"&amp;REGLAS!I244&amp;"','yyyymmdd'),'"&amp;REGLAS!J244&amp;"');")</f>
        <v>INSERT INTO INYCEXT.INYC_CONF_INF_REGLAS@tc_link (COD_INFORME,TABLA,NOMBRE,REGLA,F_INICIO,F_FIN,DESCRIPCION) VALUES (6.1,'INYC_RPA_RESUMEN','Resumen Mensual','SM-O-RPP-Agente-NumeroPolizas-998-01501-Campania-SinResto',TO_DATE('20140101','yyyymmdd'),TO_DATE('22000101','yyyymmdd'),'');</v>
      </c>
    </row>
    <row r="244" spans="1:2" x14ac:dyDescent="0.25">
      <c r="A244" t="str">
        <f>IF(REGLAS!J245="OBSOLETO","","INSERT INTO INYCEXT.INYC_CONF_INF_REGLAS (COD_INFORME,TABLA,NOMBRE,REGLA,F_INICIO,F_FIN,DESCRIPCION) VALUES ("&amp;REGLAS!B245&amp;",'"&amp;REGLAS!C245&amp;"','"&amp;REGLAS!D245&amp;"','"&amp;REGLAS!G245&amp;"',TO_DATE('"&amp;REGLAS!H245&amp;"','yyyymmdd'),TO_DATE('"&amp;REGLAS!I245&amp;"','yyyymmdd'),'"&amp;REGLAS!J245&amp;"');")</f>
        <v/>
      </c>
      <c r="B244" t="str">
        <f>IF(REGLAS!J245="OBSOLETO","","INSERT INTO INYCEXT.INYC_CONF_INF_REGLAS@tc_link (COD_INFORME,TABLA,NOMBRE,REGLA,F_INICIO,F_FIN,DESCRIPCION) VALUES ("&amp;REGLAS!B245&amp;",'"&amp;REGLAS!C245&amp;"','"&amp;REGLAS!D245&amp;"','"&amp;REGLAS!G245&amp;"',TO_DATE('"&amp;REGLAS!H245&amp;"','yyyymmdd'),TO_DATE('"&amp;REGLAS!I245&amp;"','yyyymmdd'),'"&amp;REGLAS!J245&amp;"');")</f>
        <v/>
      </c>
    </row>
    <row r="245" spans="1:2" x14ac:dyDescent="0.25">
      <c r="A245" t="str">
        <f>IF(REGLAS!J246="OBSOLETO","","INSERT INTO INYCEXT.INYC_CONF_INF_REGLAS (COD_INFORME,TABLA,NOMBRE,REGLA,F_INICIO,F_FIN,DESCRIPCION) VALUES ("&amp;REGLAS!B246&amp;",'"&amp;REGLAS!C246&amp;"','"&amp;REGLAS!D246&amp;"','"&amp;REGLAS!G246&amp;"',TO_DATE('"&amp;REGLAS!H246&amp;"','yyyymmdd'),TO_DATE('"&amp;REGLAS!I246&amp;"','yyyymmdd'),'"&amp;REGLAS!J246&amp;"');")</f>
        <v>INSERT INTO INYCEXT.INYC_CONF_INF_REGLAS (COD_INFORME,TABLA,NOMBRE,REGLA,F_INICIO,F_FIN,DESCRIPCION) VALUES (6.1,'INYC_RPA_RESUMEN','Resumen Mensual','SM-O-RPP-Agente-NumeroPolizas-998-01501-01503-Recup-AgNO20-SinResto',TO_DATE('20140101','yyyymmdd'),TO_DATE('22000101','yyyymmdd'),'');</v>
      </c>
      <c r="B245" t="str">
        <f>IF(REGLAS!J246="OBSOLETO","","INSERT INTO INYCEXT.INYC_CONF_INF_REGLAS@tc_link (COD_INFORME,TABLA,NOMBRE,REGLA,F_INICIO,F_FIN,DESCRIPCION) VALUES ("&amp;REGLAS!B246&amp;",'"&amp;REGLAS!C246&amp;"','"&amp;REGLAS!D246&amp;"','"&amp;REGLAS!G246&amp;"',TO_DATE('"&amp;REGLAS!H246&amp;"','yyyymmdd'),TO_DATE('"&amp;REGLAS!I246&amp;"','yyyymmdd'),'"&amp;REGLAS!J246&amp;"');")</f>
        <v>INSERT INTO INYCEXT.INYC_CONF_INF_REGLAS@tc_link (COD_INFORME,TABLA,NOMBRE,REGLA,F_INICIO,F_FIN,DESCRIPCION) VALUES (6.1,'INYC_RPA_RESUMEN','Resumen Mensual','SM-O-RPP-Agente-NumeroPolizas-998-01501-01503-Recup-AgNO20-SinResto',TO_DATE('20140101','yyyymmdd'),TO_DATE('22000101','yyyymmdd'),'');</v>
      </c>
    </row>
    <row r="246" spans="1:2" x14ac:dyDescent="0.25">
      <c r="A246" t="str">
        <f>IF(REGLAS!J247="OBSOLETO","","INSERT INTO INYCEXT.INYC_CONF_INF_REGLAS (COD_INFORME,TABLA,NOMBRE,REGLA,F_INICIO,F_FIN,DESCRIPCION) VALUES ("&amp;REGLAS!B247&amp;",'"&amp;REGLAS!C247&amp;"','"&amp;REGLAS!D247&amp;"','"&amp;REGLAS!G247&amp;"',TO_DATE('"&amp;REGLAS!H247&amp;"','yyyymmdd'),TO_DATE('"&amp;REGLAS!I247&amp;"','yyyymmdd'),'"&amp;REGLAS!J247&amp;"');")</f>
        <v>INSERT INTO INYCEXT.INYC_CONF_INF_REGLAS (COD_INFORME,TABLA,NOMBRE,REGLA,F_INICIO,F_FIN,DESCRIPCION) VALUES (6.1,'INYC_RPA_RESUMEN','Resumen Mensual','SM-O-RPP-Agente-NumeroPolizas-998-Resto-Mes-Anterior',TO_DATE('20140101','yyyymmdd'),TO_DATE('22000101','yyyymmdd'),'');</v>
      </c>
      <c r="B246" t="str">
        <f>IF(REGLAS!J247="OBSOLETO","","INSERT INTO INYCEXT.INYC_CONF_INF_REGLAS@tc_link (COD_INFORME,TABLA,NOMBRE,REGLA,F_INICIO,F_FIN,DESCRIPCION) VALUES ("&amp;REGLAS!B247&amp;",'"&amp;REGLAS!C247&amp;"','"&amp;REGLAS!D247&amp;"','"&amp;REGLAS!G247&amp;"',TO_DATE('"&amp;REGLAS!H247&amp;"','yyyymmdd'),TO_DATE('"&amp;REGLAS!I247&amp;"','yyyymmdd'),'"&amp;REGLAS!J247&amp;"');")</f>
        <v>INSERT INTO INYCEXT.INYC_CONF_INF_REGLAS@tc_link (COD_INFORME,TABLA,NOMBRE,REGLA,F_INICIO,F_FIN,DESCRIPCION) VALUES (6.1,'INYC_RPA_RESUMEN','Resumen Mensual','SM-O-RPP-Agente-NumeroPolizas-998-Resto-Mes-Anterior',TO_DATE('20140101','yyyymmdd'),TO_DATE('22000101','yyyymmdd'),'');</v>
      </c>
    </row>
    <row r="247" spans="1:2" x14ac:dyDescent="0.25">
      <c r="A247" t="str">
        <f>IF(REGLAS!J248="OBSOLETO","","INSERT INTO INYCEXT.INYC_CONF_INF_REGLAS (COD_INFORME,TABLA,NOMBRE,REGLA,F_INICIO,F_FIN,DESCRIPCION) VALUES ("&amp;REGLAS!B248&amp;",'"&amp;REGLAS!C248&amp;"','"&amp;REGLAS!D248&amp;"','"&amp;REGLAS!G248&amp;"',TO_DATE('"&amp;REGLAS!H248&amp;"','yyyymmdd'),TO_DATE('"&amp;REGLAS!I248&amp;"','yyyymmdd'),'"&amp;REGLAS!J248&amp;"');")</f>
        <v>INSERT INTO INYCEXT.INYC_CONF_INF_REGLAS (COD_INFORME,TABLA,NOMBRE,REGLA,F_INICIO,F_FIN,DESCRIPCION) VALUES (6.1,'INYC_RPA_RESUMEN','Resumen Mensual','SM-O-RPP-Agente-NumeroPolizas-998-Resto-01501-Campania-Mes-Anterior',TO_DATE('20140101','yyyymmdd'),TO_DATE('22000101','yyyymmdd'),'');</v>
      </c>
      <c r="B247" t="str">
        <f>IF(REGLAS!J248="OBSOLETO","","INSERT INTO INYCEXT.INYC_CONF_INF_REGLAS@tc_link (COD_INFORME,TABLA,NOMBRE,REGLA,F_INICIO,F_FIN,DESCRIPCION) VALUES ("&amp;REGLAS!B248&amp;",'"&amp;REGLAS!C248&amp;"','"&amp;REGLAS!D248&amp;"','"&amp;REGLAS!G248&amp;"',TO_DATE('"&amp;REGLAS!H248&amp;"','yyyymmdd'),TO_DATE('"&amp;REGLAS!I248&amp;"','yyyymmdd'),'"&amp;REGLAS!J248&amp;"');")</f>
        <v>INSERT INTO INYCEXT.INYC_CONF_INF_REGLAS@tc_link (COD_INFORME,TABLA,NOMBRE,REGLA,F_INICIO,F_FIN,DESCRIPCION) VALUES (6.1,'INYC_RPA_RESUMEN','Resumen Mensual','SM-O-RPP-Agente-NumeroPolizas-998-Resto-01501-Campania-Mes-Anterior',TO_DATE('20140101','yyyymmdd'),TO_DATE('22000101','yyyymmdd'),'');</v>
      </c>
    </row>
    <row r="248" spans="1:2" x14ac:dyDescent="0.25">
      <c r="A248" t="str">
        <f>IF(REGLAS!J249="OBSOLETO","","INSERT INTO INYCEXT.INYC_CONF_INF_REGLAS (COD_INFORME,TABLA,NOMBRE,REGLA,F_INICIO,F_FIN,DESCRIPCION) VALUES ("&amp;REGLAS!B249&amp;",'"&amp;REGLAS!C249&amp;"','"&amp;REGLAS!D249&amp;"','"&amp;REGLAS!G249&amp;"',TO_DATE('"&amp;REGLAS!H249&amp;"','yyyymmdd'),TO_DATE('"&amp;REGLAS!I249&amp;"','yyyymmdd'),'"&amp;REGLAS!J249&amp;"');")</f>
        <v/>
      </c>
      <c r="B248" t="str">
        <f>IF(REGLAS!J249="OBSOLETO","","INSERT INTO INYCEXT.INYC_CONF_INF_REGLAS@tc_link (COD_INFORME,TABLA,NOMBRE,REGLA,F_INICIO,F_FIN,DESCRIPCION) VALUES ("&amp;REGLAS!B249&amp;",'"&amp;REGLAS!C249&amp;"','"&amp;REGLAS!D249&amp;"','"&amp;REGLAS!G249&amp;"',TO_DATE('"&amp;REGLAS!H249&amp;"','yyyymmdd'),TO_DATE('"&amp;REGLAS!I249&amp;"','yyyymmdd'),'"&amp;REGLAS!J249&amp;"');")</f>
        <v/>
      </c>
    </row>
    <row r="249" spans="1:2" x14ac:dyDescent="0.25">
      <c r="A249" t="str">
        <f>IF(REGLAS!J250="OBSOLETO","","INSERT INTO INYCEXT.INYC_CONF_INF_REGLAS (COD_INFORME,TABLA,NOMBRE,REGLA,F_INICIO,F_FIN,DESCRIPCION) VALUES ("&amp;REGLAS!B250&amp;",'"&amp;REGLAS!C250&amp;"','"&amp;REGLAS!D250&amp;"','"&amp;REGLAS!G250&amp;"',TO_DATE('"&amp;REGLAS!H250&amp;"','yyyymmdd'),TO_DATE('"&amp;REGLAS!I250&amp;"','yyyymmdd'),'"&amp;REGLAS!J250&amp;"');")</f>
        <v>INSERT INTO INYCEXT.INYC_CONF_INF_REGLAS (COD_INFORME,TABLA,NOMBRE,REGLA,F_INICIO,F_FIN,DESCRIPCION) VALUES (6.1,'INYC_RPA_RESUMEN','Resumen Mensual','SM-O-RPP-Agente-NumeroPolizas-998-Resto-01501-01503-AgNO20-Mes-Anterior',TO_DATE('20140101','yyyymmdd'),TO_DATE('22000101','yyyymmdd'),'');</v>
      </c>
      <c r="B249" t="str">
        <f>IF(REGLAS!J250="OBSOLETO","","INSERT INTO INYCEXT.INYC_CONF_INF_REGLAS@tc_link (COD_INFORME,TABLA,NOMBRE,REGLA,F_INICIO,F_FIN,DESCRIPCION) VALUES ("&amp;REGLAS!B250&amp;",'"&amp;REGLAS!C250&amp;"','"&amp;REGLAS!D250&amp;"','"&amp;REGLAS!G250&amp;"',TO_DATE('"&amp;REGLAS!H250&amp;"','yyyymmdd'),TO_DATE('"&amp;REGLAS!I250&amp;"','yyyymmdd'),'"&amp;REGLAS!J250&amp;"');")</f>
        <v>INSERT INTO INYCEXT.INYC_CONF_INF_REGLAS@tc_link (COD_INFORME,TABLA,NOMBRE,REGLA,F_INICIO,F_FIN,DESCRIPCION) VALUES (6.1,'INYC_RPA_RESUMEN','Resumen Mensual','SM-O-RPP-Agente-NumeroPolizas-998-Resto-01501-01503-AgNO20-Mes-Anterior',TO_DATE('20140101','yyyymmdd'),TO_DATE('22000101','yyyymmdd'),'');</v>
      </c>
    </row>
    <row r="250" spans="1:2" x14ac:dyDescent="0.25">
      <c r="A250" t="str">
        <f>IF(REGLAS!J251="OBSOLETO","","INSERT INTO INYCEXT.INYC_CONF_INF_REGLAS (COD_INFORME,TABLA,NOMBRE,REGLA,F_INICIO,F_FIN,DESCRIPCION) VALUES ("&amp;REGLAS!B251&amp;",'"&amp;REGLAS!C251&amp;"','"&amp;REGLAS!D251&amp;"','"&amp;REGLAS!G251&amp;"',TO_DATE('"&amp;REGLAS!H251&amp;"','yyyymmdd'),TO_DATE('"&amp;REGLAS!I251&amp;"','yyyymmdd'),'"&amp;REGLAS!J251&amp;"');")</f>
        <v>INSERT INTO INYCEXT.INYC_CONF_INF_REGLAS (COD_INFORME,TABLA,NOMBRE,REGLA,F_INICIO,F_FIN,DESCRIPCION) VALUES (6.1,'INYC_RPA_RESUMEN','SM - Primas Agente Total Productos Mensual','SM-O-GEN-Agente-Prima-998-TotalMes',TO_DATE('20140101','yyyymmdd'),TO_DATE('22000101','yyyymmdd'),'');</v>
      </c>
      <c r="B250" t="str">
        <f>IF(REGLAS!J251="OBSOLETO","","INSERT INTO INYCEXT.INYC_CONF_INF_REGLAS@tc_link (COD_INFORME,TABLA,NOMBRE,REGLA,F_INICIO,F_FIN,DESCRIPCION) VALUES ("&amp;REGLAS!B251&amp;",'"&amp;REGLAS!C251&amp;"','"&amp;REGLAS!D251&amp;"','"&amp;REGLAS!G251&amp;"',TO_DATE('"&amp;REGLAS!H251&amp;"','yyyymmdd'),TO_DATE('"&amp;REGLAS!I251&amp;"','yyyymmdd'),'"&amp;REGLAS!J251&amp;"');")</f>
        <v>INSERT INTO INYCEXT.INYC_CONF_INF_REGLAS@tc_link (COD_INFORME,TABLA,NOMBRE,REGLA,F_INICIO,F_FIN,DESCRIPCION) VALUES (6.1,'INYC_RPA_RESUMEN','SM - Primas Agente Total Productos Mensual','SM-O-GEN-Agente-Prima-998-TotalMes',TO_DATE('20140101','yyyymmdd'),TO_DATE('22000101','yyyymmdd'),'');</v>
      </c>
    </row>
    <row r="251" spans="1:2" x14ac:dyDescent="0.25">
      <c r="A251" t="str">
        <f>IF(REGLAS!J252="OBSOLETO","","INSERT INTO INYCEXT.INYC_CONF_INF_REGLAS (COD_INFORME,TABLA,NOMBRE,REGLA,F_INICIO,F_FIN,DESCRIPCION) VALUES ("&amp;REGLAS!B252&amp;",'"&amp;REGLAS!C252&amp;"','"&amp;REGLAS!D252&amp;"','"&amp;REGLAS!G252&amp;"',TO_DATE('"&amp;REGLAS!H252&amp;"','yyyymmdd'),TO_DATE('"&amp;REGLAS!I252&amp;"','yyyymmdd'),'"&amp;REGLAS!J252&amp;"');")</f>
        <v>INSERT INTO INYCEXT.INYC_CONF_INF_REGLAS (COD_INFORME,TABLA,NOMBRE,REGLA,F_INICIO,F_FIN,DESCRIPCION) VALUES (6.1,'INYC_RPA_RESUMEN','Pago Mensual','SM-O-RPP-Agente-Pago-Fijo-Mensual',TO_DATE('20140101','yyyymmdd'),TO_DATE('22000101','yyyymmdd'),'');</v>
      </c>
      <c r="B251" t="str">
        <f>IF(REGLAS!J252="OBSOLETO","","INSERT INTO INYCEXT.INYC_CONF_INF_REGLAS@tc_link (COD_INFORME,TABLA,NOMBRE,REGLA,F_INICIO,F_FIN,DESCRIPCION) VALUES ("&amp;REGLAS!B252&amp;",'"&amp;REGLAS!C252&amp;"','"&amp;REGLAS!D252&amp;"','"&amp;REGLAS!G252&amp;"',TO_DATE('"&amp;REGLAS!H252&amp;"','yyyymmdd'),TO_DATE('"&amp;REGLAS!I252&amp;"','yyyymmdd'),'"&amp;REGLAS!J252&amp;"');")</f>
        <v>INSERT INTO INYCEXT.INYC_CONF_INF_REGLAS@tc_link (COD_INFORME,TABLA,NOMBRE,REGLA,F_INICIO,F_FIN,DESCRIPCION) VALUES (6.1,'INYC_RPA_RESUMEN','Pago Mensual','SM-O-RPP-Agente-Pago-Fijo-Mensual',TO_DATE('20140101','yyyymmdd'),TO_DATE('22000101','yyyymmdd'),'');</v>
      </c>
    </row>
    <row r="252" spans="1:2" x14ac:dyDescent="0.25">
      <c r="A252" t="str">
        <f>IF(REGLAS!J253="OBSOLETO","","INSERT INTO INYCEXT.INYC_CONF_INF_REGLAS (COD_INFORME,TABLA,NOMBRE,REGLA,F_INICIO,F_FIN,DESCRIPCION) VALUES ("&amp;REGLAS!B253&amp;",'"&amp;REGLAS!C253&amp;"','"&amp;REGLAS!D253&amp;"','"&amp;REGLAS!G253&amp;"',TO_DATE('"&amp;REGLAS!H253&amp;"','yyyymmdd'),TO_DATE('"&amp;REGLAS!I253&amp;"','yyyymmdd'),'"&amp;REGLAS!J253&amp;"');")</f>
        <v>INSERT INTO INYCEXT.INYC_CONF_INF_REGLAS (COD_INFORME,TABLA,NOMBRE,REGLA,F_INICIO,F_FIN,DESCRIPCION) VALUES (6.1,'INYC_RPA_RESUMEN','Pago Mensual','SM-O-RPP-Agente-Rappel-Pago-Mensual',TO_DATE('20140101','yyyymmdd'),TO_DATE('22000101','yyyymmdd'),'');</v>
      </c>
      <c r="B252" t="str">
        <f>IF(REGLAS!J253="OBSOLETO","","INSERT INTO INYCEXT.INYC_CONF_INF_REGLAS@tc_link (COD_INFORME,TABLA,NOMBRE,REGLA,F_INICIO,F_FIN,DESCRIPCION) VALUES ("&amp;REGLAS!B253&amp;",'"&amp;REGLAS!C253&amp;"','"&amp;REGLAS!D253&amp;"','"&amp;REGLAS!G253&amp;"',TO_DATE('"&amp;REGLAS!H253&amp;"','yyyymmdd'),TO_DATE('"&amp;REGLAS!I253&amp;"','yyyymmdd'),'"&amp;REGLAS!J253&amp;"');")</f>
        <v>INSERT INTO INYCEXT.INYC_CONF_INF_REGLAS@tc_link (COD_INFORME,TABLA,NOMBRE,REGLA,F_INICIO,F_FIN,DESCRIPCION) VALUES (6.1,'INYC_RPA_RESUMEN','Pago Mensual','SM-O-RPP-Agente-Rappel-Pago-Mensual',TO_DATE('20140101','yyyymmdd'),TO_DATE('22000101','yyyymmdd'),'');</v>
      </c>
    </row>
    <row r="253" spans="1:2" x14ac:dyDescent="0.25">
      <c r="A253" t="str">
        <f>IF(REGLAS!J254="OBSOLETO","","INSERT INTO INYCEXT.INYC_CONF_INF_REGLAS (COD_INFORME,TABLA,NOMBRE,REGLA,F_INICIO,F_FIN,DESCRIPCION) VALUES ("&amp;REGLAS!B254&amp;",'"&amp;REGLAS!C254&amp;"','"&amp;REGLAS!D254&amp;"','"&amp;REGLAS!G254&amp;"',TO_DATE('"&amp;REGLAS!H254&amp;"','yyyymmdd'),TO_DATE('"&amp;REGLAS!I254&amp;"','yyyymmdd'),'"&amp;REGLAS!J254&amp;"');")</f>
        <v>INSERT INTO INYCEXT.INYC_CONF_INF_REGLAS (COD_INFORME,TABLA,NOMBRE,REGLA,F_INICIO,F_FIN,DESCRIPCION) VALUES (6.1,'INYC_RPA_RESUMEN','Pago Mensual','SM-O-RPP-Agente-SuperRappel-Pago-Mensual',TO_DATE('20140101','yyyymmdd'),TO_DATE('22000101','yyyymmdd'),'');</v>
      </c>
      <c r="B253" t="str">
        <f>IF(REGLAS!J254="OBSOLETO","","INSERT INTO INYCEXT.INYC_CONF_INF_REGLAS@tc_link (COD_INFORME,TABLA,NOMBRE,REGLA,F_INICIO,F_FIN,DESCRIPCION) VALUES ("&amp;REGLAS!B254&amp;",'"&amp;REGLAS!C254&amp;"','"&amp;REGLAS!D254&amp;"','"&amp;REGLAS!G254&amp;"',TO_DATE('"&amp;REGLAS!H254&amp;"','yyyymmdd'),TO_DATE('"&amp;REGLAS!I254&amp;"','yyyymmdd'),'"&amp;REGLAS!J254&amp;"');")</f>
        <v>INSERT INTO INYCEXT.INYC_CONF_INF_REGLAS@tc_link (COD_INFORME,TABLA,NOMBRE,REGLA,F_INICIO,F_FIN,DESCRIPCION) VALUES (6.1,'INYC_RPA_RESUMEN','Pago Mensual','SM-O-RPP-Agente-SuperRappel-Pago-Mensual',TO_DATE('20140101','yyyymmdd'),TO_DATE('22000101','yyyymmdd'),'');</v>
      </c>
    </row>
    <row r="254" spans="1:2" x14ac:dyDescent="0.25">
      <c r="A254" t="str">
        <f>IF(REGLAS!J255="OBSOLETO","","INSERT INTO INYCEXT.INYC_CONF_INF_REGLAS (COD_INFORME,TABLA,NOMBRE,REGLA,F_INICIO,F_FIN,DESCRIPCION) VALUES ("&amp;REGLAS!B255&amp;",'"&amp;REGLAS!C255&amp;"','"&amp;REGLAS!D255&amp;"','"&amp;REGLAS!G255&amp;"',TO_DATE('"&amp;REGLAS!H255&amp;"','yyyymmdd'),TO_DATE('"&amp;REGLAS!I255&amp;"','yyyymmdd'),'"&amp;REGLAS!J255&amp;"');")</f>
        <v>INSERT INTO INYCEXT.INYC_CONF_INF_REGLAS (COD_INFORME,TABLA,NOMBRE,REGLA,F_INICIO,F_FIN,DESCRIPCION) VALUES (6.1,'INYC_RPA_RESUMEN','Pago Mensual','SM-O-RPP-Agente-N2N3-Pago-Fijo-Mensual',TO_DATE('20170101','yyyymmdd'),TO_DATE('22000101','yyyymmdd'),'');</v>
      </c>
      <c r="B254" t="str">
        <f>IF(REGLAS!J255="OBSOLETO","","INSERT INTO INYCEXT.INYC_CONF_INF_REGLAS@tc_link (COD_INFORME,TABLA,NOMBRE,REGLA,F_INICIO,F_FIN,DESCRIPCION) VALUES ("&amp;REGLAS!B255&amp;",'"&amp;REGLAS!C255&amp;"','"&amp;REGLAS!D255&amp;"','"&amp;REGLAS!G255&amp;"',TO_DATE('"&amp;REGLAS!H255&amp;"','yyyymmdd'),TO_DATE('"&amp;REGLAS!I255&amp;"','yyyymmdd'),'"&amp;REGLAS!J255&amp;"');")</f>
        <v>INSERT INTO INYCEXT.INYC_CONF_INF_REGLAS@tc_link (COD_INFORME,TABLA,NOMBRE,REGLA,F_INICIO,F_FIN,DESCRIPCION) VALUES (6.1,'INYC_RPA_RESUMEN','Pago Mensual','SM-O-RPP-Agente-N2N3-Pago-Fijo-Mensual',TO_DATE('20170101','yyyymmdd'),TO_DATE('22000101','yyyymmdd'),'');</v>
      </c>
    </row>
    <row r="255" spans="1:2" x14ac:dyDescent="0.25">
      <c r="A255" t="str">
        <f>IF(REGLAS!J256="OBSOLETO","","INSERT INTO INYCEXT.INYC_CONF_INF_REGLAS (COD_INFORME,TABLA,NOMBRE,REGLA,F_INICIO,F_FIN,DESCRIPCION) VALUES ("&amp;REGLAS!B256&amp;",'"&amp;REGLAS!C256&amp;"','"&amp;REGLAS!D256&amp;"','"&amp;REGLAS!G256&amp;"',TO_DATE('"&amp;REGLAS!H256&amp;"','yyyymmdd'),TO_DATE('"&amp;REGLAS!I256&amp;"','yyyymmdd'),'"&amp;REGLAS!J256&amp;"');")</f>
        <v>INSERT INTO INYCEXT.INYC_CONF_INF_REGLAS (COD_INFORME,TABLA,NOMBRE,REGLA,F_INICIO,F_FIN,DESCRIPCION) VALUES (6.1,'INYC_RPA_RESUMEN','Pago Mensual','SM-O-RPP-Agente-N2N3-Rappel-Pago-Mensual',TO_DATE('20170101','yyyymmdd'),TO_DATE('22000101','yyyymmdd'),'');</v>
      </c>
      <c r="B255" t="str">
        <f>IF(REGLAS!J256="OBSOLETO","","INSERT INTO INYCEXT.INYC_CONF_INF_REGLAS@tc_link (COD_INFORME,TABLA,NOMBRE,REGLA,F_INICIO,F_FIN,DESCRIPCION) VALUES ("&amp;REGLAS!B256&amp;",'"&amp;REGLAS!C256&amp;"','"&amp;REGLAS!D256&amp;"','"&amp;REGLAS!G256&amp;"',TO_DATE('"&amp;REGLAS!H256&amp;"','yyyymmdd'),TO_DATE('"&amp;REGLAS!I256&amp;"','yyyymmdd'),'"&amp;REGLAS!J256&amp;"');")</f>
        <v>INSERT INTO INYCEXT.INYC_CONF_INF_REGLAS@tc_link (COD_INFORME,TABLA,NOMBRE,REGLA,F_INICIO,F_FIN,DESCRIPCION) VALUES (6.1,'INYC_RPA_RESUMEN','Pago Mensual','SM-O-RPP-Agente-N2N3-Rappel-Pago-Mensual',TO_DATE('20170101','yyyymmdd'),TO_DATE('22000101','yyyymmdd'),'');</v>
      </c>
    </row>
    <row r="256" spans="1:2" x14ac:dyDescent="0.25">
      <c r="A256" t="str">
        <f>IF(REGLAS!J257="OBSOLETO","","INSERT INTO INYCEXT.INYC_CONF_INF_REGLAS (COD_INFORME,TABLA,NOMBRE,REGLA,F_INICIO,F_FIN,DESCRIPCION) VALUES ("&amp;REGLAS!B257&amp;",'"&amp;REGLAS!C257&amp;"','"&amp;REGLAS!D257&amp;"','"&amp;REGLAS!G257&amp;"',TO_DATE('"&amp;REGLAS!H257&amp;"','yyyymmdd'),TO_DATE('"&amp;REGLAS!I257&amp;"','yyyymmdd'),'"&amp;REGLAS!J257&amp;"');")</f>
        <v>INSERT INTO INYCEXT.INYC_CONF_INF_REGLAS (COD_INFORME,TABLA,NOMBRE,REGLA,F_INICIO,F_FIN,DESCRIPCION) VALUES (6.1,'INYC_RPA_RESUMEN','Pago Mensual','SM-O-RPP-Agente-N2N3-SuperRappel-Pago-Mensual',TO_DATE('20170101','yyyymmdd'),TO_DATE('22000101','yyyymmdd'),'');</v>
      </c>
      <c r="B256" t="str">
        <f>IF(REGLAS!J257="OBSOLETO","","INSERT INTO INYCEXT.INYC_CONF_INF_REGLAS@tc_link (COD_INFORME,TABLA,NOMBRE,REGLA,F_INICIO,F_FIN,DESCRIPCION) VALUES ("&amp;REGLAS!B257&amp;",'"&amp;REGLAS!C257&amp;"','"&amp;REGLAS!D257&amp;"','"&amp;REGLAS!G257&amp;"',TO_DATE('"&amp;REGLAS!H257&amp;"','yyyymmdd'),TO_DATE('"&amp;REGLAS!I257&amp;"','yyyymmdd'),'"&amp;REGLAS!J257&amp;"');")</f>
        <v>INSERT INTO INYCEXT.INYC_CONF_INF_REGLAS@tc_link (COD_INFORME,TABLA,NOMBRE,REGLA,F_INICIO,F_FIN,DESCRIPCION) VALUES (6.1,'INYC_RPA_RESUMEN','Pago Mensual','SM-O-RPP-Agente-N2N3-SuperRappel-Pago-Mensual',TO_DATE('20170101','yyyymmdd'),TO_DATE('22000101','yyyymmdd'),'');</v>
      </c>
    </row>
    <row r="257" spans="1:2" x14ac:dyDescent="0.25">
      <c r="A257" t="str">
        <f>IF(REGLAS!J258="OBSOLETO","","INSERT INTO INYCEXT.INYC_CONF_INF_REGLAS (COD_INFORME,TABLA,NOMBRE,REGLA,F_INICIO,F_FIN,DESCRIPCION) VALUES ("&amp;REGLAS!B258&amp;",'"&amp;REGLAS!C258&amp;"','"&amp;REGLAS!D258&amp;"','"&amp;REGLAS!G258&amp;"',TO_DATE('"&amp;REGLAS!H258&amp;"','yyyymmdd'),TO_DATE('"&amp;REGLAS!I258&amp;"','yyyymmdd'),'"&amp;REGLAS!J258&amp;"');")</f>
        <v/>
      </c>
      <c r="B257" t="str">
        <f>IF(REGLAS!J258="OBSOLETO","","INSERT INTO INYCEXT.INYC_CONF_INF_REGLAS@tc_link (COD_INFORME,TABLA,NOMBRE,REGLA,F_INICIO,F_FIN,DESCRIPCION) VALUES ("&amp;REGLAS!B258&amp;",'"&amp;REGLAS!C258&amp;"','"&amp;REGLAS!D258&amp;"','"&amp;REGLAS!G258&amp;"',TO_DATE('"&amp;REGLAS!H258&amp;"','yyyymmdd'),TO_DATE('"&amp;REGLAS!I258&amp;"','yyyymmdd'),'"&amp;REGLAS!J258&amp;"');")</f>
        <v/>
      </c>
    </row>
    <row r="258" spans="1:2" x14ac:dyDescent="0.25">
      <c r="A258" t="str">
        <f>IF(REGLAS!J259="OBSOLETO","","INSERT INTO INYCEXT.INYC_CONF_INF_REGLAS (COD_INFORME,TABLA,NOMBRE,REGLA,F_INICIO,F_FIN,DESCRIPCION) VALUES ("&amp;REGLAS!B259&amp;",'"&amp;REGLAS!C259&amp;"','"&amp;REGLAS!D259&amp;"','"&amp;REGLAS!G259&amp;"',TO_DATE('"&amp;REGLAS!H259&amp;"','yyyymmdd'),TO_DATE('"&amp;REGLAS!I259&amp;"','yyyymmdd'),'"&amp;REGLAS!J259&amp;"');")</f>
        <v/>
      </c>
      <c r="B258" t="str">
        <f>IF(REGLAS!J259="OBSOLETO","","INSERT INTO INYCEXT.INYC_CONF_INF_REGLAS@tc_link (COD_INFORME,TABLA,NOMBRE,REGLA,F_INICIO,F_FIN,DESCRIPCION) VALUES ("&amp;REGLAS!B259&amp;",'"&amp;REGLAS!C259&amp;"','"&amp;REGLAS!D259&amp;"','"&amp;REGLAS!G259&amp;"',TO_DATE('"&amp;REGLAS!H259&amp;"','yyyymmdd'),TO_DATE('"&amp;REGLAS!I259&amp;"','yyyymmdd'),'"&amp;REGLAS!J259&amp;"');")</f>
        <v/>
      </c>
    </row>
    <row r="259" spans="1:2" x14ac:dyDescent="0.25">
      <c r="A259" t="str">
        <f>IF(REGLAS!J260="OBSOLETO","","INSERT INTO INYCEXT.INYC_CONF_INF_REGLAS (COD_INFORME,TABLA,NOMBRE,REGLA,F_INICIO,F_FIN,DESCRIPCION) VALUES ("&amp;REGLAS!B260&amp;",'"&amp;REGLAS!C260&amp;"','"&amp;REGLAS!D260&amp;"','"&amp;REGLAS!G260&amp;"',TO_DATE('"&amp;REGLAS!H260&amp;"','yyyymmdd'),TO_DATE('"&amp;REGLAS!I260&amp;"','yyyymmdd'),'"&amp;REGLAS!J260&amp;"');")</f>
        <v/>
      </c>
      <c r="B259" t="str">
        <f>IF(REGLAS!J260="OBSOLETO","","INSERT INTO INYCEXT.INYC_CONF_INF_REGLAS@tc_link (COD_INFORME,TABLA,NOMBRE,REGLA,F_INICIO,F_FIN,DESCRIPCION) VALUES ("&amp;REGLAS!B260&amp;",'"&amp;REGLAS!C260&amp;"','"&amp;REGLAS!D260&amp;"','"&amp;REGLAS!G260&amp;"',TO_DATE('"&amp;REGLAS!H260&amp;"','yyyymmdd'),TO_DATE('"&amp;REGLAS!I260&amp;"','yyyymmdd'),'"&amp;REGLAS!J260&amp;"');")</f>
        <v/>
      </c>
    </row>
    <row r="260" spans="1:2" x14ac:dyDescent="0.25">
      <c r="A260" t="str">
        <f>IF(REGLAS!J261="OBSOLETO","","INSERT INTO INYCEXT.INYC_CONF_INF_REGLAS (COD_INFORME,TABLA,NOMBRE,REGLA,F_INICIO,F_FIN,DESCRIPCION) VALUES ("&amp;REGLAS!B261&amp;",'"&amp;REGLAS!C261&amp;"','"&amp;REGLAS!D261&amp;"','"&amp;REGLAS!G261&amp;"',TO_DATE('"&amp;REGLAS!H261&amp;"','yyyymmdd'),TO_DATE('"&amp;REGLAS!I261&amp;"','yyyymmdd'),'"&amp;REGLAS!J261&amp;"');")</f>
        <v/>
      </c>
      <c r="B260" t="str">
        <f>IF(REGLAS!J261="OBSOLETO","","INSERT INTO INYCEXT.INYC_CONF_INF_REGLAS@tc_link (COD_INFORME,TABLA,NOMBRE,REGLA,F_INICIO,F_FIN,DESCRIPCION) VALUES ("&amp;REGLAS!B261&amp;",'"&amp;REGLAS!C261&amp;"','"&amp;REGLAS!D261&amp;"','"&amp;REGLAS!G261&amp;"',TO_DATE('"&amp;REGLAS!H261&amp;"','yyyymmdd'),TO_DATE('"&amp;REGLAS!I261&amp;"','yyyymmdd'),'"&amp;REGLAS!J261&amp;"');")</f>
        <v/>
      </c>
    </row>
    <row r="261" spans="1:2" x14ac:dyDescent="0.25">
      <c r="A261" t="str">
        <f>IF(REGLAS!J262="OBSOLETO","","INSERT INTO INYCEXT.INYC_CONF_INF_REGLAS (COD_INFORME,TABLA,NOMBRE,REGLA,F_INICIO,F_FIN,DESCRIPCION) VALUES ("&amp;REGLAS!B262&amp;",'"&amp;REGLAS!C262&amp;"','"&amp;REGLAS!D262&amp;"','"&amp;REGLAS!G262&amp;"',TO_DATE('"&amp;REGLAS!H262&amp;"','yyyymmdd'),TO_DATE('"&amp;REGLAS!I262&amp;"','yyyymmdd'),'"&amp;REGLAS!J262&amp;"');")</f>
        <v/>
      </c>
      <c r="B261" t="str">
        <f>IF(REGLAS!J262="OBSOLETO","","INSERT INTO INYCEXT.INYC_CONF_INF_REGLAS@tc_link (COD_INFORME,TABLA,NOMBRE,REGLA,F_INICIO,F_FIN,DESCRIPCION) VALUES ("&amp;REGLAS!B262&amp;",'"&amp;REGLAS!C262&amp;"','"&amp;REGLAS!D262&amp;"','"&amp;REGLAS!G262&amp;"',TO_DATE('"&amp;REGLAS!H262&amp;"','yyyymmdd'),TO_DATE('"&amp;REGLAS!I262&amp;"','yyyymmdd'),'"&amp;REGLAS!J262&amp;"');")</f>
        <v/>
      </c>
    </row>
    <row r="262" spans="1:2" x14ac:dyDescent="0.25">
      <c r="A262" t="str">
        <f>IF(REGLAS!J263="OBSOLETO","","INSERT INTO INYCEXT.INYC_CONF_INF_REGLAS (COD_INFORME,TABLA,NOMBRE,REGLA,F_INICIO,F_FIN,DESCRIPCION) VALUES ("&amp;REGLAS!B263&amp;",'"&amp;REGLAS!C263&amp;"','"&amp;REGLAS!D263&amp;"','"&amp;REGLAS!G263&amp;"',TO_DATE('"&amp;REGLAS!H263&amp;"','yyyymmdd'),TO_DATE('"&amp;REGLAS!I263&amp;"','yyyymmdd'),'"&amp;REGLAS!J263&amp;"');")</f>
        <v/>
      </c>
      <c r="B262" t="str">
        <f>IF(REGLAS!J263="OBSOLETO","","INSERT INTO INYCEXT.INYC_CONF_INF_REGLAS@tc_link (COD_INFORME,TABLA,NOMBRE,REGLA,F_INICIO,F_FIN,DESCRIPCION) VALUES ("&amp;REGLAS!B263&amp;",'"&amp;REGLAS!C263&amp;"','"&amp;REGLAS!D263&amp;"','"&amp;REGLAS!G263&amp;"',TO_DATE('"&amp;REGLAS!H263&amp;"','yyyymmdd'),TO_DATE('"&amp;REGLAS!I263&amp;"','yyyymmdd'),'"&amp;REGLAS!J263&amp;"');")</f>
        <v/>
      </c>
    </row>
    <row r="263" spans="1:2" x14ac:dyDescent="0.25">
      <c r="A263" t="str">
        <f>IF(REGLAS!J264="OBSOLETO","","INSERT INTO INYCEXT.INYC_CONF_INF_REGLAS (COD_INFORME,TABLA,NOMBRE,REGLA,F_INICIO,F_FIN,DESCRIPCION) VALUES ("&amp;REGLAS!B264&amp;",'"&amp;REGLAS!C264&amp;"','"&amp;REGLAS!D264&amp;"','"&amp;REGLAS!G264&amp;"',TO_DATE('"&amp;REGLAS!H264&amp;"','yyyymmdd'),TO_DATE('"&amp;REGLAS!I264&amp;"','yyyymmdd'),'"&amp;REGLAS!J264&amp;"');")</f>
        <v/>
      </c>
      <c r="B263" t="str">
        <f>IF(REGLAS!J264="OBSOLETO","","INSERT INTO INYCEXT.INYC_CONF_INF_REGLAS@tc_link (COD_INFORME,TABLA,NOMBRE,REGLA,F_INICIO,F_FIN,DESCRIPCION) VALUES ("&amp;REGLAS!B264&amp;",'"&amp;REGLAS!C264&amp;"','"&amp;REGLAS!D264&amp;"','"&amp;REGLAS!G264&amp;"',TO_DATE('"&amp;REGLAS!H264&amp;"','yyyymmdd'),TO_DATE('"&amp;REGLAS!I264&amp;"','yyyymmdd'),'"&amp;REGLAS!J264&amp;"');")</f>
        <v/>
      </c>
    </row>
    <row r="264" spans="1:2" x14ac:dyDescent="0.25">
      <c r="A264" t="str">
        <f>IF(REGLAS!J265="OBSOLETO","","INSERT INTO INYCEXT.INYC_CONF_INF_REGLAS (COD_INFORME,TABLA,NOMBRE,REGLA,F_INICIO,F_FIN,DESCRIPCION) VALUES ("&amp;REGLAS!B265&amp;",'"&amp;REGLAS!C265&amp;"','"&amp;REGLAS!D265&amp;"','"&amp;REGLAS!G265&amp;"',TO_DATE('"&amp;REGLAS!H265&amp;"','yyyymmdd'),TO_DATE('"&amp;REGLAS!I265&amp;"','yyyymmdd'),'"&amp;REGLAS!J265&amp;"');")</f>
        <v/>
      </c>
      <c r="B264" t="str">
        <f>IF(REGLAS!J265="OBSOLETO","","INSERT INTO INYCEXT.INYC_CONF_INF_REGLAS@tc_link (COD_INFORME,TABLA,NOMBRE,REGLA,F_INICIO,F_FIN,DESCRIPCION) VALUES ("&amp;REGLAS!B265&amp;",'"&amp;REGLAS!C265&amp;"','"&amp;REGLAS!D265&amp;"','"&amp;REGLAS!G265&amp;"',TO_DATE('"&amp;REGLAS!H265&amp;"','yyyymmdd'),TO_DATE('"&amp;REGLAS!I265&amp;"','yyyymmdd'),'"&amp;REGLAS!J265&amp;"');")</f>
        <v/>
      </c>
    </row>
    <row r="265" spans="1:2" x14ac:dyDescent="0.25">
      <c r="A265" t="str">
        <f>IF(REGLAS!J266="OBSOLETO","","INSERT INTO INYCEXT.INYC_CONF_INF_REGLAS (COD_INFORME,TABLA,NOMBRE,REGLA,F_INICIO,F_FIN,DESCRIPCION) VALUES ("&amp;REGLAS!B266&amp;",'"&amp;REGLAS!C266&amp;"','"&amp;REGLAS!D266&amp;"','"&amp;REGLAS!G266&amp;"',TO_DATE('"&amp;REGLAS!H266&amp;"','yyyymmdd'),TO_DATE('"&amp;REGLAS!I266&amp;"','yyyymmdd'),'"&amp;REGLAS!J266&amp;"');")</f>
        <v/>
      </c>
      <c r="B265" t="str">
        <f>IF(REGLAS!J266="OBSOLETO","","INSERT INTO INYCEXT.INYC_CONF_INF_REGLAS@tc_link (COD_INFORME,TABLA,NOMBRE,REGLA,F_INICIO,F_FIN,DESCRIPCION) VALUES ("&amp;REGLAS!B266&amp;",'"&amp;REGLAS!C266&amp;"','"&amp;REGLAS!D266&amp;"','"&amp;REGLAS!G266&amp;"',TO_DATE('"&amp;REGLAS!H266&amp;"','yyyymmdd'),TO_DATE('"&amp;REGLAS!I266&amp;"','yyyymmdd'),'"&amp;REGLAS!J266&amp;"');")</f>
        <v/>
      </c>
    </row>
    <row r="266" spans="1:2" x14ac:dyDescent="0.25">
      <c r="A266" t="str">
        <f>IF(REGLAS!J267="OBSOLETO","","INSERT INTO INYCEXT.INYC_CONF_INF_REGLAS (COD_INFORME,TABLA,NOMBRE,REGLA,F_INICIO,F_FIN,DESCRIPCION) VALUES ("&amp;REGLAS!B267&amp;",'"&amp;REGLAS!C267&amp;"','"&amp;REGLAS!D267&amp;"','"&amp;REGLAS!G267&amp;"',TO_DATE('"&amp;REGLAS!H267&amp;"','yyyymmdd'),TO_DATE('"&amp;REGLAS!I267&amp;"','yyyymmdd'),'"&amp;REGLAS!J267&amp;"');")</f>
        <v/>
      </c>
      <c r="B266" t="str">
        <f>IF(REGLAS!J267="OBSOLETO","","INSERT INTO INYCEXT.INYC_CONF_INF_REGLAS@tc_link (COD_INFORME,TABLA,NOMBRE,REGLA,F_INICIO,F_FIN,DESCRIPCION) VALUES ("&amp;REGLAS!B267&amp;",'"&amp;REGLAS!C267&amp;"','"&amp;REGLAS!D267&amp;"','"&amp;REGLAS!G267&amp;"',TO_DATE('"&amp;REGLAS!H267&amp;"','yyyymmdd'),TO_DATE('"&amp;REGLAS!I267&amp;"','yyyymmdd'),'"&amp;REGLAS!J267&amp;"');")</f>
        <v/>
      </c>
    </row>
    <row r="267" spans="1:2" x14ac:dyDescent="0.25">
      <c r="A267" t="str">
        <f>IF(REGLAS!J268="OBSOLETO","","INSERT INTO INYCEXT.INYC_CONF_INF_REGLAS (COD_INFORME,TABLA,NOMBRE,REGLA,F_INICIO,F_FIN,DESCRIPCION) VALUES ("&amp;REGLAS!B268&amp;",'"&amp;REGLAS!C268&amp;"','"&amp;REGLAS!D268&amp;"','"&amp;REGLAS!G268&amp;"',TO_DATE('"&amp;REGLAS!H268&amp;"','yyyymmdd'),TO_DATE('"&amp;REGLAS!I268&amp;"','yyyymmdd'),'"&amp;REGLAS!J268&amp;"');")</f>
        <v/>
      </c>
      <c r="B267" t="str">
        <f>IF(REGLAS!J268="OBSOLETO","","INSERT INTO INYCEXT.INYC_CONF_INF_REGLAS@tc_link (COD_INFORME,TABLA,NOMBRE,REGLA,F_INICIO,F_FIN,DESCRIPCION) VALUES ("&amp;REGLAS!B268&amp;",'"&amp;REGLAS!C268&amp;"','"&amp;REGLAS!D268&amp;"','"&amp;REGLAS!G268&amp;"',TO_DATE('"&amp;REGLAS!H268&amp;"','yyyymmdd'),TO_DATE('"&amp;REGLAS!I268&amp;"','yyyymmdd'),'"&amp;REGLAS!J268&amp;"');")</f>
        <v/>
      </c>
    </row>
    <row r="268" spans="1:2" x14ac:dyDescent="0.25">
      <c r="A268" t="str">
        <f>IF(REGLAS!J269="OBSOLETO","","INSERT INTO INYCEXT.INYC_CONF_INF_REGLAS (COD_INFORME,TABLA,NOMBRE,REGLA,F_INICIO,F_FIN,DESCRIPCION) VALUES ("&amp;REGLAS!B269&amp;",'"&amp;REGLAS!C269&amp;"','"&amp;REGLAS!D269&amp;"','"&amp;REGLAS!G269&amp;"',TO_DATE('"&amp;REGLAS!H269&amp;"','yyyymmdd'),TO_DATE('"&amp;REGLAS!I269&amp;"','yyyymmdd'),'"&amp;REGLAS!J269&amp;"');")</f>
        <v/>
      </c>
      <c r="B268" t="str">
        <f>IF(REGLAS!J269="OBSOLETO","","INSERT INTO INYCEXT.INYC_CONF_INF_REGLAS@tc_link (COD_INFORME,TABLA,NOMBRE,REGLA,F_INICIO,F_FIN,DESCRIPCION) VALUES ("&amp;REGLAS!B269&amp;",'"&amp;REGLAS!C269&amp;"','"&amp;REGLAS!D269&amp;"','"&amp;REGLAS!G269&amp;"',TO_DATE('"&amp;REGLAS!H269&amp;"','yyyymmdd'),TO_DATE('"&amp;REGLAS!I269&amp;"','yyyymmdd'),'"&amp;REGLAS!J269&amp;"');")</f>
        <v/>
      </c>
    </row>
    <row r="269" spans="1:2" x14ac:dyDescent="0.25">
      <c r="A269" t="str">
        <f>IF(REGLAS!J270="OBSOLETO","","INSERT INTO INYCEXT.INYC_CONF_INF_REGLAS (COD_INFORME,TABLA,NOMBRE,REGLA,F_INICIO,F_FIN,DESCRIPCION) VALUES ("&amp;REGLAS!B270&amp;",'"&amp;REGLAS!C270&amp;"','"&amp;REGLAS!D270&amp;"','"&amp;REGLAS!G270&amp;"',TO_DATE('"&amp;REGLAS!H270&amp;"','yyyymmdd'),TO_DATE('"&amp;REGLAS!I270&amp;"','yyyymmdd'),'"&amp;REGLAS!J270&amp;"');")</f>
        <v/>
      </c>
      <c r="B269" t="str">
        <f>IF(REGLAS!J270="OBSOLETO","","INSERT INTO INYCEXT.INYC_CONF_INF_REGLAS@tc_link (COD_INFORME,TABLA,NOMBRE,REGLA,F_INICIO,F_FIN,DESCRIPCION) VALUES ("&amp;REGLAS!B270&amp;",'"&amp;REGLAS!C270&amp;"','"&amp;REGLAS!D270&amp;"','"&amp;REGLAS!G270&amp;"',TO_DATE('"&amp;REGLAS!H270&amp;"','yyyymmdd'),TO_DATE('"&amp;REGLAS!I270&amp;"','yyyymmdd'),'"&amp;REGLAS!J270&amp;"');")</f>
        <v/>
      </c>
    </row>
    <row r="270" spans="1:2" x14ac:dyDescent="0.25">
      <c r="A270" t="str">
        <f>IF(REGLAS!J271="OBSOLETO","","INSERT INTO INYCEXT.INYC_CONF_INF_REGLAS (COD_INFORME,TABLA,NOMBRE,REGLA,F_INICIO,F_FIN,DESCRIPCION) VALUES ("&amp;REGLAS!B271&amp;",'"&amp;REGLAS!C271&amp;"','"&amp;REGLAS!D271&amp;"','"&amp;REGLAS!G271&amp;"',TO_DATE('"&amp;REGLAS!H271&amp;"','yyyymmdd'),TO_DATE('"&amp;REGLAS!I271&amp;"','yyyymmdd'),'"&amp;REGLAS!J271&amp;"');")</f>
        <v/>
      </c>
      <c r="B270" t="str">
        <f>IF(REGLAS!J271="OBSOLETO","","INSERT INTO INYCEXT.INYC_CONF_INF_REGLAS@tc_link (COD_INFORME,TABLA,NOMBRE,REGLA,F_INICIO,F_FIN,DESCRIPCION) VALUES ("&amp;REGLAS!B271&amp;",'"&amp;REGLAS!C271&amp;"','"&amp;REGLAS!D271&amp;"','"&amp;REGLAS!G271&amp;"',TO_DATE('"&amp;REGLAS!H271&amp;"','yyyymmdd'),TO_DATE('"&amp;REGLAS!I271&amp;"','yyyymmdd'),'"&amp;REGLAS!J271&amp;"');")</f>
        <v/>
      </c>
    </row>
    <row r="271" spans="1:2" x14ac:dyDescent="0.25">
      <c r="A271" t="str">
        <f>IF(REGLAS!J272="OBSOLETO","","INSERT INTO INYCEXT.INYC_CONF_INF_REGLAS (COD_INFORME,TABLA,NOMBRE,REGLA,F_INICIO,F_FIN,DESCRIPCION) VALUES ("&amp;REGLAS!B272&amp;",'"&amp;REGLAS!C272&amp;"','"&amp;REGLAS!D272&amp;"','"&amp;REGLAS!G272&amp;"',TO_DATE('"&amp;REGLAS!H272&amp;"','yyyymmdd'),TO_DATE('"&amp;REGLAS!I272&amp;"','yyyymmdd'),'"&amp;REGLAS!J272&amp;"');")</f>
        <v/>
      </c>
      <c r="B271" t="str">
        <f>IF(REGLAS!J272="OBSOLETO","","INSERT INTO INYCEXT.INYC_CONF_INF_REGLAS@tc_link (COD_INFORME,TABLA,NOMBRE,REGLA,F_INICIO,F_FIN,DESCRIPCION) VALUES ("&amp;REGLAS!B272&amp;",'"&amp;REGLAS!C272&amp;"','"&amp;REGLAS!D272&amp;"','"&amp;REGLAS!G272&amp;"',TO_DATE('"&amp;REGLAS!H272&amp;"','yyyymmdd'),TO_DATE('"&amp;REGLAS!I272&amp;"','yyyymmdd'),'"&amp;REGLAS!J272&amp;"');")</f>
        <v/>
      </c>
    </row>
    <row r="272" spans="1:2" x14ac:dyDescent="0.25">
      <c r="A272" t="str">
        <f>IF(REGLAS!J273="OBSOLETO","","INSERT INTO INYCEXT.INYC_CONF_INF_REGLAS (COD_INFORME,TABLA,NOMBRE,REGLA,F_INICIO,F_FIN,DESCRIPCION) VALUES ("&amp;REGLAS!B273&amp;",'"&amp;REGLAS!C273&amp;"','"&amp;REGLAS!D273&amp;"','"&amp;REGLAS!G273&amp;"',TO_DATE('"&amp;REGLAS!H273&amp;"','yyyymmdd'),TO_DATE('"&amp;REGLAS!I273&amp;"','yyyymmdd'),'"&amp;REGLAS!J273&amp;"');")</f>
        <v/>
      </c>
      <c r="B272" t="str">
        <f>IF(REGLAS!J273="OBSOLETO","","INSERT INTO INYCEXT.INYC_CONF_INF_REGLAS@tc_link (COD_INFORME,TABLA,NOMBRE,REGLA,F_INICIO,F_FIN,DESCRIPCION) VALUES ("&amp;REGLAS!B273&amp;",'"&amp;REGLAS!C273&amp;"','"&amp;REGLAS!D273&amp;"','"&amp;REGLAS!G273&amp;"',TO_DATE('"&amp;REGLAS!H273&amp;"','yyyymmdd'),TO_DATE('"&amp;REGLAS!I273&amp;"','yyyymmdd'),'"&amp;REGLAS!J273&amp;"');")</f>
        <v/>
      </c>
    </row>
    <row r="273" spans="1:2" x14ac:dyDescent="0.25">
      <c r="A273" t="str">
        <f>IF(REGLAS!J274="OBSOLETO","","INSERT INTO INYCEXT.INYC_CONF_INF_REGLAS (COD_INFORME,TABLA,NOMBRE,REGLA,F_INICIO,F_FIN,DESCRIPCION) VALUES ("&amp;REGLAS!B274&amp;",'"&amp;REGLAS!C274&amp;"','"&amp;REGLAS!D274&amp;"','"&amp;REGLAS!G274&amp;"',TO_DATE('"&amp;REGLAS!H274&amp;"','yyyymmdd'),TO_DATE('"&amp;REGLAS!I274&amp;"','yyyymmdd'),'"&amp;REGLAS!J274&amp;"');")</f>
        <v/>
      </c>
      <c r="B273" t="str">
        <f>IF(REGLAS!J274="OBSOLETO","","INSERT INTO INYCEXT.INYC_CONF_INF_REGLAS@tc_link (COD_INFORME,TABLA,NOMBRE,REGLA,F_INICIO,F_FIN,DESCRIPCION) VALUES ("&amp;REGLAS!B274&amp;",'"&amp;REGLAS!C274&amp;"','"&amp;REGLAS!D274&amp;"','"&amp;REGLAS!G274&amp;"',TO_DATE('"&amp;REGLAS!H274&amp;"','yyyymmdd'),TO_DATE('"&amp;REGLAS!I274&amp;"','yyyymmdd'),'"&amp;REGLAS!J274&amp;"');")</f>
        <v/>
      </c>
    </row>
    <row r="274" spans="1:2" x14ac:dyDescent="0.25">
      <c r="A274" t="str">
        <f>IF(REGLAS!J275="OBSOLETO","","INSERT INTO INYCEXT.INYC_CONF_INF_REGLAS (COD_INFORME,TABLA,NOMBRE,REGLA,F_INICIO,F_FIN,DESCRIPCION) VALUES ("&amp;REGLAS!B275&amp;",'"&amp;REGLAS!C275&amp;"','"&amp;REGLAS!D275&amp;"','"&amp;REGLAS!G275&amp;"',TO_DATE('"&amp;REGLAS!H275&amp;"','yyyymmdd'),TO_DATE('"&amp;REGLAS!I275&amp;"','yyyymmdd'),'"&amp;REGLAS!J275&amp;"');")</f>
        <v/>
      </c>
      <c r="B274" t="str">
        <f>IF(REGLAS!J275="OBSOLETO","","INSERT INTO INYCEXT.INYC_CONF_INF_REGLAS@tc_link (COD_INFORME,TABLA,NOMBRE,REGLA,F_INICIO,F_FIN,DESCRIPCION) VALUES ("&amp;REGLAS!B275&amp;",'"&amp;REGLAS!C275&amp;"','"&amp;REGLAS!D275&amp;"','"&amp;REGLAS!G275&amp;"',TO_DATE('"&amp;REGLAS!H275&amp;"','yyyymmdd'),TO_DATE('"&amp;REGLAS!I275&amp;"','yyyymmdd'),'"&amp;REGLAS!J275&amp;"');")</f>
        <v/>
      </c>
    </row>
    <row r="275" spans="1:2" x14ac:dyDescent="0.25">
      <c r="A275" t="str">
        <f>IF(REGLAS!J276="OBSOLETO","","INSERT INTO INYCEXT.INYC_CONF_INF_REGLAS (COD_INFORME,TABLA,NOMBRE,REGLA,F_INICIO,F_FIN,DESCRIPCION) VALUES ("&amp;REGLAS!B276&amp;",'"&amp;REGLAS!C276&amp;"','"&amp;REGLAS!D276&amp;"','"&amp;REGLAS!G276&amp;"',TO_DATE('"&amp;REGLAS!H276&amp;"','yyyymmdd'),TO_DATE('"&amp;REGLAS!I276&amp;"','yyyymmdd'),'"&amp;REGLAS!J276&amp;"');")</f>
        <v/>
      </c>
      <c r="B275" t="str">
        <f>IF(REGLAS!J276="OBSOLETO","","INSERT INTO INYCEXT.INYC_CONF_INF_REGLAS@tc_link (COD_INFORME,TABLA,NOMBRE,REGLA,F_INICIO,F_FIN,DESCRIPCION) VALUES ("&amp;REGLAS!B276&amp;",'"&amp;REGLAS!C276&amp;"','"&amp;REGLAS!D276&amp;"','"&amp;REGLAS!G276&amp;"',TO_DATE('"&amp;REGLAS!H276&amp;"','yyyymmdd'),TO_DATE('"&amp;REGLAS!I276&amp;"','yyyymmdd'),'"&amp;REGLAS!J276&amp;"');")</f>
        <v/>
      </c>
    </row>
    <row r="276" spans="1:2" x14ac:dyDescent="0.25">
      <c r="A276" t="str">
        <f>IF(REGLAS!J277="OBSOLETO","","INSERT INTO INYCEXT.INYC_CONF_INF_REGLAS (COD_INFORME,TABLA,NOMBRE,REGLA,F_INICIO,F_FIN,DESCRIPCION) VALUES ("&amp;REGLAS!B277&amp;",'"&amp;REGLAS!C277&amp;"','"&amp;REGLAS!D277&amp;"','"&amp;REGLAS!G277&amp;"',TO_DATE('"&amp;REGLAS!H277&amp;"','yyyymmdd'),TO_DATE('"&amp;REGLAS!I277&amp;"','yyyymmdd'),'"&amp;REGLAS!J277&amp;"');")</f>
        <v/>
      </c>
      <c r="B276" t="str">
        <f>IF(REGLAS!J277="OBSOLETO","","INSERT INTO INYCEXT.INYC_CONF_INF_REGLAS@tc_link (COD_INFORME,TABLA,NOMBRE,REGLA,F_INICIO,F_FIN,DESCRIPCION) VALUES ("&amp;REGLAS!B277&amp;",'"&amp;REGLAS!C277&amp;"','"&amp;REGLAS!D277&amp;"','"&amp;REGLAS!G277&amp;"',TO_DATE('"&amp;REGLAS!H277&amp;"','yyyymmdd'),TO_DATE('"&amp;REGLAS!I277&amp;"','yyyymmdd'),'"&amp;REGLAS!J277&amp;"');")</f>
        <v/>
      </c>
    </row>
    <row r="277" spans="1:2" x14ac:dyDescent="0.25">
      <c r="A277" t="str">
        <f>IF(REGLAS!J278="OBSOLETO","","INSERT INTO INYCEXT.INYC_CONF_INF_REGLAS (COD_INFORME,TABLA,NOMBRE,REGLA,F_INICIO,F_FIN,DESCRIPCION) VALUES ("&amp;REGLAS!B278&amp;",'"&amp;REGLAS!C278&amp;"','"&amp;REGLAS!D278&amp;"','"&amp;REGLAS!G278&amp;"',TO_DATE('"&amp;REGLAS!H278&amp;"','yyyymmdd'),TO_DATE('"&amp;REGLAS!I278&amp;"','yyyymmdd'),'"&amp;REGLAS!J278&amp;"');")</f>
        <v/>
      </c>
      <c r="B277" t="str">
        <f>IF(REGLAS!J278="OBSOLETO","","INSERT INTO INYCEXT.INYC_CONF_INF_REGLAS@tc_link (COD_INFORME,TABLA,NOMBRE,REGLA,F_INICIO,F_FIN,DESCRIPCION) VALUES ("&amp;REGLAS!B278&amp;",'"&amp;REGLAS!C278&amp;"','"&amp;REGLAS!D278&amp;"','"&amp;REGLAS!G278&amp;"',TO_DATE('"&amp;REGLAS!H278&amp;"','yyyymmdd'),TO_DATE('"&amp;REGLAS!I278&amp;"','yyyymmdd'),'"&amp;REGLAS!J278&amp;"');")</f>
        <v/>
      </c>
    </row>
    <row r="278" spans="1:2" x14ac:dyDescent="0.25">
      <c r="A278" t="str">
        <f>IF(REGLAS!J279="OBSOLETO","","INSERT INTO INYCEXT.INYC_CONF_INF_REGLAS (COD_INFORME,TABLA,NOMBRE,REGLA,F_INICIO,F_FIN,DESCRIPCION) VALUES ("&amp;REGLAS!B279&amp;",'"&amp;REGLAS!C279&amp;"','"&amp;REGLAS!D279&amp;"','"&amp;REGLAS!G279&amp;"',TO_DATE('"&amp;REGLAS!H279&amp;"','yyyymmdd'),TO_DATE('"&amp;REGLAS!I279&amp;"','yyyymmdd'),'"&amp;REGLAS!J279&amp;"');")</f>
        <v/>
      </c>
      <c r="B278" t="str">
        <f>IF(REGLAS!J279="OBSOLETO","","INSERT INTO INYCEXT.INYC_CONF_INF_REGLAS@tc_link (COD_INFORME,TABLA,NOMBRE,REGLA,F_INICIO,F_FIN,DESCRIPCION) VALUES ("&amp;REGLAS!B279&amp;",'"&amp;REGLAS!C279&amp;"','"&amp;REGLAS!D279&amp;"','"&amp;REGLAS!G279&amp;"',TO_DATE('"&amp;REGLAS!H279&amp;"','yyyymmdd'),TO_DATE('"&amp;REGLAS!I279&amp;"','yyyymmdd'),'"&amp;REGLAS!J279&amp;"');")</f>
        <v/>
      </c>
    </row>
    <row r="279" spans="1:2" x14ac:dyDescent="0.25">
      <c r="A279" t="str">
        <f>IF(REGLAS!J280="OBSOLETO","","INSERT INTO INYCEXT.INYC_CONF_INF_REGLAS (COD_INFORME,TABLA,NOMBRE,REGLA,F_INICIO,F_FIN,DESCRIPCION) VALUES ("&amp;REGLAS!B280&amp;",'"&amp;REGLAS!C280&amp;"','"&amp;REGLAS!D280&amp;"','"&amp;REGLAS!G280&amp;"',TO_DATE('"&amp;REGLAS!H280&amp;"','yyyymmdd'),TO_DATE('"&amp;REGLAS!I280&amp;"','yyyymmdd'),'"&amp;REGLAS!J280&amp;"');")</f>
        <v/>
      </c>
      <c r="B279" t="str">
        <f>IF(REGLAS!J280="OBSOLETO","","INSERT INTO INYCEXT.INYC_CONF_INF_REGLAS@tc_link (COD_INFORME,TABLA,NOMBRE,REGLA,F_INICIO,F_FIN,DESCRIPCION) VALUES ("&amp;REGLAS!B280&amp;",'"&amp;REGLAS!C280&amp;"','"&amp;REGLAS!D280&amp;"','"&amp;REGLAS!G280&amp;"',TO_DATE('"&amp;REGLAS!H280&amp;"','yyyymmdd'),TO_DATE('"&amp;REGLAS!I280&amp;"','yyyymmdd'),'"&amp;REGLAS!J280&amp;"');")</f>
        <v/>
      </c>
    </row>
    <row r="280" spans="1:2" x14ac:dyDescent="0.25">
      <c r="A280" t="str">
        <f>IF(REGLAS!J281="OBSOLETO","","INSERT INTO INYCEXT.INYC_CONF_INF_REGLAS (COD_INFORME,TABLA,NOMBRE,REGLA,F_INICIO,F_FIN,DESCRIPCION) VALUES ("&amp;REGLAS!B281&amp;",'"&amp;REGLAS!C281&amp;"','"&amp;REGLAS!D281&amp;"','"&amp;REGLAS!G281&amp;"',TO_DATE('"&amp;REGLAS!H281&amp;"','yyyymmdd'),TO_DATE('"&amp;REGLAS!I281&amp;"','yyyymmdd'),'"&amp;REGLAS!J281&amp;"');")</f>
        <v/>
      </c>
      <c r="B280" t="str">
        <f>IF(REGLAS!J281="OBSOLETO","","INSERT INTO INYCEXT.INYC_CONF_INF_REGLAS@tc_link (COD_INFORME,TABLA,NOMBRE,REGLA,F_INICIO,F_FIN,DESCRIPCION) VALUES ("&amp;REGLAS!B281&amp;",'"&amp;REGLAS!C281&amp;"','"&amp;REGLAS!D281&amp;"','"&amp;REGLAS!G281&amp;"',TO_DATE('"&amp;REGLAS!H281&amp;"','yyyymmdd'),TO_DATE('"&amp;REGLAS!I281&amp;"','yyyymmdd'),'"&amp;REGLAS!J281&amp;"');")</f>
        <v/>
      </c>
    </row>
    <row r="281" spans="1:2" x14ac:dyDescent="0.25">
      <c r="A281" t="str">
        <f>IF(REGLAS!J282="OBSOLETO","","INSERT INTO INYCEXT.INYC_CONF_INF_REGLAS (COD_INFORME,TABLA,NOMBRE,REGLA,F_INICIO,F_FIN,DESCRIPCION) VALUES ("&amp;REGLAS!B282&amp;",'"&amp;REGLAS!C282&amp;"','"&amp;REGLAS!D282&amp;"','"&amp;REGLAS!G282&amp;"',TO_DATE('"&amp;REGLAS!H282&amp;"','yyyymmdd'),TO_DATE('"&amp;REGLAS!I282&amp;"','yyyymmdd'),'"&amp;REGLAS!J282&amp;"');")</f>
        <v>INSERT INTO INYCEXT.INYC_CONF_INF_REGLAS (COD_INFORME,TABLA,NOMBRE,REGLA,F_INICIO,F_FIN,DESCRIPCION) VALUES (6.1,'INYC_RPA_RESUMEN','SM - Primas Agente Total Productos Anual','SM-O-GEN-Agente-Prima-998-TotalAnual',TO_DATE('20170101','yyyymmdd'),TO_DATE('22000101','yyyymmdd'),'');</v>
      </c>
      <c r="B281" t="str">
        <f>IF(REGLAS!J282="OBSOLETO","","INSERT INTO INYCEXT.INYC_CONF_INF_REGLAS@tc_link (COD_INFORME,TABLA,NOMBRE,REGLA,F_INICIO,F_FIN,DESCRIPCION) VALUES ("&amp;REGLAS!B282&amp;",'"&amp;REGLAS!C282&amp;"','"&amp;REGLAS!D282&amp;"','"&amp;REGLAS!G282&amp;"',TO_DATE('"&amp;REGLAS!H282&amp;"','yyyymmdd'),TO_DATE('"&amp;REGLAS!I282&amp;"','yyyymmdd'),'"&amp;REGLAS!J282&amp;"');")</f>
        <v>INSERT INTO INYCEXT.INYC_CONF_INF_REGLAS@tc_link (COD_INFORME,TABLA,NOMBRE,REGLA,F_INICIO,F_FIN,DESCRIPCION) VALUES (6.1,'INYC_RPA_RESUMEN','SM - Primas Agente Total Productos Anual','SM-O-GEN-Agente-Prima-998-TotalAnual',TO_DATE('20170101','yyyymmdd'),TO_DATE('22000101','yyyymmdd'),'');</v>
      </c>
    </row>
    <row r="282" spans="1:2" x14ac:dyDescent="0.25">
      <c r="A282" t="str">
        <f>IF(REGLAS!J283="OBSOLETO","","INSERT INTO INYCEXT.INYC_CONF_INF_REGLAS (COD_INFORME,TABLA,NOMBRE,REGLA,F_INICIO,F_FIN,DESCRIPCION) VALUES ("&amp;REGLAS!B283&amp;",'"&amp;REGLAS!C283&amp;"','"&amp;REGLAS!D283&amp;"','"&amp;REGLAS!G283&amp;"',TO_DATE('"&amp;REGLAS!H283&amp;"','yyyymmdd'),TO_DATE('"&amp;REGLAS!I283&amp;"','yyyymmdd'),'"&amp;REGLAS!J283&amp;"');")</f>
        <v>INSERT INTO INYCEXT.INYC_CONF_INF_REGLAS (COD_INFORME,TABLA,NOMBRE,REGLA,F_INICIO,F_FIN,DESCRIPCION) VALUES (6.1,'INYC_RPA_RESUMEN','SM - Nº Pólizas Agente RRTT Anual','SM-O-GEN-Agente-NumeroPolizas-001-TotalAnual',TO_DATE('20220101','yyyymmdd'),TO_DATE('22000101','yyyymmdd'),'Version 20220426');</v>
      </c>
      <c r="B282" t="str">
        <f>IF(REGLAS!J283="OBSOLETO","","INSERT INTO INYCEXT.INYC_CONF_INF_REGLAS@tc_link (COD_INFORME,TABLA,NOMBRE,REGLA,F_INICIO,F_FIN,DESCRIPCION) VALUES ("&amp;REGLAS!B283&amp;",'"&amp;REGLAS!C283&amp;"','"&amp;REGLAS!D283&amp;"','"&amp;REGLAS!G283&amp;"',TO_DATE('"&amp;REGLAS!H283&amp;"','yyyymmdd'),TO_DATE('"&amp;REGLAS!I283&amp;"','yyyymmdd'),'"&amp;REGLAS!J283&amp;"');")</f>
        <v>INSERT INTO INYCEXT.INYC_CONF_INF_REGLAS@tc_link (COD_INFORME,TABLA,NOMBRE,REGLA,F_INICIO,F_FIN,DESCRIPCION) VALUES (6.1,'INYC_RPA_RESUMEN','SM - Nº Pólizas Agente RRTT Anual','SM-O-GEN-Agente-NumeroPolizas-001-TotalAnual',TO_DATE('20220101','yyyymmdd'),TO_DATE('22000101','yyyymmdd'),'Version 20220426');</v>
      </c>
    </row>
    <row r="283" spans="1:2" x14ac:dyDescent="0.25">
      <c r="A283" t="str">
        <f>IF(REGLAS!J284="OBSOLETO","","INSERT INTO INYCEXT.INYC_CONF_INF_REGLAS (COD_INFORME,TABLA,NOMBRE,REGLA,F_INICIO,F_FIN,DESCRIPCION) VALUES ("&amp;REGLAS!B284&amp;",'"&amp;REGLAS!C284&amp;"','"&amp;REGLAS!D284&amp;"','"&amp;REGLAS!G284&amp;"',TO_DATE('"&amp;REGLAS!H284&amp;"','yyyymmdd'),TO_DATE('"&amp;REGLAS!I284&amp;"','yyyymmdd'),'"&amp;REGLAS!J284&amp;"');")</f>
        <v>INSERT INTO INYCEXT.INYC_CONF_INF_REGLAS (COD_INFORME,TABLA,NOMBRE,REGLA,F_INICIO,F_FIN,DESCRIPCION) VALUES (6.1,'INYC_RPA_RESUMEN','SM - Nº Asegurados Agente Anual','SM-O-GEN-Agente-NumAsegurados-TotalAnual',TO_DATE('20180101','yyyymmdd'),TO_DATE('22000101','yyyymmdd'),'Version 20180117');</v>
      </c>
      <c r="B283" t="str">
        <f>IF(REGLAS!J284="OBSOLETO","","INSERT INTO INYCEXT.INYC_CONF_INF_REGLAS@tc_link (COD_INFORME,TABLA,NOMBRE,REGLA,F_INICIO,F_FIN,DESCRIPCION) VALUES ("&amp;REGLAS!B284&amp;",'"&amp;REGLAS!C284&amp;"','"&amp;REGLAS!D284&amp;"','"&amp;REGLAS!G284&amp;"',TO_DATE('"&amp;REGLAS!H284&amp;"','yyyymmdd'),TO_DATE('"&amp;REGLAS!I284&amp;"','yyyymmdd'),'"&amp;REGLAS!J284&amp;"');")</f>
        <v>INSERT INTO INYCEXT.INYC_CONF_INF_REGLAS@tc_link (COD_INFORME,TABLA,NOMBRE,REGLA,F_INICIO,F_FIN,DESCRIPCION) VALUES (6.1,'INYC_RPA_RESUMEN','SM - Nº Asegurados Agente Anual','SM-O-GEN-Agente-NumAsegurados-TotalAnual',TO_DATE('20180101','yyyymmdd'),TO_DATE('22000101','yyyymmdd'),'Version 20180117');</v>
      </c>
    </row>
    <row r="284" spans="1:2" x14ac:dyDescent="0.25">
      <c r="A284" t="str">
        <f>IF(REGLAS!J285="OBSOLETO","","INSERT INTO INYCEXT.INYC_CONF_INF_REGLAS (COD_INFORME,TABLA,NOMBRE,REGLA,F_INICIO,F_FIN,DESCRIPCION) VALUES ("&amp;REGLAS!B285&amp;",'"&amp;REGLAS!C285&amp;"','"&amp;REGLAS!D285&amp;"','"&amp;REGLAS!G285&amp;"',TO_DATE('"&amp;REGLAS!H285&amp;"','yyyymmdd'),TO_DATE('"&amp;REGLAS!I285&amp;"','yyyymmdd'),'"&amp;REGLAS!J285&amp;"');")</f>
        <v>INSERT INTO INYCEXT.INYC_CONF_INF_REGLAS (COD_INFORME,TABLA,NOMBRE,REGLA,F_INICIO,F_FIN,DESCRIPCION) VALUES (6.1,'INYC_RPA_RESUMEN','SM - Nº Asegurados Agente Trimestral','SM-O-GEN-Agente-NumAsegurados-TotalTrim',TO_DATE('20220101','yyyymmdd'),TO_DATE('22000101','yyyymmdd'),'Version 20220323');</v>
      </c>
      <c r="B284" t="str">
        <f>IF(REGLAS!J285="OBSOLETO","","INSERT INTO INYCEXT.INYC_CONF_INF_REGLAS@tc_link (COD_INFORME,TABLA,NOMBRE,REGLA,F_INICIO,F_FIN,DESCRIPCION) VALUES ("&amp;REGLAS!B285&amp;",'"&amp;REGLAS!C285&amp;"','"&amp;REGLAS!D285&amp;"','"&amp;REGLAS!G285&amp;"',TO_DATE('"&amp;REGLAS!H285&amp;"','yyyymmdd'),TO_DATE('"&amp;REGLAS!I285&amp;"','yyyymmdd'),'"&amp;REGLAS!J285&amp;"');")</f>
        <v>INSERT INTO INYCEXT.INYC_CONF_INF_REGLAS@tc_link (COD_INFORME,TABLA,NOMBRE,REGLA,F_INICIO,F_FIN,DESCRIPCION) VALUES (6.1,'INYC_RPA_RESUMEN','SM - Nº Asegurados Agente Trimestral','SM-O-GEN-Agente-NumAsegurados-TotalTrim',TO_DATE('20220101','yyyymmdd'),TO_DATE('22000101','yyyymmdd'),'Version 20220323');</v>
      </c>
    </row>
    <row r="285" spans="1:2" x14ac:dyDescent="0.25">
      <c r="A285" t="str">
        <f>IF(REGLAS!J286="OBSOLETO","","INSERT INTO INYCEXT.INYC_CONF_INF_REGLAS (COD_INFORME,TABLA,NOMBRE,REGLA,F_INICIO,F_FIN,DESCRIPCION) VALUES ("&amp;REGLAS!B286&amp;",'"&amp;REGLAS!C286&amp;"','"&amp;REGLAS!D286&amp;"','"&amp;REGLAS!G286&amp;"',TO_DATE('"&amp;REGLAS!H286&amp;"','yyyymmdd'),TO_DATE('"&amp;REGLAS!I286&amp;"','yyyymmdd'),'"&amp;REGLAS!J286&amp;"');")</f>
        <v>INSERT INTO INYCEXT.INYC_CONF_INF_REGLAS (COD_INFORME,TABLA,NOMBRE,REGLA,F_INICIO,F_FIN,DESCRIPCION) VALUES (6.1,'INYC_RPA_RESUMEN','SM - Nº Pólizas Agente RRTT Trimestral','SM-O-GEN-Agente-NumeroPolizas-001-TotalTrim',TO_DATE('20220101','yyyymmdd'),TO_DATE('22000101','yyyymmdd'),'Version 20220323');</v>
      </c>
      <c r="B285" t="str">
        <f>IF(REGLAS!J286="OBSOLETO","","INSERT INTO INYCEXT.INYC_CONF_INF_REGLAS@tc_link (COD_INFORME,TABLA,NOMBRE,REGLA,F_INICIO,F_FIN,DESCRIPCION) VALUES ("&amp;REGLAS!B286&amp;",'"&amp;REGLAS!C286&amp;"','"&amp;REGLAS!D286&amp;"','"&amp;REGLAS!G286&amp;"',TO_DATE('"&amp;REGLAS!H286&amp;"','yyyymmdd'),TO_DATE('"&amp;REGLAS!I286&amp;"','yyyymmdd'),'"&amp;REGLAS!J286&amp;"');")</f>
        <v>INSERT INTO INYCEXT.INYC_CONF_INF_REGLAS@tc_link (COD_INFORME,TABLA,NOMBRE,REGLA,F_INICIO,F_FIN,DESCRIPCION) VALUES (6.1,'INYC_RPA_RESUMEN','SM - Nº Pólizas Agente RRTT Trimestral','SM-O-GEN-Agente-NumeroPolizas-001-TotalTrim',TO_DATE('20220101','yyyymmdd'),TO_DATE('22000101','yyyymmdd'),'Version 20220323');</v>
      </c>
    </row>
    <row r="286" spans="1:2" x14ac:dyDescent="0.25">
      <c r="A286" t="str">
        <f>IF(REGLAS!J287="OBSOLETO","","INSERT INTO INYCEXT.INYC_CONF_INF_REGLAS (COD_INFORME,TABLA,NOMBRE,REGLA,F_INICIO,F_FIN,DESCRIPCION) VALUES ("&amp;REGLAS!B287&amp;",'"&amp;REGLAS!C287&amp;"','"&amp;REGLAS!D287&amp;"','"&amp;REGLAS!G287&amp;"',TO_DATE('"&amp;REGLAS!H287&amp;"','yyyymmdd'),TO_DATE('"&amp;REGLAS!I287&amp;"','yyyymmdd'),'"&amp;REGLAS!J287&amp;"');")</f>
        <v>INSERT INTO INYCEXT.INYC_CONF_INF_REGLAS (COD_INFORME,TABLA,NOMBRE,REGLA,F_INICIO,F_FIN,DESCRIPCION) VALUES (6.1,'INYC_RPA_RESUMEN','SM - Nº Pólizas Agente Hogar Trimestral','SM-O-GEN-Agente-NumeroPolizas-002-TotalTrim',TO_DATE('20220101','yyyymmdd'),TO_DATE('22000101','yyyymmdd'),'Version 20220323');</v>
      </c>
      <c r="B286" t="str">
        <f>IF(REGLAS!J287="OBSOLETO","","INSERT INTO INYCEXT.INYC_CONF_INF_REGLAS@tc_link (COD_INFORME,TABLA,NOMBRE,REGLA,F_INICIO,F_FIN,DESCRIPCION) VALUES ("&amp;REGLAS!B287&amp;",'"&amp;REGLAS!C287&amp;"','"&amp;REGLAS!D287&amp;"','"&amp;REGLAS!G287&amp;"',TO_DATE('"&amp;REGLAS!H287&amp;"','yyyymmdd'),TO_DATE('"&amp;REGLAS!I287&amp;"','yyyymmdd'),'"&amp;REGLAS!J287&amp;"');")</f>
        <v>INSERT INTO INYCEXT.INYC_CONF_INF_REGLAS@tc_link (COD_INFORME,TABLA,NOMBRE,REGLA,F_INICIO,F_FIN,DESCRIPCION) VALUES (6.1,'INYC_RPA_RESUMEN','SM - Nº Pólizas Agente Hogar Trimestral','SM-O-GEN-Agente-NumeroPolizas-002-TotalTrim',TO_DATE('20220101','yyyymmdd'),TO_DATE('22000101','yyyymmdd'),'Version 20220323');</v>
      </c>
    </row>
    <row r="287" spans="1:2" x14ac:dyDescent="0.25">
      <c r="A287" t="str">
        <f>IF(REGLAS!J288="OBSOLETO","","INSERT INTO INYCEXT.INYC_CONF_INF_REGLAS (COD_INFORME,TABLA,NOMBRE,REGLA,F_INICIO,F_FIN,DESCRIPCION) VALUES ("&amp;REGLAS!B288&amp;",'"&amp;REGLAS!C288&amp;"','"&amp;REGLAS!D288&amp;"','"&amp;REGLAS!G288&amp;"',TO_DATE('"&amp;REGLAS!H288&amp;"','yyyymmdd'),TO_DATE('"&amp;REGLAS!I288&amp;"','yyyymmdd'),'"&amp;REGLAS!J288&amp;"');")</f>
        <v>INSERT INTO INYCEXT.INYC_CONF_INF_REGLAS (COD_INFORME,TABLA,NOMBRE,REGLA,F_INICIO,F_FIN,DESCRIPCION) VALUES (6.1,'INYC_RPA_RESUMEN','SM - Nº Pólizas Agente OCASO Oro Trimestral','SM-O-GEN-Agente-NumeroPolizas-007-TotalTrim',TO_DATE('20220101','yyyymmdd'),TO_DATE('22000101','yyyymmdd'),'Version 20220323');</v>
      </c>
      <c r="B287" t="str">
        <f>IF(REGLAS!J288="OBSOLETO","","INSERT INTO INYCEXT.INYC_CONF_INF_REGLAS@tc_link (COD_INFORME,TABLA,NOMBRE,REGLA,F_INICIO,F_FIN,DESCRIPCION) VALUES ("&amp;REGLAS!B288&amp;",'"&amp;REGLAS!C288&amp;"','"&amp;REGLAS!D288&amp;"','"&amp;REGLAS!G288&amp;"',TO_DATE('"&amp;REGLAS!H288&amp;"','yyyymmdd'),TO_DATE('"&amp;REGLAS!I288&amp;"','yyyymmdd'),'"&amp;REGLAS!J288&amp;"');")</f>
        <v>INSERT INTO INYCEXT.INYC_CONF_INF_REGLAS@tc_link (COD_INFORME,TABLA,NOMBRE,REGLA,F_INICIO,F_FIN,DESCRIPCION) VALUES (6.1,'INYC_RPA_RESUMEN','SM - Nº Pólizas Agente OCASO Oro Trimestral','SM-O-GEN-Agente-NumeroPolizas-007-TotalTrim',TO_DATE('20220101','yyyymmdd'),TO_DATE('22000101','yyyymmdd'),'Version 20220323');</v>
      </c>
    </row>
    <row r="288" spans="1:2" x14ac:dyDescent="0.25">
      <c r="A288" t="str">
        <f>IF(REGLAS!J289="OBSOLETO","","INSERT INTO INYCEXT.INYC_CONF_INF_REGLAS (COD_INFORME,TABLA,NOMBRE,REGLA,F_INICIO,F_FIN,DESCRIPCION) VALUES ("&amp;REGLAS!B289&amp;",'"&amp;REGLAS!C289&amp;"','"&amp;REGLAS!D289&amp;"','"&amp;REGLAS!G289&amp;"',TO_DATE('"&amp;REGLAS!H289&amp;"','yyyymmdd'),TO_DATE('"&amp;REGLAS!I289&amp;"','yyyymmdd'),'"&amp;REGLAS!J289&amp;"');")</f>
        <v>INSERT INTO INYCEXT.INYC_CONF_INF_REGLAS (COD_INFORME,TABLA,NOMBRE,REGLA,F_INICIO,F_FIN,DESCRIPCION) VALUES (6.1,'INYC_RPA_RESUMEN','SM - Nº Pólizas Agente RRPP Trimestral','SM-O-GEN-Agente-NumeroPolizas-906-TotalTrim',TO_DATE('20220101','yyyymmdd'),TO_DATE('22000101','yyyymmdd'),'Version 20220323');</v>
      </c>
      <c r="B288" t="str">
        <f>IF(REGLAS!J289="OBSOLETO","","INSERT INTO INYCEXT.INYC_CONF_INF_REGLAS@tc_link (COD_INFORME,TABLA,NOMBRE,REGLA,F_INICIO,F_FIN,DESCRIPCION) VALUES ("&amp;REGLAS!B289&amp;",'"&amp;REGLAS!C289&amp;"','"&amp;REGLAS!D289&amp;"','"&amp;REGLAS!G289&amp;"',TO_DATE('"&amp;REGLAS!H289&amp;"','yyyymmdd'),TO_DATE('"&amp;REGLAS!I289&amp;"','yyyymmdd'),'"&amp;REGLAS!J289&amp;"');")</f>
        <v>INSERT INTO INYCEXT.INYC_CONF_INF_REGLAS@tc_link (COD_INFORME,TABLA,NOMBRE,REGLA,F_INICIO,F_FIN,DESCRIPCION) VALUES (6.1,'INYC_RPA_RESUMEN','SM - Nº Pólizas Agente RRPP Trimestral','SM-O-GEN-Agente-NumeroPolizas-906-TotalTrim',TO_DATE('20220101','yyyymmdd'),TO_DATE('22000101','yyyymmdd'),'Version 20220323');</v>
      </c>
    </row>
    <row r="289" spans="1:2" x14ac:dyDescent="0.25">
      <c r="A289" t="str">
        <f>IF(REGLAS!J290="OBSOLETO","","INSERT INTO INYCEXT.INYC_CONF_INF_REGLAS (COD_INFORME,TABLA,NOMBRE,REGLA,F_INICIO,F_FIN,DESCRIPCION) VALUES ("&amp;REGLAS!B290&amp;",'"&amp;REGLAS!C290&amp;"','"&amp;REGLAS!D290&amp;"','"&amp;REGLAS!G290&amp;"',TO_DATE('"&amp;REGLAS!H290&amp;"','yyyymmdd'),TO_DATE('"&amp;REGLAS!I290&amp;"','yyyymmdd'),'"&amp;REGLAS!J290&amp;"');")</f>
        <v>INSERT INTO INYCEXT.INYC_CONF_INF_REGLAS (COD_INFORME,TABLA,NOMBRE,REGLA,F_INICIO,F_FIN,DESCRIPCION) VALUES (6.1,'INYC_RPA_RESUMEN','SM - Nº Pólizas Corregidas Agente Total Productos Trimestral','SM-O-GEN-Agente-NumeroPolizasCorregidas-998-TotalTrimestre',TO_DATE('20220101','yyyymmdd'),TO_DATE('22000101','yyyymmdd'),'Version 20220323');</v>
      </c>
      <c r="B289" t="str">
        <f>IF(REGLAS!J290="OBSOLETO","","INSERT INTO INYCEXT.INYC_CONF_INF_REGLAS@tc_link (COD_INFORME,TABLA,NOMBRE,REGLA,F_INICIO,F_FIN,DESCRIPCION) VALUES ("&amp;REGLAS!B290&amp;",'"&amp;REGLAS!C290&amp;"','"&amp;REGLAS!D290&amp;"','"&amp;REGLAS!G290&amp;"',TO_DATE('"&amp;REGLAS!H290&amp;"','yyyymmdd'),TO_DATE('"&amp;REGLAS!I290&amp;"','yyyymmdd'),'"&amp;REGLAS!J290&amp;"');")</f>
        <v>INSERT INTO INYCEXT.INYC_CONF_INF_REGLAS@tc_link (COD_INFORME,TABLA,NOMBRE,REGLA,F_INICIO,F_FIN,DESCRIPCION) VALUES (6.1,'INYC_RPA_RESUMEN','SM - Nº Pólizas Corregidas Agente Total Productos Trimestral','SM-O-GEN-Agente-NumeroPolizasCorregidas-998-TotalTrimestre',TO_DATE('20220101','yyyymmdd'),TO_DATE('22000101','yyyymmdd'),'Version 20220323');</v>
      </c>
    </row>
    <row r="290" spans="1:2" x14ac:dyDescent="0.25">
      <c r="A290" t="str">
        <f>IF(REGLAS!J291="OBSOLETO","","INSERT INTO INYCEXT.INYC_CONF_INF_REGLAS (COD_INFORME,TABLA,NOMBRE,REGLA,F_INICIO,F_FIN,DESCRIPCION) VALUES ("&amp;REGLAS!B291&amp;",'"&amp;REGLAS!C291&amp;"','"&amp;REGLAS!D291&amp;"','"&amp;REGLAS!G291&amp;"',TO_DATE('"&amp;REGLAS!H291&amp;"','yyyymmdd'),TO_DATE('"&amp;REGLAS!I291&amp;"','yyyymmdd'),'"&amp;REGLAS!J291&amp;"');")</f>
        <v>INSERT INTO INYCEXT.INYC_CONF_INF_REGLAS (COD_INFORME,TABLA,NOMBRE,REGLA,F_INICIO,F_FIN,DESCRIPCION) VALUES (6.1,'INYC_RPA_RESUMEN','SM - Nº Pólizas Corregidas Agente Total Productos Trimestral','SM-O-GEN-Agente-NumeroPolizasCorregidas-998-TotalTrim',TO_DATE('20220101','yyyymmdd'),TO_DATE('22000101','yyyymmdd'),'Version 20220412');</v>
      </c>
      <c r="B290" t="str">
        <f>IF(REGLAS!J291="OBSOLETO","","INSERT INTO INYCEXT.INYC_CONF_INF_REGLAS@tc_link (COD_INFORME,TABLA,NOMBRE,REGLA,F_INICIO,F_FIN,DESCRIPCION) VALUES ("&amp;REGLAS!B291&amp;",'"&amp;REGLAS!C291&amp;"','"&amp;REGLAS!D291&amp;"','"&amp;REGLAS!G291&amp;"',TO_DATE('"&amp;REGLAS!H291&amp;"','yyyymmdd'),TO_DATE('"&amp;REGLAS!I291&amp;"','yyyymmdd'),'"&amp;REGLAS!J291&amp;"');")</f>
        <v>INSERT INTO INYCEXT.INYC_CONF_INF_REGLAS@tc_link (COD_INFORME,TABLA,NOMBRE,REGLA,F_INICIO,F_FIN,DESCRIPCION) VALUES (6.1,'INYC_RPA_RESUMEN','SM - Nº Pólizas Corregidas Agente Total Productos Trimestral','SM-O-GEN-Agente-NumeroPolizasCorregidas-998-TotalTrim',TO_DATE('20220101','yyyymmdd'),TO_DATE('22000101','yyyymmdd'),'Version 20220412');</v>
      </c>
    </row>
    <row r="291" spans="1:2" x14ac:dyDescent="0.25">
      <c r="A291" t="str">
        <f>IF(REGLAS!J292="OBSOLETO","","INSERT INTO INYCEXT.INYC_CONF_INF_REGLAS (COD_INFORME,TABLA,NOMBRE,REGLA,F_INICIO,F_FIN,DESCRIPCION) VALUES ("&amp;REGLAS!B292&amp;",'"&amp;REGLAS!C292&amp;"','"&amp;REGLAS!D292&amp;"','"&amp;REGLAS!G292&amp;"',TO_DATE('"&amp;REGLAS!H292&amp;"','yyyymmdd'),TO_DATE('"&amp;REGLAS!I292&amp;"','yyyymmdd'),'"&amp;REGLAS!J292&amp;"');")</f>
        <v>INSERT INTO INYCEXT.INYC_CONF_INF_REGLAS (COD_INFORME,TABLA,NOMBRE,REGLA,F_INICIO,F_FIN,DESCRIPCION) VALUES (6.1,'INYC_RPA_RESUMEN','SM - Prima Agente Total Productos Trimestral','SM-O-GEN-Agente-Prima-998-TotalTrim',TO_DATE('20220101','yyyymmdd'),TO_DATE('22000101','yyyymmdd'),'Version 20220323');</v>
      </c>
      <c r="B291" t="str">
        <f>IF(REGLAS!J292="OBSOLETO","","INSERT INTO INYCEXT.INYC_CONF_INF_REGLAS@tc_link (COD_INFORME,TABLA,NOMBRE,REGLA,F_INICIO,F_FIN,DESCRIPCION) VALUES ("&amp;REGLAS!B292&amp;",'"&amp;REGLAS!C292&amp;"','"&amp;REGLAS!D292&amp;"','"&amp;REGLAS!G292&amp;"',TO_DATE('"&amp;REGLAS!H292&amp;"','yyyymmdd'),TO_DATE('"&amp;REGLAS!I292&amp;"','yyyymmdd'),'"&amp;REGLAS!J292&amp;"');")</f>
        <v>INSERT INTO INYCEXT.INYC_CONF_INF_REGLAS@tc_link (COD_INFORME,TABLA,NOMBRE,REGLA,F_INICIO,F_FIN,DESCRIPCION) VALUES (6.1,'INYC_RPA_RESUMEN','SM - Prima Agente Total Productos Trimestral','SM-O-GEN-Agente-Prima-998-TotalTrim',TO_DATE('20220101','yyyymmdd'),TO_DATE('22000101','yyyymmdd'),'Version 20220323');</v>
      </c>
    </row>
    <row r="292" spans="1:2" x14ac:dyDescent="0.25">
      <c r="A292" t="str">
        <f>IF(REGLAS!J293="OBSOLETO","","INSERT INTO INYCEXT.INYC_CONF_INF_REGLAS (COD_INFORME,TABLA,NOMBRE,REGLA,F_INICIO,F_FIN,DESCRIPCION) VALUES ("&amp;REGLAS!B293&amp;",'"&amp;REGLAS!C293&amp;"','"&amp;REGLAS!D293&amp;"','"&amp;REGLAS!G293&amp;"',TO_DATE('"&amp;REGLAS!H293&amp;"','yyyymmdd'),TO_DATE('"&amp;REGLAS!I293&amp;"','yyyymmdd'),'"&amp;REGLAS!J293&amp;"');")</f>
        <v>INSERT INTO INYCEXT.INYC_CONF_INF_REGLAS (COD_INFORME,TABLA,NOMBRE,REGLA,F_INICIO,F_FIN,DESCRIPCION) VALUES (6.1,'INYC_RPA_RESUMEN','SM - Nº Pólizas Agente Hogar Anual','SM-O-GEN-Agente-NumeroPolizas-002-TotalAnual',TO_DATE('20170101','yyyymmdd'),TO_DATE('22000101','yyyymmdd'),'');</v>
      </c>
      <c r="B292" t="str">
        <f>IF(REGLAS!J293="OBSOLETO","","INSERT INTO INYCEXT.INYC_CONF_INF_REGLAS@tc_link (COD_INFORME,TABLA,NOMBRE,REGLA,F_INICIO,F_FIN,DESCRIPCION) VALUES ("&amp;REGLAS!B293&amp;",'"&amp;REGLAS!C293&amp;"','"&amp;REGLAS!D293&amp;"','"&amp;REGLAS!G293&amp;"',TO_DATE('"&amp;REGLAS!H293&amp;"','yyyymmdd'),TO_DATE('"&amp;REGLAS!I293&amp;"','yyyymmdd'),'"&amp;REGLAS!J293&amp;"');")</f>
        <v>INSERT INTO INYCEXT.INYC_CONF_INF_REGLAS@tc_link (COD_INFORME,TABLA,NOMBRE,REGLA,F_INICIO,F_FIN,DESCRIPCION) VALUES (6.1,'INYC_RPA_RESUMEN','SM - Nº Pólizas Agente Hogar Anual','SM-O-GEN-Agente-NumeroPolizas-002-TotalAnual',TO_DATE('20170101','yyyymmdd'),TO_DATE('22000101','yyyymmdd'),'');</v>
      </c>
    </row>
    <row r="293" spans="1:2" x14ac:dyDescent="0.25">
      <c r="A293" t="str">
        <f>IF(REGLAS!J294="OBSOLETO","","INSERT INTO INYCEXT.INYC_CONF_INF_REGLAS (COD_INFORME,TABLA,NOMBRE,REGLA,F_INICIO,F_FIN,DESCRIPCION) VALUES ("&amp;REGLAS!B294&amp;",'"&amp;REGLAS!C294&amp;"','"&amp;REGLAS!D294&amp;"','"&amp;REGLAS!G294&amp;"',TO_DATE('"&amp;REGLAS!H294&amp;"','yyyymmdd'),TO_DATE('"&amp;REGLAS!I294&amp;"','yyyymmdd'),'"&amp;REGLAS!J294&amp;"');")</f>
        <v>INSERT INTO INYCEXT.INYC_CONF_INF_REGLAS (COD_INFORME,TABLA,NOMBRE,REGLA,F_INICIO,F_FIN,DESCRIPCION) VALUES (6.1,'INYC_RPA_RESUMEN','SM - Nº Pólizas Agente Vida Ahorro Anual','SM-O-GEN-Agente-NumeroPolizas-906-TotalAnual',TO_DATE('20170101','yyyymmdd'),TO_DATE('22000101','yyyymmdd'),'');</v>
      </c>
      <c r="B293" t="str">
        <f>IF(REGLAS!J294="OBSOLETO","","INSERT INTO INYCEXT.INYC_CONF_INF_REGLAS@tc_link (COD_INFORME,TABLA,NOMBRE,REGLA,F_INICIO,F_FIN,DESCRIPCION) VALUES ("&amp;REGLAS!B294&amp;",'"&amp;REGLAS!C294&amp;"','"&amp;REGLAS!D294&amp;"','"&amp;REGLAS!G294&amp;"',TO_DATE('"&amp;REGLAS!H294&amp;"','yyyymmdd'),TO_DATE('"&amp;REGLAS!I294&amp;"','yyyymmdd'),'"&amp;REGLAS!J294&amp;"');")</f>
        <v>INSERT INTO INYCEXT.INYC_CONF_INF_REGLAS@tc_link (COD_INFORME,TABLA,NOMBRE,REGLA,F_INICIO,F_FIN,DESCRIPCION) VALUES (6.1,'INYC_RPA_RESUMEN','SM - Nº Pólizas Agente Vida Ahorro Anual','SM-O-GEN-Agente-NumeroPolizas-906-TotalAnual',TO_DATE('20170101','yyyymmdd'),TO_DATE('22000101','yyyymmdd'),'');</v>
      </c>
    </row>
    <row r="294" spans="1:2" x14ac:dyDescent="0.25">
      <c r="A294" t="str">
        <f>IF(REGLAS!J295="OBSOLETO","","INSERT INTO INYCEXT.INYC_CONF_INF_REGLAS (COD_INFORME,TABLA,NOMBRE,REGLA,F_INICIO,F_FIN,DESCRIPCION) VALUES ("&amp;REGLAS!B295&amp;",'"&amp;REGLAS!C295&amp;"','"&amp;REGLAS!D295&amp;"','"&amp;REGLAS!G295&amp;"',TO_DATE('"&amp;REGLAS!H295&amp;"','yyyymmdd'),TO_DATE('"&amp;REGLAS!I295&amp;"','yyyymmdd'),'"&amp;REGLAS!J295&amp;"');")</f>
        <v>INSERT INTO INYCEXT.INYC_CONF_INF_REGLAS (COD_INFORME,TABLA,NOMBRE,REGLA,F_INICIO,F_FIN,DESCRIPCION) VALUES (6.1,'INYC_RPA_RESUMEN','SM - Núm Pólizas 998 acumuladas','SM-O-RPP-Agente-NumeroPolizas-998-TotalAnual',TO_DATE('20170101','yyyymmdd'),TO_DATE('22000101','yyyymmdd'),'');</v>
      </c>
      <c r="B294" t="str">
        <f>IF(REGLAS!J295="OBSOLETO","","INSERT INTO INYCEXT.INYC_CONF_INF_REGLAS@tc_link (COD_INFORME,TABLA,NOMBRE,REGLA,F_INICIO,F_FIN,DESCRIPCION) VALUES ("&amp;REGLAS!B295&amp;",'"&amp;REGLAS!C295&amp;"','"&amp;REGLAS!D295&amp;"','"&amp;REGLAS!G295&amp;"',TO_DATE('"&amp;REGLAS!H295&amp;"','yyyymmdd'),TO_DATE('"&amp;REGLAS!I295&amp;"','yyyymmdd'),'"&amp;REGLAS!J295&amp;"');")</f>
        <v>INSERT INTO INYCEXT.INYC_CONF_INF_REGLAS@tc_link (COD_INFORME,TABLA,NOMBRE,REGLA,F_INICIO,F_FIN,DESCRIPCION) VALUES (6.1,'INYC_RPA_RESUMEN','SM - Núm Pólizas 998 acumuladas','SM-O-RPP-Agente-NumeroPolizas-998-TotalAnual',TO_DATE('20170101','yyyymmdd'),TO_DATE('22000101','yyyymmdd'),'');</v>
      </c>
    </row>
    <row r="295" spans="1:2" x14ac:dyDescent="0.25">
      <c r="A295" t="str">
        <f>IF(REGLAS!J296="OBSOLETO","","INSERT INTO INYCEXT.INYC_CONF_INF_REGLAS (COD_INFORME,TABLA,NOMBRE,REGLA,F_INICIO,F_FIN,DESCRIPCION) VALUES ("&amp;REGLAS!B296&amp;",'"&amp;REGLAS!C296&amp;"','"&amp;REGLAS!D296&amp;"','"&amp;REGLAS!G296&amp;"',TO_DATE('"&amp;REGLAS!H296&amp;"','yyyymmdd'),TO_DATE('"&amp;REGLAS!I296&amp;"','yyyymmdd'),'"&amp;REGLAS!J296&amp;"');")</f>
        <v>INSERT INTO INYCEXT.INYC_CONF_INF_REGLAS (COD_INFORME,TABLA,NOMBRE,REGLA,F_INICIO,F_FIN,DESCRIPCION) VALUES (6.1,'INYC_RPA_RESUMEN','SM - Importe a Regularizar','SM-O-RPP-Agente-PlanesCarrera-Regularizacion',TO_DATE('20170101','yyyymmdd'),TO_DATE('22000101','yyyymmdd'),'');</v>
      </c>
      <c r="B295" t="str">
        <f>IF(REGLAS!J296="OBSOLETO","","INSERT INTO INYCEXT.INYC_CONF_INF_REGLAS@tc_link (COD_INFORME,TABLA,NOMBRE,REGLA,F_INICIO,F_FIN,DESCRIPCION) VALUES ("&amp;REGLAS!B296&amp;",'"&amp;REGLAS!C296&amp;"','"&amp;REGLAS!D296&amp;"','"&amp;REGLAS!G296&amp;"',TO_DATE('"&amp;REGLAS!H296&amp;"','yyyymmdd'),TO_DATE('"&amp;REGLAS!I296&amp;"','yyyymmdd'),'"&amp;REGLAS!J296&amp;"');")</f>
        <v>INSERT INTO INYCEXT.INYC_CONF_INF_REGLAS@tc_link (COD_INFORME,TABLA,NOMBRE,REGLA,F_INICIO,F_FIN,DESCRIPCION) VALUES (6.1,'INYC_RPA_RESUMEN','SM - Importe a Regularizar','SM-O-RPP-Agente-PlanesCarrera-Regularizacion',TO_DATE('20170101','yyyymmdd'),TO_DATE('22000101','yyyymmdd'),'');</v>
      </c>
    </row>
    <row r="296" spans="1:2" x14ac:dyDescent="0.25">
      <c r="A296" t="str">
        <f>IF(REGLAS!J297="OBSOLETO","","INSERT INTO INYCEXT.INYC_CONF_INF_REGLAS (COD_INFORME,TABLA,NOMBRE,REGLA,F_INICIO,F_FIN,DESCRIPCION) VALUES ("&amp;REGLAS!B297&amp;",'"&amp;REGLAS!C297&amp;"','"&amp;REGLAS!D297&amp;"','"&amp;REGLAS!G297&amp;"',TO_DATE('"&amp;REGLAS!H297&amp;"','yyyymmdd'),TO_DATE('"&amp;REGLAS!I297&amp;"','yyyymmdd'),'"&amp;REGLAS!J297&amp;"');")</f>
        <v>INSERT INTO INYCEXT.INYC_CONF_INF_REGLAS (COD_INFORME,TABLA,NOMBRE,REGLA,F_INICIO,F_FIN,DESCRIPCION) VALUES (6.1,'INYC_RPA_RESUMEN','SM - Importe cobrado acumulado','SM-O-RPP-Agente-Rappel-Pago-TotalAnual',TO_DATE('20170101','yyyymmdd'),TO_DATE('22000101','yyyymmdd'),'');</v>
      </c>
      <c r="B296" t="str">
        <f>IF(REGLAS!J297="OBSOLETO","","INSERT INTO INYCEXT.INYC_CONF_INF_REGLAS@tc_link (COD_INFORME,TABLA,NOMBRE,REGLA,F_INICIO,F_FIN,DESCRIPCION) VALUES ("&amp;REGLAS!B297&amp;",'"&amp;REGLAS!C297&amp;"','"&amp;REGLAS!D297&amp;"','"&amp;REGLAS!G297&amp;"',TO_DATE('"&amp;REGLAS!H297&amp;"','yyyymmdd'),TO_DATE('"&amp;REGLAS!I297&amp;"','yyyymmdd'),'"&amp;REGLAS!J297&amp;"');")</f>
        <v>INSERT INTO INYCEXT.INYC_CONF_INF_REGLAS@tc_link (COD_INFORME,TABLA,NOMBRE,REGLA,F_INICIO,F_FIN,DESCRIPCION) VALUES (6.1,'INYC_RPA_RESUMEN','SM - Importe cobrado acumulado','SM-O-RPP-Agente-Rappel-Pago-TotalAnual',TO_DATE('20170101','yyyymmdd'),TO_DATE('22000101','yyyymmdd'),'');</v>
      </c>
    </row>
    <row r="297" spans="1:2" x14ac:dyDescent="0.25">
      <c r="A297" t="str">
        <f>IF(REGLAS!J298="OBSOLETO","","INSERT INTO INYCEXT.INYC_CONF_INF_REGLAS (COD_INFORME,TABLA,NOMBRE,REGLA,F_INICIO,F_FIN,DESCRIPCION) VALUES ("&amp;REGLAS!B298&amp;",'"&amp;REGLAS!C298&amp;"','"&amp;REGLAS!D298&amp;"','"&amp;REGLAS!G298&amp;"',TO_DATE('"&amp;REGLAS!H298&amp;"','yyyymmdd'),TO_DATE('"&amp;REGLAS!I298&amp;"','yyyymmdd'),'"&amp;REGLAS!J298&amp;"');")</f>
        <v>INSERT INTO INYCEXT.INYC_CONF_INF_REGLAS (COD_INFORME,TABLA,NOMBRE,REGLA,F_INICIO,F_FIN,DESCRIPCION) VALUES (6.1,'INYC_RPA_RESUMEN','SM - Importe Pago regularización','SM-O-RPP-Agente-Regularizacion-Pago',TO_DATE('20170101','yyyymmdd'),TO_DATE('22000101','yyyymmdd'),'');</v>
      </c>
      <c r="B297" t="str">
        <f>IF(REGLAS!J298="OBSOLETO","","INSERT INTO INYCEXT.INYC_CONF_INF_REGLAS@tc_link (COD_INFORME,TABLA,NOMBRE,REGLA,F_INICIO,F_FIN,DESCRIPCION) VALUES ("&amp;REGLAS!B298&amp;",'"&amp;REGLAS!C298&amp;"','"&amp;REGLAS!D298&amp;"','"&amp;REGLAS!G298&amp;"',TO_DATE('"&amp;REGLAS!H298&amp;"','yyyymmdd'),TO_DATE('"&amp;REGLAS!I298&amp;"','yyyymmdd'),'"&amp;REGLAS!J298&amp;"');")</f>
        <v>INSERT INTO INYCEXT.INYC_CONF_INF_REGLAS@tc_link (COD_INFORME,TABLA,NOMBRE,REGLA,F_INICIO,F_FIN,DESCRIPCION) VALUES (6.1,'INYC_RPA_RESUMEN','SM - Importe Pago regularización','SM-O-RPP-Agente-Regularizacion-Pago',TO_DATE('20170101','yyyymmdd'),TO_DATE('22000101','yyyymmdd'),'');</v>
      </c>
    </row>
    <row r="298" spans="1:2" x14ac:dyDescent="0.25">
      <c r="A298" t="str">
        <f>IF(REGLAS!J299="OBSOLETO","","INSERT INTO INYCEXT.INYC_CONF_INF_REGLAS (COD_INFORME,TABLA,NOMBRE,REGLA,F_INICIO,F_FIN,DESCRIPCION) VALUES ("&amp;REGLAS!B299&amp;",'"&amp;REGLAS!C299&amp;"','"&amp;REGLAS!D299&amp;"','"&amp;REGLAS!G299&amp;"',TO_DATE('"&amp;REGLAS!H299&amp;"','yyyymmdd'),TO_DATE('"&amp;REGLAS!I299&amp;"','yyyymmdd'),'"&amp;REGLAS!J299&amp;"');")</f>
        <v>INSERT INTO INYCEXT.INYC_CONF_INF_REGLAS (COD_INFORME,TABLA,NOMBRE,REGLA,F_INICIO,F_FIN,DESCRIPCION) VALUES (6.1,'INYC_RPA_RESUMEN','SM - Importe Pago Mes1','SM-O-RPP-Agente-Pago-Mes1Cuat',TO_DATE('20170101','yyyymmdd'),TO_DATE('22000101','yyyymmdd'),'');</v>
      </c>
      <c r="B298" t="str">
        <f>IF(REGLAS!J299="OBSOLETO","","INSERT INTO INYCEXT.INYC_CONF_INF_REGLAS@tc_link (COD_INFORME,TABLA,NOMBRE,REGLA,F_INICIO,F_FIN,DESCRIPCION) VALUES ("&amp;REGLAS!B299&amp;",'"&amp;REGLAS!C299&amp;"','"&amp;REGLAS!D299&amp;"','"&amp;REGLAS!G299&amp;"',TO_DATE('"&amp;REGLAS!H299&amp;"','yyyymmdd'),TO_DATE('"&amp;REGLAS!I299&amp;"','yyyymmdd'),'"&amp;REGLAS!J299&amp;"');")</f>
        <v>INSERT INTO INYCEXT.INYC_CONF_INF_REGLAS@tc_link (COD_INFORME,TABLA,NOMBRE,REGLA,F_INICIO,F_FIN,DESCRIPCION) VALUES (6.1,'INYC_RPA_RESUMEN','SM - Importe Pago Mes1','SM-O-RPP-Agente-Pago-Mes1Cuat',TO_DATE('20170101','yyyymmdd'),TO_DATE('22000101','yyyymmdd'),'');</v>
      </c>
    </row>
    <row r="299" spans="1:2" x14ac:dyDescent="0.25">
      <c r="A299" t="str">
        <f>IF(REGLAS!J300="OBSOLETO","","INSERT INTO INYCEXT.INYC_CONF_INF_REGLAS (COD_INFORME,TABLA,NOMBRE,REGLA,F_INICIO,F_FIN,DESCRIPCION) VALUES ("&amp;REGLAS!B300&amp;",'"&amp;REGLAS!C300&amp;"','"&amp;REGLAS!D300&amp;"','"&amp;REGLAS!G300&amp;"',TO_DATE('"&amp;REGLAS!H300&amp;"','yyyymmdd'),TO_DATE('"&amp;REGLAS!I300&amp;"','yyyymmdd'),'"&amp;REGLAS!J300&amp;"');")</f>
        <v>INSERT INTO INYCEXT.INYC_CONF_INF_REGLAS (COD_INFORME,TABLA,NOMBRE,REGLA,F_INICIO,F_FIN,DESCRIPCION) VALUES (6.1,'INYC_RPA_RESUMEN','SM - Importe Pago Mes2','SM-O-RPP-Agente-Pago-Mes2Cuat',TO_DATE('20170101','yyyymmdd'),TO_DATE('22000101','yyyymmdd'),'');</v>
      </c>
      <c r="B299" t="str">
        <f>IF(REGLAS!J300="OBSOLETO","","INSERT INTO INYCEXT.INYC_CONF_INF_REGLAS@tc_link (COD_INFORME,TABLA,NOMBRE,REGLA,F_INICIO,F_FIN,DESCRIPCION) VALUES ("&amp;REGLAS!B300&amp;",'"&amp;REGLAS!C300&amp;"','"&amp;REGLAS!D300&amp;"','"&amp;REGLAS!G300&amp;"',TO_DATE('"&amp;REGLAS!H300&amp;"','yyyymmdd'),TO_DATE('"&amp;REGLAS!I300&amp;"','yyyymmdd'),'"&amp;REGLAS!J300&amp;"');")</f>
        <v>INSERT INTO INYCEXT.INYC_CONF_INF_REGLAS@tc_link (COD_INFORME,TABLA,NOMBRE,REGLA,F_INICIO,F_FIN,DESCRIPCION) VALUES (6.1,'INYC_RPA_RESUMEN','SM - Importe Pago Mes2','SM-O-RPP-Agente-Pago-Mes2Cuat',TO_DATE('20170101','yyyymmdd'),TO_DATE('22000101','yyyymmdd'),'');</v>
      </c>
    </row>
    <row r="300" spans="1:2" x14ac:dyDescent="0.25">
      <c r="A300" t="str">
        <f>IF(REGLAS!J301="OBSOLETO","","INSERT INTO INYCEXT.INYC_CONF_INF_REGLAS (COD_INFORME,TABLA,NOMBRE,REGLA,F_INICIO,F_FIN,DESCRIPCION) VALUES ("&amp;REGLAS!B301&amp;",'"&amp;REGLAS!C301&amp;"','"&amp;REGLAS!D301&amp;"','"&amp;REGLAS!G301&amp;"',TO_DATE('"&amp;REGLAS!H301&amp;"','yyyymmdd'),TO_DATE('"&amp;REGLAS!I301&amp;"','yyyymmdd'),'"&amp;REGLAS!J301&amp;"');")</f>
        <v>INSERT INTO INYCEXT.INYC_CONF_INF_REGLAS (COD_INFORME,TABLA,NOMBRE,REGLA,F_INICIO,F_FIN,DESCRIPCION) VALUES (6.1,'INYC_RPA_RESUMEN','SM - Importe Pago Mes3','SM-O-RPP-Agente-Pago-Mes3Cuat',TO_DATE('20170101','yyyymmdd'),TO_DATE('22000101','yyyymmdd'),'');</v>
      </c>
      <c r="B300" t="str">
        <f>IF(REGLAS!J301="OBSOLETO","","INSERT INTO INYCEXT.INYC_CONF_INF_REGLAS@tc_link (COD_INFORME,TABLA,NOMBRE,REGLA,F_INICIO,F_FIN,DESCRIPCION) VALUES ("&amp;REGLAS!B301&amp;",'"&amp;REGLAS!C301&amp;"','"&amp;REGLAS!D301&amp;"','"&amp;REGLAS!G301&amp;"',TO_DATE('"&amp;REGLAS!H301&amp;"','yyyymmdd'),TO_DATE('"&amp;REGLAS!I301&amp;"','yyyymmdd'),'"&amp;REGLAS!J301&amp;"');")</f>
        <v>INSERT INTO INYCEXT.INYC_CONF_INF_REGLAS@tc_link (COD_INFORME,TABLA,NOMBRE,REGLA,F_INICIO,F_FIN,DESCRIPCION) VALUES (6.1,'INYC_RPA_RESUMEN','SM - Importe Pago Mes3','SM-O-RPP-Agente-Pago-Mes3Cuat',TO_DATE('20170101','yyyymmdd'),TO_DATE('22000101','yyyymmdd'),'');</v>
      </c>
    </row>
    <row r="301" spans="1:2" x14ac:dyDescent="0.25">
      <c r="A301" t="str">
        <f>IF(REGLAS!J302="OBSOLETO","","INSERT INTO INYCEXT.INYC_CONF_INF_REGLAS (COD_INFORME,TABLA,NOMBRE,REGLA,F_INICIO,F_FIN,DESCRIPCION) VALUES ("&amp;REGLAS!B302&amp;",'"&amp;REGLAS!C302&amp;"','"&amp;REGLAS!D302&amp;"','"&amp;REGLAS!G302&amp;"',TO_DATE('"&amp;REGLAS!H302&amp;"','yyyymmdd'),TO_DATE('"&amp;REGLAS!I302&amp;"','yyyymmdd'),'"&amp;REGLAS!J302&amp;"');")</f>
        <v>INSERT INTO INYCEXT.INYC_CONF_INF_REGLAS (COD_INFORME,TABLA,NOMBRE,REGLA,F_INICIO,F_FIN,DESCRIPCION) VALUES (6.1,'INYC_RPA_RESUMEN','SM - Importe Pago Mes4','SM-O-RPP-Agente-Pago-Mes4Cuat',TO_DATE('20170101','yyyymmdd'),TO_DATE('22000101','yyyymmdd'),'');</v>
      </c>
      <c r="B301" t="str">
        <f>IF(REGLAS!J302="OBSOLETO","","INSERT INTO INYCEXT.INYC_CONF_INF_REGLAS@tc_link (COD_INFORME,TABLA,NOMBRE,REGLA,F_INICIO,F_FIN,DESCRIPCION) VALUES ("&amp;REGLAS!B302&amp;",'"&amp;REGLAS!C302&amp;"','"&amp;REGLAS!D302&amp;"','"&amp;REGLAS!G302&amp;"',TO_DATE('"&amp;REGLAS!H302&amp;"','yyyymmdd'),TO_DATE('"&amp;REGLAS!I302&amp;"','yyyymmdd'),'"&amp;REGLAS!J302&amp;"');")</f>
        <v>INSERT INTO INYCEXT.INYC_CONF_INF_REGLAS@tc_link (COD_INFORME,TABLA,NOMBRE,REGLA,F_INICIO,F_FIN,DESCRIPCION) VALUES (6.1,'INYC_RPA_RESUMEN','SM - Importe Pago Mes4','SM-O-RPP-Agente-Pago-Mes4Cuat',TO_DATE('20170101','yyyymmdd'),TO_DATE('22000101','yyyymmdd'),'');</v>
      </c>
    </row>
    <row r="302" spans="1:2" x14ac:dyDescent="0.25">
      <c r="A302" t="str">
        <f>IF(REGLAS!J303="OBSOLETO","","INSERT INTO INYCEXT.INYC_CONF_INF_REGLAS (COD_INFORME,TABLA,NOMBRE,REGLA,F_INICIO,F_FIN,DESCRIPCION) VALUES ("&amp;REGLAS!B303&amp;",'"&amp;REGLAS!C303&amp;"','"&amp;REGLAS!D303&amp;"','"&amp;REGLAS!G303&amp;"',TO_DATE('"&amp;REGLAS!H303&amp;"','yyyymmdd'),TO_DATE('"&amp;REGLAS!I303&amp;"','yyyymmdd'),'"&amp;REGLAS!J303&amp;"');")</f>
        <v>INSERT INTO INYCEXT.INYC_CONF_INF_REGLAS (COD_INFORME,TABLA,NOMBRE,REGLA,F_INICIO,F_FIN,DESCRIPCION) VALUES (6.1,'INYC_RPA_RESUMEN','SM - Importe Pago Regularización Cuatrimestral Mes1','SM-O-RPP-Agente-ImporteRegNetaCuat-Mes1',TO_DATE('20170101','yyyymmdd'),TO_DATE('22000101','yyyymmdd'),'');</v>
      </c>
      <c r="B302" t="str">
        <f>IF(REGLAS!J303="OBSOLETO","","INSERT INTO INYCEXT.INYC_CONF_INF_REGLAS@tc_link (COD_INFORME,TABLA,NOMBRE,REGLA,F_INICIO,F_FIN,DESCRIPCION) VALUES ("&amp;REGLAS!B303&amp;",'"&amp;REGLAS!C303&amp;"','"&amp;REGLAS!D303&amp;"','"&amp;REGLAS!G303&amp;"',TO_DATE('"&amp;REGLAS!H303&amp;"','yyyymmdd'),TO_DATE('"&amp;REGLAS!I303&amp;"','yyyymmdd'),'"&amp;REGLAS!J303&amp;"');")</f>
        <v>INSERT INTO INYCEXT.INYC_CONF_INF_REGLAS@tc_link (COD_INFORME,TABLA,NOMBRE,REGLA,F_INICIO,F_FIN,DESCRIPCION) VALUES (6.1,'INYC_RPA_RESUMEN','SM - Importe Pago Regularización Cuatrimestral Mes1','SM-O-RPP-Agente-ImporteRegNetaCuat-Mes1',TO_DATE('20170101','yyyymmdd'),TO_DATE('22000101','yyyymmdd'),'');</v>
      </c>
    </row>
    <row r="303" spans="1:2" x14ac:dyDescent="0.25">
      <c r="A303" t="str">
        <f>IF(REGLAS!J304="OBSOLETO","","INSERT INTO INYCEXT.INYC_CONF_INF_REGLAS (COD_INFORME,TABLA,NOMBRE,REGLA,F_INICIO,F_FIN,DESCRIPCION) VALUES ("&amp;REGLAS!B304&amp;",'"&amp;REGLAS!C304&amp;"','"&amp;REGLAS!D304&amp;"','"&amp;REGLAS!G304&amp;"',TO_DATE('"&amp;REGLAS!H304&amp;"','yyyymmdd'),TO_DATE('"&amp;REGLAS!I304&amp;"','yyyymmdd'),'"&amp;REGLAS!J304&amp;"');")</f>
        <v>INSERT INTO INYCEXT.INYC_CONF_INF_REGLAS (COD_INFORME,TABLA,NOMBRE,REGLA,F_INICIO,F_FIN,DESCRIPCION) VALUES (6.1,'INYC_RPA_RESUMEN','SM - Importe Pago Regularización Cuatrimestral Mes2','SM-O-RPP-Agente-ImporteRegNetaCuat-Mes2',TO_DATE('20170101','yyyymmdd'),TO_DATE('22000101','yyyymmdd'),'');</v>
      </c>
      <c r="B303" t="str">
        <f>IF(REGLAS!J304="OBSOLETO","","INSERT INTO INYCEXT.INYC_CONF_INF_REGLAS@tc_link (COD_INFORME,TABLA,NOMBRE,REGLA,F_INICIO,F_FIN,DESCRIPCION) VALUES ("&amp;REGLAS!B304&amp;",'"&amp;REGLAS!C304&amp;"','"&amp;REGLAS!D304&amp;"','"&amp;REGLAS!G304&amp;"',TO_DATE('"&amp;REGLAS!H304&amp;"','yyyymmdd'),TO_DATE('"&amp;REGLAS!I304&amp;"','yyyymmdd'),'"&amp;REGLAS!J304&amp;"');")</f>
        <v>INSERT INTO INYCEXT.INYC_CONF_INF_REGLAS@tc_link (COD_INFORME,TABLA,NOMBRE,REGLA,F_INICIO,F_FIN,DESCRIPCION) VALUES (6.1,'INYC_RPA_RESUMEN','SM - Importe Pago Regularización Cuatrimestral Mes2','SM-O-RPP-Agente-ImporteRegNetaCuat-Mes2',TO_DATE('20170101','yyyymmdd'),TO_DATE('22000101','yyyymmdd'),'');</v>
      </c>
    </row>
    <row r="304" spans="1:2" x14ac:dyDescent="0.25">
      <c r="A304" t="str">
        <f>IF(REGLAS!J305="OBSOLETO","","INSERT INTO INYCEXT.INYC_CONF_INF_REGLAS (COD_INFORME,TABLA,NOMBRE,REGLA,F_INICIO,F_FIN,DESCRIPCION) VALUES ("&amp;REGLAS!B305&amp;",'"&amp;REGLAS!C305&amp;"','"&amp;REGLAS!D305&amp;"','"&amp;REGLAS!G305&amp;"',TO_DATE('"&amp;REGLAS!H305&amp;"','yyyymmdd'),TO_DATE('"&amp;REGLAS!I305&amp;"','yyyymmdd'),'"&amp;REGLAS!J305&amp;"');")</f>
        <v>INSERT INTO INYCEXT.INYC_CONF_INF_REGLAS (COD_INFORME,TABLA,NOMBRE,REGLA,F_INICIO,F_FIN,DESCRIPCION) VALUES (6.1,'INYC_RPA_RESUMEN','SM - Importe Pago Regularización Cuatrimestral Mes3','SM-O-RPP-Agente-ImporteRegNetaCuat-Mes3',TO_DATE('20170101','yyyymmdd'),TO_DATE('22000101','yyyymmdd'),'');</v>
      </c>
      <c r="B304" t="str">
        <f>IF(REGLAS!J305="OBSOLETO","","INSERT INTO INYCEXT.INYC_CONF_INF_REGLAS@tc_link (COD_INFORME,TABLA,NOMBRE,REGLA,F_INICIO,F_FIN,DESCRIPCION) VALUES ("&amp;REGLAS!B305&amp;",'"&amp;REGLAS!C305&amp;"','"&amp;REGLAS!D305&amp;"','"&amp;REGLAS!G305&amp;"',TO_DATE('"&amp;REGLAS!H305&amp;"','yyyymmdd'),TO_DATE('"&amp;REGLAS!I305&amp;"','yyyymmdd'),'"&amp;REGLAS!J305&amp;"');")</f>
        <v>INSERT INTO INYCEXT.INYC_CONF_INF_REGLAS@tc_link (COD_INFORME,TABLA,NOMBRE,REGLA,F_INICIO,F_FIN,DESCRIPCION) VALUES (6.1,'INYC_RPA_RESUMEN','SM - Importe Pago Regularización Cuatrimestral Mes3','SM-O-RPP-Agente-ImporteRegNetaCuat-Mes3',TO_DATE('20170101','yyyymmdd'),TO_DATE('22000101','yyyymmdd'),'');</v>
      </c>
    </row>
    <row r="305" spans="1:2" x14ac:dyDescent="0.25">
      <c r="A305" t="str">
        <f>IF(REGLAS!J306="OBSOLETO","","INSERT INTO INYCEXT.INYC_CONF_INF_REGLAS (COD_INFORME,TABLA,NOMBRE,REGLA,F_INICIO,F_FIN,DESCRIPCION) VALUES ("&amp;REGLAS!B306&amp;",'"&amp;REGLAS!C306&amp;"','"&amp;REGLAS!D306&amp;"','"&amp;REGLAS!G306&amp;"',TO_DATE('"&amp;REGLAS!H306&amp;"','yyyymmdd'),TO_DATE('"&amp;REGLAS!I306&amp;"','yyyymmdd'),'"&amp;REGLAS!J306&amp;"');")</f>
        <v>INSERT INTO INYCEXT.INYC_CONF_INF_REGLAS (COD_INFORME,TABLA,NOMBRE,REGLA,F_INICIO,F_FIN,DESCRIPCION) VALUES (6.1,'INYC_RPA_RESUMEN','SM - Importe Pago Regularización Cuatrimestral Mes4','SM-O-RPP-Agente-ImporteRegNetaCuat-Mes4',TO_DATE('20170101','yyyymmdd'),TO_DATE('22000101','yyyymmdd'),'');</v>
      </c>
      <c r="B305" t="str">
        <f>IF(REGLAS!J306="OBSOLETO","","INSERT INTO INYCEXT.INYC_CONF_INF_REGLAS@tc_link (COD_INFORME,TABLA,NOMBRE,REGLA,F_INICIO,F_FIN,DESCRIPCION) VALUES ("&amp;REGLAS!B306&amp;",'"&amp;REGLAS!C306&amp;"','"&amp;REGLAS!D306&amp;"','"&amp;REGLAS!G306&amp;"',TO_DATE('"&amp;REGLAS!H306&amp;"','yyyymmdd'),TO_DATE('"&amp;REGLAS!I306&amp;"','yyyymmdd'),'"&amp;REGLAS!J306&amp;"');")</f>
        <v>INSERT INTO INYCEXT.INYC_CONF_INF_REGLAS@tc_link (COD_INFORME,TABLA,NOMBRE,REGLA,F_INICIO,F_FIN,DESCRIPCION) VALUES (6.1,'INYC_RPA_RESUMEN','SM - Importe Pago Regularización Cuatrimestral Mes4','SM-O-RPP-Agente-ImporteRegNetaCuat-Mes4',TO_DATE('20170101','yyyymmdd'),TO_DATE('22000101','yyyymmdd'),'');</v>
      </c>
    </row>
    <row r="306" spans="1:2" x14ac:dyDescent="0.25">
      <c r="A306" t="str">
        <f>IF(REGLAS!J307="OBSOLETO","","INSERT INTO INYCEXT.INYC_CONF_INF_REGLAS (COD_INFORME,TABLA,NOMBRE,REGLA,F_INICIO,F_FIN,DESCRIPCION) VALUES ("&amp;REGLAS!B307&amp;",'"&amp;REGLAS!C307&amp;"','"&amp;REGLAS!D307&amp;"','"&amp;REGLAS!G307&amp;"',TO_DATE('"&amp;REGLAS!H307&amp;"','yyyymmdd'),TO_DATE('"&amp;REGLAS!I307&amp;"','yyyymmdd'),'"&amp;REGLAS!J307&amp;"');")</f>
        <v>INSERT INTO INYCEXT.INYC_CONF_INF_REGLAS (COD_INFORME,TABLA,NOMBRE,REGLA,F_INICIO,F_FIN,DESCRIPCION) VALUES (6.1,'INYC_RPA_RESUMEN','SM - Importe Pago Regularización Cuatrimestral Total','SM-O-RPP-Agente-ImporteRegNetaCuat',TO_DATE('20170101','yyyymmdd'),TO_DATE('22000101','yyyymmdd'),'');</v>
      </c>
      <c r="B306" t="str">
        <f>IF(REGLAS!J307="OBSOLETO","","INSERT INTO INYCEXT.INYC_CONF_INF_REGLAS@tc_link (COD_INFORME,TABLA,NOMBRE,REGLA,F_INICIO,F_FIN,DESCRIPCION) VALUES ("&amp;REGLAS!B307&amp;",'"&amp;REGLAS!C307&amp;"','"&amp;REGLAS!D307&amp;"','"&amp;REGLAS!G307&amp;"',TO_DATE('"&amp;REGLAS!H307&amp;"','yyyymmdd'),TO_DATE('"&amp;REGLAS!I307&amp;"','yyyymmdd'),'"&amp;REGLAS!J307&amp;"');")</f>
        <v>INSERT INTO INYCEXT.INYC_CONF_INF_REGLAS@tc_link (COD_INFORME,TABLA,NOMBRE,REGLA,F_INICIO,F_FIN,DESCRIPCION) VALUES (6.1,'INYC_RPA_RESUMEN','SM - Importe Pago Regularización Cuatrimestral Total','SM-O-RPP-Agente-ImporteRegNetaCuat',TO_DATE('20170101','yyyymmdd'),TO_DATE('22000101','yyyymmdd'),'');</v>
      </c>
    </row>
    <row r="307" spans="1:2" x14ac:dyDescent="0.25">
      <c r="A307" t="str">
        <f>IF(REGLAS!J308="OBSOLETO","","INSERT INTO INYCEXT.INYC_CONF_INF_REGLAS (COD_INFORME,TABLA,NOMBRE,REGLA,F_INICIO,F_FIN,DESCRIPCION) VALUES ("&amp;REGLAS!B308&amp;",'"&amp;REGLAS!C308&amp;"','"&amp;REGLAS!D308&amp;"','"&amp;REGLAS!G308&amp;"',TO_DATE('"&amp;REGLAS!H308&amp;"','yyyymmdd'),TO_DATE('"&amp;REGLAS!I308&amp;"','yyyymmdd'),'"&amp;REGLAS!J308&amp;"');")</f>
        <v>INSERT INTO INYCEXT.INYC_CONF_INF_REGLAS (COD_INFORME,TABLA,NOMBRE,REGLA,F_INICIO,F_FIN,DESCRIPCION) VALUES (6.1,'INYC_RPA_RESUMEN','SM - Escalado Rappel Regularizacion Trimestral','SM-O-RPP-Agente-Importe-RegTrim',TO_DATE('20220101','yyyymmdd'),TO_DATE('22000101','yyyymmdd'),'Version 20220323');</v>
      </c>
      <c r="B307" t="str">
        <f>IF(REGLAS!J308="OBSOLETO","","INSERT INTO INYCEXT.INYC_CONF_INF_REGLAS@tc_link (COD_INFORME,TABLA,NOMBRE,REGLA,F_INICIO,F_FIN,DESCRIPCION) VALUES ("&amp;REGLAS!B308&amp;",'"&amp;REGLAS!C308&amp;"','"&amp;REGLAS!D308&amp;"','"&amp;REGLAS!G308&amp;"',TO_DATE('"&amp;REGLAS!H308&amp;"','yyyymmdd'),TO_DATE('"&amp;REGLAS!I308&amp;"','yyyymmdd'),'"&amp;REGLAS!J308&amp;"');")</f>
        <v>INSERT INTO INYCEXT.INYC_CONF_INF_REGLAS@tc_link (COD_INFORME,TABLA,NOMBRE,REGLA,F_INICIO,F_FIN,DESCRIPCION) VALUES (6.1,'INYC_RPA_RESUMEN','SM - Escalado Rappel Regularizacion Trimestral','SM-O-RPP-Agente-Importe-RegTrim',TO_DATE('20220101','yyyymmdd'),TO_DATE('22000101','yyyymmdd'),'Version 20220323');</v>
      </c>
    </row>
    <row r="308" spans="1:2" x14ac:dyDescent="0.25">
      <c r="A308" t="str">
        <f>IF(REGLAS!J309="OBSOLETO","","INSERT INTO INYCEXT.INYC_CONF_INF_REGLAS (COD_INFORME,TABLA,NOMBRE,REGLA,F_INICIO,F_FIN,DESCRIPCION) VALUES ("&amp;REGLAS!B309&amp;",'"&amp;REGLAS!C309&amp;"','"&amp;REGLAS!D309&amp;"','"&amp;REGLAS!G309&amp;"',TO_DATE('"&amp;REGLAS!H309&amp;"','yyyymmdd'),TO_DATE('"&amp;REGLAS!I309&amp;"','yyyymmdd'),'"&amp;REGLAS!J309&amp;"');")</f>
        <v>INSERT INTO INYCEXT.INYC_CONF_INF_REGLAS (COD_INFORME,TABLA,NOMBRE,REGLA,F_INICIO,F_FIN,DESCRIPCION) VALUES (6.1,'INYC_RPA_RESUMEN','SM - Total Rappel Abonado Regularizacion Trimestral','SM-O-RPP-Agente-TotalPagoRappel-RegTrim',TO_DATE('20220101','yyyymmdd'),TO_DATE('22000101','yyyymmdd'),'Version 20220323');</v>
      </c>
      <c r="B308" t="str">
        <f>IF(REGLAS!J309="OBSOLETO","","INSERT INTO INYCEXT.INYC_CONF_INF_REGLAS@tc_link (COD_INFORME,TABLA,NOMBRE,REGLA,F_INICIO,F_FIN,DESCRIPCION) VALUES ("&amp;REGLAS!B309&amp;",'"&amp;REGLAS!C309&amp;"','"&amp;REGLAS!D309&amp;"','"&amp;REGLAS!G309&amp;"',TO_DATE('"&amp;REGLAS!H309&amp;"','yyyymmdd'),TO_DATE('"&amp;REGLAS!I309&amp;"','yyyymmdd'),'"&amp;REGLAS!J309&amp;"');")</f>
        <v>INSERT INTO INYCEXT.INYC_CONF_INF_REGLAS@tc_link (COD_INFORME,TABLA,NOMBRE,REGLA,F_INICIO,F_FIN,DESCRIPCION) VALUES (6.1,'INYC_RPA_RESUMEN','SM - Total Rappel Abonado Regularizacion Trimestral','SM-O-RPP-Agente-TotalPagoRappel-RegTrim',TO_DATE('20220101','yyyymmdd'),TO_DATE('22000101','yyyymmdd'),'Version 20220323');</v>
      </c>
    </row>
    <row r="309" spans="1:2" x14ac:dyDescent="0.25">
      <c r="A309" t="str">
        <f>IF(REGLAS!J310="OBSOLETO","","INSERT INTO INYCEXT.INYC_CONF_INF_REGLAS (COD_INFORME,TABLA,NOMBRE,REGLA,F_INICIO,F_FIN,DESCRIPCION) VALUES ("&amp;REGLAS!B310&amp;",'"&amp;REGLAS!C310&amp;"','"&amp;REGLAS!D310&amp;"','"&amp;REGLAS!G310&amp;"',TO_DATE('"&amp;REGLAS!H310&amp;"','yyyymmdd'),TO_DATE('"&amp;REGLAS!I310&amp;"','yyyymmdd'),'"&amp;REGLAS!J310&amp;"');")</f>
        <v>INSERT INTO INYCEXT.INYC_CONF_INF_REGLAS (COD_INFORME,TABLA,NOMBRE,REGLA,F_INICIO,F_FIN,DESCRIPCION) VALUES (6.1,'INYC_RPA_RESUMEN','SM - Importe Regularizacion Trimestral','SM-O-RPP-Agente-ImporteNeto-RegTrim',TO_DATE('20220101','yyyymmdd'),TO_DATE('22000101','yyyymmdd'),'Version 20220323');</v>
      </c>
      <c r="B309" t="str">
        <f>IF(REGLAS!J310="OBSOLETO","","INSERT INTO INYCEXT.INYC_CONF_INF_REGLAS@tc_link (COD_INFORME,TABLA,NOMBRE,REGLA,F_INICIO,F_FIN,DESCRIPCION) VALUES ("&amp;REGLAS!B310&amp;",'"&amp;REGLAS!C310&amp;"','"&amp;REGLAS!D310&amp;"','"&amp;REGLAS!G310&amp;"',TO_DATE('"&amp;REGLAS!H310&amp;"','yyyymmdd'),TO_DATE('"&amp;REGLAS!I310&amp;"','yyyymmdd'),'"&amp;REGLAS!J310&amp;"');")</f>
        <v>INSERT INTO INYCEXT.INYC_CONF_INF_REGLAS@tc_link (COD_INFORME,TABLA,NOMBRE,REGLA,F_INICIO,F_FIN,DESCRIPCION) VALUES (6.1,'INYC_RPA_RESUMEN','SM - Importe Regularizacion Trimestral','SM-O-RPP-Agente-ImporteNeto-RegTrim',TO_DATE('20220101','yyyymmdd'),TO_DATE('22000101','yyyymmdd'),'Version 20220323');</v>
      </c>
    </row>
    <row r="310" spans="1:2" x14ac:dyDescent="0.25">
      <c r="A310" t="str">
        <f>IF(REGLAS!J311="OBSOLETO","","INSERT INTO INYCEXT.INYC_CONF_INF_REGLAS (COD_INFORME,TABLA,NOMBRE,REGLA,F_INICIO,F_FIN,DESCRIPCION) VALUES ("&amp;REGLAS!B311&amp;",'"&amp;REGLAS!C311&amp;"','"&amp;REGLAS!D311&amp;"','"&amp;REGLAS!G311&amp;"',TO_DATE('"&amp;REGLAS!H311&amp;"','yyyymmdd'),TO_DATE('"&amp;REGLAS!I311&amp;"','yyyymmdd'),'"&amp;REGLAS!J311&amp;"');")</f>
        <v>INSERT INTO INYCEXT.INYC_CONF_INF_REGLAS (COD_INFORME,TABLA,NOMBRE,REGLA,F_INICIO,F_FIN,DESCRIPCION) VALUES (6.1,'INYC_RPA_RESUMEN','SM - Objetivos Agente General','SM-O-RPP-AgenteGeneral-Cumple-Objetivos',TO_DATE('20210101','yyyymmdd'),TO_DATE('22000101','yyyymmdd'),'Version 20210201');</v>
      </c>
      <c r="B310" t="str">
        <f>IF(REGLAS!J311="OBSOLETO","","INSERT INTO INYCEXT.INYC_CONF_INF_REGLAS@tc_link (COD_INFORME,TABLA,NOMBRE,REGLA,F_INICIO,F_FIN,DESCRIPCION) VALUES ("&amp;REGLAS!B311&amp;",'"&amp;REGLAS!C311&amp;"','"&amp;REGLAS!D311&amp;"','"&amp;REGLAS!G311&amp;"',TO_DATE('"&amp;REGLAS!H311&amp;"','yyyymmdd'),TO_DATE('"&amp;REGLAS!I311&amp;"','yyyymmdd'),'"&amp;REGLAS!J311&amp;"');")</f>
        <v>INSERT INTO INYCEXT.INYC_CONF_INF_REGLAS@tc_link (COD_INFORME,TABLA,NOMBRE,REGLA,F_INICIO,F_FIN,DESCRIPCION) VALUES (6.1,'INYC_RPA_RESUMEN','SM - Objetivos Agente General','SM-O-RPP-AgenteGeneral-Cumple-Objetivos',TO_DATE('20210101','yyyymmdd'),TO_DATE('22000101','yyyymmdd'),'Version 20210201');</v>
      </c>
    </row>
    <row r="311" spans="1:2" x14ac:dyDescent="0.25">
      <c r="A311" t="str">
        <f>IF(REGLAS!J312="OBSOLETO","","INSERT INTO INYCEXT.INYC_CONF_INF_REGLAS (COD_INFORME,TABLA,NOMBRE,REGLA,F_INICIO,F_FIN,DESCRIPCION) VALUES ("&amp;REGLAS!B312&amp;",'"&amp;REGLAS!C312&amp;"','"&amp;REGLAS!D312&amp;"','"&amp;REGLAS!G312&amp;"',TO_DATE('"&amp;REGLAS!H312&amp;"','yyyymmdd'),TO_DATE('"&amp;REGLAS!I312&amp;"','yyyymmdd'),'"&amp;REGLAS!J312&amp;"');")</f>
        <v>INSERT INTO INYCEXT.INYC_CONF_INF_REGLAS (COD_INFORME,TABLA,NOMBRE,REGLA,F_INICIO,F_FIN,DESCRIPCION) VALUES (6.1,'INYC_RPA_RESUMEN','SM - Objetivos Agentes','SM-O-RPP-Agente-Cumple-Objetivos',TO_DATE('20210101','yyyymmdd'),TO_DATE('22000101','yyyymmdd'),'Version 20210201');</v>
      </c>
      <c r="B311" t="str">
        <f>IF(REGLAS!J312="OBSOLETO","","INSERT INTO INYCEXT.INYC_CONF_INF_REGLAS@tc_link (COD_INFORME,TABLA,NOMBRE,REGLA,F_INICIO,F_FIN,DESCRIPCION) VALUES ("&amp;REGLAS!B312&amp;",'"&amp;REGLAS!C312&amp;"','"&amp;REGLAS!D312&amp;"','"&amp;REGLAS!G312&amp;"',TO_DATE('"&amp;REGLAS!H312&amp;"','yyyymmdd'),TO_DATE('"&amp;REGLAS!I312&amp;"','yyyymmdd'),'"&amp;REGLAS!J312&amp;"');")</f>
        <v>INSERT INTO INYCEXT.INYC_CONF_INF_REGLAS@tc_link (COD_INFORME,TABLA,NOMBRE,REGLA,F_INICIO,F_FIN,DESCRIPCION) VALUES (6.1,'INYC_RPA_RESUMEN','SM - Objetivos Agentes','SM-O-RPP-Agente-Cumple-Objetivos',TO_DATE('20210101','yyyymmdd'),TO_DATE('22000101','yyyymmdd'),'Version 20210201');</v>
      </c>
    </row>
    <row r="312" spans="1:2" x14ac:dyDescent="0.25">
      <c r="A312" t="str">
        <f>IF(REGLAS!J313="OBSOLETO","","INSERT INTO INYCEXT.INYC_CONF_INF_REGLAS (COD_INFORME,TABLA,NOMBRE,REGLA,F_INICIO,F_FIN,DESCRIPCION) VALUES ("&amp;REGLAS!B313&amp;",'"&amp;REGLAS!C313&amp;"','"&amp;REGLAS!D313&amp;"','"&amp;REGLAS!G313&amp;"',TO_DATE('"&amp;REGLAS!H313&amp;"','yyyymmdd'),TO_DATE('"&amp;REGLAS!I313&amp;"','yyyymmdd'),'"&amp;REGLAS!J313&amp;"');")</f>
        <v>INSERT INTO INYCEXT.INYC_CONF_INF_REGLAS (COD_INFORME,TABLA,NOMBRE,REGLA,F_INICIO,F_FIN,DESCRIPCION) VALUES (6.1,'INYC_RPA_RESUMEN','SM - Objetivos Agentes Regularizacion Trimestral','SM-O-RPP-Agente-CumpleObjetivos-RegulTrimestral',TO_DATE('20220101','yyyymmdd'),TO_DATE('22000101','yyyymmdd'),'Version 20220323');</v>
      </c>
      <c r="B312" t="str">
        <f>IF(REGLAS!J313="OBSOLETO","","INSERT INTO INYCEXT.INYC_CONF_INF_REGLAS@tc_link (COD_INFORME,TABLA,NOMBRE,REGLA,F_INICIO,F_FIN,DESCRIPCION) VALUES ("&amp;REGLAS!B313&amp;",'"&amp;REGLAS!C313&amp;"','"&amp;REGLAS!D313&amp;"','"&amp;REGLAS!G313&amp;"',TO_DATE('"&amp;REGLAS!H313&amp;"','yyyymmdd'),TO_DATE('"&amp;REGLAS!I313&amp;"','yyyymmdd'),'"&amp;REGLAS!J313&amp;"');")</f>
        <v>INSERT INTO INYCEXT.INYC_CONF_INF_REGLAS@tc_link (COD_INFORME,TABLA,NOMBRE,REGLA,F_INICIO,F_FIN,DESCRIPCION) VALUES (6.1,'INYC_RPA_RESUMEN','SM - Objetivos Agentes Regularizacion Trimestral','SM-O-RPP-Agente-CumpleObjetivos-RegulTrimestral',TO_DATE('20220101','yyyymmdd'),TO_DATE('22000101','yyyymmdd'),'Version 20220323');</v>
      </c>
    </row>
    <row r="313" spans="1:2" x14ac:dyDescent="0.25">
      <c r="A313" t="str">
        <f>IF(REGLAS!J314="OBSOLETO","","INSERT INTO INYCEXT.INYC_CONF_INF_REGLAS (COD_INFORME,TABLA,NOMBRE,REGLA,F_INICIO,F_FIN,DESCRIPCION) VALUES ("&amp;REGLAS!B314&amp;",'"&amp;REGLAS!C314&amp;"','"&amp;REGLAS!D314&amp;"','"&amp;REGLAS!G314&amp;"',TO_DATE('"&amp;REGLAS!H314&amp;"','yyyymmdd'),TO_DATE('"&amp;REGLAS!I314&amp;"','yyyymmdd'),'"&amp;REGLAS!J314&amp;"');")</f>
        <v>INSERT INTO INYCEXT.INYC_CONF_INF_REGLAS (COD_INFORME,TABLA,NOMBRE,REGLA,F_INICIO,F_FIN,DESCRIPCION) VALUES (6.1,'INYC_RPA_RESUMEN','SM - Cumple Llave','SM-O-RPP-Agente-Cumple-Llave',TO_DATE('20210101','yyyymmdd'),TO_DATE('22000101','yyyymmdd'),'Version 20210201');</v>
      </c>
      <c r="B313" t="str">
        <f>IF(REGLAS!J314="OBSOLETO","","INSERT INTO INYCEXT.INYC_CONF_INF_REGLAS@tc_link (COD_INFORME,TABLA,NOMBRE,REGLA,F_INICIO,F_FIN,DESCRIPCION) VALUES ("&amp;REGLAS!B314&amp;",'"&amp;REGLAS!C314&amp;"','"&amp;REGLAS!D314&amp;"','"&amp;REGLAS!G314&amp;"',TO_DATE('"&amp;REGLAS!H314&amp;"','yyyymmdd'),TO_DATE('"&amp;REGLAS!I314&amp;"','yyyymmdd'),'"&amp;REGLAS!J314&amp;"');")</f>
        <v>INSERT INTO INYCEXT.INYC_CONF_INF_REGLAS@tc_link (COD_INFORME,TABLA,NOMBRE,REGLA,F_INICIO,F_FIN,DESCRIPCION) VALUES (6.1,'INYC_RPA_RESUMEN','SM - Cumple Llave','SM-O-RPP-Agente-Cumple-Llave',TO_DATE('20210101','yyyymmdd'),TO_DATE('22000101','yyyymmdd'),'Version 20210201');</v>
      </c>
    </row>
    <row r="314" spans="1:2" x14ac:dyDescent="0.25">
      <c r="A314" t="str">
        <f>IF(REGLAS!J315="OBSOLETO","","INSERT INTO INYCEXT.INYC_CONF_INF_REGLAS (COD_INFORME,TABLA,NOMBRE,REGLA,F_INICIO,F_FIN,DESCRIPCION) VALUES ("&amp;REGLAS!B315&amp;",'"&amp;REGLAS!C315&amp;"','"&amp;REGLAS!D315&amp;"','"&amp;REGLAS!G315&amp;"',TO_DATE('"&amp;REGLAS!H315&amp;"','yyyymmdd'),TO_DATE('"&amp;REGLAS!I315&amp;"','yyyymmdd'),'"&amp;REGLAS!J315&amp;"');")</f>
        <v>INSERT INTO INYCEXT.INYC_CONF_INF_REGLAS (COD_INFORME,TABLA,NOMBRE,REGLA,F_INICIO,F_FIN,DESCRIPCION) VALUES (6.1,'INYC_RPA_RESUMEN','SM - Categoria Meses','SM-O-GEN-Categoria-MesesTotal',TO_DATE('20210101','yyyymmdd'),TO_DATE('22000101','yyyymmdd'),'Version 20210201');</v>
      </c>
      <c r="B314" t="str">
        <f>IF(REGLAS!J315="OBSOLETO","","INSERT INTO INYCEXT.INYC_CONF_INF_REGLAS@tc_link (COD_INFORME,TABLA,NOMBRE,REGLA,F_INICIO,F_FIN,DESCRIPCION) VALUES ("&amp;REGLAS!B315&amp;",'"&amp;REGLAS!C315&amp;"','"&amp;REGLAS!D315&amp;"','"&amp;REGLAS!G315&amp;"',TO_DATE('"&amp;REGLAS!H315&amp;"','yyyymmdd'),TO_DATE('"&amp;REGLAS!I315&amp;"','yyyymmdd'),'"&amp;REGLAS!J315&amp;"');")</f>
        <v>INSERT INTO INYCEXT.INYC_CONF_INF_REGLAS@tc_link (COD_INFORME,TABLA,NOMBRE,REGLA,F_INICIO,F_FIN,DESCRIPCION) VALUES (6.1,'INYC_RPA_RESUMEN','SM - Categoria Meses','SM-O-GEN-Categoria-MesesTotal',TO_DATE('20210101','yyyymmdd'),TO_DATE('22000101','yyyymmdd'),'Version 20210201');</v>
      </c>
    </row>
    <row r="315" spans="1:2" x14ac:dyDescent="0.25">
      <c r="A315" t="str">
        <f>IF(REGLAS!J316="OBSOLETO","","INSERT INTO INYCEXT.INYC_CONF_INF_REGLAS (COD_INFORME,TABLA,NOMBRE,REGLA,F_INICIO,F_FIN,DESCRIPCION) VALUES ("&amp;REGLAS!B316&amp;",'"&amp;REGLAS!C316&amp;"','"&amp;REGLAS!D316&amp;"','"&amp;REGLAS!G316&amp;"',TO_DATE('"&amp;REGLAS!H316&amp;"','yyyymmdd'),TO_DATE('"&amp;REGLAS!I316&amp;"','yyyymmdd'),'"&amp;REGLAS!J316&amp;"');")</f>
        <v>INSERT INTO INYCEXT.INYC_CONF_INF_REGLAS (COD_INFORME,TABLA,NOMBRE,REGLA,F_INICIO,F_FIN,DESCRIPCION) VALUES (6.1,'INYC_RPA_RESUMEN','SM - Bolsa Estabilidad General','SM-O-RPP-BolsaFinanciacion-Cumple-Criterios-General',TO_DATE('20220101','yyyymmdd'),TO_DATE('22000101','yyyymmdd'),'Version 20220419');</v>
      </c>
      <c r="B315" t="str">
        <f>IF(REGLAS!J316="OBSOLETO","","INSERT INTO INYCEXT.INYC_CONF_INF_REGLAS@tc_link (COD_INFORME,TABLA,NOMBRE,REGLA,F_INICIO,F_FIN,DESCRIPCION) VALUES ("&amp;REGLAS!B316&amp;",'"&amp;REGLAS!C316&amp;"','"&amp;REGLAS!D316&amp;"','"&amp;REGLAS!G316&amp;"',TO_DATE('"&amp;REGLAS!H316&amp;"','yyyymmdd'),TO_DATE('"&amp;REGLAS!I316&amp;"','yyyymmdd'),'"&amp;REGLAS!J316&amp;"');")</f>
        <v>INSERT INTO INYCEXT.INYC_CONF_INF_REGLAS@tc_link (COD_INFORME,TABLA,NOMBRE,REGLA,F_INICIO,F_FIN,DESCRIPCION) VALUES (6.1,'INYC_RPA_RESUMEN','SM - Bolsa Estabilidad General','SM-O-RPP-BolsaFinanciacion-Cumple-Criterios-General',TO_DATE('20220101','yyyymmdd'),TO_DATE('22000101','yyyymmdd'),'Version 20220419');</v>
      </c>
    </row>
    <row r="316" spans="1:2" x14ac:dyDescent="0.25">
      <c r="A316" t="str">
        <f>IF(REGLAS!J317="OBSOLETO","","INSERT INTO INYCEXT.INYC_CONF_INF_REGLAS (COD_INFORME,TABLA,NOMBRE,REGLA,F_INICIO,F_FIN,DESCRIPCION) VALUES ("&amp;REGLAS!B317&amp;",'"&amp;REGLAS!C317&amp;"','"&amp;REGLAS!D317&amp;"','"&amp;REGLAS!G317&amp;"',TO_DATE('"&amp;REGLAS!H317&amp;"','yyyymmdd'),TO_DATE('"&amp;REGLAS!I317&amp;"','yyyymmdd'),'"&amp;REGLAS!J317&amp;"');")</f>
        <v>INSERT INTO INYCEXT.INYC_CONF_INF_REGLAS (COD_INFORME,TABLA,NOMBRE,REGLA,F_INICIO,F_FIN,DESCRIPCION) VALUES (6.1,'INYC_RPA_RESUMEN','SM - Bolsa Estabilidad N1','SM-O-RPP-BolsaFinanciacionN1-Cumple-Criterios',TO_DATE('20220101','yyyymmdd'),TO_DATE('22000101','yyyymmdd'),'Version 20220419');</v>
      </c>
      <c r="B316" t="str">
        <f>IF(REGLAS!J317="OBSOLETO","","INSERT INTO INYCEXT.INYC_CONF_INF_REGLAS@tc_link (COD_INFORME,TABLA,NOMBRE,REGLA,F_INICIO,F_FIN,DESCRIPCION) VALUES ("&amp;REGLAS!B317&amp;",'"&amp;REGLAS!C317&amp;"','"&amp;REGLAS!D317&amp;"','"&amp;REGLAS!G317&amp;"',TO_DATE('"&amp;REGLAS!H317&amp;"','yyyymmdd'),TO_DATE('"&amp;REGLAS!I317&amp;"','yyyymmdd'),'"&amp;REGLAS!J317&amp;"');")</f>
        <v>INSERT INTO INYCEXT.INYC_CONF_INF_REGLAS@tc_link (COD_INFORME,TABLA,NOMBRE,REGLA,F_INICIO,F_FIN,DESCRIPCION) VALUES (6.1,'INYC_RPA_RESUMEN','SM - Bolsa Estabilidad N1','SM-O-RPP-BolsaFinanciacionN1-Cumple-Criterios',TO_DATE('20220101','yyyymmdd'),TO_DATE('22000101','yyyymmdd'),'Version 20220419');</v>
      </c>
    </row>
    <row r="317" spans="1:2" x14ac:dyDescent="0.25">
      <c r="A317" t="str">
        <f>IF(REGLAS!J318="OBSOLETO","","INSERT INTO INYCEXT.INYC_CONF_INF_REGLAS (COD_INFORME,TABLA,NOMBRE,REGLA,F_INICIO,F_FIN,DESCRIPCION) VALUES ("&amp;REGLAS!B318&amp;",'"&amp;REGLAS!C318&amp;"','"&amp;REGLAS!D318&amp;"','"&amp;REGLAS!G318&amp;"',TO_DATE('"&amp;REGLAS!H318&amp;"','yyyymmdd'),TO_DATE('"&amp;REGLAS!I318&amp;"','yyyymmdd'),'"&amp;REGLAS!J318&amp;"');")</f>
        <v>INSERT INTO INYCEXT.INYC_CONF_INF_REGLAS (COD_INFORME,TABLA,NOMBRE,REGLA,F_INICIO,F_FIN,DESCRIPCION) VALUES (6.1,'INYC_RPA_RESUMEN','SM - Bolsa Estabilidad Comodin Hogar','SM-O-RPP-BolsaFinanciacion-Estado-Comodin-Hogar',TO_DATE('20220101','yyyymmdd'),TO_DATE('22000101','yyyymmdd'),'Version 20220419');</v>
      </c>
      <c r="B317" t="str">
        <f>IF(REGLAS!J318="OBSOLETO","","INSERT INTO INYCEXT.INYC_CONF_INF_REGLAS@tc_link (COD_INFORME,TABLA,NOMBRE,REGLA,F_INICIO,F_FIN,DESCRIPCION) VALUES ("&amp;REGLAS!B318&amp;",'"&amp;REGLAS!C318&amp;"','"&amp;REGLAS!D318&amp;"','"&amp;REGLAS!G318&amp;"',TO_DATE('"&amp;REGLAS!H318&amp;"','yyyymmdd'),TO_DATE('"&amp;REGLAS!I318&amp;"','yyyymmdd'),'"&amp;REGLAS!J318&amp;"');")</f>
        <v>INSERT INTO INYCEXT.INYC_CONF_INF_REGLAS@tc_link (COD_INFORME,TABLA,NOMBRE,REGLA,F_INICIO,F_FIN,DESCRIPCION) VALUES (6.1,'INYC_RPA_RESUMEN','SM - Bolsa Estabilidad Comodin Hogar','SM-O-RPP-BolsaFinanciacion-Estado-Comodin-Hogar',TO_DATE('20220101','yyyymmdd'),TO_DATE('22000101','yyyymmdd'),'Version 20220419');</v>
      </c>
    </row>
    <row r="318" spans="1:2" x14ac:dyDescent="0.25">
      <c r="A318" t="str">
        <f>IF(REGLAS!J319="OBSOLETO","","INSERT INTO INYCEXT.INYC_CONF_INF_REGLAS (COD_INFORME,TABLA,NOMBRE,REGLA,F_INICIO,F_FIN,DESCRIPCION) VALUES ("&amp;REGLAS!B319&amp;",'"&amp;REGLAS!C319&amp;"','"&amp;REGLAS!D319&amp;"','"&amp;REGLAS!G319&amp;"',TO_DATE('"&amp;REGLAS!H319&amp;"','yyyymmdd'),TO_DATE('"&amp;REGLAS!I319&amp;"','yyyymmdd'),'"&amp;REGLAS!J319&amp;"');")</f>
        <v>INSERT INTO INYCEXT.INYC_CONF_INF_REGLAS (COD_INFORME,TABLA,NOMBRE,REGLA,F_INICIO,F_FIN,DESCRIPCION) VALUES (6.1,'INYC_RPA_RESUMEN','SM - Bolsa Estabilidad Comodin Hogar N1','SM-O-RPP-BolsaFinanciacionN1-Estado-Comodin-Hogar',TO_DATE('20220101','yyyymmdd'),TO_DATE('22000101','yyyymmdd'),'Version 20220419');</v>
      </c>
      <c r="B318" t="str">
        <f>IF(REGLAS!J319="OBSOLETO","","INSERT INTO INYCEXT.INYC_CONF_INF_REGLAS@tc_link (COD_INFORME,TABLA,NOMBRE,REGLA,F_INICIO,F_FIN,DESCRIPCION) VALUES ("&amp;REGLAS!B319&amp;",'"&amp;REGLAS!C319&amp;"','"&amp;REGLAS!D319&amp;"','"&amp;REGLAS!G319&amp;"',TO_DATE('"&amp;REGLAS!H319&amp;"','yyyymmdd'),TO_DATE('"&amp;REGLAS!I319&amp;"','yyyymmdd'),'"&amp;REGLAS!J319&amp;"');")</f>
        <v>INSERT INTO INYCEXT.INYC_CONF_INF_REGLAS@tc_link (COD_INFORME,TABLA,NOMBRE,REGLA,F_INICIO,F_FIN,DESCRIPCION) VALUES (6.1,'INYC_RPA_RESUMEN','SM - Bolsa Estabilidad Comodin Hogar N1','SM-O-RPP-BolsaFinanciacionN1-Estado-Comodin-Hogar',TO_DATE('20220101','yyyymmdd'),TO_DATE('22000101','yyyymmdd'),'Version 20220419');</v>
      </c>
    </row>
    <row r="319" spans="1:2" x14ac:dyDescent="0.25">
      <c r="A319" t="str">
        <f>IF(REGLAS!J320="OBSOLETO","","INSERT INTO INYCEXT.INYC_CONF_INF_REGLAS (COD_INFORME,TABLA,NOMBRE,REGLA,F_INICIO,F_FIN,DESCRIPCION) VALUES ("&amp;REGLAS!B320&amp;",'"&amp;REGLAS!C320&amp;"','"&amp;REGLAS!D320&amp;"','"&amp;REGLAS!G320&amp;"',TO_DATE('"&amp;REGLAS!H320&amp;"','yyyymmdd'),TO_DATE('"&amp;REGLAS!I320&amp;"','yyyymmdd'),'"&amp;REGLAS!J320&amp;"');")</f>
        <v>INSERT INTO INYCEXT.INYC_CONF_INF_REGLAS (COD_INFORME,TABLA,NOMBRE,REGLA,F_INICIO,F_FIN,DESCRIPCION) VALUES (6.1,'INYC_RPA_RESUMEN','SM - Bolsa Estabilidad Devolucion Hogar','SM-O-BolsaFinanciacion-N2-Devolucion-Hogar',TO_DATE('20220101','yyyymmdd'),TO_DATE('22000101','yyyymmdd'),'Version 20220419');</v>
      </c>
      <c r="B319" t="str">
        <f>IF(REGLAS!J320="OBSOLETO","","INSERT INTO INYCEXT.INYC_CONF_INF_REGLAS@tc_link (COD_INFORME,TABLA,NOMBRE,REGLA,F_INICIO,F_FIN,DESCRIPCION) VALUES ("&amp;REGLAS!B320&amp;",'"&amp;REGLAS!C320&amp;"','"&amp;REGLAS!D320&amp;"','"&amp;REGLAS!G320&amp;"',TO_DATE('"&amp;REGLAS!H320&amp;"','yyyymmdd'),TO_DATE('"&amp;REGLAS!I320&amp;"','yyyymmdd'),'"&amp;REGLAS!J320&amp;"');")</f>
        <v>INSERT INTO INYCEXT.INYC_CONF_INF_REGLAS@tc_link (COD_INFORME,TABLA,NOMBRE,REGLA,F_INICIO,F_FIN,DESCRIPCION) VALUES (6.1,'INYC_RPA_RESUMEN','SM - Bolsa Estabilidad Devolucion Hogar','SM-O-BolsaFinanciacion-N2-Devolucion-Hogar',TO_DATE('20220101','yyyymmdd'),TO_DATE('22000101','yyyymmdd'),'Version 20220419');</v>
      </c>
    </row>
    <row r="320" spans="1:2" x14ac:dyDescent="0.25">
      <c r="A320" t="str">
        <f>IF(REGLAS!J321="OBSOLETO","","INSERT INTO INYCEXT.INYC_CONF_INF_REGLAS (COD_INFORME,TABLA,NOMBRE,REGLA,F_INICIO,F_FIN,DESCRIPCION) VALUES ("&amp;REGLAS!B321&amp;",'"&amp;REGLAS!C321&amp;"','"&amp;REGLAS!D321&amp;"','"&amp;REGLAS!G321&amp;"',TO_DATE('"&amp;REGLAS!H321&amp;"','yyyymmdd'),TO_DATE('"&amp;REGLAS!I321&amp;"','yyyymmdd'),'"&amp;REGLAS!J321&amp;"');")</f>
        <v>INSERT INTO INYCEXT.INYC_CONF_INF_REGLAS (COD_INFORME,TABLA,NOMBRE,REGLA,F_INICIO,F_FIN,DESCRIPCION) VALUES (6.1,'INYC_RPA_RESUMEN','SM - Bolsa Estabilidad Devolucion Hogar N1','SM-O-RPP-BolsaFinanciacionN1-Devolucion-Hogar',TO_DATE('20220101','yyyymmdd'),TO_DATE('22000101','yyyymmdd'),'Version 20220419');</v>
      </c>
      <c r="B320" t="str">
        <f>IF(REGLAS!J321="OBSOLETO","","INSERT INTO INYCEXT.INYC_CONF_INF_REGLAS@tc_link (COD_INFORME,TABLA,NOMBRE,REGLA,F_INICIO,F_FIN,DESCRIPCION) VALUES ("&amp;REGLAS!B321&amp;",'"&amp;REGLAS!C321&amp;"','"&amp;REGLAS!D321&amp;"','"&amp;REGLAS!G321&amp;"',TO_DATE('"&amp;REGLAS!H321&amp;"','yyyymmdd'),TO_DATE('"&amp;REGLAS!I321&amp;"','yyyymmdd'),'"&amp;REGLAS!J321&amp;"');")</f>
        <v>INSERT INTO INYCEXT.INYC_CONF_INF_REGLAS@tc_link (COD_INFORME,TABLA,NOMBRE,REGLA,F_INICIO,F_FIN,DESCRIPCION) VALUES (6.1,'INYC_RPA_RESUMEN','SM - Bolsa Estabilidad Devolucion Hogar N1','SM-O-RPP-BolsaFinanciacionN1-Devolucion-Hogar',TO_DATE('20220101','yyyymmdd'),TO_DATE('22000101','yyyymmdd'),'Version 20220419');</v>
      </c>
    </row>
    <row r="321" spans="1:2" x14ac:dyDescent="0.25">
      <c r="A321" t="str">
        <f>IF(REGLAS!J322="OBSOLETO","","INSERT INTO INYCEXT.INYC_CONF_INF_REGLAS (COD_INFORME,TABLA,NOMBRE,REGLA,F_INICIO,F_FIN,DESCRIPCION) VALUES ("&amp;REGLAS!B322&amp;",'"&amp;REGLAS!C322&amp;"','"&amp;REGLAS!D322&amp;"','"&amp;REGLAS!G322&amp;"',TO_DATE('"&amp;REGLAS!H322&amp;"','yyyymmdd'),TO_DATE('"&amp;REGLAS!I322&amp;"','yyyymmdd'),'"&amp;REGLAS!J322&amp;"');")</f>
        <v>INSERT INTO INYCEXT.INYC_CONF_INF_REGLAS (COD_INFORME,TABLA,NOMBRE,REGLA,F_INICIO,F_FIN,DESCRIPCION) VALUES (6.1,'INYC_RPA_RESUMEN','SM - Bolsa Estabilidad Comodin RRTT','SM-O-RPP-BolsaFinanciacion-Estado-Comodin-RRTT-Combinado',TO_DATE('20220101','yyyymmdd'),TO_DATE('22000101','yyyymmdd'),'Version 20220419');</v>
      </c>
      <c r="B321" t="str">
        <f>IF(REGLAS!J322="OBSOLETO","","INSERT INTO INYCEXT.INYC_CONF_INF_REGLAS@tc_link (COD_INFORME,TABLA,NOMBRE,REGLA,F_INICIO,F_FIN,DESCRIPCION) VALUES ("&amp;REGLAS!B322&amp;",'"&amp;REGLAS!C322&amp;"','"&amp;REGLAS!D322&amp;"','"&amp;REGLAS!G322&amp;"',TO_DATE('"&amp;REGLAS!H322&amp;"','yyyymmdd'),TO_DATE('"&amp;REGLAS!I322&amp;"','yyyymmdd'),'"&amp;REGLAS!J322&amp;"');")</f>
        <v>INSERT INTO INYCEXT.INYC_CONF_INF_REGLAS@tc_link (COD_INFORME,TABLA,NOMBRE,REGLA,F_INICIO,F_FIN,DESCRIPCION) VALUES (6.1,'INYC_RPA_RESUMEN','SM - Bolsa Estabilidad Comodin RRTT','SM-O-RPP-BolsaFinanciacion-Estado-Comodin-RRTT-Combinado',TO_DATE('20220101','yyyymmdd'),TO_DATE('22000101','yyyymmdd'),'Version 20220419');</v>
      </c>
    </row>
    <row r="322" spans="1:2" x14ac:dyDescent="0.25">
      <c r="A322" t="str">
        <f>IF(REGLAS!J323="OBSOLETO","","INSERT INTO INYCEXT.INYC_CONF_INF_REGLAS (COD_INFORME,TABLA,NOMBRE,REGLA,F_INICIO,F_FIN,DESCRIPCION) VALUES ("&amp;REGLAS!B323&amp;",'"&amp;REGLAS!C323&amp;"','"&amp;REGLAS!D323&amp;"','"&amp;REGLAS!G323&amp;"',TO_DATE('"&amp;REGLAS!H323&amp;"','yyyymmdd'),TO_DATE('"&amp;REGLAS!I323&amp;"','yyyymmdd'),'"&amp;REGLAS!J323&amp;"');")</f>
        <v>INSERT INTO INYCEXT.INYC_CONF_INF_REGLAS (COD_INFORME,TABLA,NOMBRE,REGLA,F_INICIO,F_FIN,DESCRIPCION) VALUES (6.1,'INYC_RPA_RESUMEN','SM - Bolsa Estabilidad Comodin Asegurados N1','SM-O-RPP-BolsaFinanciacionN1-Estado-Comodin-Asegurados',TO_DATE('20220101','yyyymmdd'),TO_DATE('22000101','yyyymmdd'),'Version 20220419');</v>
      </c>
      <c r="B322" t="str">
        <f>IF(REGLAS!J323="OBSOLETO","","INSERT INTO INYCEXT.INYC_CONF_INF_REGLAS@tc_link (COD_INFORME,TABLA,NOMBRE,REGLA,F_INICIO,F_FIN,DESCRIPCION) VALUES ("&amp;REGLAS!B323&amp;",'"&amp;REGLAS!C323&amp;"','"&amp;REGLAS!D323&amp;"','"&amp;REGLAS!G323&amp;"',TO_DATE('"&amp;REGLAS!H323&amp;"','yyyymmdd'),TO_DATE('"&amp;REGLAS!I323&amp;"','yyyymmdd'),'"&amp;REGLAS!J323&amp;"');")</f>
        <v>INSERT INTO INYCEXT.INYC_CONF_INF_REGLAS@tc_link (COD_INFORME,TABLA,NOMBRE,REGLA,F_INICIO,F_FIN,DESCRIPCION) VALUES (6.1,'INYC_RPA_RESUMEN','SM - Bolsa Estabilidad Comodin Asegurados N1','SM-O-RPP-BolsaFinanciacionN1-Estado-Comodin-Asegurados',TO_DATE('20220101','yyyymmdd'),TO_DATE('22000101','yyyymmdd'),'Version 20220419');</v>
      </c>
    </row>
    <row r="323" spans="1:2" x14ac:dyDescent="0.25">
      <c r="A323" t="str">
        <f>IF(REGLAS!J324="OBSOLETO","","INSERT INTO INYCEXT.INYC_CONF_INF_REGLAS (COD_INFORME,TABLA,NOMBRE,REGLA,F_INICIO,F_FIN,DESCRIPCION) VALUES ("&amp;REGLAS!B324&amp;",'"&amp;REGLAS!C324&amp;"','"&amp;REGLAS!D324&amp;"','"&amp;REGLAS!G324&amp;"',TO_DATE('"&amp;REGLAS!H324&amp;"','yyyymmdd'),TO_DATE('"&amp;REGLAS!I324&amp;"','yyyymmdd'),'"&amp;REGLAS!J324&amp;"');")</f>
        <v>INSERT INTO INYCEXT.INYC_CONF_INF_REGLAS (COD_INFORME,TABLA,NOMBRE,REGLA,F_INICIO,F_FIN,DESCRIPCION) VALUES (6.1,'INYC_RPA_RESUMEN','SM - Bolsa Estabilidad Devolucion RRTT','SM-O-BolsaFinanciacion-N2-Devolucion-RRTT-Combinado',TO_DATE('20220101','yyyymmdd'),TO_DATE('22000101','yyyymmdd'),'Version 20220419');</v>
      </c>
      <c r="B323" t="str">
        <f>IF(REGLAS!J324="OBSOLETO","","INSERT INTO INYCEXT.INYC_CONF_INF_REGLAS@tc_link (COD_INFORME,TABLA,NOMBRE,REGLA,F_INICIO,F_FIN,DESCRIPCION) VALUES ("&amp;REGLAS!B324&amp;",'"&amp;REGLAS!C324&amp;"','"&amp;REGLAS!D324&amp;"','"&amp;REGLAS!G324&amp;"',TO_DATE('"&amp;REGLAS!H324&amp;"','yyyymmdd'),TO_DATE('"&amp;REGLAS!I324&amp;"','yyyymmdd'),'"&amp;REGLAS!J324&amp;"');")</f>
        <v>INSERT INTO INYCEXT.INYC_CONF_INF_REGLAS@tc_link (COD_INFORME,TABLA,NOMBRE,REGLA,F_INICIO,F_FIN,DESCRIPCION) VALUES (6.1,'INYC_RPA_RESUMEN','SM - Bolsa Estabilidad Devolucion RRTT','SM-O-BolsaFinanciacion-N2-Devolucion-RRTT-Combinado',TO_DATE('20220101','yyyymmdd'),TO_DATE('22000101','yyyymmdd'),'Version 20220419');</v>
      </c>
    </row>
    <row r="324" spans="1:2" x14ac:dyDescent="0.25">
      <c r="A324" t="str">
        <f>IF(REGLAS!J325="OBSOLETO","","INSERT INTO INYCEXT.INYC_CONF_INF_REGLAS (COD_INFORME,TABLA,NOMBRE,REGLA,F_INICIO,F_FIN,DESCRIPCION) VALUES ("&amp;REGLAS!B325&amp;",'"&amp;REGLAS!C325&amp;"','"&amp;REGLAS!D325&amp;"','"&amp;REGLAS!G325&amp;"',TO_DATE('"&amp;REGLAS!H325&amp;"','yyyymmdd'),TO_DATE('"&amp;REGLAS!I325&amp;"','yyyymmdd'),'"&amp;REGLAS!J325&amp;"');")</f>
        <v>INSERT INTO INYCEXT.INYC_CONF_INF_REGLAS (COD_INFORME,TABLA,NOMBRE,REGLA,F_INICIO,F_FIN,DESCRIPCION) VALUES (6.1,'INYC_RPA_RESUMEN','SM - Bolsa Estabilidad Devolucion Asegurados N1','SM-O-RPP-BolsaFinanciacionN1-Devolucion-Asegurados',TO_DATE('20220101','yyyymmdd'),TO_DATE('22000101','yyyymmdd'),'Version 20220419');</v>
      </c>
      <c r="B324" t="str">
        <f>IF(REGLAS!J325="OBSOLETO","","INSERT INTO INYCEXT.INYC_CONF_INF_REGLAS@tc_link (COD_INFORME,TABLA,NOMBRE,REGLA,F_INICIO,F_FIN,DESCRIPCION) VALUES ("&amp;REGLAS!B325&amp;",'"&amp;REGLAS!C325&amp;"','"&amp;REGLAS!D325&amp;"','"&amp;REGLAS!G325&amp;"',TO_DATE('"&amp;REGLAS!H325&amp;"','yyyymmdd'),TO_DATE('"&amp;REGLAS!I325&amp;"','yyyymmdd'),'"&amp;REGLAS!J325&amp;"');")</f>
        <v>INSERT INTO INYCEXT.INYC_CONF_INF_REGLAS@tc_link (COD_INFORME,TABLA,NOMBRE,REGLA,F_INICIO,F_FIN,DESCRIPCION) VALUES (6.1,'INYC_RPA_RESUMEN','SM - Bolsa Estabilidad Devolucion Asegurados N1','SM-O-RPP-BolsaFinanciacionN1-Devolucion-Asegurados',TO_DATE('20220101','yyyymmdd'),TO_DATE('22000101','yyyymmdd'),'Version 20220419');</v>
      </c>
    </row>
    <row r="325" spans="1:2" x14ac:dyDescent="0.25">
      <c r="A325" t="str">
        <f>IF(REGLAS!J326="OBSOLETO","","INSERT INTO INYCEXT.INYC_CONF_INF_REGLAS (COD_INFORME,TABLA,NOMBRE,REGLA,F_INICIO,F_FIN,DESCRIPCION) VALUES ("&amp;REGLAS!B326&amp;",'"&amp;REGLAS!C326&amp;"','"&amp;REGLAS!D326&amp;"','"&amp;REGLAS!G326&amp;"',TO_DATE('"&amp;REGLAS!H326&amp;"','yyyymmdd'),TO_DATE('"&amp;REGLAS!I326&amp;"','yyyymmdd'),'"&amp;REGLAS!J326&amp;"');")</f>
        <v>INSERT INTO INYCEXT.INYC_CONF_INF_REGLAS (COD_INFORME,TABLA,NOMBRE,REGLA,F_INICIO,F_FIN,DESCRIPCION) VALUES (6.2,'INYC_RPA_DETALLE','DC - Primas','DC-O-GEN-Agente-Prima-998',TO_DATE('20140101','yyyymmdd'),TO_DATE('22000101','yyyymmdd'),'');</v>
      </c>
      <c r="B325" t="str">
        <f>IF(REGLAS!J326="OBSOLETO","","INSERT INTO INYCEXT.INYC_CONF_INF_REGLAS@tc_link (COD_INFORME,TABLA,NOMBRE,REGLA,F_INICIO,F_FIN,DESCRIPCION) VALUES ("&amp;REGLAS!B326&amp;",'"&amp;REGLAS!C326&amp;"','"&amp;REGLAS!D326&amp;"','"&amp;REGLAS!G326&amp;"',TO_DATE('"&amp;REGLAS!H326&amp;"','yyyymmdd'),TO_DATE('"&amp;REGLAS!I326&amp;"','yyyymmdd'),'"&amp;REGLAS!J326&amp;"');")</f>
        <v>INSERT INTO INYCEXT.INYC_CONF_INF_REGLAS@tc_link (COD_INFORME,TABLA,NOMBRE,REGLA,F_INICIO,F_FIN,DESCRIPCION) VALUES (6.2,'INYC_RPA_DETALLE','DC - Primas','DC-O-GEN-Agente-Prima-998',TO_DATE('20140101','yyyymmdd'),TO_DATE('22000101','yyyymmdd'),'');</v>
      </c>
    </row>
    <row r="326" spans="1:2" x14ac:dyDescent="0.25">
      <c r="A326" t="str">
        <f>IF(REGLAS!J327="OBSOLETO","","INSERT INTO INYCEXT.INYC_CONF_INF_REGLAS (COD_INFORME,TABLA,NOMBRE,REGLA,F_INICIO,F_FIN,DESCRIPCION) VALUES ("&amp;REGLAS!B327&amp;",'"&amp;REGLAS!C327&amp;"','"&amp;REGLAS!D327&amp;"','"&amp;REGLAS!G327&amp;"',TO_DATE('"&amp;REGLAS!H327&amp;"','yyyymmdd'),TO_DATE('"&amp;REGLAS!I327&amp;"','yyyymmdd'),'"&amp;REGLAS!J327&amp;"');")</f>
        <v>INSERT INTO INYCEXT.INYC_CONF_INF_REGLAS (COD_INFORME,TABLA,NOMBRE,REGLA,F_INICIO,F_FIN,DESCRIPCION) VALUES (6.2,'INYC_RPA_DETALLE','DC - Pólizas','DC-O-GEN-Agente-NumeroPolizas-998',TO_DATE('20140101','yyyymmdd'),TO_DATE('22000101','yyyymmdd'),'');</v>
      </c>
      <c r="B326" t="str">
        <f>IF(REGLAS!J327="OBSOLETO","","INSERT INTO INYCEXT.INYC_CONF_INF_REGLAS@tc_link (COD_INFORME,TABLA,NOMBRE,REGLA,F_INICIO,F_FIN,DESCRIPCION) VALUES ("&amp;REGLAS!B327&amp;",'"&amp;REGLAS!C327&amp;"','"&amp;REGLAS!D327&amp;"','"&amp;REGLAS!G327&amp;"',TO_DATE('"&amp;REGLAS!H327&amp;"','yyyymmdd'),TO_DATE('"&amp;REGLAS!I327&amp;"','yyyymmdd'),'"&amp;REGLAS!J327&amp;"');")</f>
        <v>INSERT INTO INYCEXT.INYC_CONF_INF_REGLAS@tc_link (COD_INFORME,TABLA,NOMBRE,REGLA,F_INICIO,F_FIN,DESCRIPCION) VALUES (6.2,'INYC_RPA_DETALLE','DC - Pólizas','DC-O-GEN-Agente-NumeroPolizas-998',TO_DATE('20140101','yyyymmdd'),TO_DATE('22000101','yyyymmdd'),'');</v>
      </c>
    </row>
    <row r="327" spans="1:2" x14ac:dyDescent="0.25">
      <c r="A327" t="str">
        <f>IF(REGLAS!J328="OBSOLETO","","INSERT INTO INYCEXT.INYC_CONF_INF_REGLAS (COD_INFORME,TABLA,NOMBRE,REGLA,F_INICIO,F_FIN,DESCRIPCION) VALUES ("&amp;REGLAS!B328&amp;",'"&amp;REGLAS!C328&amp;"','"&amp;REGLAS!D328&amp;"','"&amp;REGLAS!G328&amp;"',TO_DATE('"&amp;REGLAS!H328&amp;"','yyyymmdd'),TO_DATE('"&amp;REGLAS!I328&amp;"','yyyymmdd'),'"&amp;REGLAS!J328&amp;"');")</f>
        <v>INSERT INTO INYCEXT.INYC_CONF_INF_REGLAS (COD_INFORME,TABLA,NOMBRE,REGLA,F_INICIO,F_FIN,DESCRIPCION) VALUES (6.2,'INYC_RPA_DETALLE','DC - Recuperaciones','DC-O-GEN-Agente-NumeroPolizas-998-Recup',TO_DATE('20140101','yyyymmdd'),TO_DATE('22000101','yyyymmdd'),'');</v>
      </c>
      <c r="B327" t="str">
        <f>IF(REGLAS!J328="OBSOLETO","","INSERT INTO INYCEXT.INYC_CONF_INF_REGLAS@tc_link (COD_INFORME,TABLA,NOMBRE,REGLA,F_INICIO,F_FIN,DESCRIPCION) VALUES ("&amp;REGLAS!B328&amp;",'"&amp;REGLAS!C328&amp;"','"&amp;REGLAS!D328&amp;"','"&amp;REGLAS!G328&amp;"',TO_DATE('"&amp;REGLAS!H328&amp;"','yyyymmdd'),TO_DATE('"&amp;REGLAS!I328&amp;"','yyyymmdd'),'"&amp;REGLAS!J328&amp;"');")</f>
        <v>INSERT INTO INYCEXT.INYC_CONF_INF_REGLAS@tc_link (COD_INFORME,TABLA,NOMBRE,REGLA,F_INICIO,F_FIN,DESCRIPCION) VALUES (6.2,'INYC_RPA_DETALLE','DC - Recuperaciones','DC-O-GEN-Agente-NumeroPolizas-998-Recup',TO_DATE('20140101','yyyymmdd'),TO_DATE('22000101','yyyymmdd'),'');</v>
      </c>
    </row>
    <row r="328" spans="1:2" x14ac:dyDescent="0.25">
      <c r="A328" t="str">
        <f>IF(REGLAS!J329="OBSOLETO","","INSERT INTO INYCEXT.INYC_CONF_INF_REGLAS (COD_INFORME,TABLA,NOMBRE,REGLA,F_INICIO,F_FIN,DESCRIPCION) VALUES ("&amp;REGLAS!B329&amp;",'"&amp;REGLAS!C329&amp;"','"&amp;REGLAS!D329&amp;"','"&amp;REGLAS!G329&amp;"',TO_DATE('"&amp;REGLAS!H329&amp;"','yyyymmdd'),TO_DATE('"&amp;REGLAS!I329&amp;"','yyyymmdd'),'"&amp;REGLAS!J329&amp;"');")</f>
        <v>INSERT INTO INYCEXT.INYC_CONF_INF_REGLAS (COD_INFORME,TABLA,NOMBRE,REGLA,F_INICIO,F_FIN,DESCRIPCION) VALUES (6.2,'INYC_RPA_DETALLE','DC - Renovaciones','DC-O-GEN-Agente-NumeroPolizas-998-Renov',TO_DATE('20140101','yyyymmdd'),TO_DATE('22000101','yyyymmdd'),'');</v>
      </c>
      <c r="B328" t="str">
        <f>IF(REGLAS!J329="OBSOLETO","","INSERT INTO INYCEXT.INYC_CONF_INF_REGLAS@tc_link (COD_INFORME,TABLA,NOMBRE,REGLA,F_INICIO,F_FIN,DESCRIPCION) VALUES ("&amp;REGLAS!B329&amp;",'"&amp;REGLAS!C329&amp;"','"&amp;REGLAS!D329&amp;"','"&amp;REGLAS!G329&amp;"',TO_DATE('"&amp;REGLAS!H329&amp;"','yyyymmdd'),TO_DATE('"&amp;REGLAS!I329&amp;"','yyyymmdd'),'"&amp;REGLAS!J329&amp;"');")</f>
        <v>INSERT INTO INYCEXT.INYC_CONF_INF_REGLAS@tc_link (COD_INFORME,TABLA,NOMBRE,REGLA,F_INICIO,F_FIN,DESCRIPCION) VALUES (6.2,'INYC_RPA_DETALLE','DC - Renovaciones','DC-O-GEN-Agente-NumeroPolizas-998-Renov',TO_DATE('20140101','yyyymmdd'),TO_DATE('22000101','yyyymmdd'),'');</v>
      </c>
    </row>
    <row r="329" spans="1:2" x14ac:dyDescent="0.25">
      <c r="A329" t="str">
        <f>IF(REGLAS!J330="OBSOLETO","","INSERT INTO INYCEXT.INYC_CONF_INF_REGLAS (COD_INFORME,TABLA,NOMBRE,REGLA,F_INICIO,F_FIN,DESCRIPCION) VALUES ("&amp;REGLAS!B330&amp;",'"&amp;REGLAS!C330&amp;"','"&amp;REGLAS!D330&amp;"','"&amp;REGLAS!G330&amp;"',TO_DATE('"&amp;REGLAS!H330&amp;"','yyyymmdd'),TO_DATE('"&amp;REGLAS!I330&amp;"','yyyymmdd'),'"&amp;REGLAS!J330&amp;"');")</f>
        <v>INSERT INTO INYCEXT.INYC_CONF_INF_REGLAS (COD_INFORME,TABLA,NOMBRE,REGLA,F_INICIO,F_FIN,DESCRIPCION) VALUES (6.2,'INYC_RPA_DETALLE','DC - Nº Asegurados Agente','DC-O-GEN-Agente-NumAsegurados',TO_DATE('20180101','yyyymmdd'),TO_DATE('22000101','yyyymmdd'),'Version 20180117');</v>
      </c>
      <c r="B329" t="str">
        <f>IF(REGLAS!J330="OBSOLETO","","INSERT INTO INYCEXT.INYC_CONF_INF_REGLAS@tc_link (COD_INFORME,TABLA,NOMBRE,REGLA,F_INICIO,F_FIN,DESCRIPCION) VALUES ("&amp;REGLAS!B330&amp;",'"&amp;REGLAS!C330&amp;"','"&amp;REGLAS!D330&amp;"','"&amp;REGLAS!G330&amp;"',TO_DATE('"&amp;REGLAS!H330&amp;"','yyyymmdd'),TO_DATE('"&amp;REGLAS!I330&amp;"','yyyymmdd'),'"&amp;REGLAS!J330&amp;"');")</f>
        <v>INSERT INTO INYCEXT.INYC_CONF_INF_REGLAS@tc_link (COD_INFORME,TABLA,NOMBRE,REGLA,F_INICIO,F_FIN,DESCRIPCION) VALUES (6.2,'INYC_RPA_DETALLE','DC - Nº Asegurados Agente','DC-O-GEN-Agente-NumAsegurados',TO_DATE('20180101','yyyymmdd'),TO_DATE('22000101','yyyymmdd'),'Version 20180117');</v>
      </c>
    </row>
    <row r="330" spans="1:2" x14ac:dyDescent="0.25">
      <c r="A330" t="str">
        <f>IF(REGLAS!J331="OBSOLETO","","INSERT INTO INYCEXT.INYC_CONF_INF_REGLAS (COD_INFORME,TABLA,NOMBRE,REGLA,F_INICIO,F_FIN,DESCRIPCION) VALUES ("&amp;REGLAS!B331&amp;",'"&amp;REGLAS!C331&amp;"','"&amp;REGLAS!D331&amp;"','"&amp;REGLAS!G331&amp;"',TO_DATE('"&amp;REGLAS!H331&amp;"','yyyymmdd'),TO_DATE('"&amp;REGLAS!I331&amp;"','yyyymmdd'),'"&amp;REGLAS!J331&amp;"');")</f>
        <v>INSERT INTO INYCEXT.INYC_CONF_INF_REGLAS (COD_INFORME,TABLA,NOMBRE,REGLA,F_INICIO,F_FIN,DESCRIPCION) VALUES (7.1,'INYC_DIF_RESUMEN','Detalle Mensual','PM-O-GEN-Inspector-PrimaCorregida-998',TO_DATE('20140101','yyyymmdd'),TO_DATE('22000101','yyyymmdd'),'');</v>
      </c>
      <c r="B330" t="str">
        <f>IF(REGLAS!J331="OBSOLETO","","INSERT INTO INYCEXT.INYC_CONF_INF_REGLAS@tc_link (COD_INFORME,TABLA,NOMBRE,REGLA,F_INICIO,F_FIN,DESCRIPCION) VALUES ("&amp;REGLAS!B331&amp;",'"&amp;REGLAS!C331&amp;"','"&amp;REGLAS!D331&amp;"','"&amp;REGLAS!G331&amp;"',TO_DATE('"&amp;REGLAS!H331&amp;"','yyyymmdd'),TO_DATE('"&amp;REGLAS!I331&amp;"','yyyymmdd'),'"&amp;REGLAS!J331&amp;"');")</f>
        <v>INSERT INTO INYCEXT.INYC_CONF_INF_REGLAS@tc_link (COD_INFORME,TABLA,NOMBRE,REGLA,F_INICIO,F_FIN,DESCRIPCION) VALUES (7.1,'INYC_DIF_RESUMEN','Detalle Mensual','PM-O-GEN-Inspector-PrimaCorregida-998',TO_DATE('20140101','yyyymmdd'),TO_DATE('22000101','yyyymmdd'),'');</v>
      </c>
    </row>
    <row r="331" spans="1:2" x14ac:dyDescent="0.25">
      <c r="A331" t="str">
        <f>IF(REGLAS!J332="OBSOLETO","","INSERT INTO INYCEXT.INYC_CONF_INF_REGLAS (COD_INFORME,TABLA,NOMBRE,REGLA,F_INICIO,F_FIN,DESCRIPCION) VALUES ("&amp;REGLAS!B332&amp;",'"&amp;REGLAS!C332&amp;"','"&amp;REGLAS!D332&amp;"','"&amp;REGLAS!G332&amp;"',TO_DATE('"&amp;REGLAS!H332&amp;"','yyyymmdd'),TO_DATE('"&amp;REGLAS!I332&amp;"','yyyymmdd'),'"&amp;REGLAS!J332&amp;"');")</f>
        <v>INSERT INTO INYCEXT.INYC_CONF_INF_REGLAS (COD_INFORME,TABLA,NOMBRE,REGLA,F_INICIO,F_FIN,DESCRIPCION) VALUES (7.1,'INYC_DIF_RESUMEN','Detalle Mensual','PM-O-GEN-Inspector-NumeroPolizas-998-Agentes',TO_DATE('20140101','yyyymmdd'),TO_DATE('22000101','yyyymmdd'),'');</v>
      </c>
      <c r="B331" t="str">
        <f>IF(REGLAS!J332="OBSOLETO","","INSERT INTO INYCEXT.INYC_CONF_INF_REGLAS@tc_link (COD_INFORME,TABLA,NOMBRE,REGLA,F_INICIO,F_FIN,DESCRIPCION) VALUES ("&amp;REGLAS!B332&amp;",'"&amp;REGLAS!C332&amp;"','"&amp;REGLAS!D332&amp;"','"&amp;REGLAS!G332&amp;"',TO_DATE('"&amp;REGLAS!H332&amp;"','yyyymmdd'),TO_DATE('"&amp;REGLAS!I332&amp;"','yyyymmdd'),'"&amp;REGLAS!J332&amp;"');")</f>
        <v>INSERT INTO INYCEXT.INYC_CONF_INF_REGLAS@tc_link (COD_INFORME,TABLA,NOMBRE,REGLA,F_INICIO,F_FIN,DESCRIPCION) VALUES (7.1,'INYC_DIF_RESUMEN','Detalle Mensual','PM-O-GEN-Inspector-NumeroPolizas-998-Agentes',TO_DATE('20140101','yyyymmdd'),TO_DATE('22000101','yyyymmdd'),'');</v>
      </c>
    </row>
    <row r="332" spans="1:2" x14ac:dyDescent="0.25">
      <c r="A332" t="str">
        <f>IF(REGLAS!J333="OBSOLETO","","INSERT INTO INYCEXT.INYC_CONF_INF_REGLAS (COD_INFORME,TABLA,NOMBRE,REGLA,F_INICIO,F_FIN,DESCRIPCION) VALUES ("&amp;REGLAS!B333&amp;",'"&amp;REGLAS!C333&amp;"','"&amp;REGLAS!D333&amp;"','"&amp;REGLAS!G333&amp;"',TO_DATE('"&amp;REGLAS!H333&amp;"','yyyymmdd'),TO_DATE('"&amp;REGLAS!I333&amp;"','yyyymmdd'),'"&amp;REGLAS!J333&amp;"');")</f>
        <v>INSERT INTO INYCEXT.INYC_CONF_INF_REGLAS (COD_INFORME,TABLA,NOMBRE,REGLA,F_INICIO,F_FIN,DESCRIPCION) VALUES (7.1,'INYC_DIF_RESUMEN','Detalle Mensual','PM-O-GEN-Inspector-PrimaCorregida-998-Agentes',TO_DATE('20140101','yyyymmdd'),TO_DATE('22000101','yyyymmdd'),'');</v>
      </c>
      <c r="B332" t="str">
        <f>IF(REGLAS!J333="OBSOLETO","","INSERT INTO INYCEXT.INYC_CONF_INF_REGLAS@tc_link (COD_INFORME,TABLA,NOMBRE,REGLA,F_INICIO,F_FIN,DESCRIPCION) VALUES ("&amp;REGLAS!B333&amp;",'"&amp;REGLAS!C333&amp;"','"&amp;REGLAS!D333&amp;"','"&amp;REGLAS!G333&amp;"',TO_DATE('"&amp;REGLAS!H333&amp;"','yyyymmdd'),TO_DATE('"&amp;REGLAS!I333&amp;"','yyyymmdd'),'"&amp;REGLAS!J333&amp;"');")</f>
        <v>INSERT INTO INYCEXT.INYC_CONF_INF_REGLAS@tc_link (COD_INFORME,TABLA,NOMBRE,REGLA,F_INICIO,F_FIN,DESCRIPCION) VALUES (7.1,'INYC_DIF_RESUMEN','Detalle Mensual','PM-O-GEN-Inspector-PrimaCorregida-998-Agentes',TO_DATE('20140101','yyyymmdd'),TO_DATE('22000101','yyyymmdd'),'');</v>
      </c>
    </row>
    <row r="333" spans="1:2" x14ac:dyDescent="0.25">
      <c r="A333" t="str">
        <f>IF(REGLAS!J334="OBSOLETO","","INSERT INTO INYCEXT.INYC_CONF_INF_REGLAS (COD_INFORME,TABLA,NOMBRE,REGLA,F_INICIO,F_FIN,DESCRIPCION) VALUES ("&amp;REGLAS!B334&amp;",'"&amp;REGLAS!C334&amp;"','"&amp;REGLAS!D334&amp;"','"&amp;REGLAS!G334&amp;"',TO_DATE('"&amp;REGLAS!H334&amp;"','yyyymmdd'),TO_DATE('"&amp;REGLAS!I334&amp;"','yyyymmdd'),'"&amp;REGLAS!J334&amp;"');")</f>
        <v>INSERT INTO INYCEXT.INYC_CONF_INF_REGLAS (COD_INFORME,TABLA,NOMBRE,REGLA,F_INICIO,F_FIN,DESCRIPCION) VALUES (7.1,'INYC_DIF_RESUMEN','Total Mensual','PM-O-DIF-Inspector-PrimaCorregida-004-y-NoPrioritarios',TO_DATE('20140101','yyyymmdd'),TO_DATE('22000101','yyyymmdd'),'');</v>
      </c>
      <c r="B333" t="str">
        <f>IF(REGLAS!J334="OBSOLETO","","INSERT INTO INYCEXT.INYC_CONF_INF_REGLAS@tc_link (COD_INFORME,TABLA,NOMBRE,REGLA,F_INICIO,F_FIN,DESCRIPCION) VALUES ("&amp;REGLAS!B334&amp;",'"&amp;REGLAS!C334&amp;"','"&amp;REGLAS!D334&amp;"','"&amp;REGLAS!G334&amp;"',TO_DATE('"&amp;REGLAS!H334&amp;"','yyyymmdd'),TO_DATE('"&amp;REGLAS!I334&amp;"','yyyymmdd'),'"&amp;REGLAS!J334&amp;"');")</f>
        <v>INSERT INTO INYCEXT.INYC_CONF_INF_REGLAS@tc_link (COD_INFORME,TABLA,NOMBRE,REGLA,F_INICIO,F_FIN,DESCRIPCION) VALUES (7.1,'INYC_DIF_RESUMEN','Total Mensual','PM-O-DIF-Inspector-PrimaCorregida-004-y-NoPrioritarios',TO_DATE('20140101','yyyymmdd'),TO_DATE('22000101','yyyymmdd'),'');</v>
      </c>
    </row>
    <row r="334" spans="1:2" x14ac:dyDescent="0.25">
      <c r="A334" t="str">
        <f>IF(REGLAS!J335="OBSOLETO","","INSERT INTO INYCEXT.INYC_CONF_INF_REGLAS (COD_INFORME,TABLA,NOMBRE,REGLA,F_INICIO,F_FIN,DESCRIPCION) VALUES ("&amp;REGLAS!B335&amp;",'"&amp;REGLAS!C335&amp;"','"&amp;REGLAS!D335&amp;"','"&amp;REGLAS!G335&amp;"',TO_DATE('"&amp;REGLAS!H335&amp;"','yyyymmdd'),TO_DATE('"&amp;REGLAS!I335&amp;"','yyyymmdd'),'"&amp;REGLAS!J335&amp;"');")</f>
        <v>INSERT INTO INYCEXT.INYC_CONF_INF_REGLAS (COD_INFORME,TABLA,NOMBRE,REGLA,F_INICIO,F_FIN,DESCRIPCION) VALUES (7.1,'INYC_DIF_RESUMEN','Total Mensual','PM-O-DIF-Inspector-PrimaCorregida-Prioritarios-Sin-VidaAhorro',TO_DATE('20140101','yyyymmdd'),TO_DATE('22000101','yyyymmdd'),'');</v>
      </c>
      <c r="B334" t="str">
        <f>IF(REGLAS!J335="OBSOLETO","","INSERT INTO INYCEXT.INYC_CONF_INF_REGLAS@tc_link (COD_INFORME,TABLA,NOMBRE,REGLA,F_INICIO,F_FIN,DESCRIPCION) VALUES ("&amp;REGLAS!B335&amp;",'"&amp;REGLAS!C335&amp;"','"&amp;REGLAS!D335&amp;"','"&amp;REGLAS!G335&amp;"',TO_DATE('"&amp;REGLAS!H335&amp;"','yyyymmdd'),TO_DATE('"&amp;REGLAS!I335&amp;"','yyyymmdd'),'"&amp;REGLAS!J335&amp;"');")</f>
        <v>INSERT INTO INYCEXT.INYC_CONF_INF_REGLAS@tc_link (COD_INFORME,TABLA,NOMBRE,REGLA,F_INICIO,F_FIN,DESCRIPCION) VALUES (7.1,'INYC_DIF_RESUMEN','Total Mensual','PM-O-DIF-Inspector-PrimaCorregida-Prioritarios-Sin-VidaAhorro',TO_DATE('20140101','yyyymmdd'),TO_DATE('22000101','yyyymmdd'),'');</v>
      </c>
    </row>
    <row r="335" spans="1:2" x14ac:dyDescent="0.25">
      <c r="A335" t="str">
        <f>IF(REGLAS!J336="OBSOLETO","","INSERT INTO INYCEXT.INYC_CONF_INF_REGLAS (COD_INFORME,TABLA,NOMBRE,REGLA,F_INICIO,F_FIN,DESCRIPCION) VALUES ("&amp;REGLAS!B336&amp;",'"&amp;REGLAS!C336&amp;"','"&amp;REGLAS!D336&amp;"','"&amp;REGLAS!G336&amp;"',TO_DATE('"&amp;REGLAS!H336&amp;"','yyyymmdd'),TO_DATE('"&amp;REGLAS!I336&amp;"','yyyymmdd'),'"&amp;REGLAS!J336&amp;"');")</f>
        <v>INSERT INTO INYCEXT.INYC_CONF_INF_REGLAS (COD_INFORME,TABLA,NOMBRE,REGLA,F_INICIO,F_FIN,DESCRIPCION) VALUES (7.1,'INYC_DIF_RESUMEN','Total Mensual','SM-O-DIF-Inspector-NumeroPolizas-998-TotalMes',TO_DATE('20140101','yyyymmdd'),TO_DATE('22000101','yyyymmdd'),'');</v>
      </c>
      <c r="B335" t="str">
        <f>IF(REGLAS!J336="OBSOLETO","","INSERT INTO INYCEXT.INYC_CONF_INF_REGLAS@tc_link (COD_INFORME,TABLA,NOMBRE,REGLA,F_INICIO,F_FIN,DESCRIPCION) VALUES ("&amp;REGLAS!B336&amp;",'"&amp;REGLAS!C336&amp;"','"&amp;REGLAS!D336&amp;"','"&amp;REGLAS!G336&amp;"',TO_DATE('"&amp;REGLAS!H336&amp;"','yyyymmdd'),TO_DATE('"&amp;REGLAS!I336&amp;"','yyyymmdd'),'"&amp;REGLAS!J336&amp;"');")</f>
        <v>INSERT INTO INYCEXT.INYC_CONF_INF_REGLAS@tc_link (COD_INFORME,TABLA,NOMBRE,REGLA,F_INICIO,F_FIN,DESCRIPCION) VALUES (7.1,'INYC_DIF_RESUMEN','Total Mensual','SM-O-DIF-Inspector-NumeroPolizas-998-TotalMes',TO_DATE('20140101','yyyymmdd'),TO_DATE('22000101','yyyymmdd'),'');</v>
      </c>
    </row>
    <row r="336" spans="1:2" x14ac:dyDescent="0.25">
      <c r="A336" t="str">
        <f>IF(REGLAS!J337="OBSOLETO","","INSERT INTO INYCEXT.INYC_CONF_INF_REGLAS (COD_INFORME,TABLA,NOMBRE,REGLA,F_INICIO,F_FIN,DESCRIPCION) VALUES ("&amp;REGLAS!B337&amp;",'"&amp;REGLAS!C337&amp;"','"&amp;REGLAS!D337&amp;"','"&amp;REGLAS!G337&amp;"',TO_DATE('"&amp;REGLAS!H337&amp;"','yyyymmdd'),TO_DATE('"&amp;REGLAS!I337&amp;"','yyyymmdd'),'"&amp;REGLAS!J337&amp;"');")</f>
        <v>INSERT INTO INYCEXT.INYC_CONF_INF_REGLAS (COD_INFORME,TABLA,NOMBRE,REGLA,F_INICIO,F_FIN,DESCRIPCION) VALUES (7.1,'INYC_DIF_RESUMEN','Total Mensual','SM-O-DIF-Inspector-PrimaCorregida-998-TotalMes',TO_DATE('20140101','yyyymmdd'),TO_DATE('22000101','yyyymmdd'),'');</v>
      </c>
      <c r="B336" t="str">
        <f>IF(REGLAS!J337="OBSOLETO","","INSERT INTO INYCEXT.INYC_CONF_INF_REGLAS@tc_link (COD_INFORME,TABLA,NOMBRE,REGLA,F_INICIO,F_FIN,DESCRIPCION) VALUES ("&amp;REGLAS!B337&amp;",'"&amp;REGLAS!C337&amp;"','"&amp;REGLAS!D337&amp;"','"&amp;REGLAS!G337&amp;"',TO_DATE('"&amp;REGLAS!H337&amp;"','yyyymmdd'),TO_DATE('"&amp;REGLAS!I337&amp;"','yyyymmdd'),'"&amp;REGLAS!J337&amp;"');")</f>
        <v>INSERT INTO INYCEXT.INYC_CONF_INF_REGLAS@tc_link (COD_INFORME,TABLA,NOMBRE,REGLA,F_INICIO,F_FIN,DESCRIPCION) VALUES (7.1,'INYC_DIF_RESUMEN','Total Mensual','SM-O-DIF-Inspector-PrimaCorregida-998-TotalMes',TO_DATE('20140101','yyyymmdd'),TO_DATE('22000101','yyyymmdd'),'');</v>
      </c>
    </row>
    <row r="337" spans="1:2" x14ac:dyDescent="0.25">
      <c r="A337" t="str">
        <f>IF(REGLAS!J338="OBSOLETO","","INSERT INTO INYCEXT.INYC_CONF_INF_REGLAS (COD_INFORME,TABLA,NOMBRE,REGLA,F_INICIO,F_FIN,DESCRIPCION) VALUES ("&amp;REGLAS!B338&amp;",'"&amp;REGLAS!C338&amp;"','"&amp;REGLAS!D338&amp;"','"&amp;REGLAS!G338&amp;"',TO_DATE('"&amp;REGLAS!H338&amp;"','yyyymmdd'),TO_DATE('"&amp;REGLAS!I338&amp;"','yyyymmdd'),'"&amp;REGLAS!J338&amp;"');")</f>
        <v>INSERT INTO INYCEXT.INYC_CONF_INF_REGLAS (COD_INFORME,TABLA,NOMBRE,REGLA,F_INICIO,F_FIN,DESCRIPCION) VALUES (7.1,'INYC_DIF_RESUMEN','Total Mensual','SM-O-DIF-Inspector-PrimaCorregida-004-y-NoPrioritarios-TotalMes',TO_DATE('20140101','yyyymmdd'),TO_DATE('22000101','yyyymmdd'),'');</v>
      </c>
      <c r="B337" t="str">
        <f>IF(REGLAS!J338="OBSOLETO","","INSERT INTO INYCEXT.INYC_CONF_INF_REGLAS@tc_link (COD_INFORME,TABLA,NOMBRE,REGLA,F_INICIO,F_FIN,DESCRIPCION) VALUES ("&amp;REGLAS!B338&amp;",'"&amp;REGLAS!C338&amp;"','"&amp;REGLAS!D338&amp;"','"&amp;REGLAS!G338&amp;"',TO_DATE('"&amp;REGLAS!H338&amp;"','yyyymmdd'),TO_DATE('"&amp;REGLAS!I338&amp;"','yyyymmdd'),'"&amp;REGLAS!J338&amp;"');")</f>
        <v>INSERT INTO INYCEXT.INYC_CONF_INF_REGLAS@tc_link (COD_INFORME,TABLA,NOMBRE,REGLA,F_INICIO,F_FIN,DESCRIPCION) VALUES (7.1,'INYC_DIF_RESUMEN','Total Mensual','SM-O-DIF-Inspector-PrimaCorregida-004-y-NoPrioritarios-TotalMes',TO_DATE('20140101','yyyymmdd'),TO_DATE('22000101','yyyymmdd'),'');</v>
      </c>
    </row>
    <row r="338" spans="1:2" x14ac:dyDescent="0.25">
      <c r="A338" t="str">
        <f>IF(REGLAS!J339="OBSOLETO","","INSERT INTO INYCEXT.INYC_CONF_INF_REGLAS (COD_INFORME,TABLA,NOMBRE,REGLA,F_INICIO,F_FIN,DESCRIPCION) VALUES ("&amp;REGLAS!B339&amp;",'"&amp;REGLAS!C339&amp;"','"&amp;REGLAS!D339&amp;"','"&amp;REGLAS!G339&amp;"',TO_DATE('"&amp;REGLAS!H339&amp;"','yyyymmdd'),TO_DATE('"&amp;REGLAS!I339&amp;"','yyyymmdd'),'"&amp;REGLAS!J339&amp;"');")</f>
        <v>INSERT INTO INYCEXT.INYC_CONF_INF_REGLAS (COD_INFORME,TABLA,NOMBRE,REGLA,F_INICIO,F_FIN,DESCRIPCION) VALUES (7.1,'INYC_DIF_RESUMEN','Total Mensual','SM-O-DIF-Inspector-PrimaCorregida-Prioritarios-Sin-VidaAhorro-TotalMes',TO_DATE('20140101','yyyymmdd'),TO_DATE('22000101','yyyymmdd'),'');</v>
      </c>
      <c r="B338" t="str">
        <f>IF(REGLAS!J339="OBSOLETO","","INSERT INTO INYCEXT.INYC_CONF_INF_REGLAS@tc_link (COD_INFORME,TABLA,NOMBRE,REGLA,F_INICIO,F_FIN,DESCRIPCION) VALUES ("&amp;REGLAS!B339&amp;",'"&amp;REGLAS!C339&amp;"','"&amp;REGLAS!D339&amp;"','"&amp;REGLAS!G339&amp;"',TO_DATE('"&amp;REGLAS!H339&amp;"','yyyymmdd'),TO_DATE('"&amp;REGLAS!I339&amp;"','yyyymmdd'),'"&amp;REGLAS!J339&amp;"');")</f>
        <v>INSERT INTO INYCEXT.INYC_CONF_INF_REGLAS@tc_link (COD_INFORME,TABLA,NOMBRE,REGLA,F_INICIO,F_FIN,DESCRIPCION) VALUES (7.1,'INYC_DIF_RESUMEN','Total Mensual','SM-O-DIF-Inspector-PrimaCorregida-Prioritarios-Sin-VidaAhorro-TotalMes',TO_DATE('20140101','yyyymmdd'),TO_DATE('22000101','yyyymmdd'),'');</v>
      </c>
    </row>
    <row r="339" spans="1:2" x14ac:dyDescent="0.25">
      <c r="A339" t="str">
        <f>IF(REGLAS!J340="OBSOLETO","","INSERT INTO INYCEXT.INYC_CONF_INF_REGLAS (COD_INFORME,TABLA,NOMBRE,REGLA,F_INICIO,F_FIN,DESCRIPCION) VALUES ("&amp;REGLAS!B340&amp;",'"&amp;REGLAS!C340&amp;"','"&amp;REGLAS!D340&amp;"','"&amp;REGLAS!G340&amp;"',TO_DATE('"&amp;REGLAS!H340&amp;"','yyyymmdd'),TO_DATE('"&amp;REGLAS!I340&amp;"','yyyymmdd'),'"&amp;REGLAS!J340&amp;"');")</f>
        <v>INSERT INTO INYCEXT.INYC_CONF_INF_REGLAS (COD_INFORME,TABLA,NOMBRE,REGLA,F_INICIO,F_FIN,DESCRIPCION) VALUES (7.1,'INYC_DIF_RESUMEN','Total Mensual - CT','SM-O-CT-Inspector-PagoMensual',TO_DATE('20140101','yyyymmdd'),TO_DATE('22000101','yyyymmdd'),'');</v>
      </c>
      <c r="B339" t="str">
        <f>IF(REGLAS!J340="OBSOLETO","","INSERT INTO INYCEXT.INYC_CONF_INF_REGLAS@tc_link (COD_INFORME,TABLA,NOMBRE,REGLA,F_INICIO,F_FIN,DESCRIPCION) VALUES ("&amp;REGLAS!B340&amp;",'"&amp;REGLAS!C340&amp;"','"&amp;REGLAS!D340&amp;"','"&amp;REGLAS!G340&amp;"',TO_DATE('"&amp;REGLAS!H340&amp;"','yyyymmdd'),TO_DATE('"&amp;REGLAS!I340&amp;"','yyyymmdd'),'"&amp;REGLAS!J340&amp;"');")</f>
        <v>INSERT INTO INYCEXT.INYC_CONF_INF_REGLAS@tc_link (COD_INFORME,TABLA,NOMBRE,REGLA,F_INICIO,F_FIN,DESCRIPCION) VALUES (7.1,'INYC_DIF_RESUMEN','Total Mensual - CT','SM-O-CT-Inspector-PagoMensual',TO_DATE('20140101','yyyymmdd'),TO_DATE('22000101','yyyymmdd'),'');</v>
      </c>
    </row>
    <row r="340" spans="1:2" x14ac:dyDescent="0.25">
      <c r="A340" t="str">
        <f>IF(REGLAS!J341="OBSOLETO","","INSERT INTO INYCEXT.INYC_CONF_INF_REGLAS (COD_INFORME,TABLA,NOMBRE,REGLA,F_INICIO,F_FIN,DESCRIPCION) VALUES ("&amp;REGLAS!B341&amp;",'"&amp;REGLAS!C341&amp;"','"&amp;REGLAS!D341&amp;"','"&amp;REGLAS!G341&amp;"',TO_DATE('"&amp;REGLAS!H341&amp;"','yyyymmdd'),TO_DATE('"&amp;REGLAS!I341&amp;"','yyyymmdd'),'"&amp;REGLAS!J341&amp;"');")</f>
        <v>INSERT INTO INYCEXT.INYC_CONF_INF_REGLAS (COD_INFORME,TABLA,NOMBRE,REGLA,F_INICIO,F_FIN,DESCRIPCION) VALUES (7.1,'INYC_DIF_RESUMEN','Pago Mensual','I-O-DIF-Inspector-ImporteMensual-004-y-NoPrioritarios-RRTT',TO_DATE('20140101','yyyymmdd'),TO_DATE('22000101','yyyymmdd'),'');</v>
      </c>
      <c r="B340" t="str">
        <f>IF(REGLAS!J341="OBSOLETO","","INSERT INTO INYCEXT.INYC_CONF_INF_REGLAS@tc_link (COD_INFORME,TABLA,NOMBRE,REGLA,F_INICIO,F_FIN,DESCRIPCION) VALUES ("&amp;REGLAS!B341&amp;",'"&amp;REGLAS!C341&amp;"','"&amp;REGLAS!D341&amp;"','"&amp;REGLAS!G341&amp;"',TO_DATE('"&amp;REGLAS!H341&amp;"','yyyymmdd'),TO_DATE('"&amp;REGLAS!I341&amp;"','yyyymmdd'),'"&amp;REGLAS!J341&amp;"');")</f>
        <v>INSERT INTO INYCEXT.INYC_CONF_INF_REGLAS@tc_link (COD_INFORME,TABLA,NOMBRE,REGLA,F_INICIO,F_FIN,DESCRIPCION) VALUES (7.1,'INYC_DIF_RESUMEN','Pago Mensual','I-O-DIF-Inspector-ImporteMensual-004-y-NoPrioritarios-RRTT',TO_DATE('20140101','yyyymmdd'),TO_DATE('22000101','yyyymmdd'),'');</v>
      </c>
    </row>
    <row r="341" spans="1:2" x14ac:dyDescent="0.25">
      <c r="A341" t="str">
        <f>IF(REGLAS!J342="OBSOLETO","","INSERT INTO INYCEXT.INYC_CONF_INF_REGLAS (COD_INFORME,TABLA,NOMBRE,REGLA,F_INICIO,F_FIN,DESCRIPCION) VALUES ("&amp;REGLAS!B342&amp;",'"&amp;REGLAS!C342&amp;"','"&amp;REGLAS!D342&amp;"','"&amp;REGLAS!G342&amp;"',TO_DATE('"&amp;REGLAS!H342&amp;"','yyyymmdd'),TO_DATE('"&amp;REGLAS!I342&amp;"','yyyymmdd'),'"&amp;REGLAS!J342&amp;"');")</f>
        <v>INSERT INTO INYCEXT.INYC_CONF_INF_REGLAS (COD_INFORME,TABLA,NOMBRE,REGLA,F_INICIO,F_FIN,DESCRIPCION) VALUES (7.1,'INYC_DIF_RESUMEN','Pago Mensual','I-O-DIF-Inspector-ImporteMensual-004-y-NoPrioritarios-RRGG',TO_DATE('20140101','yyyymmdd'),TO_DATE('22000101','yyyymmdd'),'');</v>
      </c>
      <c r="B341" t="str">
        <f>IF(REGLAS!J342="OBSOLETO","","INSERT INTO INYCEXT.INYC_CONF_INF_REGLAS@tc_link (COD_INFORME,TABLA,NOMBRE,REGLA,F_INICIO,F_FIN,DESCRIPCION) VALUES ("&amp;REGLAS!B342&amp;",'"&amp;REGLAS!C342&amp;"','"&amp;REGLAS!D342&amp;"','"&amp;REGLAS!G342&amp;"',TO_DATE('"&amp;REGLAS!H342&amp;"','yyyymmdd'),TO_DATE('"&amp;REGLAS!I342&amp;"','yyyymmdd'),'"&amp;REGLAS!J342&amp;"');")</f>
        <v>INSERT INTO INYCEXT.INYC_CONF_INF_REGLAS@tc_link (COD_INFORME,TABLA,NOMBRE,REGLA,F_INICIO,F_FIN,DESCRIPCION) VALUES (7.1,'INYC_DIF_RESUMEN','Pago Mensual','I-O-DIF-Inspector-ImporteMensual-004-y-NoPrioritarios-RRGG',TO_DATE('20140101','yyyymmdd'),TO_DATE('22000101','yyyymmdd'),'');</v>
      </c>
    </row>
    <row r="342" spans="1:2" x14ac:dyDescent="0.25">
      <c r="A342" t="str">
        <f>IF(REGLAS!J343="OBSOLETO","","INSERT INTO INYCEXT.INYC_CONF_INF_REGLAS (COD_INFORME,TABLA,NOMBRE,REGLA,F_INICIO,F_FIN,DESCRIPCION) VALUES ("&amp;REGLAS!B343&amp;",'"&amp;REGLAS!C343&amp;"','"&amp;REGLAS!D343&amp;"','"&amp;REGLAS!G343&amp;"',TO_DATE('"&amp;REGLAS!H343&amp;"','yyyymmdd'),TO_DATE('"&amp;REGLAS!I343&amp;"','yyyymmdd'),'"&amp;REGLAS!J343&amp;"');")</f>
        <v>INSERT INTO INYCEXT.INYC_CONF_INF_REGLAS (COD_INFORME,TABLA,NOMBRE,REGLA,F_INICIO,F_FIN,DESCRIPCION) VALUES (7.1,'INYC_DIF_RESUMEN','Pago Mensual','I-O-DIF-Inspector-ImporteMensual-Prioritarios-Sin-VidaAhorro-RRTT',TO_DATE('20140101','yyyymmdd'),TO_DATE('22000101','yyyymmdd'),'');</v>
      </c>
      <c r="B342" t="str">
        <f>IF(REGLAS!J343="OBSOLETO","","INSERT INTO INYCEXT.INYC_CONF_INF_REGLAS@tc_link (COD_INFORME,TABLA,NOMBRE,REGLA,F_INICIO,F_FIN,DESCRIPCION) VALUES ("&amp;REGLAS!B343&amp;",'"&amp;REGLAS!C343&amp;"','"&amp;REGLAS!D343&amp;"','"&amp;REGLAS!G343&amp;"',TO_DATE('"&amp;REGLAS!H343&amp;"','yyyymmdd'),TO_DATE('"&amp;REGLAS!I343&amp;"','yyyymmdd'),'"&amp;REGLAS!J343&amp;"');")</f>
        <v>INSERT INTO INYCEXT.INYC_CONF_INF_REGLAS@tc_link (COD_INFORME,TABLA,NOMBRE,REGLA,F_INICIO,F_FIN,DESCRIPCION) VALUES (7.1,'INYC_DIF_RESUMEN','Pago Mensual','I-O-DIF-Inspector-ImporteMensual-Prioritarios-Sin-VidaAhorro-RRTT',TO_DATE('20140101','yyyymmdd'),TO_DATE('22000101','yyyymmdd'),'');</v>
      </c>
    </row>
    <row r="343" spans="1:2" x14ac:dyDescent="0.25">
      <c r="A343" t="str">
        <f>IF(REGLAS!J344="OBSOLETO","","INSERT INTO INYCEXT.INYC_CONF_INF_REGLAS (COD_INFORME,TABLA,NOMBRE,REGLA,F_INICIO,F_FIN,DESCRIPCION) VALUES ("&amp;REGLAS!B344&amp;",'"&amp;REGLAS!C344&amp;"','"&amp;REGLAS!D344&amp;"','"&amp;REGLAS!G344&amp;"',TO_DATE('"&amp;REGLAS!H344&amp;"','yyyymmdd'),TO_DATE('"&amp;REGLAS!I344&amp;"','yyyymmdd'),'"&amp;REGLAS!J344&amp;"');")</f>
        <v>INSERT INTO INYCEXT.INYC_CONF_INF_REGLAS (COD_INFORME,TABLA,NOMBRE,REGLA,F_INICIO,F_FIN,DESCRIPCION) VALUES (7.1,'INYC_DIF_RESUMEN','Pago Mensual','I-O-DIF-Inspector-ImporteMensual-Prioritarios-Sin-VidaAhorro-RRGG',TO_DATE('20140101','yyyymmdd'),TO_DATE('22000101','yyyymmdd'),'');</v>
      </c>
      <c r="B343" t="str">
        <f>IF(REGLAS!J344="OBSOLETO","","INSERT INTO INYCEXT.INYC_CONF_INF_REGLAS@tc_link (COD_INFORME,TABLA,NOMBRE,REGLA,F_INICIO,F_FIN,DESCRIPCION) VALUES ("&amp;REGLAS!B344&amp;",'"&amp;REGLAS!C344&amp;"','"&amp;REGLAS!D344&amp;"','"&amp;REGLAS!G344&amp;"',TO_DATE('"&amp;REGLAS!H344&amp;"','yyyymmdd'),TO_DATE('"&amp;REGLAS!I344&amp;"','yyyymmdd'),'"&amp;REGLAS!J344&amp;"');")</f>
        <v>INSERT INTO INYCEXT.INYC_CONF_INF_REGLAS@tc_link (COD_INFORME,TABLA,NOMBRE,REGLA,F_INICIO,F_FIN,DESCRIPCION) VALUES (7.1,'INYC_DIF_RESUMEN','Pago Mensual','I-O-DIF-Inspector-ImporteMensual-Prioritarios-Sin-VidaAhorro-RRGG',TO_DATE('20140101','yyyymmdd'),TO_DATE('22000101','yyyymmdd'),'');</v>
      </c>
    </row>
    <row r="344" spans="1:2" x14ac:dyDescent="0.25">
      <c r="A344" t="str">
        <f>IF(REGLAS!J345="OBSOLETO","","INSERT INTO INYCEXT.INYC_CONF_INF_REGLAS (COD_INFORME,TABLA,NOMBRE,REGLA,F_INICIO,F_FIN,DESCRIPCION) VALUES ("&amp;REGLAS!B345&amp;",'"&amp;REGLAS!C345&amp;"','"&amp;REGLAS!D345&amp;"','"&amp;REGLAS!G345&amp;"',TO_DATE('"&amp;REGLAS!H345&amp;"','yyyymmdd'),TO_DATE('"&amp;REGLAS!I345&amp;"','yyyymmdd'),'"&amp;REGLAS!J345&amp;"');")</f>
        <v>INSERT INTO INYCEXT.INYC_CONF_INF_REGLAS (COD_INFORME,TABLA,NOMBRE,REGLA,F_INICIO,F_FIN,DESCRIPCION) VALUES (7.1,'INYC_DIF_RESUMEN','Objetivos Anuales','SM-O-DIF-Inspector-Regularizacion-Objetivos-Polizas',TO_DATE('20140101','yyyymmdd'),TO_DATE('22000101','yyyymmdd'),'');</v>
      </c>
      <c r="B344" t="str">
        <f>IF(REGLAS!J345="OBSOLETO","","INSERT INTO INYCEXT.INYC_CONF_INF_REGLAS@tc_link (COD_INFORME,TABLA,NOMBRE,REGLA,F_INICIO,F_FIN,DESCRIPCION) VALUES ("&amp;REGLAS!B345&amp;",'"&amp;REGLAS!C345&amp;"','"&amp;REGLAS!D345&amp;"','"&amp;REGLAS!G345&amp;"',TO_DATE('"&amp;REGLAS!H345&amp;"','yyyymmdd'),TO_DATE('"&amp;REGLAS!I345&amp;"','yyyymmdd'),'"&amp;REGLAS!J345&amp;"');")</f>
        <v>INSERT INTO INYCEXT.INYC_CONF_INF_REGLAS@tc_link (COD_INFORME,TABLA,NOMBRE,REGLA,F_INICIO,F_FIN,DESCRIPCION) VALUES (7.1,'INYC_DIF_RESUMEN','Objetivos Anuales','SM-O-DIF-Inspector-Regularizacion-Objetivos-Polizas',TO_DATE('20140101','yyyymmdd'),TO_DATE('22000101','yyyymmdd'),'');</v>
      </c>
    </row>
    <row r="345" spans="1:2" x14ac:dyDescent="0.25">
      <c r="A345" t="str">
        <f>IF(REGLAS!J346="OBSOLETO","","INSERT INTO INYCEXT.INYC_CONF_INF_REGLAS (COD_INFORME,TABLA,NOMBRE,REGLA,F_INICIO,F_FIN,DESCRIPCION) VALUES ("&amp;REGLAS!B346&amp;",'"&amp;REGLAS!C346&amp;"','"&amp;REGLAS!D346&amp;"','"&amp;REGLAS!G346&amp;"',TO_DATE('"&amp;REGLAS!H346&amp;"','yyyymmdd'),TO_DATE('"&amp;REGLAS!I346&amp;"','yyyymmdd'),'"&amp;REGLAS!J346&amp;"');")</f>
        <v>INSERT INTO INYCEXT.INYC_CONF_INF_REGLAS (COD_INFORME,TABLA,NOMBRE,REGLA,F_INICIO,F_FIN,DESCRIPCION) VALUES (7.1,'INYC_DIF_RESUMEN','Objetivos Anuales','SM-O-DIF-Inspector-Regularizacion-Objetivos-Primas',TO_DATE('20140101','yyyymmdd'),TO_DATE('22000101','yyyymmdd'),'');</v>
      </c>
      <c r="B345" t="str">
        <f>IF(REGLAS!J346="OBSOLETO","","INSERT INTO INYCEXT.INYC_CONF_INF_REGLAS@tc_link (COD_INFORME,TABLA,NOMBRE,REGLA,F_INICIO,F_FIN,DESCRIPCION) VALUES ("&amp;REGLAS!B346&amp;",'"&amp;REGLAS!C346&amp;"','"&amp;REGLAS!D346&amp;"','"&amp;REGLAS!G346&amp;"',TO_DATE('"&amp;REGLAS!H346&amp;"','yyyymmdd'),TO_DATE('"&amp;REGLAS!I346&amp;"','yyyymmdd'),'"&amp;REGLAS!J346&amp;"');")</f>
        <v>INSERT INTO INYCEXT.INYC_CONF_INF_REGLAS@tc_link (COD_INFORME,TABLA,NOMBRE,REGLA,F_INICIO,F_FIN,DESCRIPCION) VALUES (7.1,'INYC_DIF_RESUMEN','Objetivos Anuales','SM-O-DIF-Inspector-Regularizacion-Objetivos-Primas',TO_DATE('20140101','yyyymmdd'),TO_DATE('22000101','yyyymmdd'),'');</v>
      </c>
    </row>
    <row r="346" spans="1:2" x14ac:dyDescent="0.25">
      <c r="A346" t="str">
        <f>IF(REGLAS!J347="OBSOLETO","","INSERT INTO INYCEXT.INYC_CONF_INF_REGLAS (COD_INFORME,TABLA,NOMBRE,REGLA,F_INICIO,F_FIN,DESCRIPCION) VALUES ("&amp;REGLAS!B347&amp;",'"&amp;REGLAS!C347&amp;"','"&amp;REGLAS!D347&amp;"','"&amp;REGLAS!G347&amp;"',TO_DATE('"&amp;REGLAS!H347&amp;"','yyyymmdd'),TO_DATE('"&amp;REGLAS!I347&amp;"','yyyymmdd'),'"&amp;REGLAS!J347&amp;"');")</f>
        <v>INSERT INTO INYCEXT.INYC_CONF_INF_REGLAS (COD_INFORME,TABLA,NOMBRE,REGLA,F_INICIO,F_FIN,DESCRIPCION) VALUES (7.1,'INYC_DIF_RESUMEN','Total Anual','SM-O-DIF-Inspector-NumeroPolizas-998-TotalAnual',TO_DATE('20140101','yyyymmdd'),TO_DATE('22000101','yyyymmdd'),'');</v>
      </c>
      <c r="B346" t="str">
        <f>IF(REGLAS!J347="OBSOLETO","","INSERT INTO INYCEXT.INYC_CONF_INF_REGLAS@tc_link (COD_INFORME,TABLA,NOMBRE,REGLA,F_INICIO,F_FIN,DESCRIPCION) VALUES ("&amp;REGLAS!B347&amp;",'"&amp;REGLAS!C347&amp;"','"&amp;REGLAS!D347&amp;"','"&amp;REGLAS!G347&amp;"',TO_DATE('"&amp;REGLAS!H347&amp;"','yyyymmdd'),TO_DATE('"&amp;REGLAS!I347&amp;"','yyyymmdd'),'"&amp;REGLAS!J347&amp;"');")</f>
        <v>INSERT INTO INYCEXT.INYC_CONF_INF_REGLAS@tc_link (COD_INFORME,TABLA,NOMBRE,REGLA,F_INICIO,F_FIN,DESCRIPCION) VALUES (7.1,'INYC_DIF_RESUMEN','Total Anual','SM-O-DIF-Inspector-NumeroPolizas-998-TotalAnual',TO_DATE('20140101','yyyymmdd'),TO_DATE('22000101','yyyymmdd'),'');</v>
      </c>
    </row>
    <row r="347" spans="1:2" x14ac:dyDescent="0.25">
      <c r="A347" t="str">
        <f>IF(REGLAS!J348="OBSOLETO","","INSERT INTO INYCEXT.INYC_CONF_INF_REGLAS (COD_INFORME,TABLA,NOMBRE,REGLA,F_INICIO,F_FIN,DESCRIPCION) VALUES ("&amp;REGLAS!B348&amp;",'"&amp;REGLAS!C348&amp;"','"&amp;REGLAS!D348&amp;"','"&amp;REGLAS!G348&amp;"',TO_DATE('"&amp;REGLAS!H348&amp;"','yyyymmdd'),TO_DATE('"&amp;REGLAS!I348&amp;"','yyyymmdd'),'"&amp;REGLAS!J348&amp;"');")</f>
        <v>INSERT INTO INYCEXT.INYC_CONF_INF_REGLAS (COD_INFORME,TABLA,NOMBRE,REGLA,F_INICIO,F_FIN,DESCRIPCION) VALUES (7.1,'INYC_DIF_RESUMEN','Total Anual','SM-O-DIF-Inspector-PrimaCorregida-998-TotalAnual',TO_DATE('20140101','yyyymmdd'),TO_DATE('22000101','yyyymmdd'),'');</v>
      </c>
      <c r="B347" t="str">
        <f>IF(REGLAS!J348="OBSOLETO","","INSERT INTO INYCEXT.INYC_CONF_INF_REGLAS@tc_link (COD_INFORME,TABLA,NOMBRE,REGLA,F_INICIO,F_FIN,DESCRIPCION) VALUES ("&amp;REGLAS!B348&amp;",'"&amp;REGLAS!C348&amp;"','"&amp;REGLAS!D348&amp;"','"&amp;REGLAS!G348&amp;"',TO_DATE('"&amp;REGLAS!H348&amp;"','yyyymmdd'),TO_DATE('"&amp;REGLAS!I348&amp;"','yyyymmdd'),'"&amp;REGLAS!J348&amp;"');")</f>
        <v>INSERT INTO INYCEXT.INYC_CONF_INF_REGLAS@tc_link (COD_INFORME,TABLA,NOMBRE,REGLA,F_INICIO,F_FIN,DESCRIPCION) VALUES (7.1,'INYC_DIF_RESUMEN','Total Anual','SM-O-DIF-Inspector-PrimaCorregida-998-TotalAnual',TO_DATE('20140101','yyyymmdd'),TO_DATE('22000101','yyyymmdd'),'');</v>
      </c>
    </row>
    <row r="348" spans="1:2" x14ac:dyDescent="0.25">
      <c r="A348" t="str">
        <f>IF(REGLAS!J349="OBSOLETO","","INSERT INTO INYCEXT.INYC_CONF_INF_REGLAS (COD_INFORME,TABLA,NOMBRE,REGLA,F_INICIO,F_FIN,DESCRIPCION) VALUES ("&amp;REGLAS!B349&amp;",'"&amp;REGLAS!C349&amp;"','"&amp;REGLAS!D349&amp;"','"&amp;REGLAS!G349&amp;"',TO_DATE('"&amp;REGLAS!H349&amp;"','yyyymmdd'),TO_DATE('"&amp;REGLAS!I349&amp;"','yyyymmdd'),'"&amp;REGLAS!J349&amp;"');")</f>
        <v>INSERT INTO INYCEXT.INYC_CONF_INF_REGLAS (COD_INFORME,TABLA,NOMBRE,REGLA,F_INICIO,F_FIN,DESCRIPCION) VALUES (7.1,'INYC_DIF_RESUMEN','Pago Anual','I-O-DIF-Inspector-Pago-004-y-NoPrioritarios-RRTT-TotalAnual',TO_DATE('20140101','yyyymmdd'),TO_DATE('22000101','yyyymmdd'),'');</v>
      </c>
      <c r="B348" t="str">
        <f>IF(REGLAS!J349="OBSOLETO","","INSERT INTO INYCEXT.INYC_CONF_INF_REGLAS@tc_link (COD_INFORME,TABLA,NOMBRE,REGLA,F_INICIO,F_FIN,DESCRIPCION) VALUES ("&amp;REGLAS!B349&amp;",'"&amp;REGLAS!C349&amp;"','"&amp;REGLAS!D349&amp;"','"&amp;REGLAS!G349&amp;"',TO_DATE('"&amp;REGLAS!H349&amp;"','yyyymmdd'),TO_DATE('"&amp;REGLAS!I349&amp;"','yyyymmdd'),'"&amp;REGLAS!J349&amp;"');")</f>
        <v>INSERT INTO INYCEXT.INYC_CONF_INF_REGLAS@tc_link (COD_INFORME,TABLA,NOMBRE,REGLA,F_INICIO,F_FIN,DESCRIPCION) VALUES (7.1,'INYC_DIF_RESUMEN','Pago Anual','I-O-DIF-Inspector-Pago-004-y-NoPrioritarios-RRTT-TotalAnual',TO_DATE('20140101','yyyymmdd'),TO_DATE('22000101','yyyymmdd'),'');</v>
      </c>
    </row>
    <row r="349" spans="1:2" x14ac:dyDescent="0.25">
      <c r="A349" t="str">
        <f>IF(REGLAS!J350="OBSOLETO","","INSERT INTO INYCEXT.INYC_CONF_INF_REGLAS (COD_INFORME,TABLA,NOMBRE,REGLA,F_INICIO,F_FIN,DESCRIPCION) VALUES ("&amp;REGLAS!B350&amp;",'"&amp;REGLAS!C350&amp;"','"&amp;REGLAS!D350&amp;"','"&amp;REGLAS!G350&amp;"',TO_DATE('"&amp;REGLAS!H350&amp;"','yyyymmdd'),TO_DATE('"&amp;REGLAS!I350&amp;"','yyyymmdd'),'"&amp;REGLAS!J350&amp;"');")</f>
        <v>INSERT INTO INYCEXT.INYC_CONF_INF_REGLAS (COD_INFORME,TABLA,NOMBRE,REGLA,F_INICIO,F_FIN,DESCRIPCION) VALUES (7.1,'INYC_DIF_RESUMEN','Pago Anual','I-O-DIF-Inspector-Pago-004-y-NoPrioritarios-RRGG-TotalAnual',TO_DATE('20140101','yyyymmdd'),TO_DATE('22000101','yyyymmdd'),'');</v>
      </c>
      <c r="B349" t="str">
        <f>IF(REGLAS!J350="OBSOLETO","","INSERT INTO INYCEXT.INYC_CONF_INF_REGLAS@tc_link (COD_INFORME,TABLA,NOMBRE,REGLA,F_INICIO,F_FIN,DESCRIPCION) VALUES ("&amp;REGLAS!B350&amp;",'"&amp;REGLAS!C350&amp;"','"&amp;REGLAS!D350&amp;"','"&amp;REGLAS!G350&amp;"',TO_DATE('"&amp;REGLAS!H350&amp;"','yyyymmdd'),TO_DATE('"&amp;REGLAS!I350&amp;"','yyyymmdd'),'"&amp;REGLAS!J350&amp;"');")</f>
        <v>INSERT INTO INYCEXT.INYC_CONF_INF_REGLAS@tc_link (COD_INFORME,TABLA,NOMBRE,REGLA,F_INICIO,F_FIN,DESCRIPCION) VALUES (7.1,'INYC_DIF_RESUMEN','Pago Anual','I-O-DIF-Inspector-Pago-004-y-NoPrioritarios-RRGG-TotalAnual',TO_DATE('20140101','yyyymmdd'),TO_DATE('22000101','yyyymmdd'),'');</v>
      </c>
    </row>
    <row r="350" spans="1:2" x14ac:dyDescent="0.25">
      <c r="A350" t="str">
        <f>IF(REGLAS!J351="OBSOLETO","","INSERT INTO INYCEXT.INYC_CONF_INF_REGLAS (COD_INFORME,TABLA,NOMBRE,REGLA,F_INICIO,F_FIN,DESCRIPCION) VALUES ("&amp;REGLAS!B351&amp;",'"&amp;REGLAS!C351&amp;"','"&amp;REGLAS!D351&amp;"','"&amp;REGLAS!G351&amp;"',TO_DATE('"&amp;REGLAS!H351&amp;"','yyyymmdd'),TO_DATE('"&amp;REGLAS!I351&amp;"','yyyymmdd'),'"&amp;REGLAS!J351&amp;"');")</f>
        <v>INSERT INTO INYCEXT.INYC_CONF_INF_REGLAS (COD_INFORME,TABLA,NOMBRE,REGLA,F_INICIO,F_FIN,DESCRIPCION) VALUES (7.1,'INYC_DIF_RESUMEN','Pago Anual','I-O-DIF-Inspector-Pago-Prioritarios-Sin-VidaAhorro-RRTT-TotalAnual',TO_DATE('20140101','yyyymmdd'),TO_DATE('22000101','yyyymmdd'),'');</v>
      </c>
      <c r="B350" t="str">
        <f>IF(REGLAS!J351="OBSOLETO","","INSERT INTO INYCEXT.INYC_CONF_INF_REGLAS@tc_link (COD_INFORME,TABLA,NOMBRE,REGLA,F_INICIO,F_FIN,DESCRIPCION) VALUES ("&amp;REGLAS!B351&amp;",'"&amp;REGLAS!C351&amp;"','"&amp;REGLAS!D351&amp;"','"&amp;REGLAS!G351&amp;"',TO_DATE('"&amp;REGLAS!H351&amp;"','yyyymmdd'),TO_DATE('"&amp;REGLAS!I351&amp;"','yyyymmdd'),'"&amp;REGLAS!J351&amp;"');")</f>
        <v>INSERT INTO INYCEXT.INYC_CONF_INF_REGLAS@tc_link (COD_INFORME,TABLA,NOMBRE,REGLA,F_INICIO,F_FIN,DESCRIPCION) VALUES (7.1,'INYC_DIF_RESUMEN','Pago Anual','I-O-DIF-Inspector-Pago-Prioritarios-Sin-VidaAhorro-RRTT-TotalAnual',TO_DATE('20140101','yyyymmdd'),TO_DATE('22000101','yyyymmdd'),'');</v>
      </c>
    </row>
    <row r="351" spans="1:2" x14ac:dyDescent="0.25">
      <c r="A351" t="str">
        <f>IF(REGLAS!J352="OBSOLETO","","INSERT INTO INYCEXT.INYC_CONF_INF_REGLAS (COD_INFORME,TABLA,NOMBRE,REGLA,F_INICIO,F_FIN,DESCRIPCION) VALUES ("&amp;REGLAS!B352&amp;",'"&amp;REGLAS!C352&amp;"','"&amp;REGLAS!D352&amp;"','"&amp;REGLAS!G352&amp;"',TO_DATE('"&amp;REGLAS!H352&amp;"','yyyymmdd'),TO_DATE('"&amp;REGLAS!I352&amp;"','yyyymmdd'),'"&amp;REGLAS!J352&amp;"');")</f>
        <v>INSERT INTO INYCEXT.INYC_CONF_INF_REGLAS (COD_INFORME,TABLA,NOMBRE,REGLA,F_INICIO,F_FIN,DESCRIPCION) VALUES (7.1,'INYC_DIF_RESUMEN','Pago Anual','I-O-DIF-Inspector-Pago-Prioritarios-Sin-VidaAhorro-RRGG-TotalAnual',TO_DATE('20140101','yyyymmdd'),TO_DATE('22000101','yyyymmdd'),'');</v>
      </c>
      <c r="B351" t="str">
        <f>IF(REGLAS!J352="OBSOLETO","","INSERT INTO INYCEXT.INYC_CONF_INF_REGLAS@tc_link (COD_INFORME,TABLA,NOMBRE,REGLA,F_INICIO,F_FIN,DESCRIPCION) VALUES ("&amp;REGLAS!B352&amp;",'"&amp;REGLAS!C352&amp;"','"&amp;REGLAS!D352&amp;"','"&amp;REGLAS!G352&amp;"',TO_DATE('"&amp;REGLAS!H352&amp;"','yyyymmdd'),TO_DATE('"&amp;REGLAS!I352&amp;"','yyyymmdd'),'"&amp;REGLAS!J352&amp;"');")</f>
        <v>INSERT INTO INYCEXT.INYC_CONF_INF_REGLAS@tc_link (COD_INFORME,TABLA,NOMBRE,REGLA,F_INICIO,F_FIN,DESCRIPCION) VALUES (7.1,'INYC_DIF_RESUMEN','Pago Anual','I-O-DIF-Inspector-Pago-Prioritarios-Sin-VidaAhorro-RRGG-TotalAnual',TO_DATE('20140101','yyyymmdd'),TO_DATE('22000101','yyyymmdd'),'');</v>
      </c>
    </row>
    <row r="352" spans="1:2" x14ac:dyDescent="0.25">
      <c r="A352" t="str">
        <f>IF(REGLAS!J353="OBSOLETO","","INSERT INTO INYCEXT.INYC_CONF_INF_REGLAS (COD_INFORME,TABLA,NOMBRE,REGLA,F_INICIO,F_FIN,DESCRIPCION) VALUES ("&amp;REGLAS!B353&amp;",'"&amp;REGLAS!C353&amp;"','"&amp;REGLAS!D353&amp;"','"&amp;REGLAS!G353&amp;"',TO_DATE('"&amp;REGLAS!H353&amp;"','yyyymmdd'),TO_DATE('"&amp;REGLAS!I353&amp;"','yyyymmdd'),'"&amp;REGLAS!J353&amp;"');")</f>
        <v>INSERT INTO INYCEXT.INYC_CONF_INF_REGLAS (COD_INFORME,TABLA,NOMBRE,REGLA,F_INICIO,F_FIN,DESCRIPCION) VALUES (7.1,'INYC_DIF_RESUMEN','Regularizacion Anual','I-O-DIF-Inspector-Reg-004-y-NoPrioritarios-RRTT',TO_DATE('20140101','yyyymmdd'),TO_DATE('22000101','yyyymmdd'),'');</v>
      </c>
      <c r="B352" t="str">
        <f>IF(REGLAS!J353="OBSOLETO","","INSERT INTO INYCEXT.INYC_CONF_INF_REGLAS@tc_link (COD_INFORME,TABLA,NOMBRE,REGLA,F_INICIO,F_FIN,DESCRIPCION) VALUES ("&amp;REGLAS!B353&amp;",'"&amp;REGLAS!C353&amp;"','"&amp;REGLAS!D353&amp;"','"&amp;REGLAS!G353&amp;"',TO_DATE('"&amp;REGLAS!H353&amp;"','yyyymmdd'),TO_DATE('"&amp;REGLAS!I353&amp;"','yyyymmdd'),'"&amp;REGLAS!J353&amp;"');")</f>
        <v>INSERT INTO INYCEXT.INYC_CONF_INF_REGLAS@tc_link (COD_INFORME,TABLA,NOMBRE,REGLA,F_INICIO,F_FIN,DESCRIPCION) VALUES (7.1,'INYC_DIF_RESUMEN','Regularizacion Anual','I-O-DIF-Inspector-Reg-004-y-NoPrioritarios-RRTT',TO_DATE('20140101','yyyymmdd'),TO_DATE('22000101','yyyymmdd'),'');</v>
      </c>
    </row>
    <row r="353" spans="1:2" x14ac:dyDescent="0.25">
      <c r="A353" t="str">
        <f>IF(REGLAS!J354="OBSOLETO","","INSERT INTO INYCEXT.INYC_CONF_INF_REGLAS (COD_INFORME,TABLA,NOMBRE,REGLA,F_INICIO,F_FIN,DESCRIPCION) VALUES ("&amp;REGLAS!B354&amp;",'"&amp;REGLAS!C354&amp;"','"&amp;REGLAS!D354&amp;"','"&amp;REGLAS!G354&amp;"',TO_DATE('"&amp;REGLAS!H354&amp;"','yyyymmdd'),TO_DATE('"&amp;REGLAS!I354&amp;"','yyyymmdd'),'"&amp;REGLAS!J354&amp;"');")</f>
        <v>INSERT INTO INYCEXT.INYC_CONF_INF_REGLAS (COD_INFORME,TABLA,NOMBRE,REGLA,F_INICIO,F_FIN,DESCRIPCION) VALUES (7.1,'INYC_DIF_RESUMEN','Regularizacion Anual','I-O-DIF-Inspector-Reg-004-y-NoPrioritarios-RRGG',TO_DATE('20140101','yyyymmdd'),TO_DATE('22000101','yyyymmdd'),'');</v>
      </c>
      <c r="B353" t="str">
        <f>IF(REGLAS!J354="OBSOLETO","","INSERT INTO INYCEXT.INYC_CONF_INF_REGLAS@tc_link (COD_INFORME,TABLA,NOMBRE,REGLA,F_INICIO,F_FIN,DESCRIPCION) VALUES ("&amp;REGLAS!B354&amp;",'"&amp;REGLAS!C354&amp;"','"&amp;REGLAS!D354&amp;"','"&amp;REGLAS!G354&amp;"',TO_DATE('"&amp;REGLAS!H354&amp;"','yyyymmdd'),TO_DATE('"&amp;REGLAS!I354&amp;"','yyyymmdd'),'"&amp;REGLAS!J354&amp;"');")</f>
        <v>INSERT INTO INYCEXT.INYC_CONF_INF_REGLAS@tc_link (COD_INFORME,TABLA,NOMBRE,REGLA,F_INICIO,F_FIN,DESCRIPCION) VALUES (7.1,'INYC_DIF_RESUMEN','Regularizacion Anual','I-O-DIF-Inspector-Reg-004-y-NoPrioritarios-RRGG',TO_DATE('20140101','yyyymmdd'),TO_DATE('22000101','yyyymmdd'),'');</v>
      </c>
    </row>
    <row r="354" spans="1:2" x14ac:dyDescent="0.25">
      <c r="A354" t="str">
        <f>IF(REGLAS!J355="OBSOLETO","","INSERT INTO INYCEXT.INYC_CONF_INF_REGLAS (COD_INFORME,TABLA,NOMBRE,REGLA,F_INICIO,F_FIN,DESCRIPCION) VALUES ("&amp;REGLAS!B355&amp;",'"&amp;REGLAS!C355&amp;"','"&amp;REGLAS!D355&amp;"','"&amp;REGLAS!G355&amp;"',TO_DATE('"&amp;REGLAS!H355&amp;"','yyyymmdd'),TO_DATE('"&amp;REGLAS!I355&amp;"','yyyymmdd'),'"&amp;REGLAS!J355&amp;"');")</f>
        <v>INSERT INTO INYCEXT.INYC_CONF_INF_REGLAS (COD_INFORME,TABLA,NOMBRE,REGLA,F_INICIO,F_FIN,DESCRIPCION) VALUES (7.1,'INYC_DIF_RESUMEN','Regularizacion Anual','I-O-DIF-Inspector-Reg-Prioritarios-Sin-VidaAhorro-RRTT',TO_DATE('20140101','yyyymmdd'),TO_DATE('22000101','yyyymmdd'),'');</v>
      </c>
      <c r="B354" t="str">
        <f>IF(REGLAS!J355="OBSOLETO","","INSERT INTO INYCEXT.INYC_CONF_INF_REGLAS@tc_link (COD_INFORME,TABLA,NOMBRE,REGLA,F_INICIO,F_FIN,DESCRIPCION) VALUES ("&amp;REGLAS!B355&amp;",'"&amp;REGLAS!C355&amp;"','"&amp;REGLAS!D355&amp;"','"&amp;REGLAS!G355&amp;"',TO_DATE('"&amp;REGLAS!H355&amp;"','yyyymmdd'),TO_DATE('"&amp;REGLAS!I355&amp;"','yyyymmdd'),'"&amp;REGLAS!J355&amp;"');")</f>
        <v>INSERT INTO INYCEXT.INYC_CONF_INF_REGLAS@tc_link (COD_INFORME,TABLA,NOMBRE,REGLA,F_INICIO,F_FIN,DESCRIPCION) VALUES (7.1,'INYC_DIF_RESUMEN','Regularizacion Anual','I-O-DIF-Inspector-Reg-Prioritarios-Sin-VidaAhorro-RRTT',TO_DATE('20140101','yyyymmdd'),TO_DATE('22000101','yyyymmdd'),'');</v>
      </c>
    </row>
    <row r="355" spans="1:2" x14ac:dyDescent="0.25">
      <c r="A355" t="str">
        <f>IF(REGLAS!J356="OBSOLETO","","INSERT INTO INYCEXT.INYC_CONF_INF_REGLAS (COD_INFORME,TABLA,NOMBRE,REGLA,F_INICIO,F_FIN,DESCRIPCION) VALUES ("&amp;REGLAS!B356&amp;",'"&amp;REGLAS!C356&amp;"','"&amp;REGLAS!D356&amp;"','"&amp;REGLAS!G356&amp;"',TO_DATE('"&amp;REGLAS!H356&amp;"','yyyymmdd'),TO_DATE('"&amp;REGLAS!I356&amp;"','yyyymmdd'),'"&amp;REGLAS!J356&amp;"');")</f>
        <v>INSERT INTO INYCEXT.INYC_CONF_INF_REGLAS (COD_INFORME,TABLA,NOMBRE,REGLA,F_INICIO,F_FIN,DESCRIPCION) VALUES (7.1,'INYC_DIF_RESUMEN','Regularizacion Anual','I-O-DIF-Inspector-Reg-Prioritarios-Sin-VidaAhorro-RRGG',TO_DATE('20140101','yyyymmdd'),TO_DATE('22000101','yyyymmdd'),'');</v>
      </c>
      <c r="B355" t="str">
        <f>IF(REGLAS!J356="OBSOLETO","","INSERT INTO INYCEXT.INYC_CONF_INF_REGLAS@tc_link (COD_INFORME,TABLA,NOMBRE,REGLA,F_INICIO,F_FIN,DESCRIPCION) VALUES ("&amp;REGLAS!B356&amp;",'"&amp;REGLAS!C356&amp;"','"&amp;REGLAS!D356&amp;"','"&amp;REGLAS!G356&amp;"',TO_DATE('"&amp;REGLAS!H356&amp;"','yyyymmdd'),TO_DATE('"&amp;REGLAS!I356&amp;"','yyyymmdd'),'"&amp;REGLAS!J356&amp;"');")</f>
        <v>INSERT INTO INYCEXT.INYC_CONF_INF_REGLAS@tc_link (COD_INFORME,TABLA,NOMBRE,REGLA,F_INICIO,F_FIN,DESCRIPCION) VALUES (7.1,'INYC_DIF_RESUMEN','Regularizacion Anual','I-O-DIF-Inspector-Reg-Prioritarios-Sin-VidaAhorro-RRGG',TO_DATE('20140101','yyyymmdd'),TO_DATE('22000101','yyyymmdd'),'');</v>
      </c>
    </row>
    <row r="356" spans="1:2" x14ac:dyDescent="0.25">
      <c r="A356" t="str">
        <f>IF(REGLAS!J357="OBSOLETO","","INSERT INTO INYCEXT.INYC_CONF_INF_REGLAS (COD_INFORME,TABLA,NOMBRE,REGLA,F_INICIO,F_FIN,DESCRIPCION) VALUES ("&amp;REGLAS!B357&amp;",'"&amp;REGLAS!C357&amp;"','"&amp;REGLAS!D357&amp;"','"&amp;REGLAS!G357&amp;"',TO_DATE('"&amp;REGLAS!H357&amp;"','yyyymmdd'),TO_DATE('"&amp;REGLAS!I357&amp;"','yyyymmdd'),'"&amp;REGLAS!J357&amp;"');")</f>
        <v>INSERT INTO INYCEXT.INYC_CONF_INF_REGLAS (COD_INFORME,TABLA,NOMBRE,REGLA,F_INICIO,F_FIN,DESCRIPCION) VALUES (7.1,'INYC_DIF_RESUMEN','Pago Regularizacion Anual','I-O-DIF-Inspector-PagoReg-004-y-NoPrioritarios-RRGG',TO_DATE('20140101','yyyymmdd'),TO_DATE('22000101','yyyymmdd'),'');</v>
      </c>
      <c r="B356" t="str">
        <f>IF(REGLAS!J357="OBSOLETO","","INSERT INTO INYCEXT.INYC_CONF_INF_REGLAS@tc_link (COD_INFORME,TABLA,NOMBRE,REGLA,F_INICIO,F_FIN,DESCRIPCION) VALUES ("&amp;REGLAS!B357&amp;",'"&amp;REGLAS!C357&amp;"','"&amp;REGLAS!D357&amp;"','"&amp;REGLAS!G357&amp;"',TO_DATE('"&amp;REGLAS!H357&amp;"','yyyymmdd'),TO_DATE('"&amp;REGLAS!I357&amp;"','yyyymmdd'),'"&amp;REGLAS!J357&amp;"');")</f>
        <v>INSERT INTO INYCEXT.INYC_CONF_INF_REGLAS@tc_link (COD_INFORME,TABLA,NOMBRE,REGLA,F_INICIO,F_FIN,DESCRIPCION) VALUES (7.1,'INYC_DIF_RESUMEN','Pago Regularizacion Anual','I-O-DIF-Inspector-PagoReg-004-y-NoPrioritarios-RRGG',TO_DATE('20140101','yyyymmdd'),TO_DATE('22000101','yyyymmdd'),'');</v>
      </c>
    </row>
    <row r="357" spans="1:2" x14ac:dyDescent="0.25">
      <c r="A357" t="str">
        <f>IF(REGLAS!J358="OBSOLETO","","INSERT INTO INYCEXT.INYC_CONF_INF_REGLAS (COD_INFORME,TABLA,NOMBRE,REGLA,F_INICIO,F_FIN,DESCRIPCION) VALUES ("&amp;REGLAS!B358&amp;",'"&amp;REGLAS!C358&amp;"','"&amp;REGLAS!D358&amp;"','"&amp;REGLAS!G358&amp;"',TO_DATE('"&amp;REGLAS!H358&amp;"','yyyymmdd'),TO_DATE('"&amp;REGLAS!I358&amp;"','yyyymmdd'),'"&amp;REGLAS!J358&amp;"');")</f>
        <v>INSERT INTO INYCEXT.INYC_CONF_INF_REGLAS (COD_INFORME,TABLA,NOMBRE,REGLA,F_INICIO,F_FIN,DESCRIPCION) VALUES (7.1,'INYC_DIF_RESUMEN','Pago Regularizacion Anual','I-O-DIF-Inspector-PagoReg-004-y-NoPrioritarios-RRTT',TO_DATE('20140101','yyyymmdd'),TO_DATE('22000101','yyyymmdd'),'');</v>
      </c>
      <c r="B357" t="str">
        <f>IF(REGLAS!J358="OBSOLETO","","INSERT INTO INYCEXT.INYC_CONF_INF_REGLAS@tc_link (COD_INFORME,TABLA,NOMBRE,REGLA,F_INICIO,F_FIN,DESCRIPCION) VALUES ("&amp;REGLAS!B358&amp;",'"&amp;REGLAS!C358&amp;"','"&amp;REGLAS!D358&amp;"','"&amp;REGLAS!G358&amp;"',TO_DATE('"&amp;REGLAS!H358&amp;"','yyyymmdd'),TO_DATE('"&amp;REGLAS!I358&amp;"','yyyymmdd'),'"&amp;REGLAS!J358&amp;"');")</f>
        <v>INSERT INTO INYCEXT.INYC_CONF_INF_REGLAS@tc_link (COD_INFORME,TABLA,NOMBRE,REGLA,F_INICIO,F_FIN,DESCRIPCION) VALUES (7.1,'INYC_DIF_RESUMEN','Pago Regularizacion Anual','I-O-DIF-Inspector-PagoReg-004-y-NoPrioritarios-RRTT',TO_DATE('20140101','yyyymmdd'),TO_DATE('22000101','yyyymmdd'),'');</v>
      </c>
    </row>
    <row r="358" spans="1:2" x14ac:dyDescent="0.25">
      <c r="A358" t="str">
        <f>IF(REGLAS!J359="OBSOLETO","","INSERT INTO INYCEXT.INYC_CONF_INF_REGLAS (COD_INFORME,TABLA,NOMBRE,REGLA,F_INICIO,F_FIN,DESCRIPCION) VALUES ("&amp;REGLAS!B359&amp;",'"&amp;REGLAS!C359&amp;"','"&amp;REGLAS!D359&amp;"','"&amp;REGLAS!G359&amp;"',TO_DATE('"&amp;REGLAS!H359&amp;"','yyyymmdd'),TO_DATE('"&amp;REGLAS!I359&amp;"','yyyymmdd'),'"&amp;REGLAS!J359&amp;"');")</f>
        <v>INSERT INTO INYCEXT.INYC_CONF_INF_REGLAS (COD_INFORME,TABLA,NOMBRE,REGLA,F_INICIO,F_FIN,DESCRIPCION) VALUES (7.1,'INYC_DIF_RESUMEN','Pago Regularizacion Anual','I-O-DIF-Inspector-PagoReg-Prioritarios-Sin-VidaAhorro-RRGG',TO_DATE('20140101','yyyymmdd'),TO_DATE('22000101','yyyymmdd'),'');</v>
      </c>
      <c r="B358" t="str">
        <f>IF(REGLAS!J359="OBSOLETO","","INSERT INTO INYCEXT.INYC_CONF_INF_REGLAS@tc_link (COD_INFORME,TABLA,NOMBRE,REGLA,F_INICIO,F_FIN,DESCRIPCION) VALUES ("&amp;REGLAS!B359&amp;",'"&amp;REGLAS!C359&amp;"','"&amp;REGLAS!D359&amp;"','"&amp;REGLAS!G359&amp;"',TO_DATE('"&amp;REGLAS!H359&amp;"','yyyymmdd'),TO_DATE('"&amp;REGLAS!I359&amp;"','yyyymmdd'),'"&amp;REGLAS!J359&amp;"');")</f>
        <v>INSERT INTO INYCEXT.INYC_CONF_INF_REGLAS@tc_link (COD_INFORME,TABLA,NOMBRE,REGLA,F_INICIO,F_FIN,DESCRIPCION) VALUES (7.1,'INYC_DIF_RESUMEN','Pago Regularizacion Anual','I-O-DIF-Inspector-PagoReg-Prioritarios-Sin-VidaAhorro-RRGG',TO_DATE('20140101','yyyymmdd'),TO_DATE('22000101','yyyymmdd'),'');</v>
      </c>
    </row>
    <row r="359" spans="1:2" x14ac:dyDescent="0.25">
      <c r="A359" t="str">
        <f>IF(REGLAS!J360="OBSOLETO","","INSERT INTO INYCEXT.INYC_CONF_INF_REGLAS (COD_INFORME,TABLA,NOMBRE,REGLA,F_INICIO,F_FIN,DESCRIPCION) VALUES ("&amp;REGLAS!B360&amp;",'"&amp;REGLAS!C360&amp;"','"&amp;REGLAS!D360&amp;"','"&amp;REGLAS!G360&amp;"',TO_DATE('"&amp;REGLAS!H360&amp;"','yyyymmdd'),TO_DATE('"&amp;REGLAS!I360&amp;"','yyyymmdd'),'"&amp;REGLAS!J360&amp;"');")</f>
        <v>INSERT INTO INYCEXT.INYC_CONF_INF_REGLAS (COD_INFORME,TABLA,NOMBRE,REGLA,F_INICIO,F_FIN,DESCRIPCION) VALUES (7.1,'INYC_DIF_RESUMEN','Pago Regularizacion Anual','I-O-DIF-Inspector-PagoReg-Prioritarios-Sin-VidaAhorro-RRTT',TO_DATE('20140101','yyyymmdd'),TO_DATE('22000101','yyyymmdd'),'');</v>
      </c>
      <c r="B359" t="str">
        <f>IF(REGLAS!J360="OBSOLETO","","INSERT INTO INYCEXT.INYC_CONF_INF_REGLAS@tc_link (COD_INFORME,TABLA,NOMBRE,REGLA,F_INICIO,F_FIN,DESCRIPCION) VALUES ("&amp;REGLAS!B360&amp;",'"&amp;REGLAS!C360&amp;"','"&amp;REGLAS!D360&amp;"','"&amp;REGLAS!G360&amp;"',TO_DATE('"&amp;REGLAS!H360&amp;"','yyyymmdd'),TO_DATE('"&amp;REGLAS!I360&amp;"','yyyymmdd'),'"&amp;REGLAS!J360&amp;"');")</f>
        <v>INSERT INTO INYCEXT.INYC_CONF_INF_REGLAS@tc_link (COD_INFORME,TABLA,NOMBRE,REGLA,F_INICIO,F_FIN,DESCRIPCION) VALUES (7.1,'INYC_DIF_RESUMEN','Pago Regularizacion Anual','I-O-DIF-Inspector-PagoReg-Prioritarios-Sin-VidaAhorro-RRTT',TO_DATE('20140101','yyyymmdd'),TO_DATE('22000101','yyyymmdd'),'');</v>
      </c>
    </row>
    <row r="360" spans="1:2" x14ac:dyDescent="0.25">
      <c r="A360" t="str">
        <f>IF(REGLAS!J361="OBSOLETO","","INSERT INTO INYCEXT.INYC_CONF_INF_REGLAS (COD_INFORME,TABLA,NOMBRE,REGLA,F_INICIO,F_FIN,DESCRIPCION) VALUES ("&amp;REGLAS!B361&amp;",'"&amp;REGLAS!C361&amp;"','"&amp;REGLAS!D361&amp;"','"&amp;REGLAS!G361&amp;"',TO_DATE('"&amp;REGLAS!H361&amp;"','yyyymmdd'),TO_DATE('"&amp;REGLAS!I361&amp;"','yyyymmdd'),'"&amp;REGLAS!J361&amp;"');")</f>
        <v>INSERT INTO INYCEXT.INYC_CONF_INF_REGLAS (COD_INFORME,TABLA,NOMBRE,REGLA,F_INICIO,F_FIN,DESCRIPCION) VALUES (7.2,'INYC_DIF_DETALLE','Prima Neta Corregida','DC-O-GEN-Inspector-PrimaCorregida-004',TO_DATE('20140101','yyyymmdd'),TO_DATE('22000101','yyyymmdd'),'Version 20180119');</v>
      </c>
      <c r="B360" t="str">
        <f>IF(REGLAS!J361="OBSOLETO","","INSERT INTO INYCEXT.INYC_CONF_INF_REGLAS@tc_link (COD_INFORME,TABLA,NOMBRE,REGLA,F_INICIO,F_FIN,DESCRIPCION) VALUES ("&amp;REGLAS!B361&amp;",'"&amp;REGLAS!C361&amp;"','"&amp;REGLAS!D361&amp;"','"&amp;REGLAS!G361&amp;"',TO_DATE('"&amp;REGLAS!H361&amp;"','yyyymmdd'),TO_DATE('"&amp;REGLAS!I361&amp;"','yyyymmdd'),'"&amp;REGLAS!J361&amp;"');")</f>
        <v>INSERT INTO INYCEXT.INYC_CONF_INF_REGLAS@tc_link (COD_INFORME,TABLA,NOMBRE,REGLA,F_INICIO,F_FIN,DESCRIPCION) VALUES (7.2,'INYC_DIF_DETALLE','Prima Neta Corregida','DC-O-GEN-Inspector-PrimaCorregida-004',TO_DATE('20140101','yyyymmdd'),TO_DATE('22000101','yyyymmdd'),'Version 20180119');</v>
      </c>
    </row>
    <row r="361" spans="1:2" x14ac:dyDescent="0.25">
      <c r="A361" t="str">
        <f>IF(REGLAS!J362="OBSOLETO","","INSERT INTO INYCEXT.INYC_CONF_INF_REGLAS (COD_INFORME,TABLA,NOMBRE,REGLA,F_INICIO,F_FIN,DESCRIPCION) VALUES ("&amp;REGLAS!B362&amp;",'"&amp;REGLAS!C362&amp;"','"&amp;REGLAS!D362&amp;"','"&amp;REGLAS!G362&amp;"',TO_DATE('"&amp;REGLAS!H362&amp;"','yyyymmdd'),TO_DATE('"&amp;REGLAS!I362&amp;"','yyyymmdd'),'"&amp;REGLAS!J362&amp;"');")</f>
        <v>INSERT INTO INYCEXT.INYC_CONF_INF_REGLAS (COD_INFORME,TABLA,NOMBRE,REGLA,F_INICIO,F_FIN,DESCRIPCION) VALUES (7.2,'INYC_DIF_DETALLE','Prima Neta Corregida','IC-O-GEN-Inspector-PrimaCorregida-004',TO_DATE('20140101','yyyymmdd'),TO_DATE('22000101','yyyymmdd'),'Version 20180119');</v>
      </c>
      <c r="B361" t="str">
        <f>IF(REGLAS!J362="OBSOLETO","","INSERT INTO INYCEXT.INYC_CONF_INF_REGLAS@tc_link (COD_INFORME,TABLA,NOMBRE,REGLA,F_INICIO,F_FIN,DESCRIPCION) VALUES ("&amp;REGLAS!B362&amp;",'"&amp;REGLAS!C362&amp;"','"&amp;REGLAS!D362&amp;"','"&amp;REGLAS!G362&amp;"',TO_DATE('"&amp;REGLAS!H362&amp;"','yyyymmdd'),TO_DATE('"&amp;REGLAS!I362&amp;"','yyyymmdd'),'"&amp;REGLAS!J362&amp;"');")</f>
        <v>INSERT INTO INYCEXT.INYC_CONF_INF_REGLAS@tc_link (COD_INFORME,TABLA,NOMBRE,REGLA,F_INICIO,F_FIN,DESCRIPCION) VALUES (7.2,'INYC_DIF_DETALLE','Prima Neta Corregida','IC-O-GEN-Inspector-PrimaCorregida-004',TO_DATE('20140101','yyyymmdd'),TO_DATE('22000101','yyyymmdd'),'Version 20180119');</v>
      </c>
    </row>
    <row r="362" spans="1:2" x14ac:dyDescent="0.25">
      <c r="A362" t="str">
        <f>IF(REGLAS!J363="OBSOLETO","","INSERT INTO INYCEXT.INYC_CONF_INF_REGLAS (COD_INFORME,TABLA,NOMBRE,REGLA,F_INICIO,F_FIN,DESCRIPCION) VALUES ("&amp;REGLAS!B363&amp;",'"&amp;REGLAS!C363&amp;"','"&amp;REGLAS!D363&amp;"','"&amp;REGLAS!G363&amp;"',TO_DATE('"&amp;REGLAS!H363&amp;"','yyyymmdd'),TO_DATE('"&amp;REGLAS!I363&amp;"','yyyymmdd'),'"&amp;REGLAS!J363&amp;"');")</f>
        <v>INSERT INTO INYCEXT.INYC_CONF_INF_REGLAS (COD_INFORME,TABLA,NOMBRE,REGLA,F_INICIO,F_FIN,DESCRIPCION) VALUES (7.2,'INYC_DIF_DETALLE','Prima Neta Corregida','DC-O-GEN-Inspector-PrimaCorregida-998',TO_DATE('20140101','yyyymmdd'),TO_DATE('22000101','yyyymmdd'),'Version 20180119');</v>
      </c>
      <c r="B362" t="str">
        <f>IF(REGLAS!J363="OBSOLETO","","INSERT INTO INYCEXT.INYC_CONF_INF_REGLAS@tc_link (COD_INFORME,TABLA,NOMBRE,REGLA,F_INICIO,F_FIN,DESCRIPCION) VALUES ("&amp;REGLAS!B363&amp;",'"&amp;REGLAS!C363&amp;"','"&amp;REGLAS!D363&amp;"','"&amp;REGLAS!G363&amp;"',TO_DATE('"&amp;REGLAS!H363&amp;"','yyyymmdd'),TO_DATE('"&amp;REGLAS!I363&amp;"','yyyymmdd'),'"&amp;REGLAS!J363&amp;"');")</f>
        <v>INSERT INTO INYCEXT.INYC_CONF_INF_REGLAS@tc_link (COD_INFORME,TABLA,NOMBRE,REGLA,F_INICIO,F_FIN,DESCRIPCION) VALUES (7.2,'INYC_DIF_DETALLE','Prima Neta Corregida','DC-O-GEN-Inspector-PrimaCorregida-998',TO_DATE('20140101','yyyymmdd'),TO_DATE('22000101','yyyymmdd'),'Version 20180119');</v>
      </c>
    </row>
    <row r="363" spans="1:2" x14ac:dyDescent="0.25">
      <c r="A363" t="str">
        <f>IF(REGLAS!J364="OBSOLETO","","INSERT INTO INYCEXT.INYC_CONF_INF_REGLAS (COD_INFORME,TABLA,NOMBRE,REGLA,F_INICIO,F_FIN,DESCRIPCION) VALUES ("&amp;REGLAS!B364&amp;",'"&amp;REGLAS!C364&amp;"','"&amp;REGLAS!D364&amp;"','"&amp;REGLAS!G364&amp;"',TO_DATE('"&amp;REGLAS!H364&amp;"','yyyymmdd'),TO_DATE('"&amp;REGLAS!I364&amp;"','yyyymmdd'),'"&amp;REGLAS!J364&amp;"');")</f>
        <v>INSERT INTO INYCEXT.INYC_CONF_INF_REGLAS (COD_INFORME,TABLA,NOMBRE,REGLA,F_INICIO,F_FIN,DESCRIPCION) VALUES (7.2,'INYC_DIF_DETALLE','Prima Neta Corregida','IC-O-GEN-Inspector-PrimaCorregida-998',TO_DATE('20140101','yyyymmdd'),TO_DATE('22000101','yyyymmdd'),'Version 20180119');</v>
      </c>
      <c r="B363" t="str">
        <f>IF(REGLAS!J364="OBSOLETO","","INSERT INTO INYCEXT.INYC_CONF_INF_REGLAS@tc_link (COD_INFORME,TABLA,NOMBRE,REGLA,F_INICIO,F_FIN,DESCRIPCION) VALUES ("&amp;REGLAS!B364&amp;",'"&amp;REGLAS!C364&amp;"','"&amp;REGLAS!D364&amp;"','"&amp;REGLAS!G364&amp;"',TO_DATE('"&amp;REGLAS!H364&amp;"','yyyymmdd'),TO_DATE('"&amp;REGLAS!I364&amp;"','yyyymmdd'),'"&amp;REGLAS!J364&amp;"');")</f>
        <v>INSERT INTO INYCEXT.INYC_CONF_INF_REGLAS@tc_link (COD_INFORME,TABLA,NOMBRE,REGLA,F_INICIO,F_FIN,DESCRIPCION) VALUES (7.2,'INYC_DIF_DETALLE','Prima Neta Corregida','IC-O-GEN-Inspector-PrimaCorregida-998',TO_DATE('20140101','yyyymmdd'),TO_DATE('22000101','yyyymmdd'),'Version 20180119');</v>
      </c>
    </row>
    <row r="364" spans="1:2" x14ac:dyDescent="0.25">
      <c r="A364" t="str">
        <f>IF(REGLAS!J365="OBSOLETO","","INSERT INTO INYCEXT.INYC_CONF_INF_REGLAS (COD_INFORME,TABLA,NOMBRE,REGLA,F_INICIO,F_FIN,DESCRIPCION) VALUES ("&amp;REGLAS!B365&amp;",'"&amp;REGLAS!C365&amp;"','"&amp;REGLAS!D365&amp;"','"&amp;REGLAS!G365&amp;"',TO_DATE('"&amp;REGLAS!H365&amp;"','yyyymmdd'),TO_DATE('"&amp;REGLAS!I365&amp;"','yyyymmdd'),'"&amp;REGLAS!J365&amp;"');")</f>
        <v>INSERT INTO INYCEXT.INYC_CONF_INF_REGLAS (COD_INFORME,TABLA,NOMBRE,REGLA,F_INICIO,F_FIN,DESCRIPCION) VALUES (7.2,'INYC_DIF_DETALLE','Total Ramos','DC-O-GEN-Inspector-NumeroPolizas-998',TO_DATE('20140101','yyyymmdd'),TO_DATE('22000101','yyyymmdd'),'Version 20180119');</v>
      </c>
      <c r="B364" t="str">
        <f>IF(REGLAS!J365="OBSOLETO","","INSERT INTO INYCEXT.INYC_CONF_INF_REGLAS@tc_link (COD_INFORME,TABLA,NOMBRE,REGLA,F_INICIO,F_FIN,DESCRIPCION) VALUES ("&amp;REGLAS!B365&amp;",'"&amp;REGLAS!C365&amp;"','"&amp;REGLAS!D365&amp;"','"&amp;REGLAS!G365&amp;"',TO_DATE('"&amp;REGLAS!H365&amp;"','yyyymmdd'),TO_DATE('"&amp;REGLAS!I365&amp;"','yyyymmdd'),'"&amp;REGLAS!J365&amp;"');")</f>
        <v>INSERT INTO INYCEXT.INYC_CONF_INF_REGLAS@tc_link (COD_INFORME,TABLA,NOMBRE,REGLA,F_INICIO,F_FIN,DESCRIPCION) VALUES (7.2,'INYC_DIF_DETALLE','Total Ramos','DC-O-GEN-Inspector-NumeroPolizas-998',TO_DATE('20140101','yyyymmdd'),TO_DATE('22000101','yyyymmdd'),'Version 20180119');</v>
      </c>
    </row>
    <row r="365" spans="1:2" x14ac:dyDescent="0.25">
      <c r="A365" t="str">
        <f>IF(REGLAS!J366="OBSOLETO","","INSERT INTO INYCEXT.INYC_CONF_INF_REGLAS (COD_INFORME,TABLA,NOMBRE,REGLA,F_INICIO,F_FIN,DESCRIPCION) VALUES ("&amp;REGLAS!B366&amp;",'"&amp;REGLAS!C366&amp;"','"&amp;REGLAS!D366&amp;"','"&amp;REGLAS!G366&amp;"',TO_DATE('"&amp;REGLAS!H366&amp;"','yyyymmdd'),TO_DATE('"&amp;REGLAS!I366&amp;"','yyyymmdd'),'"&amp;REGLAS!J366&amp;"');")</f>
        <v>INSERT INTO INYCEXT.INYC_CONF_INF_REGLAS (COD_INFORME,TABLA,NOMBRE,REGLA,F_INICIO,F_FIN,DESCRIPCION) VALUES (7.2,'INYC_DIF_DETALLE','Total Ramos','IC-O-GEN-Inspector-NumeroPolizas-998',TO_DATE('20140101','yyyymmdd'),TO_DATE('22000101','yyyymmdd'),'Version 20180119');</v>
      </c>
      <c r="B365" t="str">
        <f>IF(REGLAS!J366="OBSOLETO","","INSERT INTO INYCEXT.INYC_CONF_INF_REGLAS@tc_link (COD_INFORME,TABLA,NOMBRE,REGLA,F_INICIO,F_FIN,DESCRIPCION) VALUES ("&amp;REGLAS!B366&amp;",'"&amp;REGLAS!C366&amp;"','"&amp;REGLAS!D366&amp;"','"&amp;REGLAS!G366&amp;"',TO_DATE('"&amp;REGLAS!H366&amp;"','yyyymmdd'),TO_DATE('"&amp;REGLAS!I366&amp;"','yyyymmdd'),'"&amp;REGLAS!J366&amp;"');")</f>
        <v>INSERT INTO INYCEXT.INYC_CONF_INF_REGLAS@tc_link (COD_INFORME,TABLA,NOMBRE,REGLA,F_INICIO,F_FIN,DESCRIPCION) VALUES (7.2,'INYC_DIF_DETALLE','Total Ramos','IC-O-GEN-Inspector-NumeroPolizas-998',TO_DATE('20140101','yyyymmdd'),TO_DATE('22000101','yyyymmdd'),'Version 20180119');</v>
      </c>
    </row>
    <row r="366" spans="1:2" x14ac:dyDescent="0.25">
      <c r="A366" t="str">
        <f>IF(REGLAS!J367="OBSOLETO","","INSERT INTO INYCEXT.INYC_CONF_INF_REGLAS (COD_INFORME,TABLA,NOMBRE,REGLA,F_INICIO,F_FIN,DESCRIPCION) VALUES ("&amp;REGLAS!B367&amp;",'"&amp;REGLAS!C367&amp;"','"&amp;REGLAS!D367&amp;"','"&amp;REGLAS!G367&amp;"',TO_DATE('"&amp;REGLAS!H367&amp;"','yyyymmdd'),TO_DATE('"&amp;REGLAS!I367&amp;"','yyyymmdd'),'"&amp;REGLAS!J367&amp;"');")</f>
        <v/>
      </c>
      <c r="B366" t="str">
        <f>IF(REGLAS!J367="OBSOLETO","","INSERT INTO INYCEXT.INYC_CONF_INF_REGLAS@tc_link (COD_INFORME,TABLA,NOMBRE,REGLA,F_INICIO,F_FIN,DESCRIPCION) VALUES ("&amp;REGLAS!B367&amp;",'"&amp;REGLAS!C367&amp;"','"&amp;REGLAS!D367&amp;"','"&amp;REGLAS!G367&amp;"',TO_DATE('"&amp;REGLAS!H367&amp;"','yyyymmdd'),TO_DATE('"&amp;REGLAS!I367&amp;"','yyyymmdd'),'"&amp;REGLAS!J367&amp;"');")</f>
        <v/>
      </c>
    </row>
    <row r="367" spans="1:2" x14ac:dyDescent="0.25">
      <c r="A367" t="str">
        <f>IF(REGLAS!J368="OBSOLETO","","INSERT INTO INYCEXT.INYC_CONF_INF_REGLAS (COD_INFORME,TABLA,NOMBRE,REGLA,F_INICIO,F_FIN,DESCRIPCION) VALUES ("&amp;REGLAS!B368&amp;",'"&amp;REGLAS!C368&amp;"','"&amp;REGLAS!D368&amp;"','"&amp;REGLAS!G368&amp;"',TO_DATE('"&amp;REGLAS!H368&amp;"','yyyymmdd'),TO_DATE('"&amp;REGLAS!I368&amp;"','yyyymmdd'),'"&amp;REGLAS!J368&amp;"');")</f>
        <v/>
      </c>
      <c r="B367" t="str">
        <f>IF(REGLAS!J368="OBSOLETO","","INSERT INTO INYCEXT.INYC_CONF_INF_REGLAS@tc_link (COD_INFORME,TABLA,NOMBRE,REGLA,F_INICIO,F_FIN,DESCRIPCION) VALUES ("&amp;REGLAS!B368&amp;",'"&amp;REGLAS!C368&amp;"','"&amp;REGLAS!D368&amp;"','"&amp;REGLAS!G368&amp;"',TO_DATE('"&amp;REGLAS!H368&amp;"','yyyymmdd'),TO_DATE('"&amp;REGLAS!I368&amp;"','yyyymmdd'),'"&amp;REGLAS!J368&amp;"');")</f>
        <v/>
      </c>
    </row>
    <row r="368" spans="1:2" x14ac:dyDescent="0.25">
      <c r="A368" t="str">
        <f>IF(REGLAS!J369="OBSOLETO","","INSERT INTO INYCEXT.INYC_CONF_INF_REGLAS (COD_INFORME,TABLA,NOMBRE,REGLA,F_INICIO,F_FIN,DESCRIPCION) VALUES ("&amp;REGLAS!B369&amp;",'"&amp;REGLAS!C369&amp;"','"&amp;REGLAS!D369&amp;"','"&amp;REGLAS!G369&amp;"',TO_DATE('"&amp;REGLAS!H369&amp;"','yyyymmdd'),TO_DATE('"&amp;REGLAS!I369&amp;"','yyyymmdd'),'"&amp;REGLAS!J369&amp;"');")</f>
        <v/>
      </c>
      <c r="B368" t="str">
        <f>IF(REGLAS!J369="OBSOLETO","","INSERT INTO INYCEXT.INYC_CONF_INF_REGLAS@tc_link (COD_INFORME,TABLA,NOMBRE,REGLA,F_INICIO,F_FIN,DESCRIPCION) VALUES ("&amp;REGLAS!B369&amp;",'"&amp;REGLAS!C369&amp;"','"&amp;REGLAS!D369&amp;"','"&amp;REGLAS!G369&amp;"',TO_DATE('"&amp;REGLAS!H369&amp;"','yyyymmdd'),TO_DATE('"&amp;REGLAS!I369&amp;"','yyyymmdd'),'"&amp;REGLAS!J369&amp;"');")</f>
        <v/>
      </c>
    </row>
    <row r="369" spans="1:2" x14ac:dyDescent="0.25">
      <c r="A369" t="str">
        <f>IF(REGLAS!J370="OBSOLETO","","INSERT INTO INYCEXT.INYC_CONF_INF_REGLAS (COD_INFORME,TABLA,NOMBRE,REGLA,F_INICIO,F_FIN,DESCRIPCION) VALUES ("&amp;REGLAS!B370&amp;",'"&amp;REGLAS!C370&amp;"','"&amp;REGLAS!D370&amp;"','"&amp;REGLAS!G370&amp;"',TO_DATE('"&amp;REGLAS!H370&amp;"','yyyymmdd'),TO_DATE('"&amp;REGLAS!I370&amp;"','yyyymmdd'),'"&amp;REGLAS!J370&amp;"');")</f>
        <v/>
      </c>
      <c r="B369" t="str">
        <f>IF(REGLAS!J370="OBSOLETO","","INSERT INTO INYCEXT.INYC_CONF_INF_REGLAS@tc_link (COD_INFORME,TABLA,NOMBRE,REGLA,F_INICIO,F_FIN,DESCRIPCION) VALUES ("&amp;REGLAS!B370&amp;",'"&amp;REGLAS!C370&amp;"','"&amp;REGLAS!D370&amp;"','"&amp;REGLAS!G370&amp;"',TO_DATE('"&amp;REGLAS!H370&amp;"','yyyymmdd'),TO_DATE('"&amp;REGLAS!I370&amp;"','yyyymmdd'),'"&amp;REGLAS!J370&amp;"');")</f>
        <v/>
      </c>
    </row>
    <row r="370" spans="1:2" x14ac:dyDescent="0.25">
      <c r="A370" t="str">
        <f>IF(REGLAS!J371="OBSOLETO","","INSERT INTO INYCEXT.INYC_CONF_INF_REGLAS (COD_INFORME,TABLA,NOMBRE,REGLA,F_INICIO,F_FIN,DESCRIPCION) VALUES ("&amp;REGLAS!B371&amp;",'"&amp;REGLAS!C371&amp;"','"&amp;REGLAS!D371&amp;"','"&amp;REGLAS!G371&amp;"',TO_DATE('"&amp;REGLAS!H371&amp;"','yyyymmdd'),TO_DATE('"&amp;REGLAS!I371&amp;"','yyyymmdd'),'"&amp;REGLAS!J371&amp;"');")</f>
        <v/>
      </c>
      <c r="B370" t="str">
        <f>IF(REGLAS!J371="OBSOLETO","","INSERT INTO INYCEXT.INYC_CONF_INF_REGLAS@tc_link (COD_INFORME,TABLA,NOMBRE,REGLA,F_INICIO,F_FIN,DESCRIPCION) VALUES ("&amp;REGLAS!B371&amp;",'"&amp;REGLAS!C371&amp;"','"&amp;REGLAS!D371&amp;"','"&amp;REGLAS!G371&amp;"',TO_DATE('"&amp;REGLAS!H371&amp;"','yyyymmdd'),TO_DATE('"&amp;REGLAS!I371&amp;"','yyyymmdd'),'"&amp;REGLAS!J371&amp;"');")</f>
        <v/>
      </c>
    </row>
    <row r="371" spans="1:2" x14ac:dyDescent="0.25">
      <c r="A371" t="str">
        <f>IF(REGLAS!J372="OBSOLETO","","INSERT INTO INYCEXT.INYC_CONF_INF_REGLAS (COD_INFORME,TABLA,NOMBRE,REGLA,F_INICIO,F_FIN,DESCRIPCION) VALUES ("&amp;REGLAS!B372&amp;",'"&amp;REGLAS!C372&amp;"','"&amp;REGLAS!D372&amp;"','"&amp;REGLAS!G372&amp;"',TO_DATE('"&amp;REGLAS!H372&amp;"','yyyymmdd'),TO_DATE('"&amp;REGLAS!I372&amp;"','yyyymmdd'),'"&amp;REGLAS!J372&amp;"');")</f>
        <v/>
      </c>
      <c r="B371" t="str">
        <f>IF(REGLAS!J372="OBSOLETO","","INSERT INTO INYCEXT.INYC_CONF_INF_REGLAS@tc_link (COD_INFORME,TABLA,NOMBRE,REGLA,F_INICIO,F_FIN,DESCRIPCION) VALUES ("&amp;REGLAS!B372&amp;",'"&amp;REGLAS!C372&amp;"','"&amp;REGLAS!D372&amp;"','"&amp;REGLAS!G372&amp;"',TO_DATE('"&amp;REGLAS!H372&amp;"','yyyymmdd'),TO_DATE('"&amp;REGLAS!I372&amp;"','yyyymmdd'),'"&amp;REGLAS!J372&amp;"');")</f>
        <v/>
      </c>
    </row>
    <row r="372" spans="1:2" x14ac:dyDescent="0.25">
      <c r="A372" t="str">
        <f>IF(REGLAS!J373="OBSOLETO","","INSERT INTO INYCEXT.INYC_CONF_INF_REGLAS (COD_INFORME,TABLA,NOMBRE,REGLA,F_INICIO,F_FIN,DESCRIPCION) VALUES ("&amp;REGLAS!B373&amp;",'"&amp;REGLAS!C373&amp;"','"&amp;REGLAS!D373&amp;"','"&amp;REGLAS!G373&amp;"',TO_DATE('"&amp;REGLAS!H373&amp;"','yyyymmdd'),TO_DATE('"&amp;REGLAS!I373&amp;"','yyyymmdd'),'"&amp;REGLAS!J373&amp;"');")</f>
        <v/>
      </c>
      <c r="B372" t="str">
        <f>IF(REGLAS!J373="OBSOLETO","","INSERT INTO INYCEXT.INYC_CONF_INF_REGLAS@tc_link (COD_INFORME,TABLA,NOMBRE,REGLA,F_INICIO,F_FIN,DESCRIPCION) VALUES ("&amp;REGLAS!B373&amp;",'"&amp;REGLAS!C373&amp;"','"&amp;REGLAS!D373&amp;"','"&amp;REGLAS!G373&amp;"',TO_DATE('"&amp;REGLAS!H373&amp;"','yyyymmdd'),TO_DATE('"&amp;REGLAS!I373&amp;"','yyyymmdd'),'"&amp;REGLAS!J373&amp;"');")</f>
        <v/>
      </c>
    </row>
    <row r="373" spans="1:2" x14ac:dyDescent="0.25">
      <c r="A373" t="str">
        <f>IF(REGLAS!J374="OBSOLETO","","INSERT INTO INYCEXT.INYC_CONF_INF_REGLAS (COD_INFORME,TABLA,NOMBRE,REGLA,F_INICIO,F_FIN,DESCRIPCION) VALUES ("&amp;REGLAS!B374&amp;",'"&amp;REGLAS!C374&amp;"','"&amp;REGLAS!D374&amp;"','"&amp;REGLAS!G374&amp;"',TO_DATE('"&amp;REGLAS!H374&amp;"','yyyymmdd'),TO_DATE('"&amp;REGLAS!I374&amp;"','yyyymmdd'),'"&amp;REGLAS!J374&amp;"');")</f>
        <v/>
      </c>
      <c r="B373" t="str">
        <f>IF(REGLAS!J374="OBSOLETO","","INSERT INTO INYCEXT.INYC_CONF_INF_REGLAS@tc_link (COD_INFORME,TABLA,NOMBRE,REGLA,F_INICIO,F_FIN,DESCRIPCION) VALUES ("&amp;REGLAS!B374&amp;",'"&amp;REGLAS!C374&amp;"','"&amp;REGLAS!D374&amp;"','"&amp;REGLAS!G374&amp;"',TO_DATE('"&amp;REGLAS!H374&amp;"','yyyymmdd'),TO_DATE('"&amp;REGLAS!I374&amp;"','yyyymmdd'),'"&amp;REGLAS!J374&amp;"');")</f>
        <v/>
      </c>
    </row>
    <row r="374" spans="1:2" x14ac:dyDescent="0.25">
      <c r="A374" t="str">
        <f>IF(REGLAS!J375="OBSOLETO","","INSERT INTO INYCEXT.INYC_CONF_INF_REGLAS (COD_INFORME,TABLA,NOMBRE,REGLA,F_INICIO,F_FIN,DESCRIPCION) VALUES ("&amp;REGLAS!B375&amp;",'"&amp;REGLAS!C375&amp;"','"&amp;REGLAS!D375&amp;"','"&amp;REGLAS!G375&amp;"',TO_DATE('"&amp;REGLAS!H375&amp;"','yyyymmdd'),TO_DATE('"&amp;REGLAS!I375&amp;"','yyyymmdd'),'"&amp;REGLAS!J375&amp;"');")</f>
        <v/>
      </c>
      <c r="B374" t="str">
        <f>IF(REGLAS!J375="OBSOLETO","","INSERT INTO INYCEXT.INYC_CONF_INF_REGLAS@tc_link (COD_INFORME,TABLA,NOMBRE,REGLA,F_INICIO,F_FIN,DESCRIPCION) VALUES ("&amp;REGLAS!B375&amp;",'"&amp;REGLAS!C375&amp;"','"&amp;REGLAS!D375&amp;"','"&amp;REGLAS!G375&amp;"',TO_DATE('"&amp;REGLAS!H375&amp;"','yyyymmdd'),TO_DATE('"&amp;REGLAS!I375&amp;"','yyyymmdd'),'"&amp;REGLAS!J375&amp;"');")</f>
        <v/>
      </c>
    </row>
    <row r="375" spans="1:2" x14ac:dyDescent="0.25">
      <c r="A375" t="str">
        <f>IF(REGLAS!J376="OBSOLETO","","INSERT INTO INYCEXT.INYC_CONF_INF_REGLAS (COD_INFORME,TABLA,NOMBRE,REGLA,F_INICIO,F_FIN,DESCRIPCION) VALUES ("&amp;REGLAS!B376&amp;",'"&amp;REGLAS!C376&amp;"','"&amp;REGLAS!D376&amp;"','"&amp;REGLAS!G376&amp;"',TO_DATE('"&amp;REGLAS!H376&amp;"','yyyymmdd'),TO_DATE('"&amp;REGLAS!I376&amp;"','yyyymmdd'),'"&amp;REGLAS!J376&amp;"');")</f>
        <v/>
      </c>
      <c r="B375" t="str">
        <f>IF(REGLAS!J376="OBSOLETO","","INSERT INTO INYCEXT.INYC_CONF_INF_REGLAS@tc_link (COD_INFORME,TABLA,NOMBRE,REGLA,F_INICIO,F_FIN,DESCRIPCION) VALUES ("&amp;REGLAS!B376&amp;",'"&amp;REGLAS!C376&amp;"','"&amp;REGLAS!D376&amp;"','"&amp;REGLAS!G376&amp;"',TO_DATE('"&amp;REGLAS!H376&amp;"','yyyymmdd'),TO_DATE('"&amp;REGLAS!I376&amp;"','yyyymmdd'),'"&amp;REGLAS!J376&amp;"');")</f>
        <v/>
      </c>
    </row>
    <row r="376" spans="1:2" x14ac:dyDescent="0.25">
      <c r="A376" t="str">
        <f>IF(REGLAS!J377="OBSOLETO","","INSERT INTO INYCEXT.INYC_CONF_INF_REGLAS (COD_INFORME,TABLA,NOMBRE,REGLA,F_INICIO,F_FIN,DESCRIPCION) VALUES ("&amp;REGLAS!B377&amp;",'"&amp;REGLAS!C377&amp;"','"&amp;REGLAS!D377&amp;"','"&amp;REGLAS!G377&amp;"',TO_DATE('"&amp;REGLAS!H377&amp;"','yyyymmdd'),TO_DATE('"&amp;REGLAS!I377&amp;"','yyyymmdd'),'"&amp;REGLAS!J377&amp;"');")</f>
        <v/>
      </c>
      <c r="B376" t="str">
        <f>IF(REGLAS!J377="OBSOLETO","","INSERT INTO INYCEXT.INYC_CONF_INF_REGLAS@tc_link (COD_INFORME,TABLA,NOMBRE,REGLA,F_INICIO,F_FIN,DESCRIPCION) VALUES ("&amp;REGLAS!B377&amp;",'"&amp;REGLAS!C377&amp;"','"&amp;REGLAS!D377&amp;"','"&amp;REGLAS!G377&amp;"',TO_DATE('"&amp;REGLAS!H377&amp;"','yyyymmdd'),TO_DATE('"&amp;REGLAS!I377&amp;"','yyyymmdd'),'"&amp;REGLAS!J377&amp;"');")</f>
        <v/>
      </c>
    </row>
    <row r="377" spans="1:2" x14ac:dyDescent="0.25">
      <c r="A377" t="str">
        <f>IF(REGLAS!J378="OBSOLETO","","INSERT INTO INYCEXT.INYC_CONF_INF_REGLAS (COD_INFORME,TABLA,NOMBRE,REGLA,F_INICIO,F_FIN,DESCRIPCION) VALUES ("&amp;REGLAS!B378&amp;",'"&amp;REGLAS!C378&amp;"','"&amp;REGLAS!D378&amp;"','"&amp;REGLAS!G378&amp;"',TO_DATE('"&amp;REGLAS!H378&amp;"','yyyymmdd'),TO_DATE('"&amp;REGLAS!I378&amp;"','yyyymmdd'),'"&amp;REGLAS!J378&amp;"');")</f>
        <v/>
      </c>
      <c r="B377" t="str">
        <f>IF(REGLAS!J378="OBSOLETO","","INSERT INTO INYCEXT.INYC_CONF_INF_REGLAS@tc_link (COD_INFORME,TABLA,NOMBRE,REGLA,F_INICIO,F_FIN,DESCRIPCION) VALUES ("&amp;REGLAS!B378&amp;",'"&amp;REGLAS!C378&amp;"','"&amp;REGLAS!D378&amp;"','"&amp;REGLAS!G378&amp;"',TO_DATE('"&amp;REGLAS!H378&amp;"','yyyymmdd'),TO_DATE('"&amp;REGLAS!I378&amp;"','yyyymmdd'),'"&amp;REGLAS!J378&amp;"');")</f>
        <v/>
      </c>
    </row>
    <row r="378" spans="1:2" x14ac:dyDescent="0.25">
      <c r="A378" t="str">
        <f>IF(REGLAS!J379="OBSOLETO","","INSERT INTO INYCEXT.INYC_CONF_INF_REGLAS (COD_INFORME,TABLA,NOMBRE,REGLA,F_INICIO,F_FIN,DESCRIPCION) VALUES ("&amp;REGLAS!B379&amp;",'"&amp;REGLAS!C379&amp;"','"&amp;REGLAS!D379&amp;"','"&amp;REGLAS!G379&amp;"',TO_DATE('"&amp;REGLAS!H379&amp;"','yyyymmdd'),TO_DATE('"&amp;REGLAS!I379&amp;"','yyyymmdd'),'"&amp;REGLAS!J379&amp;"');")</f>
        <v/>
      </c>
      <c r="B378" t="str">
        <f>IF(REGLAS!J379="OBSOLETO","","INSERT INTO INYCEXT.INYC_CONF_INF_REGLAS@tc_link (COD_INFORME,TABLA,NOMBRE,REGLA,F_INICIO,F_FIN,DESCRIPCION) VALUES ("&amp;REGLAS!B379&amp;",'"&amp;REGLAS!C379&amp;"','"&amp;REGLAS!D379&amp;"','"&amp;REGLAS!G379&amp;"',TO_DATE('"&amp;REGLAS!H379&amp;"','yyyymmdd'),TO_DATE('"&amp;REGLAS!I379&amp;"','yyyymmdd'),'"&amp;REGLAS!J379&amp;"');")</f>
        <v/>
      </c>
    </row>
    <row r="379" spans="1:2" x14ac:dyDescent="0.25">
      <c r="A379" t="str">
        <f>IF(REGLAS!J380="OBSOLETO","","INSERT INTO INYCEXT.INYC_CONF_INF_REGLAS (COD_INFORME,TABLA,NOMBRE,REGLA,F_INICIO,F_FIN,DESCRIPCION) VALUES ("&amp;REGLAS!B380&amp;",'"&amp;REGLAS!C380&amp;"','"&amp;REGLAS!D380&amp;"','"&amp;REGLAS!G380&amp;"',TO_DATE('"&amp;REGLAS!H380&amp;"','yyyymmdd'),TO_DATE('"&amp;REGLAS!I380&amp;"','yyyymmdd'),'"&amp;REGLAS!J380&amp;"');")</f>
        <v/>
      </c>
      <c r="B379" t="str">
        <f>IF(REGLAS!J380="OBSOLETO","","INSERT INTO INYCEXT.INYC_CONF_INF_REGLAS@tc_link (COD_INFORME,TABLA,NOMBRE,REGLA,F_INICIO,F_FIN,DESCRIPCION) VALUES ("&amp;REGLAS!B380&amp;",'"&amp;REGLAS!C380&amp;"','"&amp;REGLAS!D380&amp;"','"&amp;REGLAS!G380&amp;"',TO_DATE('"&amp;REGLAS!H380&amp;"','yyyymmdd'),TO_DATE('"&amp;REGLAS!I380&amp;"','yyyymmdd'),'"&amp;REGLAS!J380&amp;"');")</f>
        <v/>
      </c>
    </row>
    <row r="380" spans="1:2" x14ac:dyDescent="0.25">
      <c r="A380" t="str">
        <f>IF(REGLAS!J381="OBSOLETO","","INSERT INTO INYCEXT.INYC_CONF_INF_REGLAS (COD_INFORME,TABLA,NOMBRE,REGLA,F_INICIO,F_FIN,DESCRIPCION) VALUES ("&amp;REGLAS!B381&amp;",'"&amp;REGLAS!C381&amp;"','"&amp;REGLAS!D381&amp;"','"&amp;REGLAS!G381&amp;"',TO_DATE('"&amp;REGLAS!H381&amp;"','yyyymmdd'),TO_DATE('"&amp;REGLAS!I381&amp;"','yyyymmdd'),'"&amp;REGLAS!J381&amp;"');")</f>
        <v/>
      </c>
      <c r="B380" t="str">
        <f>IF(REGLAS!J381="OBSOLETO","","INSERT INTO INYCEXT.INYC_CONF_INF_REGLAS@tc_link (COD_INFORME,TABLA,NOMBRE,REGLA,F_INICIO,F_FIN,DESCRIPCION) VALUES ("&amp;REGLAS!B381&amp;",'"&amp;REGLAS!C381&amp;"','"&amp;REGLAS!D381&amp;"','"&amp;REGLAS!G381&amp;"',TO_DATE('"&amp;REGLAS!H381&amp;"','yyyymmdd'),TO_DATE('"&amp;REGLAS!I381&amp;"','yyyymmdd'),'"&amp;REGLAS!J381&amp;"');")</f>
        <v/>
      </c>
    </row>
    <row r="381" spans="1:2" x14ac:dyDescent="0.25">
      <c r="A381" t="str">
        <f>IF(REGLAS!J382="OBSOLETO","","INSERT INTO INYCEXT.INYC_CONF_INF_REGLAS (COD_INFORME,TABLA,NOMBRE,REGLA,F_INICIO,F_FIN,DESCRIPCION) VALUES ("&amp;REGLAS!B382&amp;",'"&amp;REGLAS!C382&amp;"','"&amp;REGLAS!D382&amp;"','"&amp;REGLAS!G382&amp;"',TO_DATE('"&amp;REGLAS!H382&amp;"','yyyymmdd'),TO_DATE('"&amp;REGLAS!I382&amp;"','yyyymmdd'),'"&amp;REGLAS!J382&amp;"');")</f>
        <v/>
      </c>
      <c r="B381" t="str">
        <f>IF(REGLAS!J382="OBSOLETO","","INSERT INTO INYCEXT.INYC_CONF_INF_REGLAS@tc_link (COD_INFORME,TABLA,NOMBRE,REGLA,F_INICIO,F_FIN,DESCRIPCION) VALUES ("&amp;REGLAS!B382&amp;",'"&amp;REGLAS!C382&amp;"','"&amp;REGLAS!D382&amp;"','"&amp;REGLAS!G382&amp;"',TO_DATE('"&amp;REGLAS!H382&amp;"','yyyymmdd'),TO_DATE('"&amp;REGLAS!I382&amp;"','yyyymmdd'),'"&amp;REGLAS!J382&amp;"');")</f>
        <v/>
      </c>
    </row>
    <row r="382" spans="1:2" x14ac:dyDescent="0.25">
      <c r="A382" t="str">
        <f>IF(REGLAS!J383="OBSOLETO","","INSERT INTO INYCEXT.INYC_CONF_INF_REGLAS (COD_INFORME,TABLA,NOMBRE,REGLA,F_INICIO,F_FIN,DESCRIPCION) VALUES ("&amp;REGLAS!B383&amp;",'"&amp;REGLAS!C383&amp;"','"&amp;REGLAS!D383&amp;"','"&amp;REGLAS!G383&amp;"',TO_DATE('"&amp;REGLAS!H383&amp;"','yyyymmdd'),TO_DATE('"&amp;REGLAS!I383&amp;"','yyyymmdd'),'"&amp;REGLAS!J383&amp;"');")</f>
        <v/>
      </c>
      <c r="B382" t="str">
        <f>IF(REGLAS!J383="OBSOLETO","","INSERT INTO INYCEXT.INYC_CONF_INF_REGLAS@tc_link (COD_INFORME,TABLA,NOMBRE,REGLA,F_INICIO,F_FIN,DESCRIPCION) VALUES ("&amp;REGLAS!B383&amp;",'"&amp;REGLAS!C383&amp;"','"&amp;REGLAS!D383&amp;"','"&amp;REGLAS!G383&amp;"',TO_DATE('"&amp;REGLAS!H383&amp;"','yyyymmdd'),TO_DATE('"&amp;REGLAS!I383&amp;"','yyyymmdd'),'"&amp;REGLAS!J383&amp;"');")</f>
        <v/>
      </c>
    </row>
    <row r="383" spans="1:2" x14ac:dyDescent="0.25">
      <c r="A383" t="str">
        <f>IF(REGLAS!J384="OBSOLETO","","INSERT INTO INYCEXT.INYC_CONF_INF_REGLAS (COD_INFORME,TABLA,NOMBRE,REGLA,F_INICIO,F_FIN,DESCRIPCION) VALUES ("&amp;REGLAS!B384&amp;",'"&amp;REGLAS!C384&amp;"','"&amp;REGLAS!D384&amp;"','"&amp;REGLAS!G384&amp;"',TO_DATE('"&amp;REGLAS!H384&amp;"','yyyymmdd'),TO_DATE('"&amp;REGLAS!I384&amp;"','yyyymmdd'),'"&amp;REGLAS!J384&amp;"');")</f>
        <v/>
      </c>
      <c r="B383" t="str">
        <f>IF(REGLAS!J384="OBSOLETO","","INSERT INTO INYCEXT.INYC_CONF_INF_REGLAS@tc_link (COD_INFORME,TABLA,NOMBRE,REGLA,F_INICIO,F_FIN,DESCRIPCION) VALUES ("&amp;REGLAS!B384&amp;",'"&amp;REGLAS!C384&amp;"','"&amp;REGLAS!D384&amp;"','"&amp;REGLAS!G384&amp;"',TO_DATE('"&amp;REGLAS!H384&amp;"','yyyymmdd'),TO_DATE('"&amp;REGLAS!I384&amp;"','yyyymmdd'),'"&amp;REGLAS!J384&amp;"');")</f>
        <v/>
      </c>
    </row>
    <row r="384" spans="1:2" x14ac:dyDescent="0.25">
      <c r="A384" t="str">
        <f>IF(REGLAS!J385="OBSOLETO","","INSERT INTO INYCEXT.INYC_CONF_INF_REGLAS (COD_INFORME,TABLA,NOMBRE,REGLA,F_INICIO,F_FIN,DESCRIPCION) VALUES ("&amp;REGLAS!B385&amp;",'"&amp;REGLAS!C385&amp;"','"&amp;REGLAS!D385&amp;"','"&amp;REGLAS!G385&amp;"',TO_DATE('"&amp;REGLAS!H385&amp;"','yyyymmdd'),TO_DATE('"&amp;REGLAS!I385&amp;"','yyyymmdd'),'"&amp;REGLAS!J385&amp;"');")</f>
        <v/>
      </c>
      <c r="B384" t="str">
        <f>IF(REGLAS!J385="OBSOLETO","","INSERT INTO INYCEXT.INYC_CONF_INF_REGLAS@tc_link (COD_INFORME,TABLA,NOMBRE,REGLA,F_INICIO,F_FIN,DESCRIPCION) VALUES ("&amp;REGLAS!B385&amp;",'"&amp;REGLAS!C385&amp;"','"&amp;REGLAS!D385&amp;"','"&amp;REGLAS!G385&amp;"',TO_DATE('"&amp;REGLAS!H385&amp;"','yyyymmdd'),TO_DATE('"&amp;REGLAS!I385&amp;"','yyyymmdd'),'"&amp;REGLAS!J385&amp;"');")</f>
        <v/>
      </c>
    </row>
    <row r="385" spans="1:2" x14ac:dyDescent="0.25">
      <c r="A385" t="str">
        <f>IF(REGLAS!J386="OBSOLETO","","INSERT INTO INYCEXT.INYC_CONF_INF_REGLAS (COD_INFORME,TABLA,NOMBRE,REGLA,F_INICIO,F_FIN,DESCRIPCION) VALUES ("&amp;REGLAS!B386&amp;",'"&amp;REGLAS!C386&amp;"','"&amp;REGLAS!D386&amp;"','"&amp;REGLAS!G386&amp;"',TO_DATE('"&amp;REGLAS!H386&amp;"','yyyymmdd'),TO_DATE('"&amp;REGLAS!I386&amp;"','yyyymmdd'),'"&amp;REGLAS!J386&amp;"');")</f>
        <v/>
      </c>
      <c r="B385" t="str">
        <f>IF(REGLAS!J386="OBSOLETO","","INSERT INTO INYCEXT.INYC_CONF_INF_REGLAS@tc_link (COD_INFORME,TABLA,NOMBRE,REGLA,F_INICIO,F_FIN,DESCRIPCION) VALUES ("&amp;REGLAS!B386&amp;",'"&amp;REGLAS!C386&amp;"','"&amp;REGLAS!D386&amp;"','"&amp;REGLAS!G386&amp;"',TO_DATE('"&amp;REGLAS!H386&amp;"','yyyymmdd'),TO_DATE('"&amp;REGLAS!I386&amp;"','yyyymmdd'),'"&amp;REGLAS!J386&amp;"');")</f>
        <v/>
      </c>
    </row>
    <row r="386" spans="1:2" x14ac:dyDescent="0.25">
      <c r="A386" t="str">
        <f>IF(REGLAS!J387="OBSOLETO","","INSERT INTO INYCEXT.INYC_CONF_INF_REGLAS (COD_INFORME,TABLA,NOMBRE,REGLA,F_INICIO,F_FIN,DESCRIPCION) VALUES ("&amp;REGLAS!B387&amp;",'"&amp;REGLAS!C387&amp;"','"&amp;REGLAS!D387&amp;"','"&amp;REGLAS!G387&amp;"',TO_DATE('"&amp;REGLAS!H387&amp;"','yyyymmdd'),TO_DATE('"&amp;REGLAS!I387&amp;"','yyyymmdd'),'"&amp;REGLAS!J387&amp;"');")</f>
        <v/>
      </c>
      <c r="B386" t="str">
        <f>IF(REGLAS!J387="OBSOLETO","","INSERT INTO INYCEXT.INYC_CONF_INF_REGLAS@tc_link (COD_INFORME,TABLA,NOMBRE,REGLA,F_INICIO,F_FIN,DESCRIPCION) VALUES ("&amp;REGLAS!B387&amp;",'"&amp;REGLAS!C387&amp;"','"&amp;REGLAS!D387&amp;"','"&amp;REGLAS!G387&amp;"',TO_DATE('"&amp;REGLAS!H387&amp;"','yyyymmdd'),TO_DATE('"&amp;REGLAS!I387&amp;"','yyyymmdd'),'"&amp;REGLAS!J387&amp;"');")</f>
        <v/>
      </c>
    </row>
    <row r="387" spans="1:2" x14ac:dyDescent="0.25">
      <c r="A387" t="str">
        <f>IF(REGLAS!J388="OBSOLETO","","INSERT INTO INYCEXT.INYC_CONF_INF_REGLAS (COD_INFORME,TABLA,NOMBRE,REGLA,F_INICIO,F_FIN,DESCRIPCION) VALUES ("&amp;REGLAS!B388&amp;",'"&amp;REGLAS!C388&amp;"','"&amp;REGLAS!D388&amp;"','"&amp;REGLAS!G388&amp;"',TO_DATE('"&amp;REGLAS!H388&amp;"','yyyymmdd'),TO_DATE('"&amp;REGLAS!I388&amp;"','yyyymmdd'),'"&amp;REGLAS!J388&amp;"');")</f>
        <v/>
      </c>
      <c r="B387" t="str">
        <f>IF(REGLAS!J388="OBSOLETO","","INSERT INTO INYCEXT.INYC_CONF_INF_REGLAS@tc_link (COD_INFORME,TABLA,NOMBRE,REGLA,F_INICIO,F_FIN,DESCRIPCION) VALUES ("&amp;REGLAS!B388&amp;",'"&amp;REGLAS!C388&amp;"','"&amp;REGLAS!D388&amp;"','"&amp;REGLAS!G388&amp;"',TO_DATE('"&amp;REGLAS!H388&amp;"','yyyymmdd'),TO_DATE('"&amp;REGLAS!I388&amp;"','yyyymmdd'),'"&amp;REGLAS!J388&amp;"');")</f>
        <v/>
      </c>
    </row>
    <row r="388" spans="1:2" x14ac:dyDescent="0.25">
      <c r="A388" t="str">
        <f>IF(REGLAS!J389="OBSOLETO","","INSERT INTO INYCEXT.INYC_CONF_INF_REGLAS (COD_INFORME,TABLA,NOMBRE,REGLA,F_INICIO,F_FIN,DESCRIPCION) VALUES ("&amp;REGLAS!B389&amp;",'"&amp;REGLAS!C389&amp;"','"&amp;REGLAS!D389&amp;"','"&amp;REGLAS!G389&amp;"',TO_DATE('"&amp;REGLAS!H389&amp;"','yyyymmdd'),TO_DATE('"&amp;REGLAS!I389&amp;"','yyyymmdd'),'"&amp;REGLAS!J389&amp;"');")</f>
        <v/>
      </c>
      <c r="B388" t="str">
        <f>IF(REGLAS!J389="OBSOLETO","","INSERT INTO INYCEXT.INYC_CONF_INF_REGLAS@tc_link (COD_INFORME,TABLA,NOMBRE,REGLA,F_INICIO,F_FIN,DESCRIPCION) VALUES ("&amp;REGLAS!B389&amp;",'"&amp;REGLAS!C389&amp;"','"&amp;REGLAS!D389&amp;"','"&amp;REGLAS!G389&amp;"',TO_DATE('"&amp;REGLAS!H389&amp;"','yyyymmdd'),TO_DATE('"&amp;REGLAS!I389&amp;"','yyyymmdd'),'"&amp;REGLAS!J389&amp;"');")</f>
        <v/>
      </c>
    </row>
    <row r="389" spans="1:2" x14ac:dyDescent="0.25">
      <c r="A389" t="str">
        <f>IF(REGLAS!J390="OBSOLETO","","INSERT INTO INYCEXT.INYC_CONF_INF_REGLAS (COD_INFORME,TABLA,NOMBRE,REGLA,F_INICIO,F_FIN,DESCRIPCION) VALUES ("&amp;REGLAS!B390&amp;",'"&amp;REGLAS!C390&amp;"','"&amp;REGLAS!D390&amp;"','"&amp;REGLAS!G390&amp;"',TO_DATE('"&amp;REGLAS!H390&amp;"','yyyymmdd'),TO_DATE('"&amp;REGLAS!I390&amp;"','yyyymmdd'),'"&amp;REGLAS!J390&amp;"');")</f>
        <v/>
      </c>
      <c r="B389" t="str">
        <f>IF(REGLAS!J390="OBSOLETO","","INSERT INTO INYCEXT.INYC_CONF_INF_REGLAS@tc_link (COD_INFORME,TABLA,NOMBRE,REGLA,F_INICIO,F_FIN,DESCRIPCION) VALUES ("&amp;REGLAS!B390&amp;",'"&amp;REGLAS!C390&amp;"','"&amp;REGLAS!D390&amp;"','"&amp;REGLAS!G390&amp;"',TO_DATE('"&amp;REGLAS!H390&amp;"','yyyymmdd'),TO_DATE('"&amp;REGLAS!I390&amp;"','yyyymmdd'),'"&amp;REGLAS!J390&amp;"');")</f>
        <v/>
      </c>
    </row>
    <row r="390" spans="1:2" x14ac:dyDescent="0.25">
      <c r="A390" t="str">
        <f>IF(REGLAS!J391="OBSOLETO","","INSERT INTO INYCEXT.INYC_CONF_INF_REGLAS (COD_INFORME,TABLA,NOMBRE,REGLA,F_INICIO,F_FIN,DESCRIPCION) VALUES ("&amp;REGLAS!B391&amp;",'"&amp;REGLAS!C391&amp;"','"&amp;REGLAS!D391&amp;"','"&amp;REGLAS!G391&amp;"',TO_DATE('"&amp;REGLAS!H391&amp;"','yyyymmdd'),TO_DATE('"&amp;REGLAS!I391&amp;"','yyyymmdd'),'"&amp;REGLAS!J391&amp;"');")</f>
        <v/>
      </c>
      <c r="B390" t="str">
        <f>IF(REGLAS!J391="OBSOLETO","","INSERT INTO INYCEXT.INYC_CONF_INF_REGLAS@tc_link (COD_INFORME,TABLA,NOMBRE,REGLA,F_INICIO,F_FIN,DESCRIPCION) VALUES ("&amp;REGLAS!B391&amp;",'"&amp;REGLAS!C391&amp;"','"&amp;REGLAS!D391&amp;"','"&amp;REGLAS!G391&amp;"',TO_DATE('"&amp;REGLAS!H391&amp;"','yyyymmdd'),TO_DATE('"&amp;REGLAS!I391&amp;"','yyyymmdd'),'"&amp;REGLAS!J391&amp;"');")</f>
        <v/>
      </c>
    </row>
    <row r="391" spans="1:2" x14ac:dyDescent="0.25">
      <c r="A391" t="str">
        <f>IF(REGLAS!J392="OBSOLETO","","INSERT INTO INYCEXT.INYC_CONF_INF_REGLAS (COD_INFORME,TABLA,NOMBRE,REGLA,F_INICIO,F_FIN,DESCRIPCION) VALUES ("&amp;REGLAS!B392&amp;",'"&amp;REGLAS!C392&amp;"','"&amp;REGLAS!D392&amp;"','"&amp;REGLAS!G392&amp;"',TO_DATE('"&amp;REGLAS!H392&amp;"','yyyymmdd'),TO_DATE('"&amp;REGLAS!I392&amp;"','yyyymmdd'),'"&amp;REGLAS!J392&amp;"');")</f>
        <v/>
      </c>
      <c r="B391" t="str">
        <f>IF(REGLAS!J392="OBSOLETO","","INSERT INTO INYCEXT.INYC_CONF_INF_REGLAS@tc_link (COD_INFORME,TABLA,NOMBRE,REGLA,F_INICIO,F_FIN,DESCRIPCION) VALUES ("&amp;REGLAS!B392&amp;",'"&amp;REGLAS!C392&amp;"','"&amp;REGLAS!D392&amp;"','"&amp;REGLAS!G392&amp;"',TO_DATE('"&amp;REGLAS!H392&amp;"','yyyymmdd'),TO_DATE('"&amp;REGLAS!I392&amp;"','yyyymmdd'),'"&amp;REGLAS!J392&amp;"');")</f>
        <v/>
      </c>
    </row>
    <row r="392" spans="1:2" x14ac:dyDescent="0.25">
      <c r="A392" t="str">
        <f>IF(REGLAS!J393="OBSOLETO","","INSERT INTO INYCEXT.INYC_CONF_INF_REGLAS (COD_INFORME,TABLA,NOMBRE,REGLA,F_INICIO,F_FIN,DESCRIPCION) VALUES ("&amp;REGLAS!B393&amp;",'"&amp;REGLAS!C393&amp;"','"&amp;REGLAS!D393&amp;"','"&amp;REGLAS!G393&amp;"',TO_DATE('"&amp;REGLAS!H393&amp;"','yyyymmdd'),TO_DATE('"&amp;REGLAS!I393&amp;"','yyyymmdd'),'"&amp;REGLAS!J393&amp;"');")</f>
        <v/>
      </c>
      <c r="B392" t="str">
        <f>IF(REGLAS!J393="OBSOLETO","","INSERT INTO INYCEXT.INYC_CONF_INF_REGLAS@tc_link (COD_INFORME,TABLA,NOMBRE,REGLA,F_INICIO,F_FIN,DESCRIPCION) VALUES ("&amp;REGLAS!B393&amp;",'"&amp;REGLAS!C393&amp;"','"&amp;REGLAS!D393&amp;"','"&amp;REGLAS!G393&amp;"',TO_DATE('"&amp;REGLAS!H393&amp;"','yyyymmdd'),TO_DATE('"&amp;REGLAS!I393&amp;"','yyyymmdd'),'"&amp;REGLAS!J393&amp;"');")</f>
        <v/>
      </c>
    </row>
    <row r="393" spans="1:2" x14ac:dyDescent="0.25">
      <c r="A393" t="str">
        <f>IF(REGLAS!J394="OBSOLETO","","INSERT INTO INYCEXT.INYC_CONF_INF_REGLAS (COD_INFORME,TABLA,NOMBRE,REGLA,F_INICIO,F_FIN,DESCRIPCION) VALUES ("&amp;REGLAS!B394&amp;",'"&amp;REGLAS!C394&amp;"','"&amp;REGLAS!D394&amp;"','"&amp;REGLAS!G394&amp;"',TO_DATE('"&amp;REGLAS!H394&amp;"','yyyymmdd'),TO_DATE('"&amp;REGLAS!I394&amp;"','yyyymmdd'),'"&amp;REGLAS!J394&amp;"');")</f>
        <v/>
      </c>
      <c r="B393" t="str">
        <f>IF(REGLAS!J394="OBSOLETO","","INSERT INTO INYCEXT.INYC_CONF_INF_REGLAS@tc_link (COD_INFORME,TABLA,NOMBRE,REGLA,F_INICIO,F_FIN,DESCRIPCION) VALUES ("&amp;REGLAS!B394&amp;",'"&amp;REGLAS!C394&amp;"','"&amp;REGLAS!D394&amp;"','"&amp;REGLAS!G394&amp;"',TO_DATE('"&amp;REGLAS!H394&amp;"','yyyymmdd'),TO_DATE('"&amp;REGLAS!I394&amp;"','yyyymmdd'),'"&amp;REGLAS!J394&amp;"');")</f>
        <v/>
      </c>
    </row>
    <row r="394" spans="1:2" x14ac:dyDescent="0.25">
      <c r="A394" t="str">
        <f>IF(REGLAS!J395="OBSOLETO","","INSERT INTO INYCEXT.INYC_CONF_INF_REGLAS (COD_INFORME,TABLA,NOMBRE,REGLA,F_INICIO,F_FIN,DESCRIPCION) VALUES ("&amp;REGLAS!B395&amp;",'"&amp;REGLAS!C395&amp;"','"&amp;REGLAS!D395&amp;"','"&amp;REGLAS!G395&amp;"',TO_DATE('"&amp;REGLAS!H395&amp;"','yyyymmdd'),TO_DATE('"&amp;REGLAS!I395&amp;"','yyyymmdd'),'"&amp;REGLAS!J395&amp;"');")</f>
        <v/>
      </c>
      <c r="B394" t="str">
        <f>IF(REGLAS!J395="OBSOLETO","","INSERT INTO INYCEXT.INYC_CONF_INF_REGLAS@tc_link (COD_INFORME,TABLA,NOMBRE,REGLA,F_INICIO,F_FIN,DESCRIPCION) VALUES ("&amp;REGLAS!B395&amp;",'"&amp;REGLAS!C395&amp;"','"&amp;REGLAS!D395&amp;"','"&amp;REGLAS!G395&amp;"',TO_DATE('"&amp;REGLAS!H395&amp;"','yyyymmdd'),TO_DATE('"&amp;REGLAS!I395&amp;"','yyyymmdd'),'"&amp;REGLAS!J395&amp;"');")</f>
        <v/>
      </c>
    </row>
    <row r="395" spans="1:2" x14ac:dyDescent="0.25">
      <c r="A395" t="str">
        <f>IF(REGLAS!J396="OBSOLETO","","INSERT INTO INYCEXT.INYC_CONF_INF_REGLAS (COD_INFORME,TABLA,NOMBRE,REGLA,F_INICIO,F_FIN,DESCRIPCION) VALUES ("&amp;REGLAS!B396&amp;",'"&amp;REGLAS!C396&amp;"','"&amp;REGLAS!D396&amp;"','"&amp;REGLAS!G396&amp;"',TO_DATE('"&amp;REGLAS!H396&amp;"','yyyymmdd'),TO_DATE('"&amp;REGLAS!I396&amp;"','yyyymmdd'),'"&amp;REGLAS!J396&amp;"');")</f>
        <v/>
      </c>
      <c r="B395" t="str">
        <f>IF(REGLAS!J396="OBSOLETO","","INSERT INTO INYCEXT.INYC_CONF_INF_REGLAS@tc_link (COD_INFORME,TABLA,NOMBRE,REGLA,F_INICIO,F_FIN,DESCRIPCION) VALUES ("&amp;REGLAS!B396&amp;",'"&amp;REGLAS!C396&amp;"','"&amp;REGLAS!D396&amp;"','"&amp;REGLAS!G396&amp;"',TO_DATE('"&amp;REGLAS!H396&amp;"','yyyymmdd'),TO_DATE('"&amp;REGLAS!I396&amp;"','yyyymmdd'),'"&amp;REGLAS!J396&amp;"');")</f>
        <v/>
      </c>
    </row>
    <row r="396" spans="1:2" x14ac:dyDescent="0.25">
      <c r="A396" t="str">
        <f>IF(REGLAS!J397="OBSOLETO","","INSERT INTO INYCEXT.INYC_CONF_INF_REGLAS (COD_INFORME,TABLA,NOMBRE,REGLA,F_INICIO,F_FIN,DESCRIPCION) VALUES ("&amp;REGLAS!B397&amp;",'"&amp;REGLAS!C397&amp;"','"&amp;REGLAS!D397&amp;"','"&amp;REGLAS!G397&amp;"',TO_DATE('"&amp;REGLAS!H397&amp;"','yyyymmdd'),TO_DATE('"&amp;REGLAS!I397&amp;"','yyyymmdd'),'"&amp;REGLAS!J397&amp;"');")</f>
        <v/>
      </c>
      <c r="B396" t="str">
        <f>IF(REGLAS!J397="OBSOLETO","","INSERT INTO INYCEXT.INYC_CONF_INF_REGLAS@tc_link (COD_INFORME,TABLA,NOMBRE,REGLA,F_INICIO,F_FIN,DESCRIPCION) VALUES ("&amp;REGLAS!B397&amp;",'"&amp;REGLAS!C397&amp;"','"&amp;REGLAS!D397&amp;"','"&amp;REGLAS!G397&amp;"',TO_DATE('"&amp;REGLAS!H397&amp;"','yyyymmdd'),TO_DATE('"&amp;REGLAS!I397&amp;"','yyyymmdd'),'"&amp;REGLAS!J397&amp;"');")</f>
        <v/>
      </c>
    </row>
    <row r="397" spans="1:2" x14ac:dyDescent="0.25">
      <c r="A397" t="str">
        <f>IF(REGLAS!J398="OBSOLETO","","INSERT INTO INYCEXT.INYC_CONF_INF_REGLAS (COD_INFORME,TABLA,NOMBRE,REGLA,F_INICIO,F_FIN,DESCRIPCION) VALUES ("&amp;REGLAS!B398&amp;",'"&amp;REGLAS!C398&amp;"','"&amp;REGLAS!D398&amp;"','"&amp;REGLAS!G398&amp;"',TO_DATE('"&amp;REGLAS!H398&amp;"','yyyymmdd'),TO_DATE('"&amp;REGLAS!I398&amp;"','yyyymmdd'),'"&amp;REGLAS!J398&amp;"');")</f>
        <v/>
      </c>
      <c r="B397" t="str">
        <f>IF(REGLAS!J398="OBSOLETO","","INSERT INTO INYCEXT.INYC_CONF_INF_REGLAS@tc_link (COD_INFORME,TABLA,NOMBRE,REGLA,F_INICIO,F_FIN,DESCRIPCION) VALUES ("&amp;REGLAS!B398&amp;",'"&amp;REGLAS!C398&amp;"','"&amp;REGLAS!D398&amp;"','"&amp;REGLAS!G398&amp;"',TO_DATE('"&amp;REGLAS!H398&amp;"','yyyymmdd'),TO_DATE('"&amp;REGLAS!I398&amp;"','yyyymmdd'),'"&amp;REGLAS!J398&amp;"');")</f>
        <v/>
      </c>
    </row>
    <row r="398" spans="1:2" x14ac:dyDescent="0.25">
      <c r="A398" t="str">
        <f>IF(REGLAS!J399="OBSOLETO","","INSERT INTO INYCEXT.INYC_CONF_INF_REGLAS (COD_INFORME,TABLA,NOMBRE,REGLA,F_INICIO,F_FIN,DESCRIPCION) VALUES ("&amp;REGLAS!B399&amp;",'"&amp;REGLAS!C399&amp;"','"&amp;REGLAS!D399&amp;"','"&amp;REGLAS!G399&amp;"',TO_DATE('"&amp;REGLAS!H399&amp;"','yyyymmdd'),TO_DATE('"&amp;REGLAS!I399&amp;"','yyyymmdd'),'"&amp;REGLAS!J399&amp;"');")</f>
        <v>INSERT INTO INYCEXT.INYC_CONF_INF_REGLAS (COD_INFORME,TABLA,NOMBRE,REGLA,F_INICIO,F_FIN,DESCRIPCION) VALUES (8.1,'INYC_COLC_RESUMEN','SM - Nº Pólizas Inspector RRTT Anual','SM-O-GEN-Inspector-NumeroPolizas-001-TotalAnual',TO_DATE('20140101','yyyymmdd'),TO_DATE('22000101','yyyymmdd'),'');</v>
      </c>
      <c r="B398" t="str">
        <f>IF(REGLAS!J399="OBSOLETO","","INSERT INTO INYCEXT.INYC_CONF_INF_REGLAS@tc_link (COD_INFORME,TABLA,NOMBRE,REGLA,F_INICIO,F_FIN,DESCRIPCION) VALUES ("&amp;REGLAS!B399&amp;",'"&amp;REGLAS!C399&amp;"','"&amp;REGLAS!D399&amp;"','"&amp;REGLAS!G399&amp;"',TO_DATE('"&amp;REGLAS!H399&amp;"','yyyymmdd'),TO_DATE('"&amp;REGLAS!I399&amp;"','yyyymmdd'),'"&amp;REGLAS!J399&amp;"');")</f>
        <v>INSERT INTO INYCEXT.INYC_CONF_INF_REGLAS@tc_link (COD_INFORME,TABLA,NOMBRE,REGLA,F_INICIO,F_FIN,DESCRIPCION) VALUES (8.1,'INYC_COLC_RESUMEN','SM - Nº Pólizas Inspector RRTT Anual','SM-O-GEN-Inspector-NumeroPolizas-001-TotalAnual',TO_DATE('20140101','yyyymmdd'),TO_DATE('22000101','yyyymmdd'),'');</v>
      </c>
    </row>
    <row r="399" spans="1:2" x14ac:dyDescent="0.25">
      <c r="A399" t="str">
        <f>IF(REGLAS!J400="OBSOLETO","","INSERT INTO INYCEXT.INYC_CONF_INF_REGLAS (COD_INFORME,TABLA,NOMBRE,REGLA,F_INICIO,F_FIN,DESCRIPCION) VALUES ("&amp;REGLAS!B400&amp;",'"&amp;REGLAS!C400&amp;"','"&amp;REGLAS!D400&amp;"','"&amp;REGLAS!G400&amp;"',TO_DATE('"&amp;REGLAS!H400&amp;"','yyyymmdd'),TO_DATE('"&amp;REGLAS!I400&amp;"','yyyymmdd'),'"&amp;REGLAS!J400&amp;"');")</f>
        <v>INSERT INTO INYCEXT.INYC_CONF_INF_REGLAS (COD_INFORME,TABLA,NOMBRE,REGLA,F_INICIO,F_FIN,DESCRIPCION) VALUES (8.1,'INYC_COLC_RESUMEN','SM - Nº Pólizas Inspector Hogar Anual','SM-O-GEN-Inspector-NumeroPolizas-002-TotalAnual',TO_DATE('20140101','yyyymmdd'),TO_DATE('22000101','yyyymmdd'),'');</v>
      </c>
      <c r="B399" t="str">
        <f>IF(REGLAS!J400="OBSOLETO","","INSERT INTO INYCEXT.INYC_CONF_INF_REGLAS@tc_link (COD_INFORME,TABLA,NOMBRE,REGLA,F_INICIO,F_FIN,DESCRIPCION) VALUES ("&amp;REGLAS!B400&amp;",'"&amp;REGLAS!C400&amp;"','"&amp;REGLAS!D400&amp;"','"&amp;REGLAS!G400&amp;"',TO_DATE('"&amp;REGLAS!H400&amp;"','yyyymmdd'),TO_DATE('"&amp;REGLAS!I400&amp;"','yyyymmdd'),'"&amp;REGLAS!J400&amp;"');")</f>
        <v>INSERT INTO INYCEXT.INYC_CONF_INF_REGLAS@tc_link (COD_INFORME,TABLA,NOMBRE,REGLA,F_INICIO,F_FIN,DESCRIPCION) VALUES (8.1,'INYC_COLC_RESUMEN','SM - Nº Pólizas Inspector Hogar Anual','SM-O-GEN-Inspector-NumeroPolizas-002-TotalAnual',TO_DATE('20140101','yyyymmdd'),TO_DATE('22000101','yyyymmdd'),'');</v>
      </c>
    </row>
    <row r="400" spans="1:2" x14ac:dyDescent="0.25">
      <c r="A400" t="str">
        <f>IF(REGLAS!J401="OBSOLETO","","INSERT INTO INYCEXT.INYC_CONF_INF_REGLAS (COD_INFORME,TABLA,NOMBRE,REGLA,F_INICIO,F_FIN,DESCRIPCION) VALUES ("&amp;REGLAS!B401&amp;",'"&amp;REGLAS!C401&amp;"','"&amp;REGLAS!D401&amp;"','"&amp;REGLAS!G401&amp;"',TO_DATE('"&amp;REGLAS!H401&amp;"','yyyymmdd'),TO_DATE('"&amp;REGLAS!I401&amp;"','yyyymmdd'),'"&amp;REGLAS!J401&amp;"');")</f>
        <v>INSERT INTO INYCEXT.INYC_CONF_INF_REGLAS (COD_INFORME,TABLA,NOMBRE,REGLA,F_INICIO,F_FIN,DESCRIPCION) VALUES (8.1,'INYC_COLC_RESUMEN','SM - Nº Pólizas Inspector Vida Riesgo Anual','SM-O-GEN-Inspector-NumeroPolizas-003-TotalAnual',TO_DATE('20140101','yyyymmdd'),TO_DATE('22000101','yyyymmdd'),'');</v>
      </c>
      <c r="B400" t="str">
        <f>IF(REGLAS!J401="OBSOLETO","","INSERT INTO INYCEXT.INYC_CONF_INF_REGLAS@tc_link (COD_INFORME,TABLA,NOMBRE,REGLA,F_INICIO,F_FIN,DESCRIPCION) VALUES ("&amp;REGLAS!B401&amp;",'"&amp;REGLAS!C401&amp;"','"&amp;REGLAS!D401&amp;"','"&amp;REGLAS!G401&amp;"',TO_DATE('"&amp;REGLAS!H401&amp;"','yyyymmdd'),TO_DATE('"&amp;REGLAS!I401&amp;"','yyyymmdd'),'"&amp;REGLAS!J401&amp;"');")</f>
        <v>INSERT INTO INYCEXT.INYC_CONF_INF_REGLAS@tc_link (COD_INFORME,TABLA,NOMBRE,REGLA,F_INICIO,F_FIN,DESCRIPCION) VALUES (8.1,'INYC_COLC_RESUMEN','SM - Nº Pólizas Inspector Vida Riesgo Anual','SM-O-GEN-Inspector-NumeroPolizas-003-TotalAnual',TO_DATE('20140101','yyyymmdd'),TO_DATE('22000101','yyyymmdd'),'');</v>
      </c>
    </row>
    <row r="401" spans="1:2" x14ac:dyDescent="0.25">
      <c r="A401" t="str">
        <f>IF(REGLAS!J402="OBSOLETO","","INSERT INTO INYCEXT.INYC_CONF_INF_REGLAS (COD_INFORME,TABLA,NOMBRE,REGLA,F_INICIO,F_FIN,DESCRIPCION) VALUES ("&amp;REGLAS!B402&amp;",'"&amp;REGLAS!C402&amp;"','"&amp;REGLAS!D402&amp;"','"&amp;REGLAS!G402&amp;"',TO_DATE('"&amp;REGLAS!H402&amp;"','yyyymmdd'),TO_DATE('"&amp;REGLAS!I402&amp;"','yyyymmdd'),'"&amp;REGLAS!J402&amp;"');")</f>
        <v>INSERT INTO INYCEXT.INYC_CONF_INF_REGLAS (COD_INFORME,TABLA,NOMBRE,REGLA,F_INICIO,F_FIN,DESCRIPCION) VALUES (8.1,'INYC_COLC_RESUMEN','SM - Nº Pólizas Inspector Vida Ahorro Anual','SM-O-GEN-Inspector-NumeroPolizas-004-TotalAnual',TO_DATE('20140101','yyyymmdd'),TO_DATE('22000101','yyyymmdd'),'');</v>
      </c>
      <c r="B401" t="str">
        <f>IF(REGLAS!J402="OBSOLETO","","INSERT INTO INYCEXT.INYC_CONF_INF_REGLAS@tc_link (COD_INFORME,TABLA,NOMBRE,REGLA,F_INICIO,F_FIN,DESCRIPCION) VALUES ("&amp;REGLAS!B402&amp;",'"&amp;REGLAS!C402&amp;"','"&amp;REGLAS!D402&amp;"','"&amp;REGLAS!G402&amp;"',TO_DATE('"&amp;REGLAS!H402&amp;"','yyyymmdd'),TO_DATE('"&amp;REGLAS!I402&amp;"','yyyymmdd'),'"&amp;REGLAS!J402&amp;"');")</f>
        <v>INSERT INTO INYCEXT.INYC_CONF_INF_REGLAS@tc_link (COD_INFORME,TABLA,NOMBRE,REGLA,F_INICIO,F_FIN,DESCRIPCION) VALUES (8.1,'INYC_COLC_RESUMEN','SM - Nº Pólizas Inspector Vida Ahorro Anual','SM-O-GEN-Inspector-NumeroPolizas-004-TotalAnual',TO_DATE('20140101','yyyymmdd'),TO_DATE('22000101','yyyymmdd'),'');</v>
      </c>
    </row>
    <row r="402" spans="1:2" x14ac:dyDescent="0.25">
      <c r="A402" t="str">
        <f>IF(REGLAS!J403="OBSOLETO","","INSERT INTO INYCEXT.INYC_CONF_INF_REGLAS (COD_INFORME,TABLA,NOMBRE,REGLA,F_INICIO,F_FIN,DESCRIPCION) VALUES ("&amp;REGLAS!B403&amp;",'"&amp;REGLAS!C403&amp;"','"&amp;REGLAS!D403&amp;"','"&amp;REGLAS!G403&amp;"',TO_DATE('"&amp;REGLAS!H403&amp;"','yyyymmdd'),TO_DATE('"&amp;REGLAS!I403&amp;"','yyyymmdd'),'"&amp;REGLAS!J403&amp;"');")</f>
        <v>INSERT INTO INYCEXT.INYC_CONF_INF_REGLAS (COD_INFORME,TABLA,NOMBRE,REGLA,F_INICIO,F_FIN,DESCRIPCION) VALUES (8.1,'INYC_COLC_RESUMEN','SM - Nº Pólizas Inspector Accidentes Anual','SM-O-GEN-Inspector-NumeroPolizas-005-TotalAnual',TO_DATE('20140101','yyyymmdd'),TO_DATE('22000101','yyyymmdd'),'');</v>
      </c>
      <c r="B402" t="str">
        <f>IF(REGLAS!J403="OBSOLETO","","INSERT INTO INYCEXT.INYC_CONF_INF_REGLAS@tc_link (COD_INFORME,TABLA,NOMBRE,REGLA,F_INICIO,F_FIN,DESCRIPCION) VALUES ("&amp;REGLAS!B403&amp;",'"&amp;REGLAS!C403&amp;"','"&amp;REGLAS!D403&amp;"','"&amp;REGLAS!G403&amp;"',TO_DATE('"&amp;REGLAS!H403&amp;"','yyyymmdd'),TO_DATE('"&amp;REGLAS!I403&amp;"','yyyymmdd'),'"&amp;REGLAS!J403&amp;"');")</f>
        <v>INSERT INTO INYCEXT.INYC_CONF_INF_REGLAS@tc_link (COD_INFORME,TABLA,NOMBRE,REGLA,F_INICIO,F_FIN,DESCRIPCION) VALUES (8.1,'INYC_COLC_RESUMEN','SM - Nº Pólizas Inspector Accidentes Anual','SM-O-GEN-Inspector-NumeroPolizas-005-TotalAnual',TO_DATE('20140101','yyyymmdd'),TO_DATE('22000101','yyyymmdd'),'');</v>
      </c>
    </row>
    <row r="403" spans="1:2" x14ac:dyDescent="0.25">
      <c r="A403" t="str">
        <f>IF(REGLAS!J404="OBSOLETO","","INSERT INTO INYCEXT.INYC_CONF_INF_REGLAS (COD_INFORME,TABLA,NOMBRE,REGLA,F_INICIO,F_FIN,DESCRIPCION) VALUES ("&amp;REGLAS!B404&amp;",'"&amp;REGLAS!C404&amp;"','"&amp;REGLAS!D404&amp;"','"&amp;REGLAS!G404&amp;"',TO_DATE('"&amp;REGLAS!H404&amp;"','yyyymmdd'),TO_DATE('"&amp;REGLAS!I404&amp;"','yyyymmdd'),'"&amp;REGLAS!J404&amp;"');")</f>
        <v>INSERT INTO INYCEXT.INYC_CONF_INF_REGLAS (COD_INFORME,TABLA,NOMBRE,REGLA,F_INICIO,F_FIN,DESCRIPCION) VALUES (8.1,'INYC_COLC_RESUMEN','SM - Nº Pólizas Inspector Resto Productos Anual','SM-O-GEN-Inspector-NumeroPolizas-006-TotalAnual',TO_DATE('20140101','yyyymmdd'),TO_DATE('22000101','yyyymmdd'),'');</v>
      </c>
      <c r="B403" t="str">
        <f>IF(REGLAS!J404="OBSOLETO","","INSERT INTO INYCEXT.INYC_CONF_INF_REGLAS@tc_link (COD_INFORME,TABLA,NOMBRE,REGLA,F_INICIO,F_FIN,DESCRIPCION) VALUES ("&amp;REGLAS!B404&amp;",'"&amp;REGLAS!C404&amp;"','"&amp;REGLAS!D404&amp;"','"&amp;REGLAS!G404&amp;"',TO_DATE('"&amp;REGLAS!H404&amp;"','yyyymmdd'),TO_DATE('"&amp;REGLAS!I404&amp;"','yyyymmdd'),'"&amp;REGLAS!J404&amp;"');")</f>
        <v>INSERT INTO INYCEXT.INYC_CONF_INF_REGLAS@tc_link (COD_INFORME,TABLA,NOMBRE,REGLA,F_INICIO,F_FIN,DESCRIPCION) VALUES (8.1,'INYC_COLC_RESUMEN','SM - Nº Pólizas Inspector Resto Productos Anual','SM-O-GEN-Inspector-NumeroPolizas-006-TotalAnual',TO_DATE('20140101','yyyymmdd'),TO_DATE('22000101','yyyymmdd'),'');</v>
      </c>
    </row>
    <row r="404" spans="1:2" x14ac:dyDescent="0.25">
      <c r="A404" t="str">
        <f>IF(REGLAS!J405="OBSOLETO","","INSERT INTO INYCEXT.INYC_CONF_INF_REGLAS (COD_INFORME,TABLA,NOMBRE,REGLA,F_INICIO,F_FIN,DESCRIPCION) VALUES ("&amp;REGLAS!B405&amp;",'"&amp;REGLAS!C405&amp;"','"&amp;REGLAS!D405&amp;"','"&amp;REGLAS!G405&amp;"',TO_DATE('"&amp;REGLAS!H405&amp;"','yyyymmdd'),TO_DATE('"&amp;REGLAS!I405&amp;"','yyyymmdd'),'"&amp;REGLAS!J405&amp;"');")</f>
        <v>INSERT INTO INYCEXT.INYC_CONF_INF_REGLAS (COD_INFORME,TABLA,NOMBRE,REGLA,F_INICIO,F_FIN,DESCRIPCION) VALUES (8.1,'INYC_COLC_RESUMEN','SM - Nº Pólizas Inspector Comunidades Anual','SM-O-GEN-Inspector-NumeroPolizas-008-TotalAnual',TO_DATE('20140101','yyyymmdd'),TO_DATE('22000101','yyyymmdd'),'');</v>
      </c>
      <c r="B404" t="str">
        <f>IF(REGLAS!J405="OBSOLETO","","INSERT INTO INYCEXT.INYC_CONF_INF_REGLAS@tc_link (COD_INFORME,TABLA,NOMBRE,REGLA,F_INICIO,F_FIN,DESCRIPCION) VALUES ("&amp;REGLAS!B405&amp;",'"&amp;REGLAS!C405&amp;"','"&amp;REGLAS!D405&amp;"','"&amp;REGLAS!G405&amp;"',TO_DATE('"&amp;REGLAS!H405&amp;"','yyyymmdd'),TO_DATE('"&amp;REGLAS!I405&amp;"','yyyymmdd'),'"&amp;REGLAS!J405&amp;"');")</f>
        <v>INSERT INTO INYCEXT.INYC_CONF_INF_REGLAS@tc_link (COD_INFORME,TABLA,NOMBRE,REGLA,F_INICIO,F_FIN,DESCRIPCION) VALUES (8.1,'INYC_COLC_RESUMEN','SM - Nº Pólizas Inspector Comunidades Anual','SM-O-GEN-Inspector-NumeroPolizas-008-TotalAnual',TO_DATE('20140101','yyyymmdd'),TO_DATE('22000101','yyyymmdd'),'');</v>
      </c>
    </row>
    <row r="405" spans="1:2" x14ac:dyDescent="0.25">
      <c r="A405" t="str">
        <f>IF(REGLAS!J406="OBSOLETO","","INSERT INTO INYCEXT.INYC_CONF_INF_REGLAS (COD_INFORME,TABLA,NOMBRE,REGLA,F_INICIO,F_FIN,DESCRIPCION) VALUES ("&amp;REGLAS!B406&amp;",'"&amp;REGLAS!C406&amp;"','"&amp;REGLAS!D406&amp;"','"&amp;REGLAS!G406&amp;"',TO_DATE('"&amp;REGLAS!H406&amp;"','yyyymmdd'),TO_DATE('"&amp;REGLAS!I406&amp;"','yyyymmdd'),'"&amp;REGLAS!J406&amp;"');")</f>
        <v>INSERT INTO INYCEXT.INYC_CONF_INF_REGLAS (COD_INFORME,TABLA,NOMBRE,REGLA,F_INICIO,F_FIN,DESCRIPCION) VALUES (8.1,'INYC_COLC_RESUMEN','SM - Nº Pólizas Inspector Ocaso Oro Anual','SM-O-GEN-Inspector-NumeroPolizas-009-TotalAnual',TO_DATE('20140101','yyyymmdd'),TO_DATE('22000101','yyyymmdd'),'');</v>
      </c>
      <c r="B405" t="str">
        <f>IF(REGLAS!J406="OBSOLETO","","INSERT INTO INYCEXT.INYC_CONF_INF_REGLAS@tc_link (COD_INFORME,TABLA,NOMBRE,REGLA,F_INICIO,F_FIN,DESCRIPCION) VALUES ("&amp;REGLAS!B406&amp;",'"&amp;REGLAS!C406&amp;"','"&amp;REGLAS!D406&amp;"','"&amp;REGLAS!G406&amp;"',TO_DATE('"&amp;REGLAS!H406&amp;"','yyyymmdd'),TO_DATE('"&amp;REGLAS!I406&amp;"','yyyymmdd'),'"&amp;REGLAS!J406&amp;"');")</f>
        <v>INSERT INTO INYCEXT.INYC_CONF_INF_REGLAS@tc_link (COD_INFORME,TABLA,NOMBRE,REGLA,F_INICIO,F_FIN,DESCRIPCION) VALUES (8.1,'INYC_COLC_RESUMEN','SM - Nº Pólizas Inspector Ocaso Oro Anual','SM-O-GEN-Inspector-NumeroPolizas-009-TotalAnual',TO_DATE('20140101','yyyymmdd'),TO_DATE('22000101','yyyymmdd'),'');</v>
      </c>
    </row>
    <row r="406" spans="1:2" x14ac:dyDescent="0.25">
      <c r="A406" t="str">
        <f>IF(REGLAS!J407="OBSOLETO","","INSERT INTO INYCEXT.INYC_CONF_INF_REGLAS (COD_INFORME,TABLA,NOMBRE,REGLA,F_INICIO,F_FIN,DESCRIPCION) VALUES ("&amp;REGLAS!B407&amp;",'"&amp;REGLAS!C407&amp;"','"&amp;REGLAS!D407&amp;"','"&amp;REGLAS!G407&amp;"',TO_DATE('"&amp;REGLAS!H407&amp;"','yyyymmdd'),TO_DATE('"&amp;REGLAS!I407&amp;"','yyyymmdd'),'"&amp;REGLAS!J407&amp;"');")</f>
        <v>INSERT INTO INYCEXT.INYC_CONF_INF_REGLAS (COD_INFORME,TABLA,NOMBRE,REGLA,F_INICIO,F_FIN,DESCRIPCION) VALUES (8.1,'INYC_COLC_RESUMEN','SM - Nº Pólizas Inspector RRPP (excl PU y conv/colec) Anual','SM-O-GEN-Inspector-NumeroPolizas-906-TotalAnual',TO_DATE('20140101','yyyymmdd'),TO_DATE('22000101','yyyymmdd'),'');</v>
      </c>
      <c r="B406" t="str">
        <f>IF(REGLAS!J407="OBSOLETO","","INSERT INTO INYCEXT.INYC_CONF_INF_REGLAS@tc_link (COD_INFORME,TABLA,NOMBRE,REGLA,F_INICIO,F_FIN,DESCRIPCION) VALUES ("&amp;REGLAS!B407&amp;",'"&amp;REGLAS!C407&amp;"','"&amp;REGLAS!D407&amp;"','"&amp;REGLAS!G407&amp;"',TO_DATE('"&amp;REGLAS!H407&amp;"','yyyymmdd'),TO_DATE('"&amp;REGLAS!I407&amp;"','yyyymmdd'),'"&amp;REGLAS!J407&amp;"');")</f>
        <v>INSERT INTO INYCEXT.INYC_CONF_INF_REGLAS@tc_link (COD_INFORME,TABLA,NOMBRE,REGLA,F_INICIO,F_FIN,DESCRIPCION) VALUES (8.1,'INYC_COLC_RESUMEN','SM - Nº Pólizas Inspector RRPP (excl PU y conv/colec) Anual','SM-O-GEN-Inspector-NumeroPolizas-906-TotalAnual',TO_DATE('20140101','yyyymmdd'),TO_DATE('22000101','yyyymmdd'),'');</v>
      </c>
    </row>
    <row r="407" spans="1:2" x14ac:dyDescent="0.25">
      <c r="A407" t="str">
        <f>IF(REGLAS!J408="OBSOLETO","","INSERT INTO INYCEXT.INYC_CONF_INF_REGLAS (COD_INFORME,TABLA,NOMBRE,REGLA,F_INICIO,F_FIN,DESCRIPCION) VALUES ("&amp;REGLAS!B408&amp;",'"&amp;REGLAS!C408&amp;"','"&amp;REGLAS!D408&amp;"','"&amp;REGLAS!G408&amp;"',TO_DATE('"&amp;REGLAS!H408&amp;"','yyyymmdd'),TO_DATE('"&amp;REGLAS!I408&amp;"','yyyymmdd'),'"&amp;REGLAS!J408&amp;"');")</f>
        <v>INSERT INTO INYCEXT.INYC_CONF_INF_REGLAS (COD_INFORME,TABLA,NOMBRE,REGLA,F_INICIO,F_FIN,DESCRIPCION) VALUES (8.1,'INYC_COLC_RESUMEN','SM - Nº Pólizas Inspector Prod. Prioritarios Anual','SM-O-GEN-Inspector-NumeroPolizas-997-TotalAnual',TO_DATE('20140101','yyyymmdd'),TO_DATE('22000101','yyyymmdd'),'');</v>
      </c>
      <c r="B407" t="str">
        <f>IF(REGLAS!J408="OBSOLETO","","INSERT INTO INYCEXT.INYC_CONF_INF_REGLAS@tc_link (COD_INFORME,TABLA,NOMBRE,REGLA,F_INICIO,F_FIN,DESCRIPCION) VALUES ("&amp;REGLAS!B408&amp;",'"&amp;REGLAS!C408&amp;"','"&amp;REGLAS!D408&amp;"','"&amp;REGLAS!G408&amp;"',TO_DATE('"&amp;REGLAS!H408&amp;"','yyyymmdd'),TO_DATE('"&amp;REGLAS!I408&amp;"','yyyymmdd'),'"&amp;REGLAS!J408&amp;"');")</f>
        <v>INSERT INTO INYCEXT.INYC_CONF_INF_REGLAS@tc_link (COD_INFORME,TABLA,NOMBRE,REGLA,F_INICIO,F_FIN,DESCRIPCION) VALUES (8.1,'INYC_COLC_RESUMEN','SM - Nº Pólizas Inspector Prod. Prioritarios Anual','SM-O-GEN-Inspector-NumeroPolizas-997-TotalAnual',TO_DATE('20140101','yyyymmdd'),TO_DATE('22000101','yyyymmdd'),'');</v>
      </c>
    </row>
    <row r="408" spans="1:2" x14ac:dyDescent="0.25">
      <c r="A408" t="str">
        <f>IF(REGLAS!J409="OBSOLETO","","INSERT INTO INYCEXT.INYC_CONF_INF_REGLAS (COD_INFORME,TABLA,NOMBRE,REGLA,F_INICIO,F_FIN,DESCRIPCION) VALUES ("&amp;REGLAS!B409&amp;",'"&amp;REGLAS!C409&amp;"','"&amp;REGLAS!D409&amp;"','"&amp;REGLAS!G409&amp;"',TO_DATE('"&amp;REGLAS!H409&amp;"','yyyymmdd'),TO_DATE('"&amp;REGLAS!I409&amp;"','yyyymmdd'),'"&amp;REGLAS!J409&amp;"');")</f>
        <v>INSERT INTO INYCEXT.INYC_CONF_INF_REGLAS (COD_INFORME,TABLA,NOMBRE,REGLA,F_INICIO,F_FIN,DESCRIPCION) VALUES (8.1,'INYC_COLC_RESUMEN','SM - Nº Pólizas Inspector Total Productos Anual','SM-O-GEN-Inspector-NumeroPolizas-998-TotalAnual',TO_DATE('20140101','yyyymmdd'),TO_DATE('22000101','yyyymmdd'),'');</v>
      </c>
      <c r="B408" t="str">
        <f>IF(REGLAS!J409="OBSOLETO","","INSERT INTO INYCEXT.INYC_CONF_INF_REGLAS@tc_link (COD_INFORME,TABLA,NOMBRE,REGLA,F_INICIO,F_FIN,DESCRIPCION) VALUES ("&amp;REGLAS!B409&amp;",'"&amp;REGLAS!C409&amp;"','"&amp;REGLAS!D409&amp;"','"&amp;REGLAS!G409&amp;"',TO_DATE('"&amp;REGLAS!H409&amp;"','yyyymmdd'),TO_DATE('"&amp;REGLAS!I409&amp;"','yyyymmdd'),'"&amp;REGLAS!J409&amp;"');")</f>
        <v>INSERT INTO INYCEXT.INYC_CONF_INF_REGLAS@tc_link (COD_INFORME,TABLA,NOMBRE,REGLA,F_INICIO,F_FIN,DESCRIPCION) VALUES (8.1,'INYC_COLC_RESUMEN','SM - Nº Pólizas Inspector Total Productos Anual','SM-O-GEN-Inspector-NumeroPolizas-998-TotalAnual',TO_DATE('20140101','yyyymmdd'),TO_DATE('22000101','yyyymmdd'),'');</v>
      </c>
    </row>
    <row r="409" spans="1:2" x14ac:dyDescent="0.25">
      <c r="A409" t="str">
        <f>IF(REGLAS!J410="OBSOLETO","","INSERT INTO INYCEXT.INYC_CONF_INF_REGLAS (COD_INFORME,TABLA,NOMBRE,REGLA,F_INICIO,F_FIN,DESCRIPCION) VALUES ("&amp;REGLAS!B410&amp;",'"&amp;REGLAS!C410&amp;"','"&amp;REGLAS!D410&amp;"','"&amp;REGLAS!G410&amp;"',TO_DATE('"&amp;REGLAS!H410&amp;"','yyyymmdd'),TO_DATE('"&amp;REGLAS!I410&amp;"','yyyymmdd'),'"&amp;REGLAS!J410&amp;"');")</f>
        <v>INSERT INTO INYCEXT.INYC_CONF_INF_REGLAS (COD_INFORME,TABLA,NOMBRE,REGLA,F_INICIO,F_FIN,DESCRIPCION) VALUES (8.1,'INYC_COLC_RESUMEN','SM - Prima Corregida Inspector RRTT Anual','SM-O-GEN-Inspector-PrimaCorregida-001-TotalAnual',TO_DATE('20140101','yyyymmdd'),TO_DATE('22000101','yyyymmdd'),'');</v>
      </c>
      <c r="B409" t="str">
        <f>IF(REGLAS!J410="OBSOLETO","","INSERT INTO INYCEXT.INYC_CONF_INF_REGLAS@tc_link (COD_INFORME,TABLA,NOMBRE,REGLA,F_INICIO,F_FIN,DESCRIPCION) VALUES ("&amp;REGLAS!B410&amp;",'"&amp;REGLAS!C410&amp;"','"&amp;REGLAS!D410&amp;"','"&amp;REGLAS!G410&amp;"',TO_DATE('"&amp;REGLAS!H410&amp;"','yyyymmdd'),TO_DATE('"&amp;REGLAS!I410&amp;"','yyyymmdd'),'"&amp;REGLAS!J410&amp;"');")</f>
        <v>INSERT INTO INYCEXT.INYC_CONF_INF_REGLAS@tc_link (COD_INFORME,TABLA,NOMBRE,REGLA,F_INICIO,F_FIN,DESCRIPCION) VALUES (8.1,'INYC_COLC_RESUMEN','SM - Prima Corregida Inspector RRTT Anual','SM-O-GEN-Inspector-PrimaCorregida-001-TotalAnual',TO_DATE('20140101','yyyymmdd'),TO_DATE('22000101','yyyymmdd'),'');</v>
      </c>
    </row>
    <row r="410" spans="1:2" x14ac:dyDescent="0.25">
      <c r="A410" t="str">
        <f>IF(REGLAS!J411="OBSOLETO","","INSERT INTO INYCEXT.INYC_CONF_INF_REGLAS (COD_INFORME,TABLA,NOMBRE,REGLA,F_INICIO,F_FIN,DESCRIPCION) VALUES ("&amp;REGLAS!B411&amp;",'"&amp;REGLAS!C411&amp;"','"&amp;REGLAS!D411&amp;"','"&amp;REGLAS!G411&amp;"',TO_DATE('"&amp;REGLAS!H411&amp;"','yyyymmdd'),TO_DATE('"&amp;REGLAS!I411&amp;"','yyyymmdd'),'"&amp;REGLAS!J411&amp;"');")</f>
        <v>INSERT INTO INYCEXT.INYC_CONF_INF_REGLAS (COD_INFORME,TABLA,NOMBRE,REGLA,F_INICIO,F_FIN,DESCRIPCION) VALUES (8.1,'INYC_COLC_RESUMEN','SM - Prima Corregida Inspector Hogar Anual','SM-O-GEN-Inspector-PrimaCorregida-002-TotalAnual',TO_DATE('20140101','yyyymmdd'),TO_DATE('22000101','yyyymmdd'),'');</v>
      </c>
      <c r="B410" t="str">
        <f>IF(REGLAS!J411="OBSOLETO","","INSERT INTO INYCEXT.INYC_CONF_INF_REGLAS@tc_link (COD_INFORME,TABLA,NOMBRE,REGLA,F_INICIO,F_FIN,DESCRIPCION) VALUES ("&amp;REGLAS!B411&amp;",'"&amp;REGLAS!C411&amp;"','"&amp;REGLAS!D411&amp;"','"&amp;REGLAS!G411&amp;"',TO_DATE('"&amp;REGLAS!H411&amp;"','yyyymmdd'),TO_DATE('"&amp;REGLAS!I411&amp;"','yyyymmdd'),'"&amp;REGLAS!J411&amp;"');")</f>
        <v>INSERT INTO INYCEXT.INYC_CONF_INF_REGLAS@tc_link (COD_INFORME,TABLA,NOMBRE,REGLA,F_INICIO,F_FIN,DESCRIPCION) VALUES (8.1,'INYC_COLC_RESUMEN','SM - Prima Corregida Inspector Hogar Anual','SM-O-GEN-Inspector-PrimaCorregida-002-TotalAnual',TO_DATE('20140101','yyyymmdd'),TO_DATE('22000101','yyyymmdd'),'');</v>
      </c>
    </row>
    <row r="411" spans="1:2" x14ac:dyDescent="0.25">
      <c r="A411" t="str">
        <f>IF(REGLAS!J412="OBSOLETO","","INSERT INTO INYCEXT.INYC_CONF_INF_REGLAS (COD_INFORME,TABLA,NOMBRE,REGLA,F_INICIO,F_FIN,DESCRIPCION) VALUES ("&amp;REGLAS!B412&amp;",'"&amp;REGLAS!C412&amp;"','"&amp;REGLAS!D412&amp;"','"&amp;REGLAS!G412&amp;"',TO_DATE('"&amp;REGLAS!H412&amp;"','yyyymmdd'),TO_DATE('"&amp;REGLAS!I412&amp;"','yyyymmdd'),'"&amp;REGLAS!J412&amp;"');")</f>
        <v>INSERT INTO INYCEXT.INYC_CONF_INF_REGLAS (COD_INFORME,TABLA,NOMBRE,REGLA,F_INICIO,F_FIN,DESCRIPCION) VALUES (8.1,'INYC_COLC_RESUMEN','SM - Prima Corregida Inspector Vida Riesgo Anual','SM-O-GEN-Inspector-PrimaCorregida-003-TotalAnual',TO_DATE('20140101','yyyymmdd'),TO_DATE('22000101','yyyymmdd'),'');</v>
      </c>
      <c r="B411" t="str">
        <f>IF(REGLAS!J412="OBSOLETO","","INSERT INTO INYCEXT.INYC_CONF_INF_REGLAS@tc_link (COD_INFORME,TABLA,NOMBRE,REGLA,F_INICIO,F_FIN,DESCRIPCION) VALUES ("&amp;REGLAS!B412&amp;",'"&amp;REGLAS!C412&amp;"','"&amp;REGLAS!D412&amp;"','"&amp;REGLAS!G412&amp;"',TO_DATE('"&amp;REGLAS!H412&amp;"','yyyymmdd'),TO_DATE('"&amp;REGLAS!I412&amp;"','yyyymmdd'),'"&amp;REGLAS!J412&amp;"');")</f>
        <v>INSERT INTO INYCEXT.INYC_CONF_INF_REGLAS@tc_link (COD_INFORME,TABLA,NOMBRE,REGLA,F_INICIO,F_FIN,DESCRIPCION) VALUES (8.1,'INYC_COLC_RESUMEN','SM - Prima Corregida Inspector Vida Riesgo Anual','SM-O-GEN-Inspector-PrimaCorregida-003-TotalAnual',TO_DATE('20140101','yyyymmdd'),TO_DATE('22000101','yyyymmdd'),'');</v>
      </c>
    </row>
    <row r="412" spans="1:2" x14ac:dyDescent="0.25">
      <c r="A412" t="str">
        <f>IF(REGLAS!J413="OBSOLETO","","INSERT INTO INYCEXT.INYC_CONF_INF_REGLAS (COD_INFORME,TABLA,NOMBRE,REGLA,F_INICIO,F_FIN,DESCRIPCION) VALUES ("&amp;REGLAS!B413&amp;",'"&amp;REGLAS!C413&amp;"','"&amp;REGLAS!D413&amp;"','"&amp;REGLAS!G413&amp;"',TO_DATE('"&amp;REGLAS!H413&amp;"','yyyymmdd'),TO_DATE('"&amp;REGLAS!I413&amp;"','yyyymmdd'),'"&amp;REGLAS!J413&amp;"');")</f>
        <v>INSERT INTO INYCEXT.INYC_CONF_INF_REGLAS (COD_INFORME,TABLA,NOMBRE,REGLA,F_INICIO,F_FIN,DESCRIPCION) VALUES (8.1,'INYC_COLC_RESUMEN','SM - Prima Corregida Inspector Vida Ahorro Anual','SM-O-GEN-Inspector-PrimaCorregida-004-TotalAnual',TO_DATE('20140101','yyyymmdd'),TO_DATE('22000101','yyyymmdd'),'');</v>
      </c>
      <c r="B412" t="str">
        <f>IF(REGLAS!J413="OBSOLETO","","INSERT INTO INYCEXT.INYC_CONF_INF_REGLAS@tc_link (COD_INFORME,TABLA,NOMBRE,REGLA,F_INICIO,F_FIN,DESCRIPCION) VALUES ("&amp;REGLAS!B413&amp;",'"&amp;REGLAS!C413&amp;"','"&amp;REGLAS!D413&amp;"','"&amp;REGLAS!G413&amp;"',TO_DATE('"&amp;REGLAS!H413&amp;"','yyyymmdd'),TO_DATE('"&amp;REGLAS!I413&amp;"','yyyymmdd'),'"&amp;REGLAS!J413&amp;"');")</f>
        <v>INSERT INTO INYCEXT.INYC_CONF_INF_REGLAS@tc_link (COD_INFORME,TABLA,NOMBRE,REGLA,F_INICIO,F_FIN,DESCRIPCION) VALUES (8.1,'INYC_COLC_RESUMEN','SM - Prima Corregida Inspector Vida Ahorro Anual','SM-O-GEN-Inspector-PrimaCorregida-004-TotalAnual',TO_DATE('20140101','yyyymmdd'),TO_DATE('22000101','yyyymmdd'),'');</v>
      </c>
    </row>
    <row r="413" spans="1:2" x14ac:dyDescent="0.25">
      <c r="A413" t="str">
        <f>IF(REGLAS!J414="OBSOLETO","","INSERT INTO INYCEXT.INYC_CONF_INF_REGLAS (COD_INFORME,TABLA,NOMBRE,REGLA,F_INICIO,F_FIN,DESCRIPCION) VALUES ("&amp;REGLAS!B414&amp;",'"&amp;REGLAS!C414&amp;"','"&amp;REGLAS!D414&amp;"','"&amp;REGLAS!G414&amp;"',TO_DATE('"&amp;REGLAS!H414&amp;"','yyyymmdd'),TO_DATE('"&amp;REGLAS!I414&amp;"','yyyymmdd'),'"&amp;REGLAS!J414&amp;"');")</f>
        <v>INSERT INTO INYCEXT.INYC_CONF_INF_REGLAS (COD_INFORME,TABLA,NOMBRE,REGLA,F_INICIO,F_FIN,DESCRIPCION) VALUES (8.1,'INYC_COLC_RESUMEN','SM - Prima Corregida Inspector Accidentes Anual','SM-O-GEN-Inspector-PrimaCorregida-005-TotalAnual',TO_DATE('20140101','yyyymmdd'),TO_DATE('22000101','yyyymmdd'),'');</v>
      </c>
      <c r="B413" t="str">
        <f>IF(REGLAS!J414="OBSOLETO","","INSERT INTO INYCEXT.INYC_CONF_INF_REGLAS@tc_link (COD_INFORME,TABLA,NOMBRE,REGLA,F_INICIO,F_FIN,DESCRIPCION) VALUES ("&amp;REGLAS!B414&amp;",'"&amp;REGLAS!C414&amp;"','"&amp;REGLAS!D414&amp;"','"&amp;REGLAS!G414&amp;"',TO_DATE('"&amp;REGLAS!H414&amp;"','yyyymmdd'),TO_DATE('"&amp;REGLAS!I414&amp;"','yyyymmdd'),'"&amp;REGLAS!J414&amp;"');")</f>
        <v>INSERT INTO INYCEXT.INYC_CONF_INF_REGLAS@tc_link (COD_INFORME,TABLA,NOMBRE,REGLA,F_INICIO,F_FIN,DESCRIPCION) VALUES (8.1,'INYC_COLC_RESUMEN','SM - Prima Corregida Inspector Accidentes Anual','SM-O-GEN-Inspector-PrimaCorregida-005-TotalAnual',TO_DATE('20140101','yyyymmdd'),TO_DATE('22000101','yyyymmdd'),'');</v>
      </c>
    </row>
    <row r="414" spans="1:2" x14ac:dyDescent="0.25">
      <c r="A414" t="str">
        <f>IF(REGLAS!J415="OBSOLETO","","INSERT INTO INYCEXT.INYC_CONF_INF_REGLAS (COD_INFORME,TABLA,NOMBRE,REGLA,F_INICIO,F_FIN,DESCRIPCION) VALUES ("&amp;REGLAS!B415&amp;",'"&amp;REGLAS!C415&amp;"','"&amp;REGLAS!D415&amp;"','"&amp;REGLAS!G415&amp;"',TO_DATE('"&amp;REGLAS!H415&amp;"','yyyymmdd'),TO_DATE('"&amp;REGLAS!I415&amp;"','yyyymmdd'),'"&amp;REGLAS!J415&amp;"');")</f>
        <v>INSERT INTO INYCEXT.INYC_CONF_INF_REGLAS (COD_INFORME,TABLA,NOMBRE,REGLA,F_INICIO,F_FIN,DESCRIPCION) VALUES (8.1,'INYC_COLC_RESUMEN','SM - Prima Corregida Inspector Resto Productos Anual','SM-O-GEN-Inspector-PrimaCorregida-006-TotalAnual',TO_DATE('20140101','yyyymmdd'),TO_DATE('22000101','yyyymmdd'),'');</v>
      </c>
      <c r="B414" t="str">
        <f>IF(REGLAS!J415="OBSOLETO","","INSERT INTO INYCEXT.INYC_CONF_INF_REGLAS@tc_link (COD_INFORME,TABLA,NOMBRE,REGLA,F_INICIO,F_FIN,DESCRIPCION) VALUES ("&amp;REGLAS!B415&amp;",'"&amp;REGLAS!C415&amp;"','"&amp;REGLAS!D415&amp;"','"&amp;REGLAS!G415&amp;"',TO_DATE('"&amp;REGLAS!H415&amp;"','yyyymmdd'),TO_DATE('"&amp;REGLAS!I415&amp;"','yyyymmdd'),'"&amp;REGLAS!J415&amp;"');")</f>
        <v>INSERT INTO INYCEXT.INYC_CONF_INF_REGLAS@tc_link (COD_INFORME,TABLA,NOMBRE,REGLA,F_INICIO,F_FIN,DESCRIPCION) VALUES (8.1,'INYC_COLC_RESUMEN','SM - Prima Corregida Inspector Resto Productos Anual','SM-O-GEN-Inspector-PrimaCorregida-006-TotalAnual',TO_DATE('20140101','yyyymmdd'),TO_DATE('22000101','yyyymmdd'),'');</v>
      </c>
    </row>
    <row r="415" spans="1:2" x14ac:dyDescent="0.25">
      <c r="A415" t="str">
        <f>IF(REGLAS!J416="OBSOLETO","","INSERT INTO INYCEXT.INYC_CONF_INF_REGLAS (COD_INFORME,TABLA,NOMBRE,REGLA,F_INICIO,F_FIN,DESCRIPCION) VALUES ("&amp;REGLAS!B416&amp;",'"&amp;REGLAS!C416&amp;"','"&amp;REGLAS!D416&amp;"','"&amp;REGLAS!G416&amp;"',TO_DATE('"&amp;REGLAS!H416&amp;"','yyyymmdd'),TO_DATE('"&amp;REGLAS!I416&amp;"','yyyymmdd'),'"&amp;REGLAS!J416&amp;"');")</f>
        <v/>
      </c>
      <c r="B415" t="str">
        <f>IF(REGLAS!J416="OBSOLETO","","INSERT INTO INYCEXT.INYC_CONF_INF_REGLAS@tc_link (COD_INFORME,TABLA,NOMBRE,REGLA,F_INICIO,F_FIN,DESCRIPCION) VALUES ("&amp;REGLAS!B416&amp;",'"&amp;REGLAS!C416&amp;"','"&amp;REGLAS!D416&amp;"','"&amp;REGLAS!G416&amp;"',TO_DATE('"&amp;REGLAS!H416&amp;"','yyyymmdd'),TO_DATE('"&amp;REGLAS!I416&amp;"','yyyymmdd'),'"&amp;REGLAS!J416&amp;"');")</f>
        <v/>
      </c>
    </row>
    <row r="416" spans="1:2" x14ac:dyDescent="0.25">
      <c r="A416" t="str">
        <f>IF(REGLAS!J417="OBSOLETO","","INSERT INTO INYCEXT.INYC_CONF_INF_REGLAS (COD_INFORME,TABLA,NOMBRE,REGLA,F_INICIO,F_FIN,DESCRIPCION) VALUES ("&amp;REGLAS!B417&amp;",'"&amp;REGLAS!C417&amp;"','"&amp;REGLAS!D417&amp;"','"&amp;REGLAS!G417&amp;"',TO_DATE('"&amp;REGLAS!H417&amp;"','yyyymmdd'),TO_DATE('"&amp;REGLAS!I417&amp;"','yyyymmdd'),'"&amp;REGLAS!J417&amp;"');")</f>
        <v>INSERT INTO INYCEXT.INYC_CONF_INF_REGLAS (COD_INFORME,TABLA,NOMBRE,REGLA,F_INICIO,F_FIN,DESCRIPCION) VALUES (8.1,'INYC_COLC_RESUMEN','SM - Prima Corregida Inspector Comunidades Anual','SM-O-GEN-Inspector-PrimaCorregida-008-TotalAnual',TO_DATE('20140101','yyyymmdd'),TO_DATE('22000101','yyyymmdd'),'');</v>
      </c>
      <c r="B416" t="str">
        <f>IF(REGLAS!J417="OBSOLETO","","INSERT INTO INYCEXT.INYC_CONF_INF_REGLAS@tc_link (COD_INFORME,TABLA,NOMBRE,REGLA,F_INICIO,F_FIN,DESCRIPCION) VALUES ("&amp;REGLAS!B417&amp;",'"&amp;REGLAS!C417&amp;"','"&amp;REGLAS!D417&amp;"','"&amp;REGLAS!G417&amp;"',TO_DATE('"&amp;REGLAS!H417&amp;"','yyyymmdd'),TO_DATE('"&amp;REGLAS!I417&amp;"','yyyymmdd'),'"&amp;REGLAS!J417&amp;"');")</f>
        <v>INSERT INTO INYCEXT.INYC_CONF_INF_REGLAS@tc_link (COD_INFORME,TABLA,NOMBRE,REGLA,F_INICIO,F_FIN,DESCRIPCION) VALUES (8.1,'INYC_COLC_RESUMEN','SM - Prima Corregida Inspector Comunidades Anual','SM-O-GEN-Inspector-PrimaCorregida-008-TotalAnual',TO_DATE('20140101','yyyymmdd'),TO_DATE('22000101','yyyymmdd'),'');</v>
      </c>
    </row>
    <row r="417" spans="1:2" x14ac:dyDescent="0.25">
      <c r="A417" t="str">
        <f>IF(REGLAS!J418="OBSOLETO","","INSERT INTO INYCEXT.INYC_CONF_INF_REGLAS (COD_INFORME,TABLA,NOMBRE,REGLA,F_INICIO,F_FIN,DESCRIPCION) VALUES ("&amp;REGLAS!B418&amp;",'"&amp;REGLAS!C418&amp;"','"&amp;REGLAS!D418&amp;"','"&amp;REGLAS!G418&amp;"',TO_DATE('"&amp;REGLAS!H418&amp;"','yyyymmdd'),TO_DATE('"&amp;REGLAS!I418&amp;"','yyyymmdd'),'"&amp;REGLAS!J418&amp;"');")</f>
        <v>INSERT INTO INYCEXT.INYC_CONF_INF_REGLAS (COD_INFORME,TABLA,NOMBRE,REGLA,F_INICIO,F_FIN,DESCRIPCION) VALUES (8.1,'INYC_COLC_RESUMEN','SM - Prima Corregida Inspector OCASO Oro Anual','SM-O-GEN-Inspector-PrimaCorregida-009-TotalAnual',TO_DATE('20140101','yyyymmdd'),TO_DATE('22000101','yyyymmdd'),'');</v>
      </c>
      <c r="B417" t="str">
        <f>IF(REGLAS!J418="OBSOLETO","","INSERT INTO INYCEXT.INYC_CONF_INF_REGLAS@tc_link (COD_INFORME,TABLA,NOMBRE,REGLA,F_INICIO,F_FIN,DESCRIPCION) VALUES ("&amp;REGLAS!B418&amp;",'"&amp;REGLAS!C418&amp;"','"&amp;REGLAS!D418&amp;"','"&amp;REGLAS!G418&amp;"',TO_DATE('"&amp;REGLAS!H418&amp;"','yyyymmdd'),TO_DATE('"&amp;REGLAS!I418&amp;"','yyyymmdd'),'"&amp;REGLAS!J418&amp;"');")</f>
        <v>INSERT INTO INYCEXT.INYC_CONF_INF_REGLAS@tc_link (COD_INFORME,TABLA,NOMBRE,REGLA,F_INICIO,F_FIN,DESCRIPCION) VALUES (8.1,'INYC_COLC_RESUMEN','SM - Prima Corregida Inspector OCASO Oro Anual','SM-O-GEN-Inspector-PrimaCorregida-009-TotalAnual',TO_DATE('20140101','yyyymmdd'),TO_DATE('22000101','yyyymmdd'),'');</v>
      </c>
    </row>
    <row r="418" spans="1:2" x14ac:dyDescent="0.25">
      <c r="A418" t="str">
        <f>IF(REGLAS!J419="OBSOLETO","","INSERT INTO INYCEXT.INYC_CONF_INF_REGLAS (COD_INFORME,TABLA,NOMBRE,REGLA,F_INICIO,F_FIN,DESCRIPCION) VALUES ("&amp;REGLAS!B419&amp;",'"&amp;REGLAS!C419&amp;"','"&amp;REGLAS!D419&amp;"','"&amp;REGLAS!G419&amp;"',TO_DATE('"&amp;REGLAS!H419&amp;"','yyyymmdd'),TO_DATE('"&amp;REGLAS!I419&amp;"','yyyymmdd'),'"&amp;REGLAS!J419&amp;"');")</f>
        <v>INSERT INTO INYCEXT.INYC_CONF_INF_REGLAS (COD_INFORME,TABLA,NOMBRE,REGLA,F_INICIO,F_FIN,DESCRIPCION) VALUES (8.1,'INYC_COLC_RESUMEN','SM - Prima Corregida Inspector RRPP (excl PU y conv/colec) Anual','SM-O-GEN-Inspector-PrimaCorregida-906-TotalAnual',TO_DATE('20140101','yyyymmdd'),TO_DATE('22000101','yyyymmdd'),'');</v>
      </c>
      <c r="B418" t="str">
        <f>IF(REGLAS!J419="OBSOLETO","","INSERT INTO INYCEXT.INYC_CONF_INF_REGLAS@tc_link (COD_INFORME,TABLA,NOMBRE,REGLA,F_INICIO,F_FIN,DESCRIPCION) VALUES ("&amp;REGLAS!B419&amp;",'"&amp;REGLAS!C419&amp;"','"&amp;REGLAS!D419&amp;"','"&amp;REGLAS!G419&amp;"',TO_DATE('"&amp;REGLAS!H419&amp;"','yyyymmdd'),TO_DATE('"&amp;REGLAS!I419&amp;"','yyyymmdd'),'"&amp;REGLAS!J419&amp;"');")</f>
        <v>INSERT INTO INYCEXT.INYC_CONF_INF_REGLAS@tc_link (COD_INFORME,TABLA,NOMBRE,REGLA,F_INICIO,F_FIN,DESCRIPCION) VALUES (8.1,'INYC_COLC_RESUMEN','SM - Prima Corregida Inspector RRPP (excl PU y conv/colec) Anual','SM-O-GEN-Inspector-PrimaCorregida-906-TotalAnual',TO_DATE('20140101','yyyymmdd'),TO_DATE('22000101','yyyymmdd'),'');</v>
      </c>
    </row>
    <row r="419" spans="1:2" x14ac:dyDescent="0.25">
      <c r="A419" t="str">
        <f>IF(REGLAS!J420="OBSOLETO","","INSERT INTO INYCEXT.INYC_CONF_INF_REGLAS (COD_INFORME,TABLA,NOMBRE,REGLA,F_INICIO,F_FIN,DESCRIPCION) VALUES ("&amp;REGLAS!B420&amp;",'"&amp;REGLAS!C420&amp;"','"&amp;REGLAS!D420&amp;"','"&amp;REGLAS!G420&amp;"',TO_DATE('"&amp;REGLAS!H420&amp;"','yyyymmdd'),TO_DATE('"&amp;REGLAS!I420&amp;"','yyyymmdd'),'"&amp;REGLAS!J420&amp;"');")</f>
        <v>INSERT INTO INYCEXT.INYC_CONF_INF_REGLAS (COD_INFORME,TABLA,NOMBRE,REGLA,F_INICIO,F_FIN,DESCRIPCION) VALUES (8.1,'INYC_COLC_RESUMEN','SM - Prima Corregida Inspector Prod. Prioritarios Anual','SM-O-GEN-Inspector-PrimaCorregida-997-TotalAnual',TO_DATE('20140101','yyyymmdd'),TO_DATE('22000101','yyyymmdd'),'');</v>
      </c>
      <c r="B419" t="str">
        <f>IF(REGLAS!J420="OBSOLETO","","INSERT INTO INYCEXT.INYC_CONF_INF_REGLAS@tc_link (COD_INFORME,TABLA,NOMBRE,REGLA,F_INICIO,F_FIN,DESCRIPCION) VALUES ("&amp;REGLAS!B420&amp;",'"&amp;REGLAS!C420&amp;"','"&amp;REGLAS!D420&amp;"','"&amp;REGLAS!G420&amp;"',TO_DATE('"&amp;REGLAS!H420&amp;"','yyyymmdd'),TO_DATE('"&amp;REGLAS!I420&amp;"','yyyymmdd'),'"&amp;REGLAS!J420&amp;"');")</f>
        <v>INSERT INTO INYCEXT.INYC_CONF_INF_REGLAS@tc_link (COD_INFORME,TABLA,NOMBRE,REGLA,F_INICIO,F_FIN,DESCRIPCION) VALUES (8.1,'INYC_COLC_RESUMEN','SM - Prima Corregida Inspector Prod. Prioritarios Anual','SM-O-GEN-Inspector-PrimaCorregida-997-TotalAnual',TO_DATE('20140101','yyyymmdd'),TO_DATE('22000101','yyyymmdd'),'');</v>
      </c>
    </row>
    <row r="420" spans="1:2" x14ac:dyDescent="0.25">
      <c r="A420" t="str">
        <f>IF(REGLAS!J421="OBSOLETO","","INSERT INTO INYCEXT.INYC_CONF_INF_REGLAS (COD_INFORME,TABLA,NOMBRE,REGLA,F_INICIO,F_FIN,DESCRIPCION) VALUES ("&amp;REGLAS!B421&amp;",'"&amp;REGLAS!C421&amp;"','"&amp;REGLAS!D421&amp;"','"&amp;REGLAS!G421&amp;"',TO_DATE('"&amp;REGLAS!H421&amp;"','yyyymmdd'),TO_DATE('"&amp;REGLAS!I421&amp;"','yyyymmdd'),'"&amp;REGLAS!J421&amp;"');")</f>
        <v>INSERT INTO INYCEXT.INYC_CONF_INF_REGLAS (COD_INFORME,TABLA,NOMBRE,REGLA,F_INICIO,F_FIN,DESCRIPCION) VALUES (8.1,'INYC_COLC_RESUMEN','SM - Prima Corregida Inspector Total Productos Anual','SM-O-GEN-Inspector-PrimaCorregida-998-TotalAnual',TO_DATE('20140101','yyyymmdd'),TO_DATE('22000101','yyyymmdd'),'');</v>
      </c>
      <c r="B420" t="str">
        <f>IF(REGLAS!J421="OBSOLETO","","INSERT INTO INYCEXT.INYC_CONF_INF_REGLAS@tc_link (COD_INFORME,TABLA,NOMBRE,REGLA,F_INICIO,F_FIN,DESCRIPCION) VALUES ("&amp;REGLAS!B421&amp;",'"&amp;REGLAS!C421&amp;"','"&amp;REGLAS!D421&amp;"','"&amp;REGLAS!G421&amp;"',TO_DATE('"&amp;REGLAS!H421&amp;"','yyyymmdd'),TO_DATE('"&amp;REGLAS!I421&amp;"','yyyymmdd'),'"&amp;REGLAS!J421&amp;"');")</f>
        <v>INSERT INTO INYCEXT.INYC_CONF_INF_REGLAS@tc_link (COD_INFORME,TABLA,NOMBRE,REGLA,F_INICIO,F_FIN,DESCRIPCION) VALUES (8.1,'INYC_COLC_RESUMEN','SM - Prima Corregida Inspector Total Productos Anual','SM-O-GEN-Inspector-PrimaCorregida-998-TotalAnual',TO_DATE('20140101','yyyymmdd'),TO_DATE('22000101','yyyymmdd'),'');</v>
      </c>
    </row>
    <row r="421" spans="1:2" x14ac:dyDescent="0.25">
      <c r="A421" t="str">
        <f>IF(REGLAS!J422="OBSOLETO","","INSERT INTO INYCEXT.INYC_CONF_INF_REGLAS (COD_INFORME,TABLA,NOMBRE,REGLA,F_INICIO,F_FIN,DESCRIPCION) VALUES ("&amp;REGLAS!B422&amp;",'"&amp;REGLAS!C422&amp;"','"&amp;REGLAS!D422&amp;"','"&amp;REGLAS!G422&amp;"',TO_DATE('"&amp;REGLAS!H422&amp;"','yyyymmdd'),TO_DATE('"&amp;REGLAS!I422&amp;"','yyyymmdd'),'"&amp;REGLAS!J422&amp;"');")</f>
        <v>INSERT INTO INYCEXT.INYC_CONF_INF_REGLAS (COD_INFORME,TABLA,NOMBRE,REGLA,F_INICIO,F_FIN,DESCRIPCION) VALUES (8.1,'INYC_COLC_RESUMEN','SM - Prima Corregida Inspector Total Productos Anual','SM-O-GEN-Inspector-PrimaCorregida-998-TotalAnual-Incr',TO_DATE('20201201','yyyymmdd'),TO_DATE('22000101','yyyymmdd'),'Version 20201229');</v>
      </c>
      <c r="B421" t="str">
        <f>IF(REGLAS!J422="OBSOLETO","","INSERT INTO INYCEXT.INYC_CONF_INF_REGLAS@tc_link (COD_INFORME,TABLA,NOMBRE,REGLA,F_INICIO,F_FIN,DESCRIPCION) VALUES ("&amp;REGLAS!B422&amp;",'"&amp;REGLAS!C422&amp;"','"&amp;REGLAS!D422&amp;"','"&amp;REGLAS!G422&amp;"',TO_DATE('"&amp;REGLAS!H422&amp;"','yyyymmdd'),TO_DATE('"&amp;REGLAS!I422&amp;"','yyyymmdd'),'"&amp;REGLAS!J422&amp;"');")</f>
        <v>INSERT INTO INYCEXT.INYC_CONF_INF_REGLAS@tc_link (COD_INFORME,TABLA,NOMBRE,REGLA,F_INICIO,F_FIN,DESCRIPCION) VALUES (8.1,'INYC_COLC_RESUMEN','SM - Prima Corregida Inspector Total Productos Anual','SM-O-GEN-Inspector-PrimaCorregida-998-TotalAnual-Incr',TO_DATE('20201201','yyyymmdd'),TO_DATE('22000101','yyyymmdd'),'Version 20201229');</v>
      </c>
    </row>
    <row r="422" spans="1:2" x14ac:dyDescent="0.25">
      <c r="A422" t="str">
        <f>IF(REGLAS!J423="OBSOLETO","","INSERT INTO INYCEXT.INYC_CONF_INF_REGLAS (COD_INFORME,TABLA,NOMBRE,REGLA,F_INICIO,F_FIN,DESCRIPCION) VALUES ("&amp;REGLAS!B423&amp;",'"&amp;REGLAS!C423&amp;"','"&amp;REGLAS!D423&amp;"','"&amp;REGLAS!G423&amp;"',TO_DATE('"&amp;REGLAS!H423&amp;"','yyyymmdd'),TO_DATE('"&amp;REGLAS!I423&amp;"','yyyymmdd'),'"&amp;REGLAS!J423&amp;"');")</f>
        <v>INSERT INTO INYCEXT.INYC_CONF_INF_REGLAS (COD_INFORME,TABLA,NOMBRE,REGLA,F_INICIO,F_FIN,DESCRIPCION) VALUES (8.1,'INYC_COLC_RESUMEN','Objetivos','SM-O-COLC-Inspector-Objetivo-998-Polizas',TO_DATE('20140101','yyyymmdd'),TO_DATE('22000101','yyyymmdd'),'');</v>
      </c>
      <c r="B422" t="str">
        <f>IF(REGLAS!J423="OBSOLETO","","INSERT INTO INYCEXT.INYC_CONF_INF_REGLAS@tc_link (COD_INFORME,TABLA,NOMBRE,REGLA,F_INICIO,F_FIN,DESCRIPCION) VALUES ("&amp;REGLAS!B423&amp;",'"&amp;REGLAS!C423&amp;"','"&amp;REGLAS!D423&amp;"','"&amp;REGLAS!G423&amp;"',TO_DATE('"&amp;REGLAS!H423&amp;"','yyyymmdd'),TO_DATE('"&amp;REGLAS!I423&amp;"','yyyymmdd'),'"&amp;REGLAS!J423&amp;"');")</f>
        <v>INSERT INTO INYCEXT.INYC_CONF_INF_REGLAS@tc_link (COD_INFORME,TABLA,NOMBRE,REGLA,F_INICIO,F_FIN,DESCRIPCION) VALUES (8.1,'INYC_COLC_RESUMEN','Objetivos','SM-O-COLC-Inspector-Objetivo-998-Polizas',TO_DATE('20140101','yyyymmdd'),TO_DATE('22000101','yyyymmdd'),'');</v>
      </c>
    </row>
    <row r="423" spans="1:2" x14ac:dyDescent="0.25">
      <c r="A423" t="str">
        <f>IF(REGLAS!J424="OBSOLETO","","INSERT INTO INYCEXT.INYC_CONF_INF_REGLAS (COD_INFORME,TABLA,NOMBRE,REGLA,F_INICIO,F_FIN,DESCRIPCION) VALUES ("&amp;REGLAS!B424&amp;",'"&amp;REGLAS!C424&amp;"','"&amp;REGLAS!D424&amp;"','"&amp;REGLAS!G424&amp;"',TO_DATE('"&amp;REGLAS!H424&amp;"','yyyymmdd'),TO_DATE('"&amp;REGLAS!I424&amp;"','yyyymmdd'),'"&amp;REGLAS!J424&amp;"');")</f>
        <v>INSERT INTO INYCEXT.INYC_CONF_INF_REGLAS (COD_INFORME,TABLA,NOMBRE,REGLA,F_INICIO,F_FIN,DESCRIPCION) VALUES (8.1,'INYC_COLC_RESUMEN','Objetivos','SM-O-COLC-Inspector-Objetivo-998-Prima',TO_DATE('20140101','yyyymmdd'),TO_DATE('22000101','yyyymmdd'),'');</v>
      </c>
      <c r="B423" t="str">
        <f>IF(REGLAS!J424="OBSOLETO","","INSERT INTO INYCEXT.INYC_CONF_INF_REGLAS@tc_link (COD_INFORME,TABLA,NOMBRE,REGLA,F_INICIO,F_FIN,DESCRIPCION) VALUES ("&amp;REGLAS!B424&amp;",'"&amp;REGLAS!C424&amp;"','"&amp;REGLAS!D424&amp;"','"&amp;REGLAS!G424&amp;"',TO_DATE('"&amp;REGLAS!H424&amp;"','yyyymmdd'),TO_DATE('"&amp;REGLAS!I424&amp;"','yyyymmdd'),'"&amp;REGLAS!J424&amp;"');")</f>
        <v>INSERT INTO INYCEXT.INYC_CONF_INF_REGLAS@tc_link (COD_INFORME,TABLA,NOMBRE,REGLA,F_INICIO,F_FIN,DESCRIPCION) VALUES (8.1,'INYC_COLC_RESUMEN','Objetivos','SM-O-COLC-Inspector-Objetivo-998-Prima',TO_DATE('20140101','yyyymmdd'),TO_DATE('22000101','yyyymmdd'),'');</v>
      </c>
    </row>
    <row r="424" spans="1:2" x14ac:dyDescent="0.25">
      <c r="A424" t="str">
        <f>IF(REGLAS!J425="OBSOLETO","","INSERT INTO INYCEXT.INYC_CONF_INF_REGLAS (COD_INFORME,TABLA,NOMBRE,REGLA,F_INICIO,F_FIN,DESCRIPCION) VALUES ("&amp;REGLAS!B425&amp;",'"&amp;REGLAS!C425&amp;"','"&amp;REGLAS!D425&amp;"','"&amp;REGLAS!G425&amp;"',TO_DATE('"&amp;REGLAS!H425&amp;"','yyyymmdd'),TO_DATE('"&amp;REGLAS!I425&amp;"','yyyymmdd'),'"&amp;REGLAS!J425&amp;"');")</f>
        <v>INSERT INTO INYCEXT.INYC_CONF_INF_REGLAS (COD_INFORME,TABLA,NOMBRE,REGLA,F_INICIO,F_FIN,DESCRIPCION) VALUES (8.1,'INYC_COLC_RESUMEN','Objetivos','SM-O-COLC-Inspector-Objetivo-997-Polizas',TO_DATE('20140101','yyyymmdd'),TO_DATE('22000101','yyyymmdd'),'');</v>
      </c>
      <c r="B424" t="str">
        <f>IF(REGLAS!J425="OBSOLETO","","INSERT INTO INYCEXT.INYC_CONF_INF_REGLAS@tc_link (COD_INFORME,TABLA,NOMBRE,REGLA,F_INICIO,F_FIN,DESCRIPCION) VALUES ("&amp;REGLAS!B425&amp;",'"&amp;REGLAS!C425&amp;"','"&amp;REGLAS!D425&amp;"','"&amp;REGLAS!G425&amp;"',TO_DATE('"&amp;REGLAS!H425&amp;"','yyyymmdd'),TO_DATE('"&amp;REGLAS!I425&amp;"','yyyymmdd'),'"&amp;REGLAS!J425&amp;"');")</f>
        <v>INSERT INTO INYCEXT.INYC_CONF_INF_REGLAS@tc_link (COD_INFORME,TABLA,NOMBRE,REGLA,F_INICIO,F_FIN,DESCRIPCION) VALUES (8.1,'INYC_COLC_RESUMEN','Objetivos','SM-O-COLC-Inspector-Objetivo-997-Polizas',TO_DATE('20140101','yyyymmdd'),TO_DATE('22000101','yyyymmdd'),'');</v>
      </c>
    </row>
    <row r="425" spans="1:2" x14ac:dyDescent="0.25">
      <c r="A425" t="str">
        <f>IF(REGLAS!J426="OBSOLETO","","INSERT INTO INYCEXT.INYC_CONF_INF_REGLAS (COD_INFORME,TABLA,NOMBRE,REGLA,F_INICIO,F_FIN,DESCRIPCION) VALUES ("&amp;REGLAS!B426&amp;",'"&amp;REGLAS!C426&amp;"','"&amp;REGLAS!D426&amp;"','"&amp;REGLAS!G426&amp;"',TO_DATE('"&amp;REGLAS!H426&amp;"','yyyymmdd'),TO_DATE('"&amp;REGLAS!I426&amp;"','yyyymmdd'),'"&amp;REGLAS!J426&amp;"');")</f>
        <v>INSERT INTO INYCEXT.INYC_CONF_INF_REGLAS (COD_INFORME,TABLA,NOMBRE,REGLA,F_INICIO,F_FIN,DESCRIPCION) VALUES (8.1,'INYC_COLC_RESUMEN','Objetivos','SM-O-COLC-Inspector-Objetivo-997-Prima',TO_DATE('20140101','yyyymmdd'),TO_DATE('22000101','yyyymmdd'),'');</v>
      </c>
      <c r="B425" t="str">
        <f>IF(REGLAS!J426="OBSOLETO","","INSERT INTO INYCEXT.INYC_CONF_INF_REGLAS@tc_link (COD_INFORME,TABLA,NOMBRE,REGLA,F_INICIO,F_FIN,DESCRIPCION) VALUES ("&amp;REGLAS!B426&amp;",'"&amp;REGLAS!C426&amp;"','"&amp;REGLAS!D426&amp;"','"&amp;REGLAS!G426&amp;"',TO_DATE('"&amp;REGLAS!H426&amp;"','yyyymmdd'),TO_DATE('"&amp;REGLAS!I426&amp;"','yyyymmdd'),'"&amp;REGLAS!J426&amp;"');")</f>
        <v>INSERT INTO INYCEXT.INYC_CONF_INF_REGLAS@tc_link (COD_INFORME,TABLA,NOMBRE,REGLA,F_INICIO,F_FIN,DESCRIPCION) VALUES (8.1,'INYC_COLC_RESUMEN','Objetivos','SM-O-COLC-Inspector-Objetivo-997-Prima',TO_DATE('20140101','yyyymmdd'),TO_DATE('22000101','yyyymmdd'),'');</v>
      </c>
    </row>
    <row r="426" spans="1:2" x14ac:dyDescent="0.25">
      <c r="A426" t="str">
        <f>IF(REGLAS!J427="OBSOLETO","","INSERT INTO INYCEXT.INYC_CONF_INF_REGLAS (COD_INFORME,TABLA,NOMBRE,REGLA,F_INICIO,F_FIN,DESCRIPCION) VALUES ("&amp;REGLAS!B427&amp;",'"&amp;REGLAS!C427&amp;"','"&amp;REGLAS!D427&amp;"','"&amp;REGLAS!G427&amp;"',TO_DATE('"&amp;REGLAS!H427&amp;"','yyyymmdd'),TO_DATE('"&amp;REGLAS!I427&amp;"','yyyymmdd'),'"&amp;REGLAS!J427&amp;"');")</f>
        <v>INSERT INTO INYCEXT.INYC_CONF_INF_REGLAS (COD_INFORME,TABLA,NOMBRE,REGLA,F_INICIO,F_FIN,DESCRIPCION) VALUES (8.1,'INYC_COLC_RESUMEN','Mínimos','SM-O-COLC-Inspector-Minimo-Polizas-002',TO_DATE('20140101','yyyymmdd'),TO_DATE('22000101','yyyymmdd'),'');</v>
      </c>
      <c r="B426" t="str">
        <f>IF(REGLAS!J427="OBSOLETO","","INSERT INTO INYCEXT.INYC_CONF_INF_REGLAS@tc_link (COD_INFORME,TABLA,NOMBRE,REGLA,F_INICIO,F_FIN,DESCRIPCION) VALUES ("&amp;REGLAS!B427&amp;",'"&amp;REGLAS!C427&amp;"','"&amp;REGLAS!D427&amp;"','"&amp;REGLAS!G427&amp;"',TO_DATE('"&amp;REGLAS!H427&amp;"','yyyymmdd'),TO_DATE('"&amp;REGLAS!I427&amp;"','yyyymmdd'),'"&amp;REGLAS!J427&amp;"');")</f>
        <v>INSERT INTO INYCEXT.INYC_CONF_INF_REGLAS@tc_link (COD_INFORME,TABLA,NOMBRE,REGLA,F_INICIO,F_FIN,DESCRIPCION) VALUES (8.1,'INYC_COLC_RESUMEN','Mínimos','SM-O-COLC-Inspector-Minimo-Polizas-002',TO_DATE('20140101','yyyymmdd'),TO_DATE('22000101','yyyymmdd'),'');</v>
      </c>
    </row>
    <row r="427" spans="1:2" x14ac:dyDescent="0.25">
      <c r="A427" t="str">
        <f>IF(REGLAS!J428="OBSOLETO","","INSERT INTO INYCEXT.INYC_CONF_INF_REGLAS (COD_INFORME,TABLA,NOMBRE,REGLA,F_INICIO,F_FIN,DESCRIPCION) VALUES ("&amp;REGLAS!B428&amp;",'"&amp;REGLAS!C428&amp;"','"&amp;REGLAS!D428&amp;"','"&amp;REGLAS!G428&amp;"',TO_DATE('"&amp;REGLAS!H428&amp;"','yyyymmdd'),TO_DATE('"&amp;REGLAS!I428&amp;"','yyyymmdd'),'"&amp;REGLAS!J428&amp;"');")</f>
        <v>INSERT INTO INYCEXT.INYC_CONF_INF_REGLAS (COD_INFORME,TABLA,NOMBRE,REGLA,F_INICIO,F_FIN,DESCRIPCION) VALUES (8.1,'INYC_COLC_RESUMEN','Mínimos','SM-O-COLC-Inspector-Minimo-Polizas-008',TO_DATE('20140101','yyyymmdd'),TO_DATE('22000101','yyyymmdd'),'');</v>
      </c>
      <c r="B427" t="str">
        <f>IF(REGLAS!J428="OBSOLETO","","INSERT INTO INYCEXT.INYC_CONF_INF_REGLAS@tc_link (COD_INFORME,TABLA,NOMBRE,REGLA,F_INICIO,F_FIN,DESCRIPCION) VALUES ("&amp;REGLAS!B428&amp;",'"&amp;REGLAS!C428&amp;"','"&amp;REGLAS!D428&amp;"','"&amp;REGLAS!G428&amp;"',TO_DATE('"&amp;REGLAS!H428&amp;"','yyyymmdd'),TO_DATE('"&amp;REGLAS!I428&amp;"','yyyymmdd'),'"&amp;REGLAS!J428&amp;"');")</f>
        <v>INSERT INTO INYCEXT.INYC_CONF_INF_REGLAS@tc_link (COD_INFORME,TABLA,NOMBRE,REGLA,F_INICIO,F_FIN,DESCRIPCION) VALUES (8.1,'INYC_COLC_RESUMEN','Mínimos','SM-O-COLC-Inspector-Minimo-Polizas-008',TO_DATE('20140101','yyyymmdd'),TO_DATE('22000101','yyyymmdd'),'');</v>
      </c>
    </row>
    <row r="428" spans="1:2" x14ac:dyDescent="0.25">
      <c r="A428" t="str">
        <f>IF(REGLAS!J429="OBSOLETO","","INSERT INTO INYCEXT.INYC_CONF_INF_REGLAS (COD_INFORME,TABLA,NOMBRE,REGLA,F_INICIO,F_FIN,DESCRIPCION) VALUES ("&amp;REGLAS!B429&amp;",'"&amp;REGLAS!C429&amp;"','"&amp;REGLAS!D429&amp;"','"&amp;REGLAS!G429&amp;"',TO_DATE('"&amp;REGLAS!H429&amp;"','yyyymmdd'),TO_DATE('"&amp;REGLAS!I429&amp;"','yyyymmdd'),'"&amp;REGLAS!J429&amp;"');")</f>
        <v>INSERT INTO INYCEXT.INYC_CONF_INF_REGLAS (COD_INFORME,TABLA,NOMBRE,REGLA,F_INICIO,F_FIN,DESCRIPCION) VALUES (8.1,'INYC_COLC_RESUMEN','Mínimos','SM-O-COLC-Inspector-Minimo-Polizas-906',TO_DATE('20140101','yyyymmdd'),TO_DATE('22000101','yyyymmdd'),'');</v>
      </c>
      <c r="B428" t="str">
        <f>IF(REGLAS!J429="OBSOLETO","","INSERT INTO INYCEXT.INYC_CONF_INF_REGLAS@tc_link (COD_INFORME,TABLA,NOMBRE,REGLA,F_INICIO,F_FIN,DESCRIPCION) VALUES ("&amp;REGLAS!B429&amp;",'"&amp;REGLAS!C429&amp;"','"&amp;REGLAS!D429&amp;"','"&amp;REGLAS!G429&amp;"',TO_DATE('"&amp;REGLAS!H429&amp;"','yyyymmdd'),TO_DATE('"&amp;REGLAS!I429&amp;"','yyyymmdd'),'"&amp;REGLAS!J429&amp;"');")</f>
        <v>INSERT INTO INYCEXT.INYC_CONF_INF_REGLAS@tc_link (COD_INFORME,TABLA,NOMBRE,REGLA,F_INICIO,F_FIN,DESCRIPCION) VALUES (8.1,'INYC_COLC_RESUMEN','Mínimos','SM-O-COLC-Inspector-Minimo-Polizas-906',TO_DATE('20140101','yyyymmdd'),TO_DATE('22000101','yyyymmdd'),'');</v>
      </c>
    </row>
    <row r="429" spans="1:2" x14ac:dyDescent="0.25">
      <c r="A429" t="str">
        <f>IF(REGLAS!J430="OBSOLETO","","INSERT INTO INYCEXT.INYC_CONF_INF_REGLAS (COD_INFORME,TABLA,NOMBRE,REGLA,F_INICIO,F_FIN,DESCRIPCION) VALUES ("&amp;REGLAS!B430&amp;",'"&amp;REGLAS!C430&amp;"','"&amp;REGLAS!D430&amp;"','"&amp;REGLAS!G430&amp;"',TO_DATE('"&amp;REGLAS!H430&amp;"','yyyymmdd'),TO_DATE('"&amp;REGLAS!I430&amp;"','yyyymmdd'),'"&amp;REGLAS!J430&amp;"');")</f>
        <v>INSERT INTO INYCEXT.INYC_CONF_INF_REGLAS (COD_INFORME,TABLA,NOMBRE,REGLA,F_INICIO,F_FIN,DESCRIPCION) VALUES (8.1,'INYC_COLC_RESUMEN','Objetivos Captacion','SM-O-COLC-Inspector-Objetivos-Captacion-Agentes',TO_DATE('20140101','yyyymmdd'),TO_DATE('22000101','yyyymmdd'),'');</v>
      </c>
      <c r="B429" t="str">
        <f>IF(REGLAS!J430="OBSOLETO","","INSERT INTO INYCEXT.INYC_CONF_INF_REGLAS@tc_link (COD_INFORME,TABLA,NOMBRE,REGLA,F_INICIO,F_FIN,DESCRIPCION) VALUES ("&amp;REGLAS!B430&amp;",'"&amp;REGLAS!C430&amp;"','"&amp;REGLAS!D430&amp;"','"&amp;REGLAS!G430&amp;"',TO_DATE('"&amp;REGLAS!H430&amp;"','yyyymmdd'),TO_DATE('"&amp;REGLAS!I430&amp;"','yyyymmdd'),'"&amp;REGLAS!J430&amp;"');")</f>
        <v>INSERT INTO INYCEXT.INYC_CONF_INF_REGLAS@tc_link (COD_INFORME,TABLA,NOMBRE,REGLA,F_INICIO,F_FIN,DESCRIPCION) VALUES (8.1,'INYC_COLC_RESUMEN','Objetivos Captacion','SM-O-COLC-Inspector-Objetivos-Captacion-Agentes',TO_DATE('20140101','yyyymmdd'),TO_DATE('22000101','yyyymmdd'),'');</v>
      </c>
    </row>
    <row r="430" spans="1:2" x14ac:dyDescent="0.25">
      <c r="A430" t="str">
        <f>IF(REGLAS!J431="OBSOLETO","","INSERT INTO INYCEXT.INYC_CONF_INF_REGLAS (COD_INFORME,TABLA,NOMBRE,REGLA,F_INICIO,F_FIN,DESCRIPCION) VALUES ("&amp;REGLAS!B431&amp;",'"&amp;REGLAS!C431&amp;"','"&amp;REGLAS!D431&amp;"','"&amp;REGLAS!G431&amp;"',TO_DATE('"&amp;REGLAS!H431&amp;"','yyyymmdd'),TO_DATE('"&amp;REGLAS!I431&amp;"','yyyymmdd'),'"&amp;REGLAS!J431&amp;"');")</f>
        <v>INSERT INTO INYCEXT.INYC_CONF_INF_REGLAS (COD_INFORME,TABLA,NOMBRE,REGLA,F_INICIO,F_FIN,DESCRIPCION) VALUES (8.1,'INYC_COLC_RESUMEN','Objetivos Captacion','SM-O-COLC-Inspector-Objetivos-Captacion-Agentes-Polizas-998',TO_DATE('20140101','yyyymmdd'),TO_DATE('22000101','yyyymmdd'),'');</v>
      </c>
      <c r="B430" t="str">
        <f>IF(REGLAS!J431="OBSOLETO","","INSERT INTO INYCEXT.INYC_CONF_INF_REGLAS@tc_link (COD_INFORME,TABLA,NOMBRE,REGLA,F_INICIO,F_FIN,DESCRIPCION) VALUES ("&amp;REGLAS!B431&amp;",'"&amp;REGLAS!C431&amp;"','"&amp;REGLAS!D431&amp;"','"&amp;REGLAS!G431&amp;"',TO_DATE('"&amp;REGLAS!H431&amp;"','yyyymmdd'),TO_DATE('"&amp;REGLAS!I431&amp;"','yyyymmdd'),'"&amp;REGLAS!J431&amp;"');")</f>
        <v>INSERT INTO INYCEXT.INYC_CONF_INF_REGLAS@tc_link (COD_INFORME,TABLA,NOMBRE,REGLA,F_INICIO,F_FIN,DESCRIPCION) VALUES (8.1,'INYC_COLC_RESUMEN','Objetivos Captacion','SM-O-COLC-Inspector-Objetivos-Captacion-Agentes-Polizas-998',TO_DATE('20140101','yyyymmdd'),TO_DATE('22000101','yyyymmdd'),'');</v>
      </c>
    </row>
    <row r="431" spans="1:2" x14ac:dyDescent="0.25">
      <c r="A431" t="str">
        <f>IF(REGLAS!J432="OBSOLETO","","INSERT INTO INYCEXT.INYC_CONF_INF_REGLAS (COD_INFORME,TABLA,NOMBRE,REGLA,F_INICIO,F_FIN,DESCRIPCION) VALUES ("&amp;REGLAS!B432&amp;",'"&amp;REGLAS!C432&amp;"','"&amp;REGLAS!D432&amp;"','"&amp;REGLAS!G432&amp;"',TO_DATE('"&amp;REGLAS!H432&amp;"','yyyymmdd'),TO_DATE('"&amp;REGLAS!I432&amp;"','yyyymmdd'),'"&amp;REGLAS!J432&amp;"');")</f>
        <v>INSERT INTO INYCEXT.INYC_CONF_INF_REGLAS (COD_INFORME,TABLA,NOMBRE,REGLA,F_INICIO,F_FIN,DESCRIPCION) VALUES (8.1,'INYC_COLC_RESUMEN','Objetivos Captacion','SM-O-COLC-Inspector-Objetivos-Captacion-Agentes-PrimaNeta-998',TO_DATE('20140101','yyyymmdd'),TO_DATE('22000101','yyyymmdd'),'');</v>
      </c>
      <c r="B431" t="str">
        <f>IF(REGLAS!J432="OBSOLETO","","INSERT INTO INYCEXT.INYC_CONF_INF_REGLAS@tc_link (COD_INFORME,TABLA,NOMBRE,REGLA,F_INICIO,F_FIN,DESCRIPCION) VALUES ("&amp;REGLAS!B432&amp;",'"&amp;REGLAS!C432&amp;"','"&amp;REGLAS!D432&amp;"','"&amp;REGLAS!G432&amp;"',TO_DATE('"&amp;REGLAS!H432&amp;"','yyyymmdd'),TO_DATE('"&amp;REGLAS!I432&amp;"','yyyymmdd'),'"&amp;REGLAS!J432&amp;"');")</f>
        <v>INSERT INTO INYCEXT.INYC_CONF_INF_REGLAS@tc_link (COD_INFORME,TABLA,NOMBRE,REGLA,F_INICIO,F_FIN,DESCRIPCION) VALUES (8.1,'INYC_COLC_RESUMEN','Objetivos Captacion','SM-O-COLC-Inspector-Objetivos-Captacion-Agentes-PrimaNeta-998',TO_DATE('20140101','yyyymmdd'),TO_DATE('22000101','yyyymmdd'),'');</v>
      </c>
    </row>
    <row r="432" spans="1:2" x14ac:dyDescent="0.25">
      <c r="A432" t="str">
        <f>IF(REGLAS!J433="OBSOLETO","","INSERT INTO INYCEXT.INYC_CONF_INF_REGLAS (COD_INFORME,TABLA,NOMBRE,REGLA,F_INICIO,F_FIN,DESCRIPCION) VALUES ("&amp;REGLAS!B433&amp;",'"&amp;REGLAS!C433&amp;"','"&amp;REGLAS!D433&amp;"','"&amp;REGLAS!G433&amp;"',TO_DATE('"&amp;REGLAS!H433&amp;"','yyyymmdd'),TO_DATE('"&amp;REGLAS!I433&amp;"','yyyymmdd'),'"&amp;REGLAS!J433&amp;"');")</f>
        <v>INSERT INTO INYCEXT.INYC_CONF_INF_REGLAS (COD_INFORME,TABLA,NOMBRE,REGLA,F_INICIO,F_FIN,DESCRIPCION) VALUES (8.1,'INYC_COLC_RESUMEN','Objetivos Captacion','SM-O-COLC-Inspector-Objetivos-Captacion-Penalizacion',TO_DATE('20140101','yyyymmdd'),TO_DATE('22000101','yyyymmdd'),'');</v>
      </c>
      <c r="B432" t="str">
        <f>IF(REGLAS!J433="OBSOLETO","","INSERT INTO INYCEXT.INYC_CONF_INF_REGLAS@tc_link (COD_INFORME,TABLA,NOMBRE,REGLA,F_INICIO,F_FIN,DESCRIPCION) VALUES ("&amp;REGLAS!B433&amp;",'"&amp;REGLAS!C433&amp;"','"&amp;REGLAS!D433&amp;"','"&amp;REGLAS!G433&amp;"',TO_DATE('"&amp;REGLAS!H433&amp;"','yyyymmdd'),TO_DATE('"&amp;REGLAS!I433&amp;"','yyyymmdd'),'"&amp;REGLAS!J433&amp;"');")</f>
        <v>INSERT INTO INYCEXT.INYC_CONF_INF_REGLAS@tc_link (COD_INFORME,TABLA,NOMBRE,REGLA,F_INICIO,F_FIN,DESCRIPCION) VALUES (8.1,'INYC_COLC_RESUMEN','Objetivos Captacion','SM-O-COLC-Inspector-Objetivos-Captacion-Penalizacion',TO_DATE('20140101','yyyymmdd'),TO_DATE('22000101','yyyymmdd'),'');</v>
      </c>
    </row>
    <row r="433" spans="1:2" x14ac:dyDescent="0.25">
      <c r="A433" t="str">
        <f>IF(REGLAS!J434="OBSOLETO","","INSERT INTO INYCEXT.INYC_CONF_INF_REGLAS (COD_INFORME,TABLA,NOMBRE,REGLA,F_INICIO,F_FIN,DESCRIPCION) VALUES ("&amp;REGLAS!B434&amp;",'"&amp;REGLAS!C434&amp;"','"&amp;REGLAS!D434&amp;"','"&amp;REGLAS!G434&amp;"',TO_DATE('"&amp;REGLAS!H434&amp;"','yyyymmdd'),TO_DATE('"&amp;REGLAS!I434&amp;"','yyyymmdd'),'"&amp;REGLAS!J434&amp;"');")</f>
        <v>INSERT INTO INYCEXT.INYC_CONF_INF_REGLAS (COD_INFORME,TABLA,NOMBRE,REGLA,F_INICIO,F_FIN,DESCRIPCION) VALUES (8.1,'INYC_COLC_RESUMEN','Captacion Agentes','SM-O-COLC-Inspector-Quota-AgentesCaptados',TO_DATE('20140101','yyyymmdd'),TO_DATE('22000101','yyyymmdd'),'');</v>
      </c>
      <c r="B433" t="str">
        <f>IF(REGLAS!J434="OBSOLETO","","INSERT INTO INYCEXT.INYC_CONF_INF_REGLAS@tc_link (COD_INFORME,TABLA,NOMBRE,REGLA,F_INICIO,F_FIN,DESCRIPCION) VALUES ("&amp;REGLAS!B434&amp;",'"&amp;REGLAS!C434&amp;"','"&amp;REGLAS!D434&amp;"','"&amp;REGLAS!G434&amp;"',TO_DATE('"&amp;REGLAS!H434&amp;"','yyyymmdd'),TO_DATE('"&amp;REGLAS!I434&amp;"','yyyymmdd'),'"&amp;REGLAS!J434&amp;"');")</f>
        <v>INSERT INTO INYCEXT.INYC_CONF_INF_REGLAS@tc_link (COD_INFORME,TABLA,NOMBRE,REGLA,F_INICIO,F_FIN,DESCRIPCION) VALUES (8.1,'INYC_COLC_RESUMEN','Captacion Agentes','SM-O-COLC-Inspector-Quota-AgentesCaptados',TO_DATE('20140101','yyyymmdd'),TO_DATE('22000101','yyyymmdd'),'');</v>
      </c>
    </row>
    <row r="434" spans="1:2" x14ac:dyDescent="0.25">
      <c r="A434" t="str">
        <f>IF(REGLAS!J435="OBSOLETO","","INSERT INTO INYCEXT.INYC_CONF_INF_REGLAS (COD_INFORME,TABLA,NOMBRE,REGLA,F_INICIO,F_FIN,DESCRIPCION) VALUES ("&amp;REGLAS!B435&amp;",'"&amp;REGLAS!C435&amp;"','"&amp;REGLAS!D435&amp;"','"&amp;REGLAS!G435&amp;"',TO_DATE('"&amp;REGLAS!H435&amp;"','yyyymmdd'),TO_DATE('"&amp;REGLAS!I435&amp;"','yyyymmdd'),'"&amp;REGLAS!J435&amp;"');")</f>
        <v>INSERT INTO INYCEXT.INYC_CONF_INF_REGLAS (COD_INFORME,TABLA,NOMBRE,REGLA,F_INICIO,F_FIN,DESCRIPCION) VALUES (8.1,'INYC_COLC_RESUMEN','Captacion Agentes','SM-O-COLC-Inspector-NumeroPolizas-998-AgentesCaptados-TotalAnual',TO_DATE('20140101','yyyymmdd'),TO_DATE('22000101','yyyymmdd'),'');</v>
      </c>
      <c r="B434" t="str">
        <f>IF(REGLAS!J435="OBSOLETO","","INSERT INTO INYCEXT.INYC_CONF_INF_REGLAS@tc_link (COD_INFORME,TABLA,NOMBRE,REGLA,F_INICIO,F_FIN,DESCRIPCION) VALUES ("&amp;REGLAS!B435&amp;",'"&amp;REGLAS!C435&amp;"','"&amp;REGLAS!D435&amp;"','"&amp;REGLAS!G435&amp;"',TO_DATE('"&amp;REGLAS!H435&amp;"','yyyymmdd'),TO_DATE('"&amp;REGLAS!I435&amp;"','yyyymmdd'),'"&amp;REGLAS!J435&amp;"');")</f>
        <v>INSERT INTO INYCEXT.INYC_CONF_INF_REGLAS@tc_link (COD_INFORME,TABLA,NOMBRE,REGLA,F_INICIO,F_FIN,DESCRIPCION) VALUES (8.1,'INYC_COLC_RESUMEN','Captacion Agentes','SM-O-COLC-Inspector-NumeroPolizas-998-AgentesCaptados-TotalAnual',TO_DATE('20140101','yyyymmdd'),TO_DATE('22000101','yyyymmdd'),'');</v>
      </c>
    </row>
    <row r="435" spans="1:2" x14ac:dyDescent="0.25">
      <c r="A435" t="str">
        <f>IF(REGLAS!J436="OBSOLETO","","INSERT INTO INYCEXT.INYC_CONF_INF_REGLAS (COD_INFORME,TABLA,NOMBRE,REGLA,F_INICIO,F_FIN,DESCRIPCION) VALUES ("&amp;REGLAS!B436&amp;",'"&amp;REGLAS!C436&amp;"','"&amp;REGLAS!D436&amp;"','"&amp;REGLAS!G436&amp;"',TO_DATE('"&amp;REGLAS!H436&amp;"','yyyymmdd'),TO_DATE('"&amp;REGLAS!I436&amp;"','yyyymmdd'),'"&amp;REGLAS!J436&amp;"');")</f>
        <v>INSERT INTO INYCEXT.INYC_CONF_INF_REGLAS (COD_INFORME,TABLA,NOMBRE,REGLA,F_INICIO,F_FIN,DESCRIPCION) VALUES (8.1,'INYC_COLC_RESUMEN','Captacion Agentes','SM-O-COLC-Inspector-PrimaNeta-998-AgentesCaptados-TotalAnual',TO_DATE('20140101','yyyymmdd'),TO_DATE('22000101','yyyymmdd'),'');</v>
      </c>
      <c r="B435" t="str">
        <f>IF(REGLAS!J436="OBSOLETO","","INSERT INTO INYCEXT.INYC_CONF_INF_REGLAS@tc_link (COD_INFORME,TABLA,NOMBRE,REGLA,F_INICIO,F_FIN,DESCRIPCION) VALUES ("&amp;REGLAS!B436&amp;",'"&amp;REGLAS!C436&amp;"','"&amp;REGLAS!D436&amp;"','"&amp;REGLAS!G436&amp;"',TO_DATE('"&amp;REGLAS!H436&amp;"','yyyymmdd'),TO_DATE('"&amp;REGLAS!I436&amp;"','yyyymmdd'),'"&amp;REGLAS!J436&amp;"');")</f>
        <v>INSERT INTO INYCEXT.INYC_CONF_INF_REGLAS@tc_link (COD_INFORME,TABLA,NOMBRE,REGLA,F_INICIO,F_FIN,DESCRIPCION) VALUES (8.1,'INYC_COLC_RESUMEN','Captacion Agentes','SM-O-COLC-Inspector-PrimaNeta-998-AgentesCaptados-TotalAnual',TO_DATE('20140101','yyyymmdd'),TO_DATE('22000101','yyyymmdd'),'');</v>
      </c>
    </row>
    <row r="436" spans="1:2" x14ac:dyDescent="0.25">
      <c r="A436" t="str">
        <f>IF(REGLAS!J437="OBSOLETO","","INSERT INTO INYCEXT.INYC_CONF_INF_REGLAS (COD_INFORME,TABLA,NOMBRE,REGLA,F_INICIO,F_FIN,DESCRIPCION) VALUES ("&amp;REGLAS!B437&amp;",'"&amp;REGLAS!C437&amp;"','"&amp;REGLAS!D437&amp;"','"&amp;REGLAS!G437&amp;"',TO_DATE('"&amp;REGLAS!H437&amp;"','yyyymmdd'),TO_DATE('"&amp;REGLAS!I437&amp;"','yyyymmdd'),'"&amp;REGLAS!J437&amp;"');")</f>
        <v>INSERT INTO INYCEXT.INYC_CONF_INF_REGLAS (COD_INFORME,TABLA,NOMBRE,REGLA,F_INICIO,F_FIN,DESCRIPCION) VALUES (8.1,'INYC_COLC_RESUMEN','Porcentaje Autofinanciación','SM-O-COLC-Inspector-Porcentaje-Autofinanciacion-Prima-001',TO_DATE('20140101','yyyymmdd'),TO_DATE('22000101','yyyymmdd'),'');</v>
      </c>
      <c r="B436" t="str">
        <f>IF(REGLAS!J437="OBSOLETO","","INSERT INTO INYCEXT.INYC_CONF_INF_REGLAS@tc_link (COD_INFORME,TABLA,NOMBRE,REGLA,F_INICIO,F_FIN,DESCRIPCION) VALUES ("&amp;REGLAS!B437&amp;",'"&amp;REGLAS!C437&amp;"','"&amp;REGLAS!D437&amp;"','"&amp;REGLAS!G437&amp;"',TO_DATE('"&amp;REGLAS!H437&amp;"','yyyymmdd'),TO_DATE('"&amp;REGLAS!I437&amp;"','yyyymmdd'),'"&amp;REGLAS!J437&amp;"');")</f>
        <v>INSERT INTO INYCEXT.INYC_CONF_INF_REGLAS@tc_link (COD_INFORME,TABLA,NOMBRE,REGLA,F_INICIO,F_FIN,DESCRIPCION) VALUES (8.1,'INYC_COLC_RESUMEN','Porcentaje Autofinanciación','SM-O-COLC-Inspector-Porcentaje-Autofinanciacion-Prima-001',TO_DATE('20140101','yyyymmdd'),TO_DATE('22000101','yyyymmdd'),'');</v>
      </c>
    </row>
    <row r="437" spans="1:2" x14ac:dyDescent="0.25">
      <c r="A437" t="str">
        <f>IF(REGLAS!J438="OBSOLETO","","INSERT INTO INYCEXT.INYC_CONF_INF_REGLAS (COD_INFORME,TABLA,NOMBRE,REGLA,F_INICIO,F_FIN,DESCRIPCION) VALUES ("&amp;REGLAS!B438&amp;",'"&amp;REGLAS!C438&amp;"','"&amp;REGLAS!D438&amp;"','"&amp;REGLAS!G438&amp;"',TO_DATE('"&amp;REGLAS!H438&amp;"','yyyymmdd'),TO_DATE('"&amp;REGLAS!I438&amp;"','yyyymmdd'),'"&amp;REGLAS!J438&amp;"');")</f>
        <v>INSERT INTO INYCEXT.INYC_CONF_INF_REGLAS (COD_INFORME,TABLA,NOMBRE,REGLA,F_INICIO,F_FIN,DESCRIPCION) VALUES (8.1,'INYC_COLC_RESUMEN','Porcentaje Autofinanciación','SM-O-COLC-Inspector-Porcentaje-Autofinanciacion-Prima-002',TO_DATE('20140101','yyyymmdd'),TO_DATE('22000101','yyyymmdd'),'');</v>
      </c>
      <c r="B437" t="str">
        <f>IF(REGLAS!J438="OBSOLETO","","INSERT INTO INYCEXT.INYC_CONF_INF_REGLAS@tc_link (COD_INFORME,TABLA,NOMBRE,REGLA,F_INICIO,F_FIN,DESCRIPCION) VALUES ("&amp;REGLAS!B438&amp;",'"&amp;REGLAS!C438&amp;"','"&amp;REGLAS!D438&amp;"','"&amp;REGLAS!G438&amp;"',TO_DATE('"&amp;REGLAS!H438&amp;"','yyyymmdd'),TO_DATE('"&amp;REGLAS!I438&amp;"','yyyymmdd'),'"&amp;REGLAS!J438&amp;"');")</f>
        <v>INSERT INTO INYCEXT.INYC_CONF_INF_REGLAS@tc_link (COD_INFORME,TABLA,NOMBRE,REGLA,F_INICIO,F_FIN,DESCRIPCION) VALUES (8.1,'INYC_COLC_RESUMEN','Porcentaje Autofinanciación','SM-O-COLC-Inspector-Porcentaje-Autofinanciacion-Prima-002',TO_DATE('20140101','yyyymmdd'),TO_DATE('22000101','yyyymmdd'),'');</v>
      </c>
    </row>
    <row r="438" spans="1:2" x14ac:dyDescent="0.25">
      <c r="A438" t="str">
        <f>IF(REGLAS!J439="OBSOLETO","","INSERT INTO INYCEXT.INYC_CONF_INF_REGLAS (COD_INFORME,TABLA,NOMBRE,REGLA,F_INICIO,F_FIN,DESCRIPCION) VALUES ("&amp;REGLAS!B439&amp;",'"&amp;REGLAS!C439&amp;"','"&amp;REGLAS!D439&amp;"','"&amp;REGLAS!G439&amp;"',TO_DATE('"&amp;REGLAS!H439&amp;"','yyyymmdd'),TO_DATE('"&amp;REGLAS!I439&amp;"','yyyymmdd'),'"&amp;REGLAS!J439&amp;"');")</f>
        <v>INSERT INTO INYCEXT.INYC_CONF_INF_REGLAS (COD_INFORME,TABLA,NOMBRE,REGLA,F_INICIO,F_FIN,DESCRIPCION) VALUES (8.1,'INYC_COLC_RESUMEN','Porcentaje Autofinanciación','SM-O-COLC-Inspector-Porcentaje-Autofinanciacion-Prima-003',TO_DATE('20140101','yyyymmdd'),TO_DATE('22000101','yyyymmdd'),'');</v>
      </c>
      <c r="B438" t="str">
        <f>IF(REGLAS!J439="OBSOLETO","","INSERT INTO INYCEXT.INYC_CONF_INF_REGLAS@tc_link (COD_INFORME,TABLA,NOMBRE,REGLA,F_INICIO,F_FIN,DESCRIPCION) VALUES ("&amp;REGLAS!B439&amp;",'"&amp;REGLAS!C439&amp;"','"&amp;REGLAS!D439&amp;"','"&amp;REGLAS!G439&amp;"',TO_DATE('"&amp;REGLAS!H439&amp;"','yyyymmdd'),TO_DATE('"&amp;REGLAS!I439&amp;"','yyyymmdd'),'"&amp;REGLAS!J439&amp;"');")</f>
        <v>INSERT INTO INYCEXT.INYC_CONF_INF_REGLAS@tc_link (COD_INFORME,TABLA,NOMBRE,REGLA,F_INICIO,F_FIN,DESCRIPCION) VALUES (8.1,'INYC_COLC_RESUMEN','Porcentaje Autofinanciación','SM-O-COLC-Inspector-Porcentaje-Autofinanciacion-Prima-003',TO_DATE('20140101','yyyymmdd'),TO_DATE('22000101','yyyymmdd'),'');</v>
      </c>
    </row>
    <row r="439" spans="1:2" x14ac:dyDescent="0.25">
      <c r="A439" t="str">
        <f>IF(REGLAS!J440="OBSOLETO","","INSERT INTO INYCEXT.INYC_CONF_INF_REGLAS (COD_INFORME,TABLA,NOMBRE,REGLA,F_INICIO,F_FIN,DESCRIPCION) VALUES ("&amp;REGLAS!B440&amp;",'"&amp;REGLAS!C440&amp;"','"&amp;REGLAS!D440&amp;"','"&amp;REGLAS!G440&amp;"',TO_DATE('"&amp;REGLAS!H440&amp;"','yyyymmdd'),TO_DATE('"&amp;REGLAS!I440&amp;"','yyyymmdd'),'"&amp;REGLAS!J440&amp;"');")</f>
        <v>INSERT INTO INYCEXT.INYC_CONF_INF_REGLAS (COD_INFORME,TABLA,NOMBRE,REGLA,F_INICIO,F_FIN,DESCRIPCION) VALUES (8.1,'INYC_COLC_RESUMEN','Porcentaje Autofinanciación','SM-O-COLC-Inspector-Porcentaje-Autofinanciacion-Prima-004',TO_DATE('20140101','yyyymmdd'),TO_DATE('22000101','yyyymmdd'),'');</v>
      </c>
      <c r="B439" t="str">
        <f>IF(REGLAS!J440="OBSOLETO","","INSERT INTO INYCEXT.INYC_CONF_INF_REGLAS@tc_link (COD_INFORME,TABLA,NOMBRE,REGLA,F_INICIO,F_FIN,DESCRIPCION) VALUES ("&amp;REGLAS!B440&amp;",'"&amp;REGLAS!C440&amp;"','"&amp;REGLAS!D440&amp;"','"&amp;REGLAS!G440&amp;"',TO_DATE('"&amp;REGLAS!H440&amp;"','yyyymmdd'),TO_DATE('"&amp;REGLAS!I440&amp;"','yyyymmdd'),'"&amp;REGLAS!J440&amp;"');")</f>
        <v>INSERT INTO INYCEXT.INYC_CONF_INF_REGLAS@tc_link (COD_INFORME,TABLA,NOMBRE,REGLA,F_INICIO,F_FIN,DESCRIPCION) VALUES (8.1,'INYC_COLC_RESUMEN','Porcentaje Autofinanciación','SM-O-COLC-Inspector-Porcentaje-Autofinanciacion-Prima-004',TO_DATE('20140101','yyyymmdd'),TO_DATE('22000101','yyyymmdd'),'');</v>
      </c>
    </row>
    <row r="440" spans="1:2" x14ac:dyDescent="0.25">
      <c r="A440" t="str">
        <f>IF(REGLAS!J441="OBSOLETO","","INSERT INTO INYCEXT.INYC_CONF_INF_REGLAS (COD_INFORME,TABLA,NOMBRE,REGLA,F_INICIO,F_FIN,DESCRIPCION) VALUES ("&amp;REGLAS!B441&amp;",'"&amp;REGLAS!C441&amp;"','"&amp;REGLAS!D441&amp;"','"&amp;REGLAS!G441&amp;"',TO_DATE('"&amp;REGLAS!H441&amp;"','yyyymmdd'),TO_DATE('"&amp;REGLAS!I441&amp;"','yyyymmdd'),'"&amp;REGLAS!J441&amp;"');")</f>
        <v>INSERT INTO INYCEXT.INYC_CONF_INF_REGLAS (COD_INFORME,TABLA,NOMBRE,REGLA,F_INICIO,F_FIN,DESCRIPCION) VALUES (8.1,'INYC_COLC_RESUMEN','Porcentaje Autofinanciación','SM-O-COLC-Inspector-Porcentaje-Autofinanciacion-Prima-005',TO_DATE('20140101','yyyymmdd'),TO_DATE('22000101','yyyymmdd'),'');</v>
      </c>
      <c r="B440" t="str">
        <f>IF(REGLAS!J441="OBSOLETO","","INSERT INTO INYCEXT.INYC_CONF_INF_REGLAS@tc_link (COD_INFORME,TABLA,NOMBRE,REGLA,F_INICIO,F_FIN,DESCRIPCION) VALUES ("&amp;REGLAS!B441&amp;",'"&amp;REGLAS!C441&amp;"','"&amp;REGLAS!D441&amp;"','"&amp;REGLAS!G441&amp;"',TO_DATE('"&amp;REGLAS!H441&amp;"','yyyymmdd'),TO_DATE('"&amp;REGLAS!I441&amp;"','yyyymmdd'),'"&amp;REGLAS!J441&amp;"');")</f>
        <v>INSERT INTO INYCEXT.INYC_CONF_INF_REGLAS@tc_link (COD_INFORME,TABLA,NOMBRE,REGLA,F_INICIO,F_FIN,DESCRIPCION) VALUES (8.1,'INYC_COLC_RESUMEN','Porcentaje Autofinanciación','SM-O-COLC-Inspector-Porcentaje-Autofinanciacion-Prima-005',TO_DATE('20140101','yyyymmdd'),TO_DATE('22000101','yyyymmdd'),'');</v>
      </c>
    </row>
    <row r="441" spans="1:2" x14ac:dyDescent="0.25">
      <c r="A441" t="str">
        <f>IF(REGLAS!J442="OBSOLETO","","INSERT INTO INYCEXT.INYC_CONF_INF_REGLAS (COD_INFORME,TABLA,NOMBRE,REGLA,F_INICIO,F_FIN,DESCRIPCION) VALUES ("&amp;REGLAS!B442&amp;",'"&amp;REGLAS!C442&amp;"','"&amp;REGLAS!D442&amp;"','"&amp;REGLAS!G442&amp;"',TO_DATE('"&amp;REGLAS!H442&amp;"','yyyymmdd'),TO_DATE('"&amp;REGLAS!I442&amp;"','yyyymmdd'),'"&amp;REGLAS!J442&amp;"');")</f>
        <v>INSERT INTO INYCEXT.INYC_CONF_INF_REGLAS (COD_INFORME,TABLA,NOMBRE,REGLA,F_INICIO,F_FIN,DESCRIPCION) VALUES (8.1,'INYC_COLC_RESUMEN','Porcentaje Autofinanciación','SM-O-COLC-Inspector-Porcentaje-Autofinanciacion-Prima-006',TO_DATE('20140101','yyyymmdd'),TO_DATE('22000101','yyyymmdd'),'');</v>
      </c>
      <c r="B441" t="str">
        <f>IF(REGLAS!J442="OBSOLETO","","INSERT INTO INYCEXT.INYC_CONF_INF_REGLAS@tc_link (COD_INFORME,TABLA,NOMBRE,REGLA,F_INICIO,F_FIN,DESCRIPCION) VALUES ("&amp;REGLAS!B442&amp;",'"&amp;REGLAS!C442&amp;"','"&amp;REGLAS!D442&amp;"','"&amp;REGLAS!G442&amp;"',TO_DATE('"&amp;REGLAS!H442&amp;"','yyyymmdd'),TO_DATE('"&amp;REGLAS!I442&amp;"','yyyymmdd'),'"&amp;REGLAS!J442&amp;"');")</f>
        <v>INSERT INTO INYCEXT.INYC_CONF_INF_REGLAS@tc_link (COD_INFORME,TABLA,NOMBRE,REGLA,F_INICIO,F_FIN,DESCRIPCION) VALUES (8.1,'INYC_COLC_RESUMEN','Porcentaje Autofinanciación','SM-O-COLC-Inspector-Porcentaje-Autofinanciacion-Prima-006',TO_DATE('20140101','yyyymmdd'),TO_DATE('22000101','yyyymmdd'),'');</v>
      </c>
    </row>
    <row r="442" spans="1:2" x14ac:dyDescent="0.25">
      <c r="A442" t="str">
        <f>IF(REGLAS!J443="OBSOLETO","","INSERT INTO INYCEXT.INYC_CONF_INF_REGLAS (COD_INFORME,TABLA,NOMBRE,REGLA,F_INICIO,F_FIN,DESCRIPCION) VALUES ("&amp;REGLAS!B443&amp;",'"&amp;REGLAS!C443&amp;"','"&amp;REGLAS!D443&amp;"','"&amp;REGLAS!G443&amp;"',TO_DATE('"&amp;REGLAS!H443&amp;"','yyyymmdd'),TO_DATE('"&amp;REGLAS!I443&amp;"','yyyymmdd'),'"&amp;REGLAS!J443&amp;"');")</f>
        <v/>
      </c>
      <c r="B442" t="str">
        <f>IF(REGLAS!J443="OBSOLETO","","INSERT INTO INYCEXT.INYC_CONF_INF_REGLAS@tc_link (COD_INFORME,TABLA,NOMBRE,REGLA,F_INICIO,F_FIN,DESCRIPCION) VALUES ("&amp;REGLAS!B443&amp;",'"&amp;REGLAS!C443&amp;"','"&amp;REGLAS!D443&amp;"','"&amp;REGLAS!G443&amp;"',TO_DATE('"&amp;REGLAS!H443&amp;"','yyyymmdd'),TO_DATE('"&amp;REGLAS!I443&amp;"','yyyymmdd'),'"&amp;REGLAS!J443&amp;"');")</f>
        <v/>
      </c>
    </row>
    <row r="443" spans="1:2" x14ac:dyDescent="0.25">
      <c r="A443" t="str">
        <f>IF(REGLAS!J444="OBSOLETO","","INSERT INTO INYCEXT.INYC_CONF_INF_REGLAS (COD_INFORME,TABLA,NOMBRE,REGLA,F_INICIO,F_FIN,DESCRIPCION) VALUES ("&amp;REGLAS!B444&amp;",'"&amp;REGLAS!C444&amp;"','"&amp;REGLAS!D444&amp;"','"&amp;REGLAS!G444&amp;"',TO_DATE('"&amp;REGLAS!H444&amp;"','yyyymmdd'),TO_DATE('"&amp;REGLAS!I444&amp;"','yyyymmdd'),'"&amp;REGLAS!J444&amp;"');")</f>
        <v>INSERT INTO INYCEXT.INYC_CONF_INF_REGLAS (COD_INFORME,TABLA,NOMBRE,REGLA,F_INICIO,F_FIN,DESCRIPCION) VALUES (8.1,'INYC_COLC_RESUMEN','Porcentaje Autofinanciación','SM-O-COLC-Inspector-Porcentaje-Autofinanciacion-Prima-008',TO_DATE('20140101','yyyymmdd'),TO_DATE('22000101','yyyymmdd'),'');</v>
      </c>
      <c r="B443" t="str">
        <f>IF(REGLAS!J444="OBSOLETO","","INSERT INTO INYCEXT.INYC_CONF_INF_REGLAS@tc_link (COD_INFORME,TABLA,NOMBRE,REGLA,F_INICIO,F_FIN,DESCRIPCION) VALUES ("&amp;REGLAS!B444&amp;",'"&amp;REGLAS!C444&amp;"','"&amp;REGLAS!D444&amp;"','"&amp;REGLAS!G444&amp;"',TO_DATE('"&amp;REGLAS!H444&amp;"','yyyymmdd'),TO_DATE('"&amp;REGLAS!I444&amp;"','yyyymmdd'),'"&amp;REGLAS!J444&amp;"');")</f>
        <v>INSERT INTO INYCEXT.INYC_CONF_INF_REGLAS@tc_link (COD_INFORME,TABLA,NOMBRE,REGLA,F_INICIO,F_FIN,DESCRIPCION) VALUES (8.1,'INYC_COLC_RESUMEN','Porcentaje Autofinanciación','SM-O-COLC-Inspector-Porcentaje-Autofinanciacion-Prima-008',TO_DATE('20140101','yyyymmdd'),TO_DATE('22000101','yyyymmdd'),'');</v>
      </c>
    </row>
    <row r="444" spans="1:2" x14ac:dyDescent="0.25">
      <c r="A444" t="str">
        <f>IF(REGLAS!J445="OBSOLETO","","INSERT INTO INYCEXT.INYC_CONF_INF_REGLAS (COD_INFORME,TABLA,NOMBRE,REGLA,F_INICIO,F_FIN,DESCRIPCION) VALUES ("&amp;REGLAS!B445&amp;",'"&amp;REGLAS!C445&amp;"','"&amp;REGLAS!D445&amp;"','"&amp;REGLAS!G445&amp;"',TO_DATE('"&amp;REGLAS!H445&amp;"','yyyymmdd'),TO_DATE('"&amp;REGLAS!I445&amp;"','yyyymmdd'),'"&amp;REGLAS!J445&amp;"');")</f>
        <v>INSERT INTO INYCEXT.INYC_CONF_INF_REGLAS (COD_INFORME,TABLA,NOMBRE,REGLA,F_INICIO,F_FIN,DESCRIPCION) VALUES (8.1,'INYC_COLC_RESUMEN','Porcentaje Autofinanciación','SM-O-COLC-Inspector-Porcentaje-Autofinanciacion-Prima-009',TO_DATE('20140101','yyyymmdd'),TO_DATE('22000101','yyyymmdd'),'');</v>
      </c>
      <c r="B444" t="str">
        <f>IF(REGLAS!J445="OBSOLETO","","INSERT INTO INYCEXT.INYC_CONF_INF_REGLAS@tc_link (COD_INFORME,TABLA,NOMBRE,REGLA,F_INICIO,F_FIN,DESCRIPCION) VALUES ("&amp;REGLAS!B445&amp;",'"&amp;REGLAS!C445&amp;"','"&amp;REGLAS!D445&amp;"','"&amp;REGLAS!G445&amp;"',TO_DATE('"&amp;REGLAS!H445&amp;"','yyyymmdd'),TO_DATE('"&amp;REGLAS!I445&amp;"','yyyymmdd'),'"&amp;REGLAS!J445&amp;"');")</f>
        <v>INSERT INTO INYCEXT.INYC_CONF_INF_REGLAS@tc_link (COD_INFORME,TABLA,NOMBRE,REGLA,F_INICIO,F_FIN,DESCRIPCION) VALUES (8.1,'INYC_COLC_RESUMEN','Porcentaje Autofinanciación','SM-O-COLC-Inspector-Porcentaje-Autofinanciacion-Prima-009',TO_DATE('20140101','yyyymmdd'),TO_DATE('22000101','yyyymmdd'),'');</v>
      </c>
    </row>
    <row r="445" spans="1:2" x14ac:dyDescent="0.25">
      <c r="A445" t="str">
        <f>IF(REGLAS!J446="OBSOLETO","","INSERT INTO INYCEXT.INYC_CONF_INF_REGLAS (COD_INFORME,TABLA,NOMBRE,REGLA,F_INICIO,F_FIN,DESCRIPCION) VALUES ("&amp;REGLAS!B446&amp;",'"&amp;REGLAS!C446&amp;"','"&amp;REGLAS!D446&amp;"','"&amp;REGLAS!G446&amp;"',TO_DATE('"&amp;REGLAS!H446&amp;"','yyyymmdd'),TO_DATE('"&amp;REGLAS!I446&amp;"','yyyymmdd'),'"&amp;REGLAS!J446&amp;"');")</f>
        <v>INSERT INTO INYCEXT.INYC_CONF_INF_REGLAS (COD_INFORME,TABLA,NOMBRE,REGLA,F_INICIO,F_FIN,DESCRIPCION) VALUES (8.1,'INYC_COLC_RESUMEN','Porcentaje Autofinanciación','SM-O-COLC-Inspector-Porcentaje-Autofinanciacion-Polizas-001',TO_DATE('20140101','yyyymmdd'),TO_DATE('22000101','yyyymmdd'),'');</v>
      </c>
      <c r="B445" t="str">
        <f>IF(REGLAS!J446="OBSOLETO","","INSERT INTO INYCEXT.INYC_CONF_INF_REGLAS@tc_link (COD_INFORME,TABLA,NOMBRE,REGLA,F_INICIO,F_FIN,DESCRIPCION) VALUES ("&amp;REGLAS!B446&amp;",'"&amp;REGLAS!C446&amp;"','"&amp;REGLAS!D446&amp;"','"&amp;REGLAS!G446&amp;"',TO_DATE('"&amp;REGLAS!H446&amp;"','yyyymmdd'),TO_DATE('"&amp;REGLAS!I446&amp;"','yyyymmdd'),'"&amp;REGLAS!J446&amp;"');")</f>
        <v>INSERT INTO INYCEXT.INYC_CONF_INF_REGLAS@tc_link (COD_INFORME,TABLA,NOMBRE,REGLA,F_INICIO,F_FIN,DESCRIPCION) VALUES (8.1,'INYC_COLC_RESUMEN','Porcentaje Autofinanciación','SM-O-COLC-Inspector-Porcentaje-Autofinanciacion-Polizas-001',TO_DATE('20140101','yyyymmdd'),TO_DATE('22000101','yyyymmdd'),'');</v>
      </c>
    </row>
    <row r="446" spans="1:2" x14ac:dyDescent="0.25">
      <c r="A446" t="str">
        <f>IF(REGLAS!J447="OBSOLETO","","INSERT INTO INYCEXT.INYC_CONF_INF_REGLAS (COD_INFORME,TABLA,NOMBRE,REGLA,F_INICIO,F_FIN,DESCRIPCION) VALUES ("&amp;REGLAS!B447&amp;",'"&amp;REGLAS!C447&amp;"','"&amp;REGLAS!D447&amp;"','"&amp;REGLAS!G447&amp;"',TO_DATE('"&amp;REGLAS!H447&amp;"','yyyymmdd'),TO_DATE('"&amp;REGLAS!I447&amp;"','yyyymmdd'),'"&amp;REGLAS!J447&amp;"');")</f>
        <v>INSERT INTO INYCEXT.INYC_CONF_INF_REGLAS (COD_INFORME,TABLA,NOMBRE,REGLA,F_INICIO,F_FIN,DESCRIPCION) VALUES (8.1,'INYC_COLC_RESUMEN','Porcentaje Autofinanciación','SM-O-COLC-Inspector-Porcentaje-Autofinanciacion-Polizas-002',TO_DATE('20140101','yyyymmdd'),TO_DATE('22000101','yyyymmdd'),'');</v>
      </c>
      <c r="B446" t="str">
        <f>IF(REGLAS!J447="OBSOLETO","","INSERT INTO INYCEXT.INYC_CONF_INF_REGLAS@tc_link (COD_INFORME,TABLA,NOMBRE,REGLA,F_INICIO,F_FIN,DESCRIPCION) VALUES ("&amp;REGLAS!B447&amp;",'"&amp;REGLAS!C447&amp;"','"&amp;REGLAS!D447&amp;"','"&amp;REGLAS!G447&amp;"',TO_DATE('"&amp;REGLAS!H447&amp;"','yyyymmdd'),TO_DATE('"&amp;REGLAS!I447&amp;"','yyyymmdd'),'"&amp;REGLAS!J447&amp;"');")</f>
        <v>INSERT INTO INYCEXT.INYC_CONF_INF_REGLAS@tc_link (COD_INFORME,TABLA,NOMBRE,REGLA,F_INICIO,F_FIN,DESCRIPCION) VALUES (8.1,'INYC_COLC_RESUMEN','Porcentaje Autofinanciación','SM-O-COLC-Inspector-Porcentaje-Autofinanciacion-Polizas-002',TO_DATE('20140101','yyyymmdd'),TO_DATE('22000101','yyyymmdd'),'');</v>
      </c>
    </row>
    <row r="447" spans="1:2" x14ac:dyDescent="0.25">
      <c r="A447" t="str">
        <f>IF(REGLAS!J448="OBSOLETO","","INSERT INTO INYCEXT.INYC_CONF_INF_REGLAS (COD_INFORME,TABLA,NOMBRE,REGLA,F_INICIO,F_FIN,DESCRIPCION) VALUES ("&amp;REGLAS!B448&amp;",'"&amp;REGLAS!C448&amp;"','"&amp;REGLAS!D448&amp;"','"&amp;REGLAS!G448&amp;"',TO_DATE('"&amp;REGLAS!H448&amp;"','yyyymmdd'),TO_DATE('"&amp;REGLAS!I448&amp;"','yyyymmdd'),'"&amp;REGLAS!J448&amp;"');")</f>
        <v>INSERT INTO INYCEXT.INYC_CONF_INF_REGLAS (COD_INFORME,TABLA,NOMBRE,REGLA,F_INICIO,F_FIN,DESCRIPCION) VALUES (8.1,'INYC_COLC_RESUMEN','Porcentaje Autofinanciación','SM-O-COLC-Inspector-Porcentaje-Autofinanciacion-Polizas-003',TO_DATE('20140101','yyyymmdd'),TO_DATE('22000101','yyyymmdd'),'');</v>
      </c>
      <c r="B447" t="str">
        <f>IF(REGLAS!J448="OBSOLETO","","INSERT INTO INYCEXT.INYC_CONF_INF_REGLAS@tc_link (COD_INFORME,TABLA,NOMBRE,REGLA,F_INICIO,F_FIN,DESCRIPCION) VALUES ("&amp;REGLAS!B448&amp;",'"&amp;REGLAS!C448&amp;"','"&amp;REGLAS!D448&amp;"','"&amp;REGLAS!G448&amp;"',TO_DATE('"&amp;REGLAS!H448&amp;"','yyyymmdd'),TO_DATE('"&amp;REGLAS!I448&amp;"','yyyymmdd'),'"&amp;REGLAS!J448&amp;"');")</f>
        <v>INSERT INTO INYCEXT.INYC_CONF_INF_REGLAS@tc_link (COD_INFORME,TABLA,NOMBRE,REGLA,F_INICIO,F_FIN,DESCRIPCION) VALUES (8.1,'INYC_COLC_RESUMEN','Porcentaje Autofinanciación','SM-O-COLC-Inspector-Porcentaje-Autofinanciacion-Polizas-003',TO_DATE('20140101','yyyymmdd'),TO_DATE('22000101','yyyymmdd'),'');</v>
      </c>
    </row>
    <row r="448" spans="1:2" x14ac:dyDescent="0.25">
      <c r="A448" t="str">
        <f>IF(REGLAS!J449="OBSOLETO","","INSERT INTO INYCEXT.INYC_CONF_INF_REGLAS (COD_INFORME,TABLA,NOMBRE,REGLA,F_INICIO,F_FIN,DESCRIPCION) VALUES ("&amp;REGLAS!B449&amp;",'"&amp;REGLAS!C449&amp;"','"&amp;REGLAS!D449&amp;"','"&amp;REGLAS!G449&amp;"',TO_DATE('"&amp;REGLAS!H449&amp;"','yyyymmdd'),TO_DATE('"&amp;REGLAS!I449&amp;"','yyyymmdd'),'"&amp;REGLAS!J449&amp;"');")</f>
        <v>INSERT INTO INYCEXT.INYC_CONF_INF_REGLAS (COD_INFORME,TABLA,NOMBRE,REGLA,F_INICIO,F_FIN,DESCRIPCION) VALUES (8.1,'INYC_COLC_RESUMEN','Porcentaje Autofinanciación','SM-O-COLC-Inspector-Porcentaje-Autofinanciacion-Polizas-004',TO_DATE('20140101','yyyymmdd'),TO_DATE('22000101','yyyymmdd'),'');</v>
      </c>
      <c r="B448" t="str">
        <f>IF(REGLAS!J449="OBSOLETO","","INSERT INTO INYCEXT.INYC_CONF_INF_REGLAS@tc_link (COD_INFORME,TABLA,NOMBRE,REGLA,F_INICIO,F_FIN,DESCRIPCION) VALUES ("&amp;REGLAS!B449&amp;",'"&amp;REGLAS!C449&amp;"','"&amp;REGLAS!D449&amp;"','"&amp;REGLAS!G449&amp;"',TO_DATE('"&amp;REGLAS!H449&amp;"','yyyymmdd'),TO_DATE('"&amp;REGLAS!I449&amp;"','yyyymmdd'),'"&amp;REGLAS!J449&amp;"');")</f>
        <v>INSERT INTO INYCEXT.INYC_CONF_INF_REGLAS@tc_link (COD_INFORME,TABLA,NOMBRE,REGLA,F_INICIO,F_FIN,DESCRIPCION) VALUES (8.1,'INYC_COLC_RESUMEN','Porcentaje Autofinanciación','SM-O-COLC-Inspector-Porcentaje-Autofinanciacion-Polizas-004',TO_DATE('20140101','yyyymmdd'),TO_DATE('22000101','yyyymmdd'),'');</v>
      </c>
    </row>
    <row r="449" spans="1:2" x14ac:dyDescent="0.25">
      <c r="A449" t="str">
        <f>IF(REGLAS!J450="OBSOLETO","","INSERT INTO INYCEXT.INYC_CONF_INF_REGLAS (COD_INFORME,TABLA,NOMBRE,REGLA,F_INICIO,F_FIN,DESCRIPCION) VALUES ("&amp;REGLAS!B450&amp;",'"&amp;REGLAS!C450&amp;"','"&amp;REGLAS!D450&amp;"','"&amp;REGLAS!G450&amp;"',TO_DATE('"&amp;REGLAS!H450&amp;"','yyyymmdd'),TO_DATE('"&amp;REGLAS!I450&amp;"','yyyymmdd'),'"&amp;REGLAS!J450&amp;"');")</f>
        <v>INSERT INTO INYCEXT.INYC_CONF_INF_REGLAS (COD_INFORME,TABLA,NOMBRE,REGLA,F_INICIO,F_FIN,DESCRIPCION) VALUES (8.1,'INYC_COLC_RESUMEN','Porcentaje Autofinanciación','SM-O-COLC-Inspector-Porcentaje-Autofinanciacion-Polizas-005',TO_DATE('20140101','yyyymmdd'),TO_DATE('22000101','yyyymmdd'),'');</v>
      </c>
      <c r="B449" t="str">
        <f>IF(REGLAS!J450="OBSOLETO","","INSERT INTO INYCEXT.INYC_CONF_INF_REGLAS@tc_link (COD_INFORME,TABLA,NOMBRE,REGLA,F_INICIO,F_FIN,DESCRIPCION) VALUES ("&amp;REGLAS!B450&amp;",'"&amp;REGLAS!C450&amp;"','"&amp;REGLAS!D450&amp;"','"&amp;REGLAS!G450&amp;"',TO_DATE('"&amp;REGLAS!H450&amp;"','yyyymmdd'),TO_DATE('"&amp;REGLAS!I450&amp;"','yyyymmdd'),'"&amp;REGLAS!J450&amp;"');")</f>
        <v>INSERT INTO INYCEXT.INYC_CONF_INF_REGLAS@tc_link (COD_INFORME,TABLA,NOMBRE,REGLA,F_INICIO,F_FIN,DESCRIPCION) VALUES (8.1,'INYC_COLC_RESUMEN','Porcentaje Autofinanciación','SM-O-COLC-Inspector-Porcentaje-Autofinanciacion-Polizas-005',TO_DATE('20140101','yyyymmdd'),TO_DATE('22000101','yyyymmdd'),'');</v>
      </c>
    </row>
    <row r="450" spans="1:2" x14ac:dyDescent="0.25">
      <c r="A450" t="str">
        <f>IF(REGLAS!J451="OBSOLETO","","INSERT INTO INYCEXT.INYC_CONF_INF_REGLAS (COD_INFORME,TABLA,NOMBRE,REGLA,F_INICIO,F_FIN,DESCRIPCION) VALUES ("&amp;REGLAS!B451&amp;",'"&amp;REGLAS!C451&amp;"','"&amp;REGLAS!D451&amp;"','"&amp;REGLAS!G451&amp;"',TO_DATE('"&amp;REGLAS!H451&amp;"','yyyymmdd'),TO_DATE('"&amp;REGLAS!I451&amp;"','yyyymmdd'),'"&amp;REGLAS!J451&amp;"');")</f>
        <v>INSERT INTO INYCEXT.INYC_CONF_INF_REGLAS (COD_INFORME,TABLA,NOMBRE,REGLA,F_INICIO,F_FIN,DESCRIPCION) VALUES (8.1,'INYC_COLC_RESUMEN','Porcentaje Autofinanciación','SM-O-COLC-Inspector-Porcentaje-Autofinanciacion-Polizas-006',TO_DATE('20140101','yyyymmdd'),TO_DATE('22000101','yyyymmdd'),'');</v>
      </c>
      <c r="B450" t="str">
        <f>IF(REGLAS!J451="OBSOLETO","","INSERT INTO INYCEXT.INYC_CONF_INF_REGLAS@tc_link (COD_INFORME,TABLA,NOMBRE,REGLA,F_INICIO,F_FIN,DESCRIPCION) VALUES ("&amp;REGLAS!B451&amp;",'"&amp;REGLAS!C451&amp;"','"&amp;REGLAS!D451&amp;"','"&amp;REGLAS!G451&amp;"',TO_DATE('"&amp;REGLAS!H451&amp;"','yyyymmdd'),TO_DATE('"&amp;REGLAS!I451&amp;"','yyyymmdd'),'"&amp;REGLAS!J451&amp;"');")</f>
        <v>INSERT INTO INYCEXT.INYC_CONF_INF_REGLAS@tc_link (COD_INFORME,TABLA,NOMBRE,REGLA,F_INICIO,F_FIN,DESCRIPCION) VALUES (8.1,'INYC_COLC_RESUMEN','Porcentaje Autofinanciación','SM-O-COLC-Inspector-Porcentaje-Autofinanciacion-Polizas-006',TO_DATE('20140101','yyyymmdd'),TO_DATE('22000101','yyyymmdd'),'');</v>
      </c>
    </row>
    <row r="451" spans="1:2" x14ac:dyDescent="0.25">
      <c r="A451" t="str">
        <f>IF(REGLAS!J452="OBSOLETO","","INSERT INTO INYCEXT.INYC_CONF_INF_REGLAS (COD_INFORME,TABLA,NOMBRE,REGLA,F_INICIO,F_FIN,DESCRIPCION) VALUES ("&amp;REGLAS!B452&amp;",'"&amp;REGLAS!C452&amp;"','"&amp;REGLAS!D452&amp;"','"&amp;REGLAS!G452&amp;"',TO_DATE('"&amp;REGLAS!H452&amp;"','yyyymmdd'),TO_DATE('"&amp;REGLAS!I452&amp;"','yyyymmdd'),'"&amp;REGLAS!J452&amp;"');")</f>
        <v/>
      </c>
      <c r="B451" t="str">
        <f>IF(REGLAS!J452="OBSOLETO","","INSERT INTO INYCEXT.INYC_CONF_INF_REGLAS@tc_link (COD_INFORME,TABLA,NOMBRE,REGLA,F_INICIO,F_FIN,DESCRIPCION) VALUES ("&amp;REGLAS!B452&amp;",'"&amp;REGLAS!C452&amp;"','"&amp;REGLAS!D452&amp;"','"&amp;REGLAS!G452&amp;"',TO_DATE('"&amp;REGLAS!H452&amp;"','yyyymmdd'),TO_DATE('"&amp;REGLAS!I452&amp;"','yyyymmdd'),'"&amp;REGLAS!J452&amp;"');")</f>
        <v/>
      </c>
    </row>
    <row r="452" spans="1:2" x14ac:dyDescent="0.25">
      <c r="A452" t="str">
        <f>IF(REGLAS!J453="OBSOLETO","","INSERT INTO INYCEXT.INYC_CONF_INF_REGLAS (COD_INFORME,TABLA,NOMBRE,REGLA,F_INICIO,F_FIN,DESCRIPCION) VALUES ("&amp;REGLAS!B453&amp;",'"&amp;REGLAS!C453&amp;"','"&amp;REGLAS!D453&amp;"','"&amp;REGLAS!G453&amp;"',TO_DATE('"&amp;REGLAS!H453&amp;"','yyyymmdd'),TO_DATE('"&amp;REGLAS!I453&amp;"','yyyymmdd'),'"&amp;REGLAS!J453&amp;"');")</f>
        <v>INSERT INTO INYCEXT.INYC_CONF_INF_REGLAS (COD_INFORME,TABLA,NOMBRE,REGLA,F_INICIO,F_FIN,DESCRIPCION) VALUES (8.1,'INYC_COLC_RESUMEN','Porcentaje Autofinanciación','SM-O-COLC-Inspector-Porcentaje-Autofinanciacion-Polizas-008',TO_DATE('20140101','yyyymmdd'),TO_DATE('22000101','yyyymmdd'),'');</v>
      </c>
      <c r="B452" t="str">
        <f>IF(REGLAS!J453="OBSOLETO","","INSERT INTO INYCEXT.INYC_CONF_INF_REGLAS@tc_link (COD_INFORME,TABLA,NOMBRE,REGLA,F_INICIO,F_FIN,DESCRIPCION) VALUES ("&amp;REGLAS!B453&amp;",'"&amp;REGLAS!C453&amp;"','"&amp;REGLAS!D453&amp;"','"&amp;REGLAS!G453&amp;"',TO_DATE('"&amp;REGLAS!H453&amp;"','yyyymmdd'),TO_DATE('"&amp;REGLAS!I453&amp;"','yyyymmdd'),'"&amp;REGLAS!J453&amp;"');")</f>
        <v>INSERT INTO INYCEXT.INYC_CONF_INF_REGLAS@tc_link (COD_INFORME,TABLA,NOMBRE,REGLA,F_INICIO,F_FIN,DESCRIPCION) VALUES (8.1,'INYC_COLC_RESUMEN','Porcentaje Autofinanciación','SM-O-COLC-Inspector-Porcentaje-Autofinanciacion-Polizas-008',TO_DATE('20140101','yyyymmdd'),TO_DATE('22000101','yyyymmdd'),'');</v>
      </c>
    </row>
    <row r="453" spans="1:2" x14ac:dyDescent="0.25">
      <c r="A453" t="str">
        <f>IF(REGLAS!J454="OBSOLETO","","INSERT INTO INYCEXT.INYC_CONF_INF_REGLAS (COD_INFORME,TABLA,NOMBRE,REGLA,F_INICIO,F_FIN,DESCRIPCION) VALUES ("&amp;REGLAS!B454&amp;",'"&amp;REGLAS!C454&amp;"','"&amp;REGLAS!D454&amp;"','"&amp;REGLAS!G454&amp;"',TO_DATE('"&amp;REGLAS!H454&amp;"','yyyymmdd'),TO_DATE('"&amp;REGLAS!I454&amp;"','yyyymmdd'),'"&amp;REGLAS!J454&amp;"');")</f>
        <v>INSERT INTO INYCEXT.INYC_CONF_INF_REGLAS (COD_INFORME,TABLA,NOMBRE,REGLA,F_INICIO,F_FIN,DESCRIPCION) VALUES (8.1,'INYC_COLC_RESUMEN','Porcentaje Autofinanciación','SM-O-COLC-Inspector-Porcentaje-Autofinanciacion-Polizas-009',TO_DATE('20140101','yyyymmdd'),TO_DATE('22000101','yyyymmdd'),'');</v>
      </c>
      <c r="B453" t="str">
        <f>IF(REGLAS!J454="OBSOLETO","","INSERT INTO INYCEXT.INYC_CONF_INF_REGLAS@tc_link (COD_INFORME,TABLA,NOMBRE,REGLA,F_INICIO,F_FIN,DESCRIPCION) VALUES ("&amp;REGLAS!B454&amp;",'"&amp;REGLAS!C454&amp;"','"&amp;REGLAS!D454&amp;"','"&amp;REGLAS!G454&amp;"',TO_DATE('"&amp;REGLAS!H454&amp;"','yyyymmdd'),TO_DATE('"&amp;REGLAS!I454&amp;"','yyyymmdd'),'"&amp;REGLAS!J454&amp;"');")</f>
        <v>INSERT INTO INYCEXT.INYC_CONF_INF_REGLAS@tc_link (COD_INFORME,TABLA,NOMBRE,REGLA,F_INICIO,F_FIN,DESCRIPCION) VALUES (8.1,'INYC_COLC_RESUMEN','Porcentaje Autofinanciación','SM-O-COLC-Inspector-Porcentaje-Autofinanciacion-Polizas-009',TO_DATE('20140101','yyyymmdd'),TO_DATE('22000101','yyyymmdd'),'');</v>
      </c>
    </row>
    <row r="454" spans="1:2" x14ac:dyDescent="0.25">
      <c r="A454" t="str">
        <f>IF(REGLAS!J455="OBSOLETO","","INSERT INTO INYCEXT.INYC_CONF_INF_REGLAS (COD_INFORME,TABLA,NOMBRE,REGLA,F_INICIO,F_FIN,DESCRIPCION) VALUES ("&amp;REGLAS!B455&amp;",'"&amp;REGLAS!C455&amp;"','"&amp;REGLAS!D455&amp;"','"&amp;REGLAS!G455&amp;"',TO_DATE('"&amp;REGLAS!H455&amp;"','yyyymmdd'),TO_DATE('"&amp;REGLAS!I455&amp;"','yyyymmdd'),'"&amp;REGLAS!J455&amp;"');")</f>
        <v>INSERT INTO INYCEXT.INYC_CONF_INF_REGLAS (COD_INFORME,TABLA,NOMBRE,REGLA,F_INICIO,F_FIN,DESCRIPCION) VALUES (8.1,'INYC_COLC_RESUMEN','Porcentaje Autofinanciación','SM-O-COLC-Inspector-Porcentaje-Autofinanciacion-PrimasPolizas-001',TO_DATE('20140101','yyyymmdd'),TO_DATE('22000101','yyyymmdd'),'');</v>
      </c>
      <c r="B454" t="str">
        <f>IF(REGLAS!J455="OBSOLETO","","INSERT INTO INYCEXT.INYC_CONF_INF_REGLAS@tc_link (COD_INFORME,TABLA,NOMBRE,REGLA,F_INICIO,F_FIN,DESCRIPCION) VALUES ("&amp;REGLAS!B455&amp;",'"&amp;REGLAS!C455&amp;"','"&amp;REGLAS!D455&amp;"','"&amp;REGLAS!G455&amp;"',TO_DATE('"&amp;REGLAS!H455&amp;"','yyyymmdd'),TO_DATE('"&amp;REGLAS!I455&amp;"','yyyymmdd'),'"&amp;REGLAS!J455&amp;"');")</f>
        <v>INSERT INTO INYCEXT.INYC_CONF_INF_REGLAS@tc_link (COD_INFORME,TABLA,NOMBRE,REGLA,F_INICIO,F_FIN,DESCRIPCION) VALUES (8.1,'INYC_COLC_RESUMEN','Porcentaje Autofinanciación','SM-O-COLC-Inspector-Porcentaje-Autofinanciacion-PrimasPolizas-001',TO_DATE('20140101','yyyymmdd'),TO_DATE('22000101','yyyymmdd'),'');</v>
      </c>
    </row>
    <row r="455" spans="1:2" x14ac:dyDescent="0.25">
      <c r="A455" t="str">
        <f>IF(REGLAS!J456="OBSOLETO","","INSERT INTO INYCEXT.INYC_CONF_INF_REGLAS (COD_INFORME,TABLA,NOMBRE,REGLA,F_INICIO,F_FIN,DESCRIPCION) VALUES ("&amp;REGLAS!B456&amp;",'"&amp;REGLAS!C456&amp;"','"&amp;REGLAS!D456&amp;"','"&amp;REGLAS!G456&amp;"',TO_DATE('"&amp;REGLAS!H456&amp;"','yyyymmdd'),TO_DATE('"&amp;REGLAS!I456&amp;"','yyyymmdd'),'"&amp;REGLAS!J456&amp;"');")</f>
        <v>INSERT INTO INYCEXT.INYC_CONF_INF_REGLAS (COD_INFORME,TABLA,NOMBRE,REGLA,F_INICIO,F_FIN,DESCRIPCION) VALUES (8.1,'INYC_COLC_RESUMEN','Porcentaje Autofinanciación','SM-O-COLC-Inspector-Porcentaje-Autofinanciacion-PrimasPolizas-002',TO_DATE('20140101','yyyymmdd'),TO_DATE('22000101','yyyymmdd'),'');</v>
      </c>
      <c r="B455" t="str">
        <f>IF(REGLAS!J456="OBSOLETO","","INSERT INTO INYCEXT.INYC_CONF_INF_REGLAS@tc_link (COD_INFORME,TABLA,NOMBRE,REGLA,F_INICIO,F_FIN,DESCRIPCION) VALUES ("&amp;REGLAS!B456&amp;",'"&amp;REGLAS!C456&amp;"','"&amp;REGLAS!D456&amp;"','"&amp;REGLAS!G456&amp;"',TO_DATE('"&amp;REGLAS!H456&amp;"','yyyymmdd'),TO_DATE('"&amp;REGLAS!I456&amp;"','yyyymmdd'),'"&amp;REGLAS!J456&amp;"');")</f>
        <v>INSERT INTO INYCEXT.INYC_CONF_INF_REGLAS@tc_link (COD_INFORME,TABLA,NOMBRE,REGLA,F_INICIO,F_FIN,DESCRIPCION) VALUES (8.1,'INYC_COLC_RESUMEN','Porcentaje Autofinanciación','SM-O-COLC-Inspector-Porcentaje-Autofinanciacion-PrimasPolizas-002',TO_DATE('20140101','yyyymmdd'),TO_DATE('22000101','yyyymmdd'),'');</v>
      </c>
    </row>
    <row r="456" spans="1:2" x14ac:dyDescent="0.25">
      <c r="A456" t="str">
        <f>IF(REGLAS!J457="OBSOLETO","","INSERT INTO INYCEXT.INYC_CONF_INF_REGLAS (COD_INFORME,TABLA,NOMBRE,REGLA,F_INICIO,F_FIN,DESCRIPCION) VALUES ("&amp;REGLAS!B457&amp;",'"&amp;REGLAS!C457&amp;"','"&amp;REGLAS!D457&amp;"','"&amp;REGLAS!G457&amp;"',TO_DATE('"&amp;REGLAS!H457&amp;"','yyyymmdd'),TO_DATE('"&amp;REGLAS!I457&amp;"','yyyymmdd'),'"&amp;REGLAS!J457&amp;"');")</f>
        <v>INSERT INTO INYCEXT.INYC_CONF_INF_REGLAS (COD_INFORME,TABLA,NOMBRE,REGLA,F_INICIO,F_FIN,DESCRIPCION) VALUES (8.1,'INYC_COLC_RESUMEN','Porcentaje Autofinanciación','SM-O-COLC-Inspector-Porcentaje-Autofinanciacion-PrimasPolizas-003',TO_DATE('20140101','yyyymmdd'),TO_DATE('22000101','yyyymmdd'),'');</v>
      </c>
      <c r="B456" t="str">
        <f>IF(REGLAS!J457="OBSOLETO","","INSERT INTO INYCEXT.INYC_CONF_INF_REGLAS@tc_link (COD_INFORME,TABLA,NOMBRE,REGLA,F_INICIO,F_FIN,DESCRIPCION) VALUES ("&amp;REGLAS!B457&amp;",'"&amp;REGLAS!C457&amp;"','"&amp;REGLAS!D457&amp;"','"&amp;REGLAS!G457&amp;"',TO_DATE('"&amp;REGLAS!H457&amp;"','yyyymmdd'),TO_DATE('"&amp;REGLAS!I457&amp;"','yyyymmdd'),'"&amp;REGLAS!J457&amp;"');")</f>
        <v>INSERT INTO INYCEXT.INYC_CONF_INF_REGLAS@tc_link (COD_INFORME,TABLA,NOMBRE,REGLA,F_INICIO,F_FIN,DESCRIPCION) VALUES (8.1,'INYC_COLC_RESUMEN','Porcentaje Autofinanciación','SM-O-COLC-Inspector-Porcentaje-Autofinanciacion-PrimasPolizas-003',TO_DATE('20140101','yyyymmdd'),TO_DATE('22000101','yyyymmdd'),'');</v>
      </c>
    </row>
    <row r="457" spans="1:2" x14ac:dyDescent="0.25">
      <c r="A457" t="str">
        <f>IF(REGLAS!J458="OBSOLETO","","INSERT INTO INYCEXT.INYC_CONF_INF_REGLAS (COD_INFORME,TABLA,NOMBRE,REGLA,F_INICIO,F_FIN,DESCRIPCION) VALUES ("&amp;REGLAS!B458&amp;",'"&amp;REGLAS!C458&amp;"','"&amp;REGLAS!D458&amp;"','"&amp;REGLAS!G458&amp;"',TO_DATE('"&amp;REGLAS!H458&amp;"','yyyymmdd'),TO_DATE('"&amp;REGLAS!I458&amp;"','yyyymmdd'),'"&amp;REGLAS!J458&amp;"');")</f>
        <v>INSERT INTO INYCEXT.INYC_CONF_INF_REGLAS (COD_INFORME,TABLA,NOMBRE,REGLA,F_INICIO,F_FIN,DESCRIPCION) VALUES (8.1,'INYC_COLC_RESUMEN','Porcentaje Autofinanciación','SM-O-COLC-Inspector-Porcentaje-Autofinanciacion-PrimasPolizas-004',TO_DATE('20140101','yyyymmdd'),TO_DATE('22000101','yyyymmdd'),'');</v>
      </c>
      <c r="B457" t="str">
        <f>IF(REGLAS!J458="OBSOLETO","","INSERT INTO INYCEXT.INYC_CONF_INF_REGLAS@tc_link (COD_INFORME,TABLA,NOMBRE,REGLA,F_INICIO,F_FIN,DESCRIPCION) VALUES ("&amp;REGLAS!B458&amp;",'"&amp;REGLAS!C458&amp;"','"&amp;REGLAS!D458&amp;"','"&amp;REGLAS!G458&amp;"',TO_DATE('"&amp;REGLAS!H458&amp;"','yyyymmdd'),TO_DATE('"&amp;REGLAS!I458&amp;"','yyyymmdd'),'"&amp;REGLAS!J458&amp;"');")</f>
        <v>INSERT INTO INYCEXT.INYC_CONF_INF_REGLAS@tc_link (COD_INFORME,TABLA,NOMBRE,REGLA,F_INICIO,F_FIN,DESCRIPCION) VALUES (8.1,'INYC_COLC_RESUMEN','Porcentaje Autofinanciación','SM-O-COLC-Inspector-Porcentaje-Autofinanciacion-PrimasPolizas-004',TO_DATE('20140101','yyyymmdd'),TO_DATE('22000101','yyyymmdd'),'');</v>
      </c>
    </row>
    <row r="458" spans="1:2" x14ac:dyDescent="0.25">
      <c r="A458" t="str">
        <f>IF(REGLAS!J459="OBSOLETO","","INSERT INTO INYCEXT.INYC_CONF_INF_REGLAS (COD_INFORME,TABLA,NOMBRE,REGLA,F_INICIO,F_FIN,DESCRIPCION) VALUES ("&amp;REGLAS!B459&amp;",'"&amp;REGLAS!C459&amp;"','"&amp;REGLAS!D459&amp;"','"&amp;REGLAS!G459&amp;"',TO_DATE('"&amp;REGLAS!H459&amp;"','yyyymmdd'),TO_DATE('"&amp;REGLAS!I459&amp;"','yyyymmdd'),'"&amp;REGLAS!J459&amp;"');")</f>
        <v>INSERT INTO INYCEXT.INYC_CONF_INF_REGLAS (COD_INFORME,TABLA,NOMBRE,REGLA,F_INICIO,F_FIN,DESCRIPCION) VALUES (8.1,'INYC_COLC_RESUMEN','Porcentaje Autofinanciación','SM-O-COLC-Inspector-Porcentaje-Autofinanciacion-PrimasPolizas-005',TO_DATE('20140101','yyyymmdd'),TO_DATE('22000101','yyyymmdd'),'');</v>
      </c>
      <c r="B458" t="str">
        <f>IF(REGLAS!J459="OBSOLETO","","INSERT INTO INYCEXT.INYC_CONF_INF_REGLAS@tc_link (COD_INFORME,TABLA,NOMBRE,REGLA,F_INICIO,F_FIN,DESCRIPCION) VALUES ("&amp;REGLAS!B459&amp;",'"&amp;REGLAS!C459&amp;"','"&amp;REGLAS!D459&amp;"','"&amp;REGLAS!G459&amp;"',TO_DATE('"&amp;REGLAS!H459&amp;"','yyyymmdd'),TO_DATE('"&amp;REGLAS!I459&amp;"','yyyymmdd'),'"&amp;REGLAS!J459&amp;"');")</f>
        <v>INSERT INTO INYCEXT.INYC_CONF_INF_REGLAS@tc_link (COD_INFORME,TABLA,NOMBRE,REGLA,F_INICIO,F_FIN,DESCRIPCION) VALUES (8.1,'INYC_COLC_RESUMEN','Porcentaje Autofinanciación','SM-O-COLC-Inspector-Porcentaje-Autofinanciacion-PrimasPolizas-005',TO_DATE('20140101','yyyymmdd'),TO_DATE('22000101','yyyymmdd'),'');</v>
      </c>
    </row>
    <row r="459" spans="1:2" x14ac:dyDescent="0.25">
      <c r="A459" t="str">
        <f>IF(REGLAS!J460="OBSOLETO","","INSERT INTO INYCEXT.INYC_CONF_INF_REGLAS (COD_INFORME,TABLA,NOMBRE,REGLA,F_INICIO,F_FIN,DESCRIPCION) VALUES ("&amp;REGLAS!B460&amp;",'"&amp;REGLAS!C460&amp;"','"&amp;REGLAS!D460&amp;"','"&amp;REGLAS!G460&amp;"',TO_DATE('"&amp;REGLAS!H460&amp;"','yyyymmdd'),TO_DATE('"&amp;REGLAS!I460&amp;"','yyyymmdd'),'"&amp;REGLAS!J460&amp;"');")</f>
        <v>INSERT INTO INYCEXT.INYC_CONF_INF_REGLAS (COD_INFORME,TABLA,NOMBRE,REGLA,F_INICIO,F_FIN,DESCRIPCION) VALUES (8.1,'INYC_COLC_RESUMEN','Porcentaje Autofinanciación','SM-O-COLC-Inspector-Porcentaje-Autofinanciacion-PrimasPolizas-006',TO_DATE('20140101','yyyymmdd'),TO_DATE('22000101','yyyymmdd'),'');</v>
      </c>
      <c r="B459" t="str">
        <f>IF(REGLAS!J460="OBSOLETO","","INSERT INTO INYCEXT.INYC_CONF_INF_REGLAS@tc_link (COD_INFORME,TABLA,NOMBRE,REGLA,F_INICIO,F_FIN,DESCRIPCION) VALUES ("&amp;REGLAS!B460&amp;",'"&amp;REGLAS!C460&amp;"','"&amp;REGLAS!D460&amp;"','"&amp;REGLAS!G460&amp;"',TO_DATE('"&amp;REGLAS!H460&amp;"','yyyymmdd'),TO_DATE('"&amp;REGLAS!I460&amp;"','yyyymmdd'),'"&amp;REGLAS!J460&amp;"');")</f>
        <v>INSERT INTO INYCEXT.INYC_CONF_INF_REGLAS@tc_link (COD_INFORME,TABLA,NOMBRE,REGLA,F_INICIO,F_FIN,DESCRIPCION) VALUES (8.1,'INYC_COLC_RESUMEN','Porcentaje Autofinanciación','SM-O-COLC-Inspector-Porcentaje-Autofinanciacion-PrimasPolizas-006',TO_DATE('20140101','yyyymmdd'),TO_DATE('22000101','yyyymmdd'),'');</v>
      </c>
    </row>
    <row r="460" spans="1:2" x14ac:dyDescent="0.25">
      <c r="A460" t="str">
        <f>IF(REGLAS!J461="OBSOLETO","","INSERT INTO INYCEXT.INYC_CONF_INF_REGLAS (COD_INFORME,TABLA,NOMBRE,REGLA,F_INICIO,F_FIN,DESCRIPCION) VALUES ("&amp;REGLAS!B461&amp;",'"&amp;REGLAS!C461&amp;"','"&amp;REGLAS!D461&amp;"','"&amp;REGLAS!G461&amp;"',TO_DATE('"&amp;REGLAS!H461&amp;"','yyyymmdd'),TO_DATE('"&amp;REGLAS!I461&amp;"','yyyymmdd'),'"&amp;REGLAS!J461&amp;"');")</f>
        <v/>
      </c>
      <c r="B460" t="str">
        <f>IF(REGLAS!J461="OBSOLETO","","INSERT INTO INYCEXT.INYC_CONF_INF_REGLAS@tc_link (COD_INFORME,TABLA,NOMBRE,REGLA,F_INICIO,F_FIN,DESCRIPCION) VALUES ("&amp;REGLAS!B461&amp;",'"&amp;REGLAS!C461&amp;"','"&amp;REGLAS!D461&amp;"','"&amp;REGLAS!G461&amp;"',TO_DATE('"&amp;REGLAS!H461&amp;"','yyyymmdd'),TO_DATE('"&amp;REGLAS!I461&amp;"','yyyymmdd'),'"&amp;REGLAS!J461&amp;"');")</f>
        <v/>
      </c>
    </row>
    <row r="461" spans="1:2" x14ac:dyDescent="0.25">
      <c r="A461" t="str">
        <f>IF(REGLAS!J462="OBSOLETO","","INSERT INTO INYCEXT.INYC_CONF_INF_REGLAS (COD_INFORME,TABLA,NOMBRE,REGLA,F_INICIO,F_FIN,DESCRIPCION) VALUES ("&amp;REGLAS!B462&amp;",'"&amp;REGLAS!C462&amp;"','"&amp;REGLAS!D462&amp;"','"&amp;REGLAS!G462&amp;"',TO_DATE('"&amp;REGLAS!H462&amp;"','yyyymmdd'),TO_DATE('"&amp;REGLAS!I462&amp;"','yyyymmdd'),'"&amp;REGLAS!J462&amp;"');")</f>
        <v>INSERT INTO INYCEXT.INYC_CONF_INF_REGLAS (COD_INFORME,TABLA,NOMBRE,REGLA,F_INICIO,F_FIN,DESCRIPCION) VALUES (8.1,'INYC_COLC_RESUMEN','Porcentaje Autofinanciación','SM-O-COLC-Inspector-Porcentaje-Autofinanciacion-PrimasPolizas-008',TO_DATE('20140101','yyyymmdd'),TO_DATE('22000101','yyyymmdd'),'');</v>
      </c>
      <c r="B461" t="str">
        <f>IF(REGLAS!J462="OBSOLETO","","INSERT INTO INYCEXT.INYC_CONF_INF_REGLAS@tc_link (COD_INFORME,TABLA,NOMBRE,REGLA,F_INICIO,F_FIN,DESCRIPCION) VALUES ("&amp;REGLAS!B462&amp;",'"&amp;REGLAS!C462&amp;"','"&amp;REGLAS!D462&amp;"','"&amp;REGLAS!G462&amp;"',TO_DATE('"&amp;REGLAS!H462&amp;"','yyyymmdd'),TO_DATE('"&amp;REGLAS!I462&amp;"','yyyymmdd'),'"&amp;REGLAS!J462&amp;"');")</f>
        <v>INSERT INTO INYCEXT.INYC_CONF_INF_REGLAS@tc_link (COD_INFORME,TABLA,NOMBRE,REGLA,F_INICIO,F_FIN,DESCRIPCION) VALUES (8.1,'INYC_COLC_RESUMEN','Porcentaje Autofinanciación','SM-O-COLC-Inspector-Porcentaje-Autofinanciacion-PrimasPolizas-008',TO_DATE('20140101','yyyymmdd'),TO_DATE('22000101','yyyymmdd'),'');</v>
      </c>
    </row>
    <row r="462" spans="1:2" x14ac:dyDescent="0.25">
      <c r="A462" t="str">
        <f>IF(REGLAS!J463="OBSOLETO","","INSERT INTO INYCEXT.INYC_CONF_INF_REGLAS (COD_INFORME,TABLA,NOMBRE,REGLA,F_INICIO,F_FIN,DESCRIPCION) VALUES ("&amp;REGLAS!B463&amp;",'"&amp;REGLAS!C463&amp;"','"&amp;REGLAS!D463&amp;"','"&amp;REGLAS!G463&amp;"',TO_DATE('"&amp;REGLAS!H463&amp;"','yyyymmdd'),TO_DATE('"&amp;REGLAS!I463&amp;"','yyyymmdd'),'"&amp;REGLAS!J463&amp;"');")</f>
        <v>INSERT INTO INYCEXT.INYC_CONF_INF_REGLAS (COD_INFORME,TABLA,NOMBRE,REGLA,F_INICIO,F_FIN,DESCRIPCION) VALUES (8.1,'INYC_COLC_RESUMEN','Porcentaje Autofinanciación','SM-O-COLC-Inspector-Porcentaje-Autofinanciacion-PrimasPolizas-009',TO_DATE('20140101','yyyymmdd'),TO_DATE('22000101','yyyymmdd'),'');</v>
      </c>
      <c r="B462" t="str">
        <f>IF(REGLAS!J463="OBSOLETO","","INSERT INTO INYCEXT.INYC_CONF_INF_REGLAS@tc_link (COD_INFORME,TABLA,NOMBRE,REGLA,F_INICIO,F_FIN,DESCRIPCION) VALUES ("&amp;REGLAS!B463&amp;",'"&amp;REGLAS!C463&amp;"','"&amp;REGLAS!D463&amp;"','"&amp;REGLAS!G463&amp;"',TO_DATE('"&amp;REGLAS!H463&amp;"','yyyymmdd'),TO_DATE('"&amp;REGLAS!I463&amp;"','yyyymmdd'),'"&amp;REGLAS!J463&amp;"');")</f>
        <v>INSERT INTO INYCEXT.INYC_CONF_INF_REGLAS@tc_link (COD_INFORME,TABLA,NOMBRE,REGLA,F_INICIO,F_FIN,DESCRIPCION) VALUES (8.1,'INYC_COLC_RESUMEN','Porcentaje Autofinanciación','SM-O-COLC-Inspector-Porcentaje-Autofinanciacion-PrimasPolizas-009',TO_DATE('20140101','yyyymmdd'),TO_DATE('22000101','yyyymmdd'),'');</v>
      </c>
    </row>
    <row r="463" spans="1:2" x14ac:dyDescent="0.25">
      <c r="A463" t="str">
        <f>IF(REGLAS!J464="OBSOLETO","","INSERT INTO INYCEXT.INYC_CONF_INF_REGLAS (COD_INFORME,TABLA,NOMBRE,REGLA,F_INICIO,F_FIN,DESCRIPCION) VALUES ("&amp;REGLAS!B464&amp;",'"&amp;REGLAS!C464&amp;"','"&amp;REGLAS!D464&amp;"','"&amp;REGLAS!G464&amp;"',TO_DATE('"&amp;REGLAS!H464&amp;"','yyyymmdd'),TO_DATE('"&amp;REGLAS!I464&amp;"','yyyymmdd'),'"&amp;REGLAS!J464&amp;"');")</f>
        <v>INSERT INTO INYCEXT.INYC_CONF_INF_REGLAS (COD_INFORME,TABLA,NOMBRE,REGLA,F_INICIO,F_FIN,DESCRIPCION) VALUES (8.1,'INYC_COLC_RESUMEN','Pago','SM-O-COLC-Inspector-Pago-001',TO_DATE('20140101','yyyymmdd'),TO_DATE('22000101','yyyymmdd'),'');</v>
      </c>
      <c r="B463" t="str">
        <f>IF(REGLAS!J464="OBSOLETO","","INSERT INTO INYCEXT.INYC_CONF_INF_REGLAS@tc_link (COD_INFORME,TABLA,NOMBRE,REGLA,F_INICIO,F_FIN,DESCRIPCION) VALUES ("&amp;REGLAS!B464&amp;",'"&amp;REGLAS!C464&amp;"','"&amp;REGLAS!D464&amp;"','"&amp;REGLAS!G464&amp;"',TO_DATE('"&amp;REGLAS!H464&amp;"','yyyymmdd'),TO_DATE('"&amp;REGLAS!I464&amp;"','yyyymmdd'),'"&amp;REGLAS!J464&amp;"');")</f>
        <v>INSERT INTO INYCEXT.INYC_CONF_INF_REGLAS@tc_link (COD_INFORME,TABLA,NOMBRE,REGLA,F_INICIO,F_FIN,DESCRIPCION) VALUES (8.1,'INYC_COLC_RESUMEN','Pago','SM-O-COLC-Inspector-Pago-001',TO_DATE('20140101','yyyymmdd'),TO_DATE('22000101','yyyymmdd'),'');</v>
      </c>
    </row>
    <row r="464" spans="1:2" x14ac:dyDescent="0.25">
      <c r="A464" t="str">
        <f>IF(REGLAS!J465="OBSOLETO","","INSERT INTO INYCEXT.INYC_CONF_INF_REGLAS (COD_INFORME,TABLA,NOMBRE,REGLA,F_INICIO,F_FIN,DESCRIPCION) VALUES ("&amp;REGLAS!B465&amp;",'"&amp;REGLAS!C465&amp;"','"&amp;REGLAS!D465&amp;"','"&amp;REGLAS!G465&amp;"',TO_DATE('"&amp;REGLAS!H465&amp;"','yyyymmdd'),TO_DATE('"&amp;REGLAS!I465&amp;"','yyyymmdd'),'"&amp;REGLAS!J465&amp;"');")</f>
        <v>INSERT INTO INYCEXT.INYC_CONF_INF_REGLAS (COD_INFORME,TABLA,NOMBRE,REGLA,F_INICIO,F_FIN,DESCRIPCION) VALUES (8.1,'INYC_COLC_RESUMEN','Pago','SM-O-COLC-Inspector-Pago-002',TO_DATE('20140101','yyyymmdd'),TO_DATE('22000101','yyyymmdd'),'');</v>
      </c>
      <c r="B464" t="str">
        <f>IF(REGLAS!J465="OBSOLETO","","INSERT INTO INYCEXT.INYC_CONF_INF_REGLAS@tc_link (COD_INFORME,TABLA,NOMBRE,REGLA,F_INICIO,F_FIN,DESCRIPCION) VALUES ("&amp;REGLAS!B465&amp;",'"&amp;REGLAS!C465&amp;"','"&amp;REGLAS!D465&amp;"','"&amp;REGLAS!G465&amp;"',TO_DATE('"&amp;REGLAS!H465&amp;"','yyyymmdd'),TO_DATE('"&amp;REGLAS!I465&amp;"','yyyymmdd'),'"&amp;REGLAS!J465&amp;"');")</f>
        <v>INSERT INTO INYCEXT.INYC_CONF_INF_REGLAS@tc_link (COD_INFORME,TABLA,NOMBRE,REGLA,F_INICIO,F_FIN,DESCRIPCION) VALUES (8.1,'INYC_COLC_RESUMEN','Pago','SM-O-COLC-Inspector-Pago-002',TO_DATE('20140101','yyyymmdd'),TO_DATE('22000101','yyyymmdd'),'');</v>
      </c>
    </row>
    <row r="465" spans="1:2" x14ac:dyDescent="0.25">
      <c r="A465" t="str">
        <f>IF(REGLAS!J466="OBSOLETO","","INSERT INTO INYCEXT.INYC_CONF_INF_REGLAS (COD_INFORME,TABLA,NOMBRE,REGLA,F_INICIO,F_FIN,DESCRIPCION) VALUES ("&amp;REGLAS!B466&amp;",'"&amp;REGLAS!C466&amp;"','"&amp;REGLAS!D466&amp;"','"&amp;REGLAS!G466&amp;"',TO_DATE('"&amp;REGLAS!H466&amp;"','yyyymmdd'),TO_DATE('"&amp;REGLAS!I466&amp;"','yyyymmdd'),'"&amp;REGLAS!J466&amp;"');")</f>
        <v>INSERT INTO INYCEXT.INYC_CONF_INF_REGLAS (COD_INFORME,TABLA,NOMBRE,REGLA,F_INICIO,F_FIN,DESCRIPCION) VALUES (8.1,'INYC_COLC_RESUMEN','Pago','SM-O-COLC-Inspector-Pago-003',TO_DATE('20140101','yyyymmdd'),TO_DATE('22000101','yyyymmdd'),'');</v>
      </c>
      <c r="B465" t="str">
        <f>IF(REGLAS!J466="OBSOLETO","","INSERT INTO INYCEXT.INYC_CONF_INF_REGLAS@tc_link (COD_INFORME,TABLA,NOMBRE,REGLA,F_INICIO,F_FIN,DESCRIPCION) VALUES ("&amp;REGLAS!B466&amp;",'"&amp;REGLAS!C466&amp;"','"&amp;REGLAS!D466&amp;"','"&amp;REGLAS!G466&amp;"',TO_DATE('"&amp;REGLAS!H466&amp;"','yyyymmdd'),TO_DATE('"&amp;REGLAS!I466&amp;"','yyyymmdd'),'"&amp;REGLAS!J466&amp;"');")</f>
        <v>INSERT INTO INYCEXT.INYC_CONF_INF_REGLAS@tc_link (COD_INFORME,TABLA,NOMBRE,REGLA,F_INICIO,F_FIN,DESCRIPCION) VALUES (8.1,'INYC_COLC_RESUMEN','Pago','SM-O-COLC-Inspector-Pago-003',TO_DATE('20140101','yyyymmdd'),TO_DATE('22000101','yyyymmdd'),'');</v>
      </c>
    </row>
    <row r="466" spans="1:2" x14ac:dyDescent="0.25">
      <c r="A466" t="str">
        <f>IF(REGLAS!J467="OBSOLETO","","INSERT INTO INYCEXT.INYC_CONF_INF_REGLAS (COD_INFORME,TABLA,NOMBRE,REGLA,F_INICIO,F_FIN,DESCRIPCION) VALUES ("&amp;REGLAS!B467&amp;",'"&amp;REGLAS!C467&amp;"','"&amp;REGLAS!D467&amp;"','"&amp;REGLAS!G467&amp;"',TO_DATE('"&amp;REGLAS!H467&amp;"','yyyymmdd'),TO_DATE('"&amp;REGLAS!I467&amp;"','yyyymmdd'),'"&amp;REGLAS!J467&amp;"');")</f>
        <v>INSERT INTO INYCEXT.INYC_CONF_INF_REGLAS (COD_INFORME,TABLA,NOMBRE,REGLA,F_INICIO,F_FIN,DESCRIPCION) VALUES (8.1,'INYC_COLC_RESUMEN','Pago','SM-O-COLC-Inspector-Pago-004',TO_DATE('20140101','yyyymmdd'),TO_DATE('22000101','yyyymmdd'),'');</v>
      </c>
      <c r="B466" t="str">
        <f>IF(REGLAS!J467="OBSOLETO","","INSERT INTO INYCEXT.INYC_CONF_INF_REGLAS@tc_link (COD_INFORME,TABLA,NOMBRE,REGLA,F_INICIO,F_FIN,DESCRIPCION) VALUES ("&amp;REGLAS!B467&amp;",'"&amp;REGLAS!C467&amp;"','"&amp;REGLAS!D467&amp;"','"&amp;REGLAS!G467&amp;"',TO_DATE('"&amp;REGLAS!H467&amp;"','yyyymmdd'),TO_DATE('"&amp;REGLAS!I467&amp;"','yyyymmdd'),'"&amp;REGLAS!J467&amp;"');")</f>
        <v>INSERT INTO INYCEXT.INYC_CONF_INF_REGLAS@tc_link (COD_INFORME,TABLA,NOMBRE,REGLA,F_INICIO,F_FIN,DESCRIPCION) VALUES (8.1,'INYC_COLC_RESUMEN','Pago','SM-O-COLC-Inspector-Pago-004',TO_DATE('20140101','yyyymmdd'),TO_DATE('22000101','yyyymmdd'),'');</v>
      </c>
    </row>
    <row r="467" spans="1:2" x14ac:dyDescent="0.25">
      <c r="A467" t="str">
        <f>IF(REGLAS!J468="OBSOLETO","","INSERT INTO INYCEXT.INYC_CONF_INF_REGLAS (COD_INFORME,TABLA,NOMBRE,REGLA,F_INICIO,F_FIN,DESCRIPCION) VALUES ("&amp;REGLAS!B468&amp;",'"&amp;REGLAS!C468&amp;"','"&amp;REGLAS!D468&amp;"','"&amp;REGLAS!G468&amp;"',TO_DATE('"&amp;REGLAS!H468&amp;"','yyyymmdd'),TO_DATE('"&amp;REGLAS!I468&amp;"','yyyymmdd'),'"&amp;REGLAS!J468&amp;"');")</f>
        <v>INSERT INTO INYCEXT.INYC_CONF_INF_REGLAS (COD_INFORME,TABLA,NOMBRE,REGLA,F_INICIO,F_FIN,DESCRIPCION) VALUES (8.1,'INYC_COLC_RESUMEN','Pago','SM-O-COLC-Inspector-Pago-005',TO_DATE('20140101','yyyymmdd'),TO_DATE('22000101','yyyymmdd'),'');</v>
      </c>
      <c r="B467" t="str">
        <f>IF(REGLAS!J468="OBSOLETO","","INSERT INTO INYCEXT.INYC_CONF_INF_REGLAS@tc_link (COD_INFORME,TABLA,NOMBRE,REGLA,F_INICIO,F_FIN,DESCRIPCION) VALUES ("&amp;REGLAS!B468&amp;",'"&amp;REGLAS!C468&amp;"','"&amp;REGLAS!D468&amp;"','"&amp;REGLAS!G468&amp;"',TO_DATE('"&amp;REGLAS!H468&amp;"','yyyymmdd'),TO_DATE('"&amp;REGLAS!I468&amp;"','yyyymmdd'),'"&amp;REGLAS!J468&amp;"');")</f>
        <v>INSERT INTO INYCEXT.INYC_CONF_INF_REGLAS@tc_link (COD_INFORME,TABLA,NOMBRE,REGLA,F_INICIO,F_FIN,DESCRIPCION) VALUES (8.1,'INYC_COLC_RESUMEN','Pago','SM-O-COLC-Inspector-Pago-005',TO_DATE('20140101','yyyymmdd'),TO_DATE('22000101','yyyymmdd'),'');</v>
      </c>
    </row>
    <row r="468" spans="1:2" x14ac:dyDescent="0.25">
      <c r="A468" t="str">
        <f>IF(REGLAS!J469="OBSOLETO","","INSERT INTO INYCEXT.INYC_CONF_INF_REGLAS (COD_INFORME,TABLA,NOMBRE,REGLA,F_INICIO,F_FIN,DESCRIPCION) VALUES ("&amp;REGLAS!B469&amp;",'"&amp;REGLAS!C469&amp;"','"&amp;REGLAS!D469&amp;"','"&amp;REGLAS!G469&amp;"',TO_DATE('"&amp;REGLAS!H469&amp;"','yyyymmdd'),TO_DATE('"&amp;REGLAS!I469&amp;"','yyyymmdd'),'"&amp;REGLAS!J469&amp;"');")</f>
        <v>INSERT INTO INYCEXT.INYC_CONF_INF_REGLAS (COD_INFORME,TABLA,NOMBRE,REGLA,F_INICIO,F_FIN,DESCRIPCION) VALUES (8.1,'INYC_COLC_RESUMEN','Pago','SM-O-COLC-Inspector-Pago-006',TO_DATE('20140101','yyyymmdd'),TO_DATE('22000101','yyyymmdd'),'');</v>
      </c>
      <c r="B468" t="str">
        <f>IF(REGLAS!J469="OBSOLETO","","INSERT INTO INYCEXT.INYC_CONF_INF_REGLAS@tc_link (COD_INFORME,TABLA,NOMBRE,REGLA,F_INICIO,F_FIN,DESCRIPCION) VALUES ("&amp;REGLAS!B469&amp;",'"&amp;REGLAS!C469&amp;"','"&amp;REGLAS!D469&amp;"','"&amp;REGLAS!G469&amp;"',TO_DATE('"&amp;REGLAS!H469&amp;"','yyyymmdd'),TO_DATE('"&amp;REGLAS!I469&amp;"','yyyymmdd'),'"&amp;REGLAS!J469&amp;"');")</f>
        <v>INSERT INTO INYCEXT.INYC_CONF_INF_REGLAS@tc_link (COD_INFORME,TABLA,NOMBRE,REGLA,F_INICIO,F_FIN,DESCRIPCION) VALUES (8.1,'INYC_COLC_RESUMEN','Pago','SM-O-COLC-Inspector-Pago-006',TO_DATE('20140101','yyyymmdd'),TO_DATE('22000101','yyyymmdd'),'');</v>
      </c>
    </row>
    <row r="469" spans="1:2" x14ac:dyDescent="0.25">
      <c r="A469" t="str">
        <f>IF(REGLAS!J470="OBSOLETO","","INSERT INTO INYCEXT.INYC_CONF_INF_REGLAS (COD_INFORME,TABLA,NOMBRE,REGLA,F_INICIO,F_FIN,DESCRIPCION) VALUES ("&amp;REGLAS!B470&amp;",'"&amp;REGLAS!C470&amp;"','"&amp;REGLAS!D470&amp;"','"&amp;REGLAS!G470&amp;"',TO_DATE('"&amp;REGLAS!H470&amp;"','yyyymmdd'),TO_DATE('"&amp;REGLAS!I470&amp;"','yyyymmdd'),'"&amp;REGLAS!J470&amp;"');")</f>
        <v/>
      </c>
      <c r="B469" t="str">
        <f>IF(REGLAS!J470="OBSOLETO","","INSERT INTO INYCEXT.INYC_CONF_INF_REGLAS@tc_link (COD_INFORME,TABLA,NOMBRE,REGLA,F_INICIO,F_FIN,DESCRIPCION) VALUES ("&amp;REGLAS!B470&amp;",'"&amp;REGLAS!C470&amp;"','"&amp;REGLAS!D470&amp;"','"&amp;REGLAS!G470&amp;"',TO_DATE('"&amp;REGLAS!H470&amp;"','yyyymmdd'),TO_DATE('"&amp;REGLAS!I470&amp;"','yyyymmdd'),'"&amp;REGLAS!J470&amp;"');")</f>
        <v/>
      </c>
    </row>
    <row r="470" spans="1:2" x14ac:dyDescent="0.25">
      <c r="A470" t="str">
        <f>IF(REGLAS!J471="OBSOLETO","","INSERT INTO INYCEXT.INYC_CONF_INF_REGLAS (COD_INFORME,TABLA,NOMBRE,REGLA,F_INICIO,F_FIN,DESCRIPCION) VALUES ("&amp;REGLAS!B471&amp;",'"&amp;REGLAS!C471&amp;"','"&amp;REGLAS!D471&amp;"','"&amp;REGLAS!G471&amp;"',TO_DATE('"&amp;REGLAS!H471&amp;"','yyyymmdd'),TO_DATE('"&amp;REGLAS!I471&amp;"','yyyymmdd'),'"&amp;REGLAS!J471&amp;"');")</f>
        <v>INSERT INTO INYCEXT.INYC_CONF_INF_REGLAS (COD_INFORME,TABLA,NOMBRE,REGLA,F_INICIO,F_FIN,DESCRIPCION) VALUES (8.1,'INYC_COLC_RESUMEN','Pago','SM-O-COLC-Inspector-Pago-008',TO_DATE('20140101','yyyymmdd'),TO_DATE('22000101','yyyymmdd'),'');</v>
      </c>
      <c r="B470" t="str">
        <f>IF(REGLAS!J471="OBSOLETO","","INSERT INTO INYCEXT.INYC_CONF_INF_REGLAS@tc_link (COD_INFORME,TABLA,NOMBRE,REGLA,F_INICIO,F_FIN,DESCRIPCION) VALUES ("&amp;REGLAS!B471&amp;",'"&amp;REGLAS!C471&amp;"','"&amp;REGLAS!D471&amp;"','"&amp;REGLAS!G471&amp;"',TO_DATE('"&amp;REGLAS!H471&amp;"','yyyymmdd'),TO_DATE('"&amp;REGLAS!I471&amp;"','yyyymmdd'),'"&amp;REGLAS!J471&amp;"');")</f>
        <v>INSERT INTO INYCEXT.INYC_CONF_INF_REGLAS@tc_link (COD_INFORME,TABLA,NOMBRE,REGLA,F_INICIO,F_FIN,DESCRIPCION) VALUES (8.1,'INYC_COLC_RESUMEN','Pago','SM-O-COLC-Inspector-Pago-008',TO_DATE('20140101','yyyymmdd'),TO_DATE('22000101','yyyymmdd'),'');</v>
      </c>
    </row>
    <row r="471" spans="1:2" x14ac:dyDescent="0.25">
      <c r="A471" t="str">
        <f>IF(REGLAS!J472="OBSOLETO","","INSERT INTO INYCEXT.INYC_CONF_INF_REGLAS (COD_INFORME,TABLA,NOMBRE,REGLA,F_INICIO,F_FIN,DESCRIPCION) VALUES ("&amp;REGLAS!B472&amp;",'"&amp;REGLAS!C472&amp;"','"&amp;REGLAS!D472&amp;"','"&amp;REGLAS!G472&amp;"',TO_DATE('"&amp;REGLAS!H472&amp;"','yyyymmdd'),TO_DATE('"&amp;REGLAS!I472&amp;"','yyyymmdd'),'"&amp;REGLAS!J472&amp;"');")</f>
        <v>INSERT INTO INYCEXT.INYC_CONF_INF_REGLAS (COD_INFORME,TABLA,NOMBRE,REGLA,F_INICIO,F_FIN,DESCRIPCION) VALUES (8.1,'INYC_COLC_RESUMEN','Pago','SM-O-COLC-Inspector-Pago-009',TO_DATE('20140101','yyyymmdd'),TO_DATE('22000101','yyyymmdd'),'');</v>
      </c>
      <c r="B471" t="str">
        <f>IF(REGLAS!J472="OBSOLETO","","INSERT INTO INYCEXT.INYC_CONF_INF_REGLAS@tc_link (COD_INFORME,TABLA,NOMBRE,REGLA,F_INICIO,F_FIN,DESCRIPCION) VALUES ("&amp;REGLAS!B472&amp;",'"&amp;REGLAS!C472&amp;"','"&amp;REGLAS!D472&amp;"','"&amp;REGLAS!G472&amp;"',TO_DATE('"&amp;REGLAS!H472&amp;"','yyyymmdd'),TO_DATE('"&amp;REGLAS!I472&amp;"','yyyymmdd'),'"&amp;REGLAS!J472&amp;"');")</f>
        <v>INSERT INTO INYCEXT.INYC_CONF_INF_REGLAS@tc_link (COD_INFORME,TABLA,NOMBRE,REGLA,F_INICIO,F_FIN,DESCRIPCION) VALUES (8.1,'INYC_COLC_RESUMEN','Pago','SM-O-COLC-Inspector-Pago-009',TO_DATE('20140101','yyyymmdd'),TO_DATE('22000101','yyyymmdd'),'');</v>
      </c>
    </row>
    <row r="472" spans="1:2" x14ac:dyDescent="0.25">
      <c r="A472" t="str">
        <f>IF(REGLAS!J473="OBSOLETO","","INSERT INTO INYCEXT.INYC_CONF_INF_REGLAS (COD_INFORME,TABLA,NOMBRE,REGLA,F_INICIO,F_FIN,DESCRIPCION) VALUES ("&amp;REGLAS!B473&amp;",'"&amp;REGLAS!C473&amp;"','"&amp;REGLAS!D473&amp;"','"&amp;REGLAS!G473&amp;"',TO_DATE('"&amp;REGLAS!H473&amp;"','yyyymmdd'),TO_DATE('"&amp;REGLAS!I473&amp;"','yyyymmdd'),'"&amp;REGLAS!J473&amp;"');")</f>
        <v>INSERT INTO INYCEXT.INYC_CONF_INF_REGLAS (COD_INFORME,TABLA,NOMBRE,REGLA,F_INICIO,F_FIN,DESCRIPCION) VALUES (8.1,'INYC_COLC_RESUMEN','Pago','SM-O-COLC-Inspector-Pago-Total',TO_DATE('20140101','yyyymmdd'),TO_DATE('22000101','yyyymmdd'),'');</v>
      </c>
      <c r="B472" t="str">
        <f>IF(REGLAS!J473="OBSOLETO","","INSERT INTO INYCEXT.INYC_CONF_INF_REGLAS@tc_link (COD_INFORME,TABLA,NOMBRE,REGLA,F_INICIO,F_FIN,DESCRIPCION) VALUES ("&amp;REGLAS!B473&amp;",'"&amp;REGLAS!C473&amp;"','"&amp;REGLAS!D473&amp;"','"&amp;REGLAS!G473&amp;"',TO_DATE('"&amp;REGLAS!H473&amp;"','yyyymmdd'),TO_DATE('"&amp;REGLAS!I473&amp;"','yyyymmdd'),'"&amp;REGLAS!J473&amp;"');")</f>
        <v>INSERT INTO INYCEXT.INYC_CONF_INF_REGLAS@tc_link (COD_INFORME,TABLA,NOMBRE,REGLA,F_INICIO,F_FIN,DESCRIPCION) VALUES (8.1,'INYC_COLC_RESUMEN','Pago','SM-O-COLC-Inspector-Pago-Total',TO_DATE('20140101','yyyymmdd'),TO_DATE('22000101','yyyymmdd'),'');</v>
      </c>
    </row>
    <row r="473" spans="1:2" x14ac:dyDescent="0.25">
      <c r="A473" t="str">
        <f>IF(REGLAS!J474="OBSOLETO","","INSERT INTO INYCEXT.INYC_CONF_INF_REGLAS (COD_INFORME,TABLA,NOMBRE,REGLA,F_INICIO,F_FIN,DESCRIPCION) VALUES ("&amp;REGLAS!B474&amp;",'"&amp;REGLAS!C474&amp;"','"&amp;REGLAS!D474&amp;"','"&amp;REGLAS!G474&amp;"',TO_DATE('"&amp;REGLAS!H474&amp;"','yyyymmdd'),TO_DATE('"&amp;REGLAS!I474&amp;"','yyyymmdd'),'"&amp;REGLAS!J474&amp;"');")</f>
        <v/>
      </c>
      <c r="B473" t="str">
        <f>IF(REGLAS!J474="OBSOLETO","","INSERT INTO INYCEXT.INYC_CONF_INF_REGLAS@tc_link (COD_INFORME,TABLA,NOMBRE,REGLA,F_INICIO,F_FIN,DESCRIPCION) VALUES ("&amp;REGLAS!B474&amp;",'"&amp;REGLAS!C474&amp;"','"&amp;REGLAS!D474&amp;"','"&amp;REGLAS!G474&amp;"',TO_DATE('"&amp;REGLAS!H474&amp;"','yyyymmdd'),TO_DATE('"&amp;REGLAS!I474&amp;"','yyyymmdd'),'"&amp;REGLAS!J474&amp;"');")</f>
        <v/>
      </c>
    </row>
    <row r="474" spans="1:2" x14ac:dyDescent="0.25">
      <c r="A474" t="str">
        <f>IF(REGLAS!J475="OBSOLETO","","INSERT INTO INYCEXT.INYC_CONF_INF_REGLAS (COD_INFORME,TABLA,NOMBRE,REGLA,F_INICIO,F_FIN,DESCRIPCION) VALUES ("&amp;REGLAS!B475&amp;",'"&amp;REGLAS!C475&amp;"','"&amp;REGLAS!D475&amp;"','"&amp;REGLAS!G475&amp;"',TO_DATE('"&amp;REGLAS!H475&amp;"','yyyymmdd'),TO_DATE('"&amp;REGLAS!I475&amp;"','yyyymmdd'),'"&amp;REGLAS!J475&amp;"');")</f>
        <v/>
      </c>
      <c r="B474" t="str">
        <f>IF(REGLAS!J475="OBSOLETO","","INSERT INTO INYCEXT.INYC_CONF_INF_REGLAS@tc_link (COD_INFORME,TABLA,NOMBRE,REGLA,F_INICIO,F_FIN,DESCRIPCION) VALUES ("&amp;REGLAS!B475&amp;",'"&amp;REGLAS!C475&amp;"','"&amp;REGLAS!D475&amp;"','"&amp;REGLAS!G475&amp;"',TO_DATE('"&amp;REGLAS!H475&amp;"','yyyymmdd'),TO_DATE('"&amp;REGLAS!I475&amp;"','yyyymmdd'),'"&amp;REGLAS!J475&amp;"');")</f>
        <v/>
      </c>
    </row>
    <row r="475" spans="1:2" x14ac:dyDescent="0.25">
      <c r="A475" t="str">
        <f>IF(REGLAS!J476="OBSOLETO","","INSERT INTO INYCEXT.INYC_CONF_INF_REGLAS (COD_INFORME,TABLA,NOMBRE,REGLA,F_INICIO,F_FIN,DESCRIPCION) VALUES ("&amp;REGLAS!B476&amp;",'"&amp;REGLAS!C476&amp;"','"&amp;REGLAS!D476&amp;"','"&amp;REGLAS!G476&amp;"',TO_DATE('"&amp;REGLAS!H476&amp;"','yyyymmdd'),TO_DATE('"&amp;REGLAS!I476&amp;"','yyyymmdd'),'"&amp;REGLAS!J476&amp;"');")</f>
        <v/>
      </c>
      <c r="B475" t="str">
        <f>IF(REGLAS!J476="OBSOLETO","","INSERT INTO INYCEXT.INYC_CONF_INF_REGLAS@tc_link (COD_INFORME,TABLA,NOMBRE,REGLA,F_INICIO,F_FIN,DESCRIPCION) VALUES ("&amp;REGLAS!B476&amp;",'"&amp;REGLAS!C476&amp;"','"&amp;REGLAS!D476&amp;"','"&amp;REGLAS!G476&amp;"',TO_DATE('"&amp;REGLAS!H476&amp;"','yyyymmdd'),TO_DATE('"&amp;REGLAS!I476&amp;"','yyyymmdd'),'"&amp;REGLAS!J476&amp;"');")</f>
        <v/>
      </c>
    </row>
    <row r="476" spans="1:2" x14ac:dyDescent="0.25">
      <c r="A476" t="str">
        <f>IF(REGLAS!J477="OBSOLETO","","INSERT INTO INYCEXT.INYC_CONF_INF_REGLAS (COD_INFORME,TABLA,NOMBRE,REGLA,F_INICIO,F_FIN,DESCRIPCION) VALUES ("&amp;REGLAS!B477&amp;",'"&amp;REGLAS!C477&amp;"','"&amp;REGLAS!D477&amp;"','"&amp;REGLAS!G477&amp;"',TO_DATE('"&amp;REGLAS!H477&amp;"','yyyymmdd'),TO_DATE('"&amp;REGLAS!I477&amp;"','yyyymmdd'),'"&amp;REGLAS!J477&amp;"');")</f>
        <v/>
      </c>
      <c r="B476" t="str">
        <f>IF(REGLAS!J477="OBSOLETO","","INSERT INTO INYCEXT.INYC_CONF_INF_REGLAS@tc_link (COD_INFORME,TABLA,NOMBRE,REGLA,F_INICIO,F_FIN,DESCRIPCION) VALUES ("&amp;REGLAS!B477&amp;",'"&amp;REGLAS!C477&amp;"','"&amp;REGLAS!D477&amp;"','"&amp;REGLAS!G477&amp;"',TO_DATE('"&amp;REGLAS!H477&amp;"','yyyymmdd'),TO_DATE('"&amp;REGLAS!I477&amp;"','yyyymmdd'),'"&amp;REGLAS!J477&amp;"');")</f>
        <v/>
      </c>
    </row>
    <row r="477" spans="1:2" x14ac:dyDescent="0.25">
      <c r="A477" t="str">
        <f>IF(REGLAS!J478="OBSOLETO","","INSERT INTO INYCEXT.INYC_CONF_INF_REGLAS (COD_INFORME,TABLA,NOMBRE,REGLA,F_INICIO,F_FIN,DESCRIPCION) VALUES ("&amp;REGLAS!B478&amp;",'"&amp;REGLAS!C478&amp;"','"&amp;REGLAS!D478&amp;"','"&amp;REGLAS!G478&amp;"',TO_DATE('"&amp;REGLAS!H478&amp;"','yyyymmdd'),TO_DATE('"&amp;REGLAS!I478&amp;"','yyyymmdd'),'"&amp;REGLAS!J478&amp;"');")</f>
        <v/>
      </c>
      <c r="B477" t="str">
        <f>IF(REGLAS!J478="OBSOLETO","","INSERT INTO INYCEXT.INYC_CONF_INF_REGLAS@tc_link (COD_INFORME,TABLA,NOMBRE,REGLA,F_INICIO,F_FIN,DESCRIPCION) VALUES ("&amp;REGLAS!B478&amp;",'"&amp;REGLAS!C478&amp;"','"&amp;REGLAS!D478&amp;"','"&amp;REGLAS!G478&amp;"',TO_DATE('"&amp;REGLAS!H478&amp;"','yyyymmdd'),TO_DATE('"&amp;REGLAS!I478&amp;"','yyyymmdd'),'"&amp;REGLAS!J478&amp;"');")</f>
        <v/>
      </c>
    </row>
    <row r="478" spans="1:2" x14ac:dyDescent="0.25">
      <c r="A478" t="str">
        <f>IF(REGLAS!J479="OBSOLETO","","INSERT INTO INYCEXT.INYC_CONF_INF_REGLAS (COD_INFORME,TABLA,NOMBRE,REGLA,F_INICIO,F_FIN,DESCRIPCION) VALUES ("&amp;REGLAS!B479&amp;",'"&amp;REGLAS!C479&amp;"','"&amp;REGLAS!D479&amp;"','"&amp;REGLAS!G479&amp;"',TO_DATE('"&amp;REGLAS!H479&amp;"','yyyymmdd'),TO_DATE('"&amp;REGLAS!I479&amp;"','yyyymmdd'),'"&amp;REGLAS!J479&amp;"');")</f>
        <v/>
      </c>
      <c r="B478" t="str">
        <f>IF(REGLAS!J479="OBSOLETO","","INSERT INTO INYCEXT.INYC_CONF_INF_REGLAS@tc_link (COD_INFORME,TABLA,NOMBRE,REGLA,F_INICIO,F_FIN,DESCRIPCION) VALUES ("&amp;REGLAS!B479&amp;",'"&amp;REGLAS!C479&amp;"','"&amp;REGLAS!D479&amp;"','"&amp;REGLAS!G479&amp;"',TO_DATE('"&amp;REGLAS!H479&amp;"','yyyymmdd'),TO_DATE('"&amp;REGLAS!I479&amp;"','yyyymmdd'),'"&amp;REGLAS!J479&amp;"');")</f>
        <v/>
      </c>
    </row>
    <row r="479" spans="1:2" x14ac:dyDescent="0.25">
      <c r="A479" t="str">
        <f>IF(REGLAS!J480="OBSOLETO","","INSERT INTO INYCEXT.INYC_CONF_INF_REGLAS (COD_INFORME,TABLA,NOMBRE,REGLA,F_INICIO,F_FIN,DESCRIPCION) VALUES ("&amp;REGLAS!B480&amp;",'"&amp;REGLAS!C480&amp;"','"&amp;REGLAS!D480&amp;"','"&amp;REGLAS!G480&amp;"',TO_DATE('"&amp;REGLAS!H480&amp;"','yyyymmdd'),TO_DATE('"&amp;REGLAS!I480&amp;"','yyyymmdd'),'"&amp;REGLAS!J480&amp;"');")</f>
        <v/>
      </c>
      <c r="B479" t="str">
        <f>IF(REGLAS!J480="OBSOLETO","","INSERT INTO INYCEXT.INYC_CONF_INF_REGLAS@tc_link (COD_INFORME,TABLA,NOMBRE,REGLA,F_INICIO,F_FIN,DESCRIPCION) VALUES ("&amp;REGLAS!B480&amp;",'"&amp;REGLAS!C480&amp;"','"&amp;REGLAS!D480&amp;"','"&amp;REGLAS!G480&amp;"',TO_DATE('"&amp;REGLAS!H480&amp;"','yyyymmdd'),TO_DATE('"&amp;REGLAS!I480&amp;"','yyyymmdd'),'"&amp;REGLAS!J480&amp;"');")</f>
        <v/>
      </c>
    </row>
    <row r="480" spans="1:2" x14ac:dyDescent="0.25">
      <c r="A480" t="str">
        <f>IF(REGLAS!J481="OBSOLETO","","INSERT INTO INYCEXT.INYC_CONF_INF_REGLAS (COD_INFORME,TABLA,NOMBRE,REGLA,F_INICIO,F_FIN,DESCRIPCION) VALUES ("&amp;REGLAS!B481&amp;",'"&amp;REGLAS!C481&amp;"','"&amp;REGLAS!D481&amp;"','"&amp;REGLAS!G481&amp;"',TO_DATE('"&amp;REGLAS!H481&amp;"','yyyymmdd'),TO_DATE('"&amp;REGLAS!I481&amp;"','yyyymmdd'),'"&amp;REGLAS!J481&amp;"');")</f>
        <v/>
      </c>
      <c r="B480" t="str">
        <f>IF(REGLAS!J481="OBSOLETO","","INSERT INTO INYCEXT.INYC_CONF_INF_REGLAS@tc_link (COD_INFORME,TABLA,NOMBRE,REGLA,F_INICIO,F_FIN,DESCRIPCION) VALUES ("&amp;REGLAS!B481&amp;",'"&amp;REGLAS!C481&amp;"','"&amp;REGLAS!D481&amp;"','"&amp;REGLAS!G481&amp;"',TO_DATE('"&amp;REGLAS!H481&amp;"','yyyymmdd'),TO_DATE('"&amp;REGLAS!I481&amp;"','yyyymmdd'),'"&amp;REGLAS!J481&amp;"');")</f>
        <v/>
      </c>
    </row>
    <row r="481" spans="1:2" x14ac:dyDescent="0.25">
      <c r="A481" t="str">
        <f>IF(REGLAS!J482="OBSOLETO","","INSERT INTO INYCEXT.INYC_CONF_INF_REGLAS (COD_INFORME,TABLA,NOMBRE,REGLA,F_INICIO,F_FIN,DESCRIPCION) VALUES ("&amp;REGLAS!B482&amp;",'"&amp;REGLAS!C482&amp;"','"&amp;REGLAS!D482&amp;"','"&amp;REGLAS!G482&amp;"',TO_DATE('"&amp;REGLAS!H482&amp;"','yyyymmdd'),TO_DATE('"&amp;REGLAS!I482&amp;"','yyyymmdd'),'"&amp;REGLAS!J482&amp;"');")</f>
        <v/>
      </c>
      <c r="B481" t="str">
        <f>IF(REGLAS!J482="OBSOLETO","","INSERT INTO INYCEXT.INYC_CONF_INF_REGLAS@tc_link (COD_INFORME,TABLA,NOMBRE,REGLA,F_INICIO,F_FIN,DESCRIPCION) VALUES ("&amp;REGLAS!B482&amp;",'"&amp;REGLAS!C482&amp;"','"&amp;REGLAS!D482&amp;"','"&amp;REGLAS!G482&amp;"',TO_DATE('"&amp;REGLAS!H482&amp;"','yyyymmdd'),TO_DATE('"&amp;REGLAS!I482&amp;"','yyyymmdd'),'"&amp;REGLAS!J482&amp;"');")</f>
        <v/>
      </c>
    </row>
    <row r="482" spans="1:2" x14ac:dyDescent="0.25">
      <c r="A482" t="str">
        <f>IF(REGLAS!J483="OBSOLETO","","INSERT INTO INYCEXT.INYC_CONF_INF_REGLAS (COD_INFORME,TABLA,NOMBRE,REGLA,F_INICIO,F_FIN,DESCRIPCION) VALUES ("&amp;REGLAS!B483&amp;",'"&amp;REGLAS!C483&amp;"','"&amp;REGLAS!D483&amp;"','"&amp;REGLAS!G483&amp;"',TO_DATE('"&amp;REGLAS!H483&amp;"','yyyymmdd'),TO_DATE('"&amp;REGLAS!I483&amp;"','yyyymmdd'),'"&amp;REGLAS!J483&amp;"');")</f>
        <v/>
      </c>
      <c r="B482" t="str">
        <f>IF(REGLAS!J483="OBSOLETO","","INSERT INTO INYCEXT.INYC_CONF_INF_REGLAS@tc_link (COD_INFORME,TABLA,NOMBRE,REGLA,F_INICIO,F_FIN,DESCRIPCION) VALUES ("&amp;REGLAS!B483&amp;",'"&amp;REGLAS!C483&amp;"','"&amp;REGLAS!D483&amp;"','"&amp;REGLAS!G483&amp;"',TO_DATE('"&amp;REGLAS!H483&amp;"','yyyymmdd'),TO_DATE('"&amp;REGLAS!I483&amp;"','yyyymmdd'),'"&amp;REGLAS!J483&amp;"');")</f>
        <v/>
      </c>
    </row>
    <row r="483" spans="1:2" x14ac:dyDescent="0.25">
      <c r="A483" t="str">
        <f>IF(REGLAS!J484="OBSOLETO","","INSERT INTO INYCEXT.INYC_CONF_INF_REGLAS (COD_INFORME,TABLA,NOMBRE,REGLA,F_INICIO,F_FIN,DESCRIPCION) VALUES ("&amp;REGLAS!B484&amp;",'"&amp;REGLAS!C484&amp;"','"&amp;REGLAS!D484&amp;"','"&amp;REGLAS!G484&amp;"',TO_DATE('"&amp;REGLAS!H484&amp;"','yyyymmdd'),TO_DATE('"&amp;REGLAS!I484&amp;"','yyyymmdd'),'"&amp;REGLAS!J484&amp;"');")</f>
        <v/>
      </c>
      <c r="B483" t="str">
        <f>IF(REGLAS!J484="OBSOLETO","","INSERT INTO INYCEXT.INYC_CONF_INF_REGLAS@tc_link (COD_INFORME,TABLA,NOMBRE,REGLA,F_INICIO,F_FIN,DESCRIPCION) VALUES ("&amp;REGLAS!B484&amp;",'"&amp;REGLAS!C484&amp;"','"&amp;REGLAS!D484&amp;"','"&amp;REGLAS!G484&amp;"',TO_DATE('"&amp;REGLAS!H484&amp;"','yyyymmdd'),TO_DATE('"&amp;REGLAS!I484&amp;"','yyyymmdd'),'"&amp;REGLAS!J484&amp;"');")</f>
        <v/>
      </c>
    </row>
    <row r="484" spans="1:2" x14ac:dyDescent="0.25">
      <c r="A484" t="str">
        <f>IF(REGLAS!J485="OBSOLETO","","INSERT INTO INYCEXT.INYC_CONF_INF_REGLAS (COD_INFORME,TABLA,NOMBRE,REGLA,F_INICIO,F_FIN,DESCRIPCION) VALUES ("&amp;REGLAS!B485&amp;",'"&amp;REGLAS!C485&amp;"','"&amp;REGLAS!D485&amp;"','"&amp;REGLAS!G485&amp;"',TO_DATE('"&amp;REGLAS!H485&amp;"','yyyymmdd'),TO_DATE('"&amp;REGLAS!I485&amp;"','yyyymmdd'),'"&amp;REGLAS!J485&amp;"');")</f>
        <v/>
      </c>
      <c r="B484" t="str">
        <f>IF(REGLAS!J485="OBSOLETO","","INSERT INTO INYCEXT.INYC_CONF_INF_REGLAS@tc_link (COD_INFORME,TABLA,NOMBRE,REGLA,F_INICIO,F_FIN,DESCRIPCION) VALUES ("&amp;REGLAS!B485&amp;",'"&amp;REGLAS!C485&amp;"','"&amp;REGLAS!D485&amp;"','"&amp;REGLAS!G485&amp;"',TO_DATE('"&amp;REGLAS!H485&amp;"','yyyymmdd'),TO_DATE('"&amp;REGLAS!I485&amp;"','yyyymmdd'),'"&amp;REGLAS!J485&amp;"');")</f>
        <v/>
      </c>
    </row>
    <row r="485" spans="1:2" x14ac:dyDescent="0.25">
      <c r="A485" t="str">
        <f>IF(REGLAS!J486="OBSOLETO","","INSERT INTO INYCEXT.INYC_CONF_INF_REGLAS (COD_INFORME,TABLA,NOMBRE,REGLA,F_INICIO,F_FIN,DESCRIPCION) VALUES ("&amp;REGLAS!B486&amp;",'"&amp;REGLAS!C486&amp;"','"&amp;REGLAS!D486&amp;"','"&amp;REGLAS!G486&amp;"',TO_DATE('"&amp;REGLAS!H486&amp;"','yyyymmdd'),TO_DATE('"&amp;REGLAS!I486&amp;"','yyyymmdd'),'"&amp;REGLAS!J486&amp;"');")</f>
        <v/>
      </c>
      <c r="B485" t="str">
        <f>IF(REGLAS!J486="OBSOLETO","","INSERT INTO INYCEXT.INYC_CONF_INF_REGLAS@tc_link (COD_INFORME,TABLA,NOMBRE,REGLA,F_INICIO,F_FIN,DESCRIPCION) VALUES ("&amp;REGLAS!B486&amp;",'"&amp;REGLAS!C486&amp;"','"&amp;REGLAS!D486&amp;"','"&amp;REGLAS!G486&amp;"',TO_DATE('"&amp;REGLAS!H486&amp;"','yyyymmdd'),TO_DATE('"&amp;REGLAS!I486&amp;"','yyyymmdd'),'"&amp;REGLAS!J486&amp;"');")</f>
        <v/>
      </c>
    </row>
    <row r="486" spans="1:2" x14ac:dyDescent="0.25">
      <c r="A486" t="str">
        <f>IF(REGLAS!J487="OBSOLETO","","INSERT INTO INYCEXT.INYC_CONF_INF_REGLAS (COD_INFORME,TABLA,NOMBRE,REGLA,F_INICIO,F_FIN,DESCRIPCION) VALUES ("&amp;REGLAS!B487&amp;",'"&amp;REGLAS!C487&amp;"','"&amp;REGLAS!D487&amp;"','"&amp;REGLAS!G487&amp;"',TO_DATE('"&amp;REGLAS!H487&amp;"','yyyymmdd'),TO_DATE('"&amp;REGLAS!I487&amp;"','yyyymmdd'),'"&amp;REGLAS!J487&amp;"');")</f>
        <v/>
      </c>
      <c r="B486" t="str">
        <f>IF(REGLAS!J487="OBSOLETO","","INSERT INTO INYCEXT.INYC_CONF_INF_REGLAS@tc_link (COD_INFORME,TABLA,NOMBRE,REGLA,F_INICIO,F_FIN,DESCRIPCION) VALUES ("&amp;REGLAS!B487&amp;",'"&amp;REGLAS!C487&amp;"','"&amp;REGLAS!D487&amp;"','"&amp;REGLAS!G487&amp;"',TO_DATE('"&amp;REGLAS!H487&amp;"','yyyymmdd'),TO_DATE('"&amp;REGLAS!I487&amp;"','yyyymmdd'),'"&amp;REGLAS!J487&amp;"');")</f>
        <v/>
      </c>
    </row>
    <row r="487" spans="1:2" x14ac:dyDescent="0.25">
      <c r="A487" t="str">
        <f>IF(REGLAS!J488="OBSOLETO","","INSERT INTO INYCEXT.INYC_CONF_INF_REGLAS (COD_INFORME,TABLA,NOMBRE,REGLA,F_INICIO,F_FIN,DESCRIPCION) VALUES ("&amp;REGLAS!B488&amp;",'"&amp;REGLAS!C488&amp;"','"&amp;REGLAS!D488&amp;"','"&amp;REGLAS!G488&amp;"',TO_DATE('"&amp;REGLAS!H488&amp;"','yyyymmdd'),TO_DATE('"&amp;REGLAS!I488&amp;"','yyyymmdd'),'"&amp;REGLAS!J488&amp;"');")</f>
        <v/>
      </c>
      <c r="B487" t="str">
        <f>IF(REGLAS!J488="OBSOLETO","","INSERT INTO INYCEXT.INYC_CONF_INF_REGLAS@tc_link (COD_INFORME,TABLA,NOMBRE,REGLA,F_INICIO,F_FIN,DESCRIPCION) VALUES ("&amp;REGLAS!B488&amp;",'"&amp;REGLAS!C488&amp;"','"&amp;REGLAS!D488&amp;"','"&amp;REGLAS!G488&amp;"',TO_DATE('"&amp;REGLAS!H488&amp;"','yyyymmdd'),TO_DATE('"&amp;REGLAS!I488&amp;"','yyyymmdd'),'"&amp;REGLAS!J488&amp;"');")</f>
        <v/>
      </c>
    </row>
    <row r="488" spans="1:2" x14ac:dyDescent="0.25">
      <c r="A488" t="str">
        <f>IF(REGLAS!J489="OBSOLETO","","INSERT INTO INYCEXT.INYC_CONF_INF_REGLAS (COD_INFORME,TABLA,NOMBRE,REGLA,F_INICIO,F_FIN,DESCRIPCION) VALUES ("&amp;REGLAS!B489&amp;",'"&amp;REGLAS!C489&amp;"','"&amp;REGLAS!D489&amp;"','"&amp;REGLAS!G489&amp;"',TO_DATE('"&amp;REGLAS!H489&amp;"','yyyymmdd'),TO_DATE('"&amp;REGLAS!I489&amp;"','yyyymmdd'),'"&amp;REGLAS!J489&amp;"');")</f>
        <v/>
      </c>
      <c r="B488" t="str">
        <f>IF(REGLAS!J489="OBSOLETO","","INSERT INTO INYCEXT.INYC_CONF_INF_REGLAS@tc_link (COD_INFORME,TABLA,NOMBRE,REGLA,F_INICIO,F_FIN,DESCRIPCION) VALUES ("&amp;REGLAS!B489&amp;",'"&amp;REGLAS!C489&amp;"','"&amp;REGLAS!D489&amp;"','"&amp;REGLAS!G489&amp;"',TO_DATE('"&amp;REGLAS!H489&amp;"','yyyymmdd'),TO_DATE('"&amp;REGLAS!I489&amp;"','yyyymmdd'),'"&amp;REGLAS!J489&amp;"');")</f>
        <v/>
      </c>
    </row>
    <row r="489" spans="1:2" x14ac:dyDescent="0.25">
      <c r="A489" t="str">
        <f>IF(REGLAS!J490="OBSOLETO","","INSERT INTO INYCEXT.INYC_CONF_INF_REGLAS (COD_INFORME,TABLA,NOMBRE,REGLA,F_INICIO,F_FIN,DESCRIPCION) VALUES ("&amp;REGLAS!B490&amp;",'"&amp;REGLAS!C490&amp;"','"&amp;REGLAS!D490&amp;"','"&amp;REGLAS!G490&amp;"',TO_DATE('"&amp;REGLAS!H490&amp;"','yyyymmdd'),TO_DATE('"&amp;REGLAS!I490&amp;"','yyyymmdd'),'"&amp;REGLAS!J490&amp;"');")</f>
        <v/>
      </c>
      <c r="B489" t="str">
        <f>IF(REGLAS!J490="OBSOLETO","","INSERT INTO INYCEXT.INYC_CONF_INF_REGLAS@tc_link (COD_INFORME,TABLA,NOMBRE,REGLA,F_INICIO,F_FIN,DESCRIPCION) VALUES ("&amp;REGLAS!B490&amp;",'"&amp;REGLAS!C490&amp;"','"&amp;REGLAS!D490&amp;"','"&amp;REGLAS!G490&amp;"',TO_DATE('"&amp;REGLAS!H490&amp;"','yyyymmdd'),TO_DATE('"&amp;REGLAS!I490&amp;"','yyyymmdd'),'"&amp;REGLAS!J490&amp;"');")</f>
        <v/>
      </c>
    </row>
    <row r="490" spans="1:2" x14ac:dyDescent="0.25">
      <c r="A490" t="str">
        <f>IF(REGLAS!J491="OBSOLETO","","INSERT INTO INYCEXT.INYC_CONF_INF_REGLAS (COD_INFORME,TABLA,NOMBRE,REGLA,F_INICIO,F_FIN,DESCRIPCION) VALUES ("&amp;REGLAS!B491&amp;",'"&amp;REGLAS!C491&amp;"','"&amp;REGLAS!D491&amp;"','"&amp;REGLAS!G491&amp;"',TO_DATE('"&amp;REGLAS!H491&amp;"','yyyymmdd'),TO_DATE('"&amp;REGLAS!I491&amp;"','yyyymmdd'),'"&amp;REGLAS!J491&amp;"');")</f>
        <v/>
      </c>
      <c r="B490" t="str">
        <f>IF(REGLAS!J491="OBSOLETO","","INSERT INTO INYCEXT.INYC_CONF_INF_REGLAS@tc_link (COD_INFORME,TABLA,NOMBRE,REGLA,F_INICIO,F_FIN,DESCRIPCION) VALUES ("&amp;REGLAS!B491&amp;",'"&amp;REGLAS!C491&amp;"','"&amp;REGLAS!D491&amp;"','"&amp;REGLAS!G491&amp;"',TO_DATE('"&amp;REGLAS!H491&amp;"','yyyymmdd'),TO_DATE('"&amp;REGLAS!I491&amp;"','yyyymmdd'),'"&amp;REGLAS!J491&amp;"');")</f>
        <v/>
      </c>
    </row>
    <row r="491" spans="1:2" x14ac:dyDescent="0.25">
      <c r="A491" t="str">
        <f>IF(REGLAS!J492="OBSOLETO","","INSERT INTO INYCEXT.INYC_CONF_INF_REGLAS (COD_INFORME,TABLA,NOMBRE,REGLA,F_INICIO,F_FIN,DESCRIPCION) VALUES ("&amp;REGLAS!B492&amp;",'"&amp;REGLAS!C492&amp;"','"&amp;REGLAS!D492&amp;"','"&amp;REGLAS!G492&amp;"',TO_DATE('"&amp;REGLAS!H492&amp;"','yyyymmdd'),TO_DATE('"&amp;REGLAS!I492&amp;"','yyyymmdd'),'"&amp;REGLAS!J492&amp;"');")</f>
        <v/>
      </c>
      <c r="B491" t="str">
        <f>IF(REGLAS!J492="OBSOLETO","","INSERT INTO INYCEXT.INYC_CONF_INF_REGLAS@tc_link (COD_INFORME,TABLA,NOMBRE,REGLA,F_INICIO,F_FIN,DESCRIPCION) VALUES ("&amp;REGLAS!B492&amp;",'"&amp;REGLAS!C492&amp;"','"&amp;REGLAS!D492&amp;"','"&amp;REGLAS!G492&amp;"',TO_DATE('"&amp;REGLAS!H492&amp;"','yyyymmdd'),TO_DATE('"&amp;REGLAS!I492&amp;"','yyyymmdd'),'"&amp;REGLAS!J492&amp;"');")</f>
        <v/>
      </c>
    </row>
    <row r="492" spans="1:2" x14ac:dyDescent="0.25">
      <c r="A492" t="str">
        <f>IF(REGLAS!J493="OBSOLETO","","INSERT INTO INYCEXT.INYC_CONF_INF_REGLAS (COD_INFORME,TABLA,NOMBRE,REGLA,F_INICIO,F_FIN,DESCRIPCION) VALUES ("&amp;REGLAS!B493&amp;",'"&amp;REGLAS!C493&amp;"','"&amp;REGLAS!D493&amp;"','"&amp;REGLAS!G493&amp;"',TO_DATE('"&amp;REGLAS!H493&amp;"','yyyymmdd'),TO_DATE('"&amp;REGLAS!I493&amp;"','yyyymmdd'),'"&amp;REGLAS!J493&amp;"');")</f>
        <v/>
      </c>
      <c r="B492" t="str">
        <f>IF(REGLAS!J493="OBSOLETO","","INSERT INTO INYCEXT.INYC_CONF_INF_REGLAS@tc_link (COD_INFORME,TABLA,NOMBRE,REGLA,F_INICIO,F_FIN,DESCRIPCION) VALUES ("&amp;REGLAS!B493&amp;",'"&amp;REGLAS!C493&amp;"','"&amp;REGLAS!D493&amp;"','"&amp;REGLAS!G493&amp;"',TO_DATE('"&amp;REGLAS!H493&amp;"','yyyymmdd'),TO_DATE('"&amp;REGLAS!I493&amp;"','yyyymmdd'),'"&amp;REGLAS!J493&amp;"');")</f>
        <v/>
      </c>
    </row>
    <row r="493" spans="1:2" x14ac:dyDescent="0.25">
      <c r="A493" t="str">
        <f>IF(REGLAS!J494="OBSOLETO","","INSERT INTO INYCEXT.INYC_CONF_INF_REGLAS (COD_INFORME,TABLA,NOMBRE,REGLA,F_INICIO,F_FIN,DESCRIPCION) VALUES ("&amp;REGLAS!B494&amp;",'"&amp;REGLAS!C494&amp;"','"&amp;REGLAS!D494&amp;"','"&amp;REGLAS!G494&amp;"',TO_DATE('"&amp;REGLAS!H494&amp;"','yyyymmdd'),TO_DATE('"&amp;REGLAS!I494&amp;"','yyyymmdd'),'"&amp;REGLAS!J494&amp;"');")</f>
        <v/>
      </c>
      <c r="B493" t="str">
        <f>IF(REGLAS!J494="OBSOLETO","","INSERT INTO INYCEXT.INYC_CONF_INF_REGLAS@tc_link (COD_INFORME,TABLA,NOMBRE,REGLA,F_INICIO,F_FIN,DESCRIPCION) VALUES ("&amp;REGLAS!B494&amp;",'"&amp;REGLAS!C494&amp;"','"&amp;REGLAS!D494&amp;"','"&amp;REGLAS!G494&amp;"',TO_DATE('"&amp;REGLAS!H494&amp;"','yyyymmdd'),TO_DATE('"&amp;REGLAS!I494&amp;"','yyyymmdd'),'"&amp;REGLAS!J494&amp;"');")</f>
        <v/>
      </c>
    </row>
    <row r="494" spans="1:2" x14ac:dyDescent="0.25">
      <c r="A494" t="str">
        <f>IF(REGLAS!J495="OBSOLETO","","INSERT INTO INYCEXT.INYC_CONF_INF_REGLAS (COD_INFORME,TABLA,NOMBRE,REGLA,F_INICIO,F_FIN,DESCRIPCION) VALUES ("&amp;REGLAS!B495&amp;",'"&amp;REGLAS!C495&amp;"','"&amp;REGLAS!D495&amp;"','"&amp;REGLAS!G495&amp;"',TO_DATE('"&amp;REGLAS!H495&amp;"','yyyymmdd'),TO_DATE('"&amp;REGLAS!I495&amp;"','yyyymmdd'),'"&amp;REGLAS!J495&amp;"');")</f>
        <v/>
      </c>
      <c r="B494" t="str">
        <f>IF(REGLAS!J495="OBSOLETO","","INSERT INTO INYCEXT.INYC_CONF_INF_REGLAS@tc_link (COD_INFORME,TABLA,NOMBRE,REGLA,F_INICIO,F_FIN,DESCRIPCION) VALUES ("&amp;REGLAS!B495&amp;",'"&amp;REGLAS!C495&amp;"','"&amp;REGLAS!D495&amp;"','"&amp;REGLAS!G495&amp;"',TO_DATE('"&amp;REGLAS!H495&amp;"','yyyymmdd'),TO_DATE('"&amp;REGLAS!I495&amp;"','yyyymmdd'),'"&amp;REGLAS!J495&amp;"');")</f>
        <v/>
      </c>
    </row>
    <row r="495" spans="1:2" x14ac:dyDescent="0.25">
      <c r="A495" t="str">
        <f>IF(REGLAS!J496="OBSOLETO","","INSERT INTO INYCEXT.INYC_CONF_INF_REGLAS (COD_INFORME,TABLA,NOMBRE,REGLA,F_INICIO,F_FIN,DESCRIPCION) VALUES ("&amp;REGLAS!B496&amp;",'"&amp;REGLAS!C496&amp;"','"&amp;REGLAS!D496&amp;"','"&amp;REGLAS!G496&amp;"',TO_DATE('"&amp;REGLAS!H496&amp;"','yyyymmdd'),TO_DATE('"&amp;REGLAS!I496&amp;"','yyyymmdd'),'"&amp;REGLAS!J496&amp;"');")</f>
        <v/>
      </c>
      <c r="B495" t="str">
        <f>IF(REGLAS!J496="OBSOLETO","","INSERT INTO INYCEXT.INYC_CONF_INF_REGLAS@tc_link (COD_INFORME,TABLA,NOMBRE,REGLA,F_INICIO,F_FIN,DESCRIPCION) VALUES ("&amp;REGLAS!B496&amp;",'"&amp;REGLAS!C496&amp;"','"&amp;REGLAS!D496&amp;"','"&amp;REGLAS!G496&amp;"',TO_DATE('"&amp;REGLAS!H496&amp;"','yyyymmdd'),TO_DATE('"&amp;REGLAS!I496&amp;"','yyyymmdd'),'"&amp;REGLAS!J496&amp;"');")</f>
        <v/>
      </c>
    </row>
    <row r="496" spans="1:2" x14ac:dyDescent="0.25">
      <c r="A496" t="str">
        <f>IF(REGLAS!J497="OBSOLETO","","INSERT INTO INYCEXT.INYC_CONF_INF_REGLAS (COD_INFORME,TABLA,NOMBRE,REGLA,F_INICIO,F_FIN,DESCRIPCION) VALUES ("&amp;REGLAS!B497&amp;",'"&amp;REGLAS!C497&amp;"','"&amp;REGLAS!D497&amp;"','"&amp;REGLAS!G497&amp;"',TO_DATE('"&amp;REGLAS!H497&amp;"','yyyymmdd'),TO_DATE('"&amp;REGLAS!I497&amp;"','yyyymmdd'),'"&amp;REGLAS!J497&amp;"');")</f>
        <v/>
      </c>
      <c r="B496" t="str">
        <f>IF(REGLAS!J497="OBSOLETO","","INSERT INTO INYCEXT.INYC_CONF_INF_REGLAS@tc_link (COD_INFORME,TABLA,NOMBRE,REGLA,F_INICIO,F_FIN,DESCRIPCION) VALUES ("&amp;REGLAS!B497&amp;",'"&amp;REGLAS!C497&amp;"','"&amp;REGLAS!D497&amp;"','"&amp;REGLAS!G497&amp;"',TO_DATE('"&amp;REGLAS!H497&amp;"','yyyymmdd'),TO_DATE('"&amp;REGLAS!I497&amp;"','yyyymmdd'),'"&amp;REGLAS!J497&amp;"');")</f>
        <v/>
      </c>
    </row>
    <row r="497" spans="1:2" x14ac:dyDescent="0.25">
      <c r="A497" t="str">
        <f>IF(REGLAS!J498="OBSOLETO","","INSERT INTO INYCEXT.INYC_CONF_INF_REGLAS (COD_INFORME,TABLA,NOMBRE,REGLA,F_INICIO,F_FIN,DESCRIPCION) VALUES ("&amp;REGLAS!B498&amp;",'"&amp;REGLAS!C498&amp;"','"&amp;REGLAS!D498&amp;"','"&amp;REGLAS!G498&amp;"',TO_DATE('"&amp;REGLAS!H498&amp;"','yyyymmdd'),TO_DATE('"&amp;REGLAS!I498&amp;"','yyyymmdd'),'"&amp;REGLAS!J498&amp;"');")</f>
        <v/>
      </c>
      <c r="B497" t="str">
        <f>IF(REGLAS!J498="OBSOLETO","","INSERT INTO INYCEXT.INYC_CONF_INF_REGLAS@tc_link (COD_INFORME,TABLA,NOMBRE,REGLA,F_INICIO,F_FIN,DESCRIPCION) VALUES ("&amp;REGLAS!B498&amp;",'"&amp;REGLAS!C498&amp;"','"&amp;REGLAS!D498&amp;"','"&amp;REGLAS!G498&amp;"',TO_DATE('"&amp;REGLAS!H498&amp;"','yyyymmdd'),TO_DATE('"&amp;REGLAS!I498&amp;"','yyyymmdd'),'"&amp;REGLAS!J498&amp;"');")</f>
        <v/>
      </c>
    </row>
    <row r="498" spans="1:2" x14ac:dyDescent="0.25">
      <c r="A498" t="str">
        <f>IF(REGLAS!J499="OBSOLETO","","INSERT INTO INYCEXT.INYC_CONF_INF_REGLAS (COD_INFORME,TABLA,NOMBRE,REGLA,F_INICIO,F_FIN,DESCRIPCION) VALUES ("&amp;REGLAS!B499&amp;",'"&amp;REGLAS!C499&amp;"','"&amp;REGLAS!D499&amp;"','"&amp;REGLAS!G499&amp;"',TO_DATE('"&amp;REGLAS!H499&amp;"','yyyymmdd'),TO_DATE('"&amp;REGLAS!I499&amp;"','yyyymmdd'),'"&amp;REGLAS!J499&amp;"');")</f>
        <v/>
      </c>
      <c r="B498" t="str">
        <f>IF(REGLAS!J499="OBSOLETO","","INSERT INTO INYCEXT.INYC_CONF_INF_REGLAS@tc_link (COD_INFORME,TABLA,NOMBRE,REGLA,F_INICIO,F_FIN,DESCRIPCION) VALUES ("&amp;REGLAS!B499&amp;",'"&amp;REGLAS!C499&amp;"','"&amp;REGLAS!D499&amp;"','"&amp;REGLAS!G499&amp;"',TO_DATE('"&amp;REGLAS!H499&amp;"','yyyymmdd'),TO_DATE('"&amp;REGLAS!I499&amp;"','yyyymmdd'),'"&amp;REGLAS!J499&amp;"');")</f>
        <v/>
      </c>
    </row>
    <row r="499" spans="1:2" x14ac:dyDescent="0.25">
      <c r="A499" t="str">
        <f>IF(REGLAS!J500="OBSOLETO","","INSERT INTO INYCEXT.INYC_CONF_INF_REGLAS (COD_INFORME,TABLA,NOMBRE,REGLA,F_INICIO,F_FIN,DESCRIPCION) VALUES ("&amp;REGLAS!B500&amp;",'"&amp;REGLAS!C500&amp;"','"&amp;REGLAS!D500&amp;"','"&amp;REGLAS!G500&amp;"',TO_DATE('"&amp;REGLAS!H500&amp;"','yyyymmdd'),TO_DATE('"&amp;REGLAS!I500&amp;"','yyyymmdd'),'"&amp;REGLAS!J500&amp;"');")</f>
        <v/>
      </c>
      <c r="B499" t="str">
        <f>IF(REGLAS!J500="OBSOLETO","","INSERT INTO INYCEXT.INYC_CONF_INF_REGLAS@tc_link (COD_INFORME,TABLA,NOMBRE,REGLA,F_INICIO,F_FIN,DESCRIPCION) VALUES ("&amp;REGLAS!B500&amp;",'"&amp;REGLAS!C500&amp;"','"&amp;REGLAS!D500&amp;"','"&amp;REGLAS!G500&amp;"',TO_DATE('"&amp;REGLAS!H500&amp;"','yyyymmdd'),TO_DATE('"&amp;REGLAS!I500&amp;"','yyyymmdd'),'"&amp;REGLAS!J500&amp;"');")</f>
        <v/>
      </c>
    </row>
    <row r="500" spans="1:2" x14ac:dyDescent="0.25">
      <c r="A500" t="str">
        <f>IF(REGLAS!J501="OBSOLETO","","INSERT INTO INYCEXT.INYC_CONF_INF_REGLAS (COD_INFORME,TABLA,NOMBRE,REGLA,F_INICIO,F_FIN,DESCRIPCION) VALUES ("&amp;REGLAS!B501&amp;",'"&amp;REGLAS!C501&amp;"','"&amp;REGLAS!D501&amp;"','"&amp;REGLAS!G501&amp;"',TO_DATE('"&amp;REGLAS!H501&amp;"','yyyymmdd'),TO_DATE('"&amp;REGLAS!I501&amp;"','yyyymmdd'),'"&amp;REGLAS!J501&amp;"');")</f>
        <v/>
      </c>
      <c r="B500" t="str">
        <f>IF(REGLAS!J501="OBSOLETO","","INSERT INTO INYCEXT.INYC_CONF_INF_REGLAS@tc_link (COD_INFORME,TABLA,NOMBRE,REGLA,F_INICIO,F_FIN,DESCRIPCION) VALUES ("&amp;REGLAS!B501&amp;",'"&amp;REGLAS!C501&amp;"','"&amp;REGLAS!D501&amp;"','"&amp;REGLAS!G501&amp;"',TO_DATE('"&amp;REGLAS!H501&amp;"','yyyymmdd'),TO_DATE('"&amp;REGLAS!I501&amp;"','yyyymmdd'),'"&amp;REGLAS!J501&amp;"');")</f>
        <v/>
      </c>
    </row>
    <row r="501" spans="1:2" x14ac:dyDescent="0.25">
      <c r="A501" t="str">
        <f>IF(REGLAS!J502="OBSOLETO","","INSERT INTO INYCEXT.INYC_CONF_INF_REGLAS (COD_INFORME,TABLA,NOMBRE,REGLA,F_INICIO,F_FIN,DESCRIPCION) VALUES ("&amp;REGLAS!B502&amp;",'"&amp;REGLAS!C502&amp;"','"&amp;REGLAS!D502&amp;"','"&amp;REGLAS!G502&amp;"',TO_DATE('"&amp;REGLAS!H502&amp;"','yyyymmdd'),TO_DATE('"&amp;REGLAS!I502&amp;"','yyyymmdd'),'"&amp;REGLAS!J502&amp;"');")</f>
        <v/>
      </c>
      <c r="B501" t="str">
        <f>IF(REGLAS!J502="OBSOLETO","","INSERT INTO INYCEXT.INYC_CONF_INF_REGLAS@tc_link (COD_INFORME,TABLA,NOMBRE,REGLA,F_INICIO,F_FIN,DESCRIPCION) VALUES ("&amp;REGLAS!B502&amp;",'"&amp;REGLAS!C502&amp;"','"&amp;REGLAS!D502&amp;"','"&amp;REGLAS!G502&amp;"',TO_DATE('"&amp;REGLAS!H502&amp;"','yyyymmdd'),TO_DATE('"&amp;REGLAS!I502&amp;"','yyyymmdd'),'"&amp;REGLAS!J502&amp;"');")</f>
        <v/>
      </c>
    </row>
    <row r="502" spans="1:2" x14ac:dyDescent="0.25">
      <c r="A502" t="str">
        <f>IF(REGLAS!J503="OBSOLETO","","INSERT INTO INYCEXT.INYC_CONF_INF_REGLAS (COD_INFORME,TABLA,NOMBRE,REGLA,F_INICIO,F_FIN,DESCRIPCION) VALUES ("&amp;REGLAS!B503&amp;",'"&amp;REGLAS!C503&amp;"','"&amp;REGLAS!D503&amp;"','"&amp;REGLAS!G503&amp;"',TO_DATE('"&amp;REGLAS!H503&amp;"','yyyymmdd'),TO_DATE('"&amp;REGLAS!I503&amp;"','yyyymmdd'),'"&amp;REGLAS!J503&amp;"');")</f>
        <v/>
      </c>
      <c r="B502" t="str">
        <f>IF(REGLAS!J503="OBSOLETO","","INSERT INTO INYCEXT.INYC_CONF_INF_REGLAS@tc_link (COD_INFORME,TABLA,NOMBRE,REGLA,F_INICIO,F_FIN,DESCRIPCION) VALUES ("&amp;REGLAS!B503&amp;",'"&amp;REGLAS!C503&amp;"','"&amp;REGLAS!D503&amp;"','"&amp;REGLAS!G503&amp;"',TO_DATE('"&amp;REGLAS!H503&amp;"','yyyymmdd'),TO_DATE('"&amp;REGLAS!I503&amp;"','yyyymmdd'),'"&amp;REGLAS!J503&amp;"');")</f>
        <v/>
      </c>
    </row>
    <row r="503" spans="1:2" x14ac:dyDescent="0.25">
      <c r="A503" t="str">
        <f>IF(REGLAS!J504="OBSOLETO","","INSERT INTO INYCEXT.INYC_CONF_INF_REGLAS (COD_INFORME,TABLA,NOMBRE,REGLA,F_INICIO,F_FIN,DESCRIPCION) VALUES ("&amp;REGLAS!B504&amp;",'"&amp;REGLAS!C504&amp;"','"&amp;REGLAS!D504&amp;"','"&amp;REGLAS!G504&amp;"',TO_DATE('"&amp;REGLAS!H504&amp;"','yyyymmdd'),TO_DATE('"&amp;REGLAS!I504&amp;"','yyyymmdd'),'"&amp;REGLAS!J504&amp;"');")</f>
        <v/>
      </c>
      <c r="B503" t="str">
        <f>IF(REGLAS!J504="OBSOLETO","","INSERT INTO INYCEXT.INYC_CONF_INF_REGLAS@tc_link (COD_INFORME,TABLA,NOMBRE,REGLA,F_INICIO,F_FIN,DESCRIPCION) VALUES ("&amp;REGLAS!B504&amp;",'"&amp;REGLAS!C504&amp;"','"&amp;REGLAS!D504&amp;"','"&amp;REGLAS!G504&amp;"',TO_DATE('"&amp;REGLAS!H504&amp;"','yyyymmdd'),TO_DATE('"&amp;REGLAS!I504&amp;"','yyyymmdd'),'"&amp;REGLAS!J504&amp;"');")</f>
        <v/>
      </c>
    </row>
    <row r="504" spans="1:2" x14ac:dyDescent="0.25">
      <c r="A504" t="str">
        <f>IF(REGLAS!J505="OBSOLETO","","INSERT INTO INYCEXT.INYC_CONF_INF_REGLAS (COD_INFORME,TABLA,NOMBRE,REGLA,F_INICIO,F_FIN,DESCRIPCION) VALUES ("&amp;REGLAS!B505&amp;",'"&amp;REGLAS!C505&amp;"','"&amp;REGLAS!D505&amp;"','"&amp;REGLAS!G505&amp;"',TO_DATE('"&amp;REGLAS!H505&amp;"','yyyymmdd'),TO_DATE('"&amp;REGLAS!I505&amp;"','yyyymmdd'),'"&amp;REGLAS!J505&amp;"');")</f>
        <v/>
      </c>
      <c r="B504" t="str">
        <f>IF(REGLAS!J505="OBSOLETO","","INSERT INTO INYCEXT.INYC_CONF_INF_REGLAS@tc_link (COD_INFORME,TABLA,NOMBRE,REGLA,F_INICIO,F_FIN,DESCRIPCION) VALUES ("&amp;REGLAS!B505&amp;",'"&amp;REGLAS!C505&amp;"','"&amp;REGLAS!D505&amp;"','"&amp;REGLAS!G505&amp;"',TO_DATE('"&amp;REGLAS!H505&amp;"','yyyymmdd'),TO_DATE('"&amp;REGLAS!I505&amp;"','yyyymmdd'),'"&amp;REGLAS!J505&amp;"');")</f>
        <v/>
      </c>
    </row>
    <row r="505" spans="1:2" x14ac:dyDescent="0.25">
      <c r="A505" t="str">
        <f>IF(REGLAS!J506="OBSOLETO","","INSERT INTO INYCEXT.INYC_CONF_INF_REGLAS (COD_INFORME,TABLA,NOMBRE,REGLA,F_INICIO,F_FIN,DESCRIPCION) VALUES ("&amp;REGLAS!B506&amp;",'"&amp;REGLAS!C506&amp;"','"&amp;REGLAS!D506&amp;"','"&amp;REGLAS!G506&amp;"',TO_DATE('"&amp;REGLAS!H506&amp;"','yyyymmdd'),TO_DATE('"&amp;REGLAS!I506&amp;"','yyyymmdd'),'"&amp;REGLAS!J506&amp;"');")</f>
        <v/>
      </c>
      <c r="B505" t="str">
        <f>IF(REGLAS!J506="OBSOLETO","","INSERT INTO INYCEXT.INYC_CONF_INF_REGLAS@tc_link (COD_INFORME,TABLA,NOMBRE,REGLA,F_INICIO,F_FIN,DESCRIPCION) VALUES ("&amp;REGLAS!B506&amp;",'"&amp;REGLAS!C506&amp;"','"&amp;REGLAS!D506&amp;"','"&amp;REGLAS!G506&amp;"',TO_DATE('"&amp;REGLAS!H506&amp;"','yyyymmdd'),TO_DATE('"&amp;REGLAS!I506&amp;"','yyyymmdd'),'"&amp;REGLAS!J506&amp;"');")</f>
        <v/>
      </c>
    </row>
    <row r="506" spans="1:2" x14ac:dyDescent="0.25">
      <c r="A506" t="str">
        <f>IF(REGLAS!J507="OBSOLETO","","INSERT INTO INYCEXT.INYC_CONF_INF_REGLAS (COD_INFORME,TABLA,NOMBRE,REGLA,F_INICIO,F_FIN,DESCRIPCION) VALUES ("&amp;REGLAS!B507&amp;",'"&amp;REGLAS!C507&amp;"','"&amp;REGLAS!D507&amp;"','"&amp;REGLAS!G507&amp;"',TO_DATE('"&amp;REGLAS!H507&amp;"','yyyymmdd'),TO_DATE('"&amp;REGLAS!I507&amp;"','yyyymmdd'),'"&amp;REGLAS!J507&amp;"');")</f>
        <v/>
      </c>
      <c r="B506" t="str">
        <f>IF(REGLAS!J507="OBSOLETO","","INSERT INTO INYCEXT.INYC_CONF_INF_REGLAS@tc_link (COD_INFORME,TABLA,NOMBRE,REGLA,F_INICIO,F_FIN,DESCRIPCION) VALUES ("&amp;REGLAS!B507&amp;",'"&amp;REGLAS!C507&amp;"','"&amp;REGLAS!D507&amp;"','"&amp;REGLAS!G507&amp;"',TO_DATE('"&amp;REGLAS!H507&amp;"','yyyymmdd'),TO_DATE('"&amp;REGLAS!I507&amp;"','yyyymmdd'),'"&amp;REGLAS!J507&amp;"');")</f>
        <v/>
      </c>
    </row>
    <row r="507" spans="1:2" x14ac:dyDescent="0.25">
      <c r="A507" t="str">
        <f>IF(REGLAS!J508="OBSOLETO","","INSERT INTO INYCEXT.INYC_CONF_INF_REGLAS (COD_INFORME,TABLA,NOMBRE,REGLA,F_INICIO,F_FIN,DESCRIPCION) VALUES ("&amp;REGLAS!B508&amp;",'"&amp;REGLAS!C508&amp;"','"&amp;REGLAS!D508&amp;"','"&amp;REGLAS!G508&amp;"',TO_DATE('"&amp;REGLAS!H508&amp;"','yyyymmdd'),TO_DATE('"&amp;REGLAS!I508&amp;"','yyyymmdd'),'"&amp;REGLAS!J508&amp;"');")</f>
        <v>INSERT INTO INYCEXT.INYC_CONF_INF_REGLAS (COD_INFORME,TABLA,NOMBRE,REGLA,F_INICIO,F_FIN,DESCRIPCION) VALUES (10.1,'INYC_RDC_RESUMEN','Detalle por Linea','PM-O-RDC-Agente-PrimaCorregida',TO_DATE('20140101','yyyymmdd'),TO_DATE('22000101','yyyymmdd'),'');</v>
      </c>
      <c r="B507" t="str">
        <f>IF(REGLAS!J508="OBSOLETO","","INSERT INTO INYCEXT.INYC_CONF_INF_REGLAS@tc_link (COD_INFORME,TABLA,NOMBRE,REGLA,F_INICIO,F_FIN,DESCRIPCION) VALUES ("&amp;REGLAS!B508&amp;",'"&amp;REGLAS!C508&amp;"','"&amp;REGLAS!D508&amp;"','"&amp;REGLAS!G508&amp;"',TO_DATE('"&amp;REGLAS!H508&amp;"','yyyymmdd'),TO_DATE('"&amp;REGLAS!I508&amp;"','yyyymmdd'),'"&amp;REGLAS!J508&amp;"');")</f>
        <v>INSERT INTO INYCEXT.INYC_CONF_INF_REGLAS@tc_link (COD_INFORME,TABLA,NOMBRE,REGLA,F_INICIO,F_FIN,DESCRIPCION) VALUES (10.1,'INYC_RDC_RESUMEN','Detalle por Linea','PM-O-RDC-Agente-PrimaCorregida',TO_DATE('20140101','yyyymmdd'),TO_DATE('22000101','yyyymmdd'),'');</v>
      </c>
    </row>
    <row r="508" spans="1:2" x14ac:dyDescent="0.25">
      <c r="A508" t="str">
        <f>IF(REGLAS!J509="OBSOLETO","","INSERT INTO INYCEXT.INYC_CONF_INF_REGLAS (COD_INFORME,TABLA,NOMBRE,REGLA,F_INICIO,F_FIN,DESCRIPCION) VALUES ("&amp;REGLAS!B509&amp;",'"&amp;REGLAS!C509&amp;"','"&amp;REGLAS!D509&amp;"','"&amp;REGLAS!G509&amp;"',TO_DATE('"&amp;REGLAS!H509&amp;"','yyyymmdd'),TO_DATE('"&amp;REGLAS!I509&amp;"','yyyymmdd'),'"&amp;REGLAS!J509&amp;"');")</f>
        <v>INSERT INTO INYCEXT.INYC_CONF_INF_REGLAS (COD_INFORME,TABLA,NOMBRE,REGLA,F_INICIO,F_FIN,DESCRIPCION) VALUES (10.1,'INYC_RDC_RESUMEN','Detalle por Linea','PM-O-RDC-Agente-Polizas',TO_DATE('20140101','yyyymmdd'),TO_DATE('22000101','yyyymmdd'),'');</v>
      </c>
      <c r="B508" t="str">
        <f>IF(REGLAS!J509="OBSOLETO","","INSERT INTO INYCEXT.INYC_CONF_INF_REGLAS@tc_link (COD_INFORME,TABLA,NOMBRE,REGLA,F_INICIO,F_FIN,DESCRIPCION) VALUES ("&amp;REGLAS!B509&amp;",'"&amp;REGLAS!C509&amp;"','"&amp;REGLAS!D509&amp;"','"&amp;REGLAS!G509&amp;"',TO_DATE('"&amp;REGLAS!H509&amp;"','yyyymmdd'),TO_DATE('"&amp;REGLAS!I509&amp;"','yyyymmdd'),'"&amp;REGLAS!J509&amp;"');")</f>
        <v>INSERT INTO INYCEXT.INYC_CONF_INF_REGLAS@tc_link (COD_INFORME,TABLA,NOMBRE,REGLA,F_INICIO,F_FIN,DESCRIPCION) VALUES (10.1,'INYC_RDC_RESUMEN','Detalle por Linea','PM-O-RDC-Agente-Polizas',TO_DATE('20140101','yyyymmdd'),TO_DATE('22000101','yyyymmdd'),'');</v>
      </c>
    </row>
    <row r="509" spans="1:2" x14ac:dyDescent="0.25">
      <c r="A509" t="str">
        <f>IF(REGLAS!J510="OBSOLETO","","INSERT INTO INYCEXT.INYC_CONF_INF_REGLAS (COD_INFORME,TABLA,NOMBRE,REGLA,F_INICIO,F_FIN,DESCRIPCION) VALUES ("&amp;REGLAS!B510&amp;",'"&amp;REGLAS!C510&amp;"','"&amp;REGLAS!D510&amp;"','"&amp;REGLAS!G510&amp;"',TO_DATE('"&amp;REGLAS!H510&amp;"','yyyymmdd'),TO_DATE('"&amp;REGLAS!I510&amp;"','yyyymmdd'),'"&amp;REGLAS!J510&amp;"');")</f>
        <v>INSERT INTO INYCEXT.INYC_CONF_INF_REGLAS (COD_INFORME,TABLA,NOMBRE,REGLA,F_INICIO,F_FIN,DESCRIPCION) VALUES (10.1,'INYC_RDC_RESUMEN','Detalle por Linea','PM-O-RDC-Agente-PolizasCorregidas',TO_DATE('20140101','yyyymmdd'),TO_DATE('22000101','yyyymmdd'),'');</v>
      </c>
      <c r="B509" t="str">
        <f>IF(REGLAS!J510="OBSOLETO","","INSERT INTO INYCEXT.INYC_CONF_INF_REGLAS@tc_link (COD_INFORME,TABLA,NOMBRE,REGLA,F_INICIO,F_FIN,DESCRIPCION) VALUES ("&amp;REGLAS!B510&amp;",'"&amp;REGLAS!C510&amp;"','"&amp;REGLAS!D510&amp;"','"&amp;REGLAS!G510&amp;"',TO_DATE('"&amp;REGLAS!H510&amp;"','yyyymmdd'),TO_DATE('"&amp;REGLAS!I510&amp;"','yyyymmdd'),'"&amp;REGLAS!J510&amp;"');")</f>
        <v>INSERT INTO INYCEXT.INYC_CONF_INF_REGLAS@tc_link (COD_INFORME,TABLA,NOMBRE,REGLA,F_INICIO,F_FIN,DESCRIPCION) VALUES (10.1,'INYC_RDC_RESUMEN','Detalle por Linea','PM-O-RDC-Agente-PolizasCorregidas',TO_DATE('20140101','yyyymmdd'),TO_DATE('22000101','yyyymmdd'),'');</v>
      </c>
    </row>
    <row r="510" spans="1:2" x14ac:dyDescent="0.25">
      <c r="A510" t="str">
        <f>IF(REGLAS!J511="OBSOLETO","","INSERT INTO INYCEXT.INYC_CONF_INF_REGLAS (COD_INFORME,TABLA,NOMBRE,REGLA,F_INICIO,F_FIN,DESCRIPCION) VALUES ("&amp;REGLAS!B511&amp;",'"&amp;REGLAS!C511&amp;"','"&amp;REGLAS!D511&amp;"','"&amp;REGLAS!G511&amp;"',TO_DATE('"&amp;REGLAS!H511&amp;"','yyyymmdd'),TO_DATE('"&amp;REGLAS!I511&amp;"','yyyymmdd'),'"&amp;REGLAS!J511&amp;"');")</f>
        <v>INSERT INTO INYCEXT.INYC_CONF_INF_REGLAS (COD_INFORME,TABLA,NOMBRE,REGLA,F_INICIO,F_FIN,DESCRIPCION) VALUES (10.1,'INYC_RDC_RESUMEN','SM - Prima Corregida','SM-O-RDC-Agente-PrimaCorregida',TO_DATE('20140101','yyyymmdd'),TO_DATE('22000101','yyyymmdd'),'');</v>
      </c>
      <c r="B510" t="str">
        <f>IF(REGLAS!J511="OBSOLETO","","INSERT INTO INYCEXT.INYC_CONF_INF_REGLAS@tc_link (COD_INFORME,TABLA,NOMBRE,REGLA,F_INICIO,F_FIN,DESCRIPCION) VALUES ("&amp;REGLAS!B511&amp;",'"&amp;REGLAS!C511&amp;"','"&amp;REGLAS!D511&amp;"','"&amp;REGLAS!G511&amp;"',TO_DATE('"&amp;REGLAS!H511&amp;"','yyyymmdd'),TO_DATE('"&amp;REGLAS!I511&amp;"','yyyymmdd'),'"&amp;REGLAS!J511&amp;"');")</f>
        <v>INSERT INTO INYCEXT.INYC_CONF_INF_REGLAS@tc_link (COD_INFORME,TABLA,NOMBRE,REGLA,F_INICIO,F_FIN,DESCRIPCION) VALUES (10.1,'INYC_RDC_RESUMEN','SM - Prima Corregida','SM-O-RDC-Agente-PrimaCorregida',TO_DATE('20140101','yyyymmdd'),TO_DATE('22000101','yyyymmdd'),'');</v>
      </c>
    </row>
    <row r="511" spans="1:2" x14ac:dyDescent="0.25">
      <c r="A511" t="str">
        <f>IF(REGLAS!J512="OBSOLETO","","INSERT INTO INYCEXT.INYC_CONF_INF_REGLAS (COD_INFORME,TABLA,NOMBRE,REGLA,F_INICIO,F_FIN,DESCRIPCION) VALUES ("&amp;REGLAS!B512&amp;",'"&amp;REGLAS!C512&amp;"','"&amp;REGLAS!D512&amp;"','"&amp;REGLAS!G512&amp;"',TO_DATE('"&amp;REGLAS!H512&amp;"','yyyymmdd'),TO_DATE('"&amp;REGLAS!I512&amp;"','yyyymmdd'),'"&amp;REGLAS!J512&amp;"');")</f>
        <v>INSERT INTO INYCEXT.INYC_CONF_INF_REGLAS (COD_INFORME,TABLA,NOMBRE,REGLA,F_INICIO,F_FIN,DESCRIPCION) VALUES (10.1,'INYC_RDC_RESUMEN','SM - Nº Polizas','SM-O-RDC-Agente-Polizas',TO_DATE('20140101','yyyymmdd'),TO_DATE('22000101','yyyymmdd'),'');</v>
      </c>
      <c r="B511" t="str">
        <f>IF(REGLAS!J512="OBSOLETO","","INSERT INTO INYCEXT.INYC_CONF_INF_REGLAS@tc_link (COD_INFORME,TABLA,NOMBRE,REGLA,F_INICIO,F_FIN,DESCRIPCION) VALUES ("&amp;REGLAS!B512&amp;",'"&amp;REGLAS!C512&amp;"','"&amp;REGLAS!D512&amp;"','"&amp;REGLAS!G512&amp;"',TO_DATE('"&amp;REGLAS!H512&amp;"','yyyymmdd'),TO_DATE('"&amp;REGLAS!I512&amp;"','yyyymmdd'),'"&amp;REGLAS!J512&amp;"');")</f>
        <v>INSERT INTO INYCEXT.INYC_CONF_INF_REGLAS@tc_link (COD_INFORME,TABLA,NOMBRE,REGLA,F_INICIO,F_FIN,DESCRIPCION) VALUES (10.1,'INYC_RDC_RESUMEN','SM - Nº Polizas','SM-O-RDC-Agente-Polizas',TO_DATE('20140101','yyyymmdd'),TO_DATE('22000101','yyyymmdd'),'');</v>
      </c>
    </row>
    <row r="512" spans="1:2" x14ac:dyDescent="0.25">
      <c r="A512" t="str">
        <f>IF(REGLAS!J513="OBSOLETO","","INSERT INTO INYCEXT.INYC_CONF_INF_REGLAS (COD_INFORME,TABLA,NOMBRE,REGLA,F_INICIO,F_FIN,DESCRIPCION) VALUES ("&amp;REGLAS!B513&amp;",'"&amp;REGLAS!C513&amp;"','"&amp;REGLAS!D513&amp;"','"&amp;REGLAS!G513&amp;"',TO_DATE('"&amp;REGLAS!H513&amp;"','yyyymmdd'),TO_DATE('"&amp;REGLAS!I513&amp;"','yyyymmdd'),'"&amp;REGLAS!J513&amp;"');")</f>
        <v>INSERT INTO INYCEXT.INYC_CONF_INF_REGLAS (COD_INFORME,TABLA,NOMBRE,REGLA,F_INICIO,F_FIN,DESCRIPCION) VALUES (10.1,'INYC_RDC_RESUMEN','SM - Nº Polizas Corregidas','SM-O-RDC-Agente-PolizasCorregidas',TO_DATE('20140101','yyyymmdd'),TO_DATE('22000101','yyyymmdd'),'');</v>
      </c>
      <c r="B512" t="str">
        <f>IF(REGLAS!J513="OBSOLETO","","INSERT INTO INYCEXT.INYC_CONF_INF_REGLAS@tc_link (COD_INFORME,TABLA,NOMBRE,REGLA,F_INICIO,F_FIN,DESCRIPCION) VALUES ("&amp;REGLAS!B513&amp;",'"&amp;REGLAS!C513&amp;"','"&amp;REGLAS!D513&amp;"','"&amp;REGLAS!G513&amp;"',TO_DATE('"&amp;REGLAS!H513&amp;"','yyyymmdd'),TO_DATE('"&amp;REGLAS!I513&amp;"','yyyymmdd'),'"&amp;REGLAS!J513&amp;"');")</f>
        <v>INSERT INTO INYCEXT.INYC_CONF_INF_REGLAS@tc_link (COD_INFORME,TABLA,NOMBRE,REGLA,F_INICIO,F_FIN,DESCRIPCION) VALUES (10.1,'INYC_RDC_RESUMEN','SM - Nº Polizas Corregidas','SM-O-RDC-Agente-PolizasCorregidas',TO_DATE('20140101','yyyymmdd'),TO_DATE('22000101','yyyymmdd'),'');</v>
      </c>
    </row>
    <row r="513" spans="1:2" x14ac:dyDescent="0.25">
      <c r="A513" t="str">
        <f>IF(REGLAS!J514="OBSOLETO","","INSERT INTO INYCEXT.INYC_CONF_INF_REGLAS (COD_INFORME,TABLA,NOMBRE,REGLA,F_INICIO,F_FIN,DESCRIPCION) VALUES ("&amp;REGLAS!B514&amp;",'"&amp;REGLAS!C514&amp;"','"&amp;REGLAS!D514&amp;"','"&amp;REGLAS!G514&amp;"',TO_DATE('"&amp;REGLAS!H514&amp;"','yyyymmdd'),TO_DATE('"&amp;REGLAS!I514&amp;"','yyyymmdd'),'"&amp;REGLAS!J514&amp;"');")</f>
        <v>INSERT INTO INYCEXT.INYC_CONF_INF_REGLAS (COD_INFORME,TABLA,NOMBRE,REGLA,F_INICIO,F_FIN,DESCRIPCION) VALUES (10.1,'INYC_RDC_RESUMEN','SM - Importe Pago','SM-O-RDC-Agente-Pago',TO_DATE('20140101','yyyymmdd'),TO_DATE('22000101','yyyymmdd'),'');</v>
      </c>
      <c r="B513" t="str">
        <f>IF(REGLAS!J514="OBSOLETO","","INSERT INTO INYCEXT.INYC_CONF_INF_REGLAS@tc_link (COD_INFORME,TABLA,NOMBRE,REGLA,F_INICIO,F_FIN,DESCRIPCION) VALUES ("&amp;REGLAS!B514&amp;",'"&amp;REGLAS!C514&amp;"','"&amp;REGLAS!D514&amp;"','"&amp;REGLAS!G514&amp;"',TO_DATE('"&amp;REGLAS!H514&amp;"','yyyymmdd'),TO_DATE('"&amp;REGLAS!I514&amp;"','yyyymmdd'),'"&amp;REGLAS!J514&amp;"');")</f>
        <v>INSERT INTO INYCEXT.INYC_CONF_INF_REGLAS@tc_link (COD_INFORME,TABLA,NOMBRE,REGLA,F_INICIO,F_FIN,DESCRIPCION) VALUES (10.1,'INYC_RDC_RESUMEN','SM - Importe Pago','SM-O-RDC-Agente-Pago',TO_DATE('20140101','yyyymmdd'),TO_DATE('22000101','yyyymmdd'),'');</v>
      </c>
    </row>
    <row r="514" spans="1:2" x14ac:dyDescent="0.25">
      <c r="A514" t="str">
        <f>IF(REGLAS!J515="OBSOLETO","","INSERT INTO INYCEXT.INYC_CONF_INF_REGLAS (COD_INFORME,TABLA,NOMBRE,REGLA,F_INICIO,F_FIN,DESCRIPCION) VALUES ("&amp;REGLAS!B515&amp;",'"&amp;REGLAS!C515&amp;"','"&amp;REGLAS!D515&amp;"','"&amp;REGLAS!G515&amp;"',TO_DATE('"&amp;REGLAS!H515&amp;"','yyyymmdd'),TO_DATE('"&amp;REGLAS!I515&amp;"','yyyymmdd'),'"&amp;REGLAS!J515&amp;"');")</f>
        <v>INSERT INTO INYCEXT.INYC_CONF_INF_REGLAS (COD_INFORME,TABLA,NOMBRE,REGLA,F_INICIO,F_FIN,DESCRIPCION) VALUES (10.1,'INYC_RDC_RESUMEN','SM - Nº Polizas Corregidas Total Cuatrimestre','SM-O-RDC-Agente-PolizasCorregidas-TotalCuatrimestre',TO_DATE('20180101','yyyymmdd'),TO_DATE('22000101','yyyymmdd'),'Version 20180807');</v>
      </c>
      <c r="B514" t="str">
        <f>IF(REGLAS!J515="OBSOLETO","","INSERT INTO INYCEXT.INYC_CONF_INF_REGLAS@tc_link (COD_INFORME,TABLA,NOMBRE,REGLA,F_INICIO,F_FIN,DESCRIPCION) VALUES ("&amp;REGLAS!B515&amp;",'"&amp;REGLAS!C515&amp;"','"&amp;REGLAS!D515&amp;"','"&amp;REGLAS!G515&amp;"',TO_DATE('"&amp;REGLAS!H515&amp;"','yyyymmdd'),TO_DATE('"&amp;REGLAS!I515&amp;"','yyyymmdd'),'"&amp;REGLAS!J515&amp;"');")</f>
        <v>INSERT INTO INYCEXT.INYC_CONF_INF_REGLAS@tc_link (COD_INFORME,TABLA,NOMBRE,REGLA,F_INICIO,F_FIN,DESCRIPCION) VALUES (10.1,'INYC_RDC_RESUMEN','SM - Nº Polizas Corregidas Total Cuatrimestre','SM-O-RDC-Agente-PolizasCorregidas-TotalCuatrimestre',TO_DATE('20180101','yyyymmdd'),TO_DATE('22000101','yyyymmdd'),'Version 20180807');</v>
      </c>
    </row>
    <row r="515" spans="1:2" x14ac:dyDescent="0.25">
      <c r="A515" t="str">
        <f>IF(REGLAS!J516="OBSOLETO","","INSERT INTO INYCEXT.INYC_CONF_INF_REGLAS (COD_INFORME,TABLA,NOMBRE,REGLA,F_INICIO,F_FIN,DESCRIPCION) VALUES ("&amp;REGLAS!B516&amp;",'"&amp;REGLAS!C516&amp;"','"&amp;REGLAS!D516&amp;"','"&amp;REGLAS!G516&amp;"',TO_DATE('"&amp;REGLAS!H516&amp;"','yyyymmdd'),TO_DATE('"&amp;REGLAS!I516&amp;"','yyyymmdd'),'"&amp;REGLAS!J516&amp;"');")</f>
        <v>INSERT INTO INYCEXT.INYC_CONF_INF_REGLAS (COD_INFORME,TABLA,NOMBRE,REGLA,F_INICIO,F_FIN,DESCRIPCION) VALUES (10.1,'INYC_RDC_RESUMEN','SM - Importe Pagado Total Cuatrimestre','SM-O-RDC-ImportePagadoCuatrim',TO_DATE('20180101','yyyymmdd'),TO_DATE('22000101','yyyymmdd'),'Version 20180807');</v>
      </c>
      <c r="B515" t="str">
        <f>IF(REGLAS!J516="OBSOLETO","","INSERT INTO INYCEXT.INYC_CONF_INF_REGLAS@tc_link (COD_INFORME,TABLA,NOMBRE,REGLA,F_INICIO,F_FIN,DESCRIPCION) VALUES ("&amp;REGLAS!B516&amp;",'"&amp;REGLAS!C516&amp;"','"&amp;REGLAS!D516&amp;"','"&amp;REGLAS!G516&amp;"',TO_DATE('"&amp;REGLAS!H516&amp;"','yyyymmdd'),TO_DATE('"&amp;REGLAS!I516&amp;"','yyyymmdd'),'"&amp;REGLAS!J516&amp;"');")</f>
        <v>INSERT INTO INYCEXT.INYC_CONF_INF_REGLAS@tc_link (COD_INFORME,TABLA,NOMBRE,REGLA,F_INICIO,F_FIN,DESCRIPCION) VALUES (10.1,'INYC_RDC_RESUMEN','SM - Importe Pagado Total Cuatrimestre','SM-O-RDC-ImportePagadoCuatrim',TO_DATE('20180101','yyyymmdd'),TO_DATE('22000101','yyyymmdd'),'Version 20180807');</v>
      </c>
    </row>
    <row r="516" spans="1:2" x14ac:dyDescent="0.25">
      <c r="A516" t="str">
        <f>IF(REGLAS!J517="OBSOLETO","","INSERT INTO INYCEXT.INYC_CONF_INF_REGLAS (COD_INFORME,TABLA,NOMBRE,REGLA,F_INICIO,F_FIN,DESCRIPCION) VALUES ("&amp;REGLAS!B517&amp;",'"&amp;REGLAS!C517&amp;"','"&amp;REGLAS!D517&amp;"','"&amp;REGLAS!G517&amp;"',TO_DATE('"&amp;REGLAS!H517&amp;"','yyyymmdd'),TO_DATE('"&amp;REGLAS!I517&amp;"','yyyymmdd'),'"&amp;REGLAS!J517&amp;"');")</f>
        <v>INSERT INTO INYCEXT.INYC_CONF_INF_REGLAS (COD_INFORME,TABLA,NOMBRE,REGLA,F_INICIO,F_FIN,DESCRIPCION) VALUES (10.1,'INYC_RDC_RESUMEN','SM - Objetivo Importe Pago Total Cuatrimestre','SM-O-RDC-ImportePagoCuatrim',TO_DATE('20180101','yyyymmdd'),TO_DATE('22000101','yyyymmdd'),'Version 20180807');</v>
      </c>
      <c r="B516" t="str">
        <f>IF(REGLAS!J517="OBSOLETO","","INSERT INTO INYCEXT.INYC_CONF_INF_REGLAS@tc_link (COD_INFORME,TABLA,NOMBRE,REGLA,F_INICIO,F_FIN,DESCRIPCION) VALUES ("&amp;REGLAS!B517&amp;",'"&amp;REGLAS!C517&amp;"','"&amp;REGLAS!D517&amp;"','"&amp;REGLAS!G517&amp;"',TO_DATE('"&amp;REGLAS!H517&amp;"','yyyymmdd'),TO_DATE('"&amp;REGLAS!I517&amp;"','yyyymmdd'),'"&amp;REGLAS!J517&amp;"');")</f>
        <v>INSERT INTO INYCEXT.INYC_CONF_INF_REGLAS@tc_link (COD_INFORME,TABLA,NOMBRE,REGLA,F_INICIO,F_FIN,DESCRIPCION) VALUES (10.1,'INYC_RDC_RESUMEN','SM - Objetivo Importe Pago Total Cuatrimestre','SM-O-RDC-ImportePagoCuatrim',TO_DATE('20180101','yyyymmdd'),TO_DATE('22000101','yyyymmdd'),'Version 20180807');</v>
      </c>
    </row>
    <row r="517" spans="1:2" x14ac:dyDescent="0.25">
      <c r="A517" t="str">
        <f>IF(REGLAS!J518="OBSOLETO","","INSERT INTO INYCEXT.INYC_CONF_INF_REGLAS (COD_INFORME,TABLA,NOMBRE,REGLA,F_INICIO,F_FIN,DESCRIPCION) VALUES ("&amp;REGLAS!B518&amp;",'"&amp;REGLAS!C518&amp;"','"&amp;REGLAS!D518&amp;"','"&amp;REGLAS!G518&amp;"',TO_DATE('"&amp;REGLAS!H518&amp;"','yyyymmdd'),TO_DATE('"&amp;REGLAS!I518&amp;"','yyyymmdd'),'"&amp;REGLAS!J518&amp;"');")</f>
        <v>INSERT INTO INYCEXT.INYC_CONF_INF_REGLAS (COD_INFORME,TABLA,NOMBRE,REGLA,F_INICIO,F_FIN,DESCRIPCION) VALUES (10.1,'INYC_RDC_RESUMEN','SM - Importe Pago Final Total Cuatrimestre','SM-O-RDC-ImportePagoCuatrim-Final',TO_DATE('20180101','yyyymmdd'),TO_DATE('22000101','yyyymmdd'),'Version 20180807');</v>
      </c>
      <c r="B517" t="str">
        <f>IF(REGLAS!J518="OBSOLETO","","INSERT INTO INYCEXT.INYC_CONF_INF_REGLAS@tc_link (COD_INFORME,TABLA,NOMBRE,REGLA,F_INICIO,F_FIN,DESCRIPCION) VALUES ("&amp;REGLAS!B518&amp;",'"&amp;REGLAS!C518&amp;"','"&amp;REGLAS!D518&amp;"','"&amp;REGLAS!G518&amp;"',TO_DATE('"&amp;REGLAS!H518&amp;"','yyyymmdd'),TO_DATE('"&amp;REGLAS!I518&amp;"','yyyymmdd'),'"&amp;REGLAS!J518&amp;"');")</f>
        <v>INSERT INTO INYCEXT.INYC_CONF_INF_REGLAS@tc_link (COD_INFORME,TABLA,NOMBRE,REGLA,F_INICIO,F_FIN,DESCRIPCION) VALUES (10.1,'INYC_RDC_RESUMEN','SM - Importe Pago Final Total Cuatrimestre','SM-O-RDC-ImportePagoCuatrim-Final',TO_DATE('20180101','yyyymmdd'),TO_DATE('22000101','yyyymmdd'),'Version 20180807');</v>
      </c>
    </row>
    <row r="518" spans="1:2" x14ac:dyDescent="0.25">
      <c r="A518" t="str">
        <f>IF(REGLAS!J519="OBSOLETO","","INSERT INTO INYCEXT.INYC_CONF_INF_REGLAS (COD_INFORME,TABLA,NOMBRE,REGLA,F_INICIO,F_FIN,DESCRIPCION) VALUES ("&amp;REGLAS!B519&amp;",'"&amp;REGLAS!C519&amp;"','"&amp;REGLAS!D519&amp;"','"&amp;REGLAS!G519&amp;"',TO_DATE('"&amp;REGLAS!H519&amp;"','yyyymmdd'),TO_DATE('"&amp;REGLAS!I519&amp;"','yyyymmdd'),'"&amp;REGLAS!J519&amp;"');")</f>
        <v>INSERT INTO INYCEXT.INYC_CONF_INF_REGLAS (COD_INFORME,TABLA,NOMBRE,REGLA,F_INICIO,F_FIN,DESCRIPCION) VALUES (10.2,'INYC_RDC_DETALLE','Prima Hogar','DC-O-RDC-Agente-PrimaCorregida',TO_DATE('20140101','yyyymmdd'),TO_DATE('22000101','yyyymmdd'),'');</v>
      </c>
      <c r="B518" t="str">
        <f>IF(REGLAS!J519="OBSOLETO","","INSERT INTO INYCEXT.INYC_CONF_INF_REGLAS@tc_link (COD_INFORME,TABLA,NOMBRE,REGLA,F_INICIO,F_FIN,DESCRIPCION) VALUES ("&amp;REGLAS!B519&amp;",'"&amp;REGLAS!C519&amp;"','"&amp;REGLAS!D519&amp;"','"&amp;REGLAS!G519&amp;"',TO_DATE('"&amp;REGLAS!H519&amp;"','yyyymmdd'),TO_DATE('"&amp;REGLAS!I519&amp;"','yyyymmdd'),'"&amp;REGLAS!J519&amp;"');")</f>
        <v>INSERT INTO INYCEXT.INYC_CONF_INF_REGLAS@tc_link (COD_INFORME,TABLA,NOMBRE,REGLA,F_INICIO,F_FIN,DESCRIPCION) VALUES (10.2,'INYC_RDC_DETALLE','Prima Hogar','DC-O-RDC-Agente-PrimaCorregida',TO_DATE('20140101','yyyymmdd'),TO_DATE('22000101','yyyymmdd'),'');</v>
      </c>
    </row>
    <row r="519" spans="1:2" x14ac:dyDescent="0.25">
      <c r="A519" t="str">
        <f>IF(REGLAS!J520="OBSOLETO","","INSERT INTO INYCEXT.INYC_CONF_INF_REGLAS (COD_INFORME,TABLA,NOMBRE,REGLA,F_INICIO,F_FIN,DESCRIPCION) VALUES ("&amp;REGLAS!B520&amp;",'"&amp;REGLAS!C520&amp;"','"&amp;REGLAS!D520&amp;"','"&amp;REGLAS!G520&amp;"',TO_DATE('"&amp;REGLAS!H520&amp;"','yyyymmdd'),TO_DATE('"&amp;REGLAS!I520&amp;"','yyyymmdd'),'"&amp;REGLAS!J520&amp;"');")</f>
        <v>INSERT INTO INYCEXT.INYC_CONF_INF_REGLAS (COD_INFORME,TABLA,NOMBRE,REGLA,F_INICIO,F_FIN,DESCRIPCION) VALUES (10.2,'INYC_RDC_DETALLE','Polizas Corregidas Hogar','DC-O-RDC-Agente-Polizas',TO_DATE('20140101','yyyymmdd'),TO_DATE('22000101','yyyymmdd'),'');</v>
      </c>
      <c r="B519" t="str">
        <f>IF(REGLAS!J520="OBSOLETO","","INSERT INTO INYCEXT.INYC_CONF_INF_REGLAS@tc_link (COD_INFORME,TABLA,NOMBRE,REGLA,F_INICIO,F_FIN,DESCRIPCION) VALUES ("&amp;REGLAS!B520&amp;",'"&amp;REGLAS!C520&amp;"','"&amp;REGLAS!D520&amp;"','"&amp;REGLAS!G520&amp;"',TO_DATE('"&amp;REGLAS!H520&amp;"','yyyymmdd'),TO_DATE('"&amp;REGLAS!I520&amp;"','yyyymmdd'),'"&amp;REGLAS!J520&amp;"');")</f>
        <v>INSERT INTO INYCEXT.INYC_CONF_INF_REGLAS@tc_link (COD_INFORME,TABLA,NOMBRE,REGLA,F_INICIO,F_FIN,DESCRIPCION) VALUES (10.2,'INYC_RDC_DETALLE','Polizas Corregidas Hogar','DC-O-RDC-Agente-Polizas',TO_DATE('20140101','yyyymmdd'),TO_DATE('22000101','yyyymmdd'),'');</v>
      </c>
    </row>
    <row r="520" spans="1:2" x14ac:dyDescent="0.25">
      <c r="A520" t="str">
        <f>IF(REGLAS!J521="OBSOLETO","","INSERT INTO INYCEXT.INYC_CONF_INF_REGLAS (COD_INFORME,TABLA,NOMBRE,REGLA,F_INICIO,F_FIN,DESCRIPCION) VALUES ("&amp;REGLAS!B521&amp;",'"&amp;REGLAS!C521&amp;"','"&amp;REGLAS!D521&amp;"','"&amp;REGLAS!G521&amp;"',TO_DATE('"&amp;REGLAS!H521&amp;"','yyyymmdd'),TO_DATE('"&amp;REGLAS!I521&amp;"','yyyymmdd'),'"&amp;REGLAS!J521&amp;"');")</f>
        <v>INSERT INTO INYCEXT.INYC_CONF_INF_REGLAS (COD_INFORME,TABLA,NOMBRE,REGLA,F_INICIO,F_FIN,DESCRIPCION) VALUES (10.2,'INYC_RDC_DETALLE','Polizas Hogar','DC-O-RDC-Agente-PolizasCorregidas',TO_DATE('20140101','yyyymmdd'),TO_DATE('22000101','yyyymmdd'),'');</v>
      </c>
      <c r="B520" t="str">
        <f>IF(REGLAS!J521="OBSOLETO","","INSERT INTO INYCEXT.INYC_CONF_INF_REGLAS@tc_link (COD_INFORME,TABLA,NOMBRE,REGLA,F_INICIO,F_FIN,DESCRIPCION) VALUES ("&amp;REGLAS!B521&amp;",'"&amp;REGLAS!C521&amp;"','"&amp;REGLAS!D521&amp;"','"&amp;REGLAS!G521&amp;"',TO_DATE('"&amp;REGLAS!H521&amp;"','yyyymmdd'),TO_DATE('"&amp;REGLAS!I521&amp;"','yyyymmdd'),'"&amp;REGLAS!J521&amp;"');")</f>
        <v>INSERT INTO INYCEXT.INYC_CONF_INF_REGLAS@tc_link (COD_INFORME,TABLA,NOMBRE,REGLA,F_INICIO,F_FIN,DESCRIPCION) VALUES (10.2,'INYC_RDC_DETALLE','Polizas Hogar','DC-O-RDC-Agente-PolizasCorregidas',TO_DATE('20140101','yyyymmdd'),TO_DATE('22000101','yyyymmdd'),'');</v>
      </c>
    </row>
    <row r="521" spans="1:2" x14ac:dyDescent="0.25">
      <c r="A521" t="str">
        <f>IF(REGLAS!J522="OBSOLETO","","INSERT INTO INYCEXT.INYC_CONF_INF_REGLAS (COD_INFORME,TABLA,NOMBRE,REGLA,F_INICIO,F_FIN,DESCRIPCION) VALUES ("&amp;REGLAS!B522&amp;",'"&amp;REGLAS!C522&amp;"','"&amp;REGLAS!D522&amp;"','"&amp;REGLAS!G522&amp;"',TO_DATE('"&amp;REGLAS!H522&amp;"','yyyymmdd'),TO_DATE('"&amp;REGLAS!I522&amp;"','yyyymmdd'),'"&amp;REGLAS!J522&amp;"');")</f>
        <v/>
      </c>
      <c r="B521" t="str">
        <f>IF(REGLAS!J522="OBSOLETO","","INSERT INTO INYCEXT.INYC_CONF_INF_REGLAS@tc_link (COD_INFORME,TABLA,NOMBRE,REGLA,F_INICIO,F_FIN,DESCRIPCION) VALUES ("&amp;REGLAS!B522&amp;",'"&amp;REGLAS!C522&amp;"','"&amp;REGLAS!D522&amp;"','"&amp;REGLAS!G522&amp;"',TO_DATE('"&amp;REGLAS!H522&amp;"','yyyymmdd'),TO_DATE('"&amp;REGLAS!I522&amp;"','yyyymmdd'),'"&amp;REGLAS!J522&amp;"');")</f>
        <v/>
      </c>
    </row>
    <row r="522" spans="1:2" x14ac:dyDescent="0.25">
      <c r="A522" t="str">
        <f>IF(REGLAS!J523="OBSOLETO","","INSERT INTO INYCEXT.INYC_CONF_INF_REGLAS (COD_INFORME,TABLA,NOMBRE,REGLA,F_INICIO,F_FIN,DESCRIPCION) VALUES ("&amp;REGLAS!B523&amp;",'"&amp;REGLAS!C523&amp;"','"&amp;REGLAS!D523&amp;"','"&amp;REGLAS!G523&amp;"',TO_DATE('"&amp;REGLAS!H523&amp;"','yyyymmdd'),TO_DATE('"&amp;REGLAS!I523&amp;"','yyyymmdd'),'"&amp;REGLAS!J523&amp;"');")</f>
        <v/>
      </c>
      <c r="B522" t="str">
        <f>IF(REGLAS!J523="OBSOLETO","","INSERT INTO INYCEXT.INYC_CONF_INF_REGLAS@tc_link (COD_INFORME,TABLA,NOMBRE,REGLA,F_INICIO,F_FIN,DESCRIPCION) VALUES ("&amp;REGLAS!B523&amp;",'"&amp;REGLAS!C523&amp;"','"&amp;REGLAS!D523&amp;"','"&amp;REGLAS!G523&amp;"',TO_DATE('"&amp;REGLAS!H523&amp;"','yyyymmdd'),TO_DATE('"&amp;REGLAS!I523&amp;"','yyyymmdd'),'"&amp;REGLAS!J523&amp;"');")</f>
        <v/>
      </c>
    </row>
    <row r="523" spans="1:2" x14ac:dyDescent="0.25">
      <c r="A523" t="str">
        <f>IF(REGLAS!J524="OBSOLETO","","INSERT INTO INYCEXT.INYC_CONF_INF_REGLAS (COD_INFORME,TABLA,NOMBRE,REGLA,F_INICIO,F_FIN,DESCRIPCION) VALUES ("&amp;REGLAS!B524&amp;",'"&amp;REGLAS!C524&amp;"','"&amp;REGLAS!D524&amp;"','"&amp;REGLAS!G524&amp;"',TO_DATE('"&amp;REGLAS!H524&amp;"','yyyymmdd'),TO_DATE('"&amp;REGLAS!I524&amp;"','yyyymmdd'),'"&amp;REGLAS!J524&amp;"');")</f>
        <v/>
      </c>
      <c r="B523" t="str">
        <f>IF(REGLAS!J524="OBSOLETO","","INSERT INTO INYCEXT.INYC_CONF_INF_REGLAS@tc_link (COD_INFORME,TABLA,NOMBRE,REGLA,F_INICIO,F_FIN,DESCRIPCION) VALUES ("&amp;REGLAS!B524&amp;",'"&amp;REGLAS!C524&amp;"','"&amp;REGLAS!D524&amp;"','"&amp;REGLAS!G524&amp;"',TO_DATE('"&amp;REGLAS!H524&amp;"','yyyymmdd'),TO_DATE('"&amp;REGLAS!I524&amp;"','yyyymmdd'),'"&amp;REGLAS!J524&amp;"');")</f>
        <v/>
      </c>
    </row>
    <row r="524" spans="1:2" x14ac:dyDescent="0.25">
      <c r="A524" t="str">
        <f>IF(REGLAS!J525="OBSOLETO","","INSERT INTO INYCEXT.INYC_CONF_INF_REGLAS (COD_INFORME,TABLA,NOMBRE,REGLA,F_INICIO,F_FIN,DESCRIPCION) VALUES ("&amp;REGLAS!B525&amp;",'"&amp;REGLAS!C525&amp;"','"&amp;REGLAS!D525&amp;"','"&amp;REGLAS!G525&amp;"',TO_DATE('"&amp;REGLAS!H525&amp;"','yyyymmdd'),TO_DATE('"&amp;REGLAS!I525&amp;"','yyyymmdd'),'"&amp;REGLAS!J525&amp;"');")</f>
        <v>INSERT INTO INYCEXT.INYC_CONF_INF_REGLAS (COD_INFORME,TABLA,NOMBRE,REGLA,F_INICIO,F_FIN,DESCRIPCION) VALUES (12.1,'INYC_AN_RESUMEN','SM - Nº Pólizas Inspector Total Productos Anual','SM-O-GEN-Inspector-NumeroPolizas-998-TotalAnual',TO_DATE('20171201','yyyymmdd'),TO_DATE('22000101','yyyymmdd'),'Version 201712');</v>
      </c>
      <c r="B524" t="str">
        <f>IF(REGLAS!J525="OBSOLETO","","INSERT INTO INYCEXT.INYC_CONF_INF_REGLAS@tc_link (COD_INFORME,TABLA,NOMBRE,REGLA,F_INICIO,F_FIN,DESCRIPCION) VALUES ("&amp;REGLAS!B525&amp;",'"&amp;REGLAS!C525&amp;"','"&amp;REGLAS!D525&amp;"','"&amp;REGLAS!G525&amp;"',TO_DATE('"&amp;REGLAS!H525&amp;"','yyyymmdd'),TO_DATE('"&amp;REGLAS!I525&amp;"','yyyymmdd'),'"&amp;REGLAS!J525&amp;"');")</f>
        <v>INSERT INTO INYCEXT.INYC_CONF_INF_REGLAS@tc_link (COD_INFORME,TABLA,NOMBRE,REGLA,F_INICIO,F_FIN,DESCRIPCION) VALUES (12.1,'INYC_AN_RESUMEN','SM - Nº Pólizas Inspector Total Productos Anual','SM-O-GEN-Inspector-NumeroPolizas-998-TotalAnual',TO_DATE('20171201','yyyymmdd'),TO_DATE('22000101','yyyymmdd'),'Version 201712');</v>
      </c>
    </row>
    <row r="525" spans="1:2" x14ac:dyDescent="0.25">
      <c r="A525" t="str">
        <f>IF(REGLAS!J526="OBSOLETO","","INSERT INTO INYCEXT.INYC_CONF_INF_REGLAS (COD_INFORME,TABLA,NOMBRE,REGLA,F_INICIO,F_FIN,DESCRIPCION) VALUES ("&amp;REGLAS!B526&amp;",'"&amp;REGLAS!C526&amp;"','"&amp;REGLAS!D526&amp;"','"&amp;REGLAS!G526&amp;"',TO_DATE('"&amp;REGLAS!H526&amp;"','yyyymmdd'),TO_DATE('"&amp;REGLAS!I526&amp;"','yyyymmdd'),'"&amp;REGLAS!J526&amp;"');")</f>
        <v>INSERT INTO INYCEXT.INYC_CONF_INF_REGLAS (COD_INFORME,TABLA,NOMBRE,REGLA,F_INICIO,F_FIN,DESCRIPCION) VALUES (12.1,'INYC_AN_RESUMEN','SM - Prima Corregida Inspector Total Productos Anual','SM-O-GEN-Inspector-PrimaCorregida-998-TotalAnual',TO_DATE('20171201','yyyymmdd'),TO_DATE('22000101','yyyymmdd'),'Version 201712');</v>
      </c>
      <c r="B525" t="str">
        <f>IF(REGLAS!J526="OBSOLETO","","INSERT INTO INYCEXT.INYC_CONF_INF_REGLAS@tc_link (COD_INFORME,TABLA,NOMBRE,REGLA,F_INICIO,F_FIN,DESCRIPCION) VALUES ("&amp;REGLAS!B526&amp;",'"&amp;REGLAS!C526&amp;"','"&amp;REGLAS!D526&amp;"','"&amp;REGLAS!G526&amp;"',TO_DATE('"&amp;REGLAS!H526&amp;"','yyyymmdd'),TO_DATE('"&amp;REGLAS!I526&amp;"','yyyymmdd'),'"&amp;REGLAS!J526&amp;"');")</f>
        <v>INSERT INTO INYCEXT.INYC_CONF_INF_REGLAS@tc_link (COD_INFORME,TABLA,NOMBRE,REGLA,F_INICIO,F_FIN,DESCRIPCION) VALUES (12.1,'INYC_AN_RESUMEN','SM - Prima Corregida Inspector Total Productos Anual','SM-O-GEN-Inspector-PrimaCorregida-998-TotalAnual',TO_DATE('20171201','yyyymmdd'),TO_DATE('22000101','yyyymmdd'),'Version 201712');</v>
      </c>
    </row>
    <row r="526" spans="1:2" x14ac:dyDescent="0.25">
      <c r="A526" t="str">
        <f>IF(REGLAS!J527="OBSOLETO","","INSERT INTO INYCEXT.INYC_CONF_INF_REGLAS (COD_INFORME,TABLA,NOMBRE,REGLA,F_INICIO,F_FIN,DESCRIPCION) VALUES ("&amp;REGLAS!B527&amp;",'"&amp;REGLAS!C527&amp;"','"&amp;REGLAS!D527&amp;"','"&amp;REGLAS!G527&amp;"',TO_DATE('"&amp;REGLAS!H527&amp;"','yyyymmdd'),TO_DATE('"&amp;REGLAS!I527&amp;"','yyyymmdd'),'"&amp;REGLAS!J527&amp;"');")</f>
        <v>INSERT INTO INYCEXT.INYC_CONF_INF_REGLAS (COD_INFORME,TABLA,NOMBRE,REGLA,F_INICIO,F_FIN,DESCRIPCION) VALUES (12.1,'INYC_AN_RESUMEN','SM - Objetivo Anual Pólizas Total Ramos','SM-O-RPP-Inspector-ObjetivoAnual-NumPolizas-998',TO_DATE('20171201','yyyymmdd'),TO_DATE('22000101','yyyymmdd'),'Version 201712');</v>
      </c>
      <c r="B526" t="str">
        <f>IF(REGLAS!J527="OBSOLETO","","INSERT INTO INYCEXT.INYC_CONF_INF_REGLAS@tc_link (COD_INFORME,TABLA,NOMBRE,REGLA,F_INICIO,F_FIN,DESCRIPCION) VALUES ("&amp;REGLAS!B527&amp;",'"&amp;REGLAS!C527&amp;"','"&amp;REGLAS!D527&amp;"','"&amp;REGLAS!G527&amp;"',TO_DATE('"&amp;REGLAS!H527&amp;"','yyyymmdd'),TO_DATE('"&amp;REGLAS!I527&amp;"','yyyymmdd'),'"&amp;REGLAS!J527&amp;"');")</f>
        <v>INSERT INTO INYCEXT.INYC_CONF_INF_REGLAS@tc_link (COD_INFORME,TABLA,NOMBRE,REGLA,F_INICIO,F_FIN,DESCRIPCION) VALUES (12.1,'INYC_AN_RESUMEN','SM - Objetivo Anual Pólizas Total Ramos','SM-O-RPP-Inspector-ObjetivoAnual-NumPolizas-998',TO_DATE('20171201','yyyymmdd'),TO_DATE('22000101','yyyymmdd'),'Version 201712');</v>
      </c>
    </row>
    <row r="527" spans="1:2" x14ac:dyDescent="0.25">
      <c r="A527" t="str">
        <f>IF(REGLAS!J528="OBSOLETO","","INSERT INTO INYCEXT.INYC_CONF_INF_REGLAS (COD_INFORME,TABLA,NOMBRE,REGLA,F_INICIO,F_FIN,DESCRIPCION) VALUES ("&amp;REGLAS!B528&amp;",'"&amp;REGLAS!C528&amp;"','"&amp;REGLAS!D528&amp;"','"&amp;REGLAS!G528&amp;"',TO_DATE('"&amp;REGLAS!H528&amp;"','yyyymmdd'),TO_DATE('"&amp;REGLAS!I528&amp;"','yyyymmdd'),'"&amp;REGLAS!J528&amp;"');")</f>
        <v>INSERT INTO INYCEXT.INYC_CONF_INF_REGLAS (COD_INFORME,TABLA,NOMBRE,REGLA,F_INICIO,F_FIN,DESCRIPCION) VALUES (12.1,'INYC_AN_RESUMEN','SM - Objetivo Único Anual Primas','SM-O-RPP-Inspector-ObjetivoUnicoAnual-PrimaCorregida',TO_DATE('20171201','yyyymmdd'),TO_DATE('22000101','yyyymmdd'),'Version 201712');</v>
      </c>
      <c r="B527" t="str">
        <f>IF(REGLAS!J528="OBSOLETO","","INSERT INTO INYCEXT.INYC_CONF_INF_REGLAS@tc_link (COD_INFORME,TABLA,NOMBRE,REGLA,F_INICIO,F_FIN,DESCRIPCION) VALUES ("&amp;REGLAS!B528&amp;",'"&amp;REGLAS!C528&amp;"','"&amp;REGLAS!D528&amp;"','"&amp;REGLAS!G528&amp;"',TO_DATE('"&amp;REGLAS!H528&amp;"','yyyymmdd'),TO_DATE('"&amp;REGLAS!I528&amp;"','yyyymmdd'),'"&amp;REGLAS!J528&amp;"');")</f>
        <v>INSERT INTO INYCEXT.INYC_CONF_INF_REGLAS@tc_link (COD_INFORME,TABLA,NOMBRE,REGLA,F_INICIO,F_FIN,DESCRIPCION) VALUES (12.1,'INYC_AN_RESUMEN','SM - Objetivo Único Anual Primas','SM-O-RPP-Inspector-ObjetivoUnicoAnual-PrimaCorregida',TO_DATE('20171201','yyyymmdd'),TO_DATE('22000101','yyyymmdd'),'Version 201712');</v>
      </c>
    </row>
    <row r="528" spans="1:2" x14ac:dyDescent="0.25">
      <c r="A528" t="str">
        <f>IF(REGLAS!J529="OBSOLETO","","INSERT INTO INYCEXT.INYC_CONF_INF_REGLAS (COD_INFORME,TABLA,NOMBRE,REGLA,F_INICIO,F_FIN,DESCRIPCION) VALUES ("&amp;REGLAS!B529&amp;",'"&amp;REGLAS!C529&amp;"','"&amp;REGLAS!D529&amp;"','"&amp;REGLAS!G529&amp;"',TO_DATE('"&amp;REGLAS!H529&amp;"','yyyymmdd'),TO_DATE('"&amp;REGLAS!I529&amp;"','yyyymmdd'),'"&amp;REGLAS!J529&amp;"');")</f>
        <v>INSERT INTO INYCEXT.INYC_CONF_INF_REGLAS (COD_INFORME,TABLA,NOMBRE,REGLA,F_INICIO,F_FIN,DESCRIPCION) VALUES (12.1,'INYC_AN_RESUMEN','SM - AN1 No Primer Recibo Mensual','SM-O-AN1-Inspector-NumeroPolizas-998-NoPrimerRecibo-TotalMes',TO_DATE('20171001','yyyymmdd'),TO_DATE('20190101','yyyymmdd'),'Version 20190213');</v>
      </c>
      <c r="B528" t="str">
        <f>IF(REGLAS!J529="OBSOLETO","","INSERT INTO INYCEXT.INYC_CONF_INF_REGLAS@tc_link (COD_INFORME,TABLA,NOMBRE,REGLA,F_INICIO,F_FIN,DESCRIPCION) VALUES ("&amp;REGLAS!B529&amp;",'"&amp;REGLAS!C529&amp;"','"&amp;REGLAS!D529&amp;"','"&amp;REGLAS!G529&amp;"',TO_DATE('"&amp;REGLAS!H529&amp;"','yyyymmdd'),TO_DATE('"&amp;REGLAS!I529&amp;"','yyyymmdd'),'"&amp;REGLAS!J529&amp;"');")</f>
        <v>INSERT INTO INYCEXT.INYC_CONF_INF_REGLAS@tc_link (COD_INFORME,TABLA,NOMBRE,REGLA,F_INICIO,F_FIN,DESCRIPCION) VALUES (12.1,'INYC_AN_RESUMEN','SM - AN1 No Primer Recibo Mensual','SM-O-AN1-Inspector-NumeroPolizas-998-NoPrimerRecibo-TotalMes',TO_DATE('20171001','yyyymmdd'),TO_DATE('20190101','yyyymmdd'),'Version 20190213');</v>
      </c>
    </row>
    <row r="529" spans="1:2" x14ac:dyDescent="0.25">
      <c r="A529" t="str">
        <f>IF(REGLAS!J530="OBSOLETO","","INSERT INTO INYCEXT.INYC_CONF_INF_REGLAS (COD_INFORME,TABLA,NOMBRE,REGLA,F_INICIO,F_FIN,DESCRIPCION) VALUES ("&amp;REGLAS!B530&amp;",'"&amp;REGLAS!C530&amp;"','"&amp;REGLAS!D530&amp;"','"&amp;REGLAS!G530&amp;"',TO_DATE('"&amp;REGLAS!H530&amp;"','yyyymmdd'),TO_DATE('"&amp;REGLAS!I530&amp;"','yyyymmdd'),'"&amp;REGLAS!J530&amp;"');")</f>
        <v>INSERT INTO INYCEXT.INYC_CONF_INF_REGLAS (COD_INFORME,TABLA,NOMBRE,REGLA,F_INICIO,F_FIN,DESCRIPCION) VALUES (12.1,'INYC_AN_RESUMEN','SM - AN1 Primer Recibo Mensual','SM-O-AN1-Inspector-NumeroPolizas-998-PrimerRecibo-TotalMes',TO_DATE('20171001','yyyymmdd'),TO_DATE('20190101','yyyymmdd'),'Version 20190213');</v>
      </c>
      <c r="B529" t="str">
        <f>IF(REGLAS!J530="OBSOLETO","","INSERT INTO INYCEXT.INYC_CONF_INF_REGLAS@tc_link (COD_INFORME,TABLA,NOMBRE,REGLA,F_INICIO,F_FIN,DESCRIPCION) VALUES ("&amp;REGLAS!B530&amp;",'"&amp;REGLAS!C530&amp;"','"&amp;REGLAS!D530&amp;"','"&amp;REGLAS!G530&amp;"',TO_DATE('"&amp;REGLAS!H530&amp;"','yyyymmdd'),TO_DATE('"&amp;REGLAS!I530&amp;"','yyyymmdd'),'"&amp;REGLAS!J530&amp;"');")</f>
        <v>INSERT INTO INYCEXT.INYC_CONF_INF_REGLAS@tc_link (COD_INFORME,TABLA,NOMBRE,REGLA,F_INICIO,F_FIN,DESCRIPCION) VALUES (12.1,'INYC_AN_RESUMEN','SM - AN1 Primer Recibo Mensual','SM-O-AN1-Inspector-NumeroPolizas-998-PrimerRecibo-TotalMes',TO_DATE('20171001','yyyymmdd'),TO_DATE('20190101','yyyymmdd'),'Version 20190213');</v>
      </c>
    </row>
    <row r="530" spans="1:2" x14ac:dyDescent="0.25">
      <c r="A530" t="str">
        <f>IF(REGLAS!J531="OBSOLETO","","INSERT INTO INYCEXT.INYC_CONF_INF_REGLAS (COD_INFORME,TABLA,NOMBRE,REGLA,F_INICIO,F_FIN,DESCRIPCION) VALUES ("&amp;REGLAS!B531&amp;",'"&amp;REGLAS!C531&amp;"','"&amp;REGLAS!D531&amp;"','"&amp;REGLAS!G531&amp;"',TO_DATE('"&amp;REGLAS!H531&amp;"','yyyymmdd'),TO_DATE('"&amp;REGLAS!I531&amp;"','yyyymmdd'),'"&amp;REGLAS!J531&amp;"');")</f>
        <v>INSERT INTO INYCEXT.INYC_CONF_INF_REGLAS (COD_INFORME,TABLA,NOMBRE,REGLA,F_INICIO,F_FIN,DESCRIPCION) VALUES (12.1,'INYC_AN_RESUMEN','SM - AN1 Produccion Mensual','SM-O-AN1-Inspector-NumeroPolizas-998-Produccion-TotalMes',TO_DATE('20190101','yyyymmdd'),TO_DATE('22000101','yyyymmdd'),'Version 20190213');</v>
      </c>
      <c r="B530" t="str">
        <f>IF(REGLAS!J531="OBSOLETO","","INSERT INTO INYCEXT.INYC_CONF_INF_REGLAS@tc_link (COD_INFORME,TABLA,NOMBRE,REGLA,F_INICIO,F_FIN,DESCRIPCION) VALUES ("&amp;REGLAS!B531&amp;",'"&amp;REGLAS!C531&amp;"','"&amp;REGLAS!D531&amp;"','"&amp;REGLAS!G531&amp;"',TO_DATE('"&amp;REGLAS!H531&amp;"','yyyymmdd'),TO_DATE('"&amp;REGLAS!I531&amp;"','yyyymmdd'),'"&amp;REGLAS!J531&amp;"');")</f>
        <v>INSERT INTO INYCEXT.INYC_CONF_INF_REGLAS@tc_link (COD_INFORME,TABLA,NOMBRE,REGLA,F_INICIO,F_FIN,DESCRIPCION) VALUES (12.1,'INYC_AN_RESUMEN','SM - AN1 Produccion Mensual','SM-O-AN1-Inspector-NumeroPolizas-998-Produccion-TotalMes',TO_DATE('20190101','yyyymmdd'),TO_DATE('22000101','yyyymmdd'),'Version 20190213');</v>
      </c>
    </row>
    <row r="531" spans="1:2" x14ac:dyDescent="0.25">
      <c r="A531" t="str">
        <f>IF(REGLAS!J532="OBSOLETO","","INSERT INTO INYCEXT.INYC_CONF_INF_REGLAS (COD_INFORME,TABLA,NOMBRE,REGLA,F_INICIO,F_FIN,DESCRIPCION) VALUES ("&amp;REGLAS!B532&amp;",'"&amp;REGLAS!C532&amp;"','"&amp;REGLAS!D532&amp;"','"&amp;REGLAS!G532&amp;"',TO_DATE('"&amp;REGLAS!H532&amp;"','yyyymmdd'),TO_DATE('"&amp;REGLAS!I532&amp;"','yyyymmdd'),'"&amp;REGLAS!J532&amp;"');")</f>
        <v>INSERT INTO INYCEXT.INYC_CONF_INF_REGLAS (COD_INFORME,TABLA,NOMBRE,REGLA,F_INICIO,F_FIN,DESCRIPCION) VALUES (12.1,'INYC_AN_RESUMEN','SM - AN1 Anulaciones Mensual','SM-O-AN1-Inspector-NumeroPolizas-998-Anulaciones-TotalMes',TO_DATE('20170901','yyyymmdd'),TO_DATE('22000101','yyyymmdd'),'');</v>
      </c>
      <c r="B531" t="str">
        <f>IF(REGLAS!J532="OBSOLETO","","INSERT INTO INYCEXT.INYC_CONF_INF_REGLAS@tc_link (COD_INFORME,TABLA,NOMBRE,REGLA,F_INICIO,F_FIN,DESCRIPCION) VALUES ("&amp;REGLAS!B532&amp;",'"&amp;REGLAS!C532&amp;"','"&amp;REGLAS!D532&amp;"','"&amp;REGLAS!G532&amp;"',TO_DATE('"&amp;REGLAS!H532&amp;"','yyyymmdd'),TO_DATE('"&amp;REGLAS!I532&amp;"','yyyymmdd'),'"&amp;REGLAS!J532&amp;"');")</f>
        <v>INSERT INTO INYCEXT.INYC_CONF_INF_REGLAS@tc_link (COD_INFORME,TABLA,NOMBRE,REGLA,F_INICIO,F_FIN,DESCRIPCION) VALUES (12.1,'INYC_AN_RESUMEN','SM - AN1 Anulaciones Mensual','SM-O-AN1-Inspector-NumeroPolizas-998-Anulaciones-TotalMes',TO_DATE('20170901','yyyymmdd'),TO_DATE('22000101','yyyymmdd'),'');</v>
      </c>
    </row>
    <row r="532" spans="1:2" x14ac:dyDescent="0.25">
      <c r="A532" t="str">
        <f>IF(REGLAS!J533="OBSOLETO","","INSERT INTO INYCEXT.INYC_CONF_INF_REGLAS (COD_INFORME,TABLA,NOMBRE,REGLA,F_INICIO,F_FIN,DESCRIPCION) VALUES ("&amp;REGLAS!B533&amp;",'"&amp;REGLAS!C533&amp;"','"&amp;REGLAS!D533&amp;"','"&amp;REGLAS!G533&amp;"',TO_DATE('"&amp;REGLAS!H533&amp;"','yyyymmdd'),TO_DATE('"&amp;REGLAS!I533&amp;"','yyyymmdd'),'"&amp;REGLAS!J533&amp;"');")</f>
        <v/>
      </c>
      <c r="B532" t="str">
        <f>IF(REGLAS!J533="OBSOLETO","","INSERT INTO INYCEXT.INYC_CONF_INF_REGLAS@tc_link (COD_INFORME,TABLA,NOMBRE,REGLA,F_INICIO,F_FIN,DESCRIPCION) VALUES ("&amp;REGLAS!B533&amp;",'"&amp;REGLAS!C533&amp;"','"&amp;REGLAS!D533&amp;"','"&amp;REGLAS!G533&amp;"',TO_DATE('"&amp;REGLAS!H533&amp;"','yyyymmdd'),TO_DATE('"&amp;REGLAS!I533&amp;"','yyyymmdd'),'"&amp;REGLAS!J533&amp;"');")</f>
        <v/>
      </c>
    </row>
    <row r="533" spans="1:2" x14ac:dyDescent="0.25">
      <c r="A533" t="str">
        <f>IF(REGLAS!J534="OBSOLETO","","INSERT INTO INYCEXT.INYC_CONF_INF_REGLAS (COD_INFORME,TABLA,NOMBRE,REGLA,F_INICIO,F_FIN,DESCRIPCION) VALUES ("&amp;REGLAS!B534&amp;",'"&amp;REGLAS!C534&amp;"','"&amp;REGLAS!D534&amp;"','"&amp;REGLAS!G534&amp;"',TO_DATE('"&amp;REGLAS!H534&amp;"','yyyymmdd'),TO_DATE('"&amp;REGLAS!I534&amp;"','yyyymmdd'),'"&amp;REGLAS!J534&amp;"');")</f>
        <v/>
      </c>
      <c r="B533" t="str">
        <f>IF(REGLAS!J534="OBSOLETO","","INSERT INTO INYCEXT.INYC_CONF_INF_REGLAS@tc_link (COD_INFORME,TABLA,NOMBRE,REGLA,F_INICIO,F_FIN,DESCRIPCION) VALUES ("&amp;REGLAS!B534&amp;",'"&amp;REGLAS!C534&amp;"','"&amp;REGLAS!D534&amp;"','"&amp;REGLAS!G534&amp;"',TO_DATE('"&amp;REGLAS!H534&amp;"','yyyymmdd'),TO_DATE('"&amp;REGLAS!I534&amp;"','yyyymmdd'),'"&amp;REGLAS!J534&amp;"');")</f>
        <v/>
      </c>
    </row>
    <row r="534" spans="1:2" x14ac:dyDescent="0.25">
      <c r="A534" t="str">
        <f>IF(REGLAS!J535="OBSOLETO","","INSERT INTO INYCEXT.INYC_CONF_INF_REGLAS (COD_INFORME,TABLA,NOMBRE,REGLA,F_INICIO,F_FIN,DESCRIPCION) VALUES ("&amp;REGLAS!B535&amp;",'"&amp;REGLAS!C535&amp;"','"&amp;REGLAS!D535&amp;"','"&amp;REGLAS!G535&amp;"',TO_DATE('"&amp;REGLAS!H535&amp;"','yyyymmdd'),TO_DATE('"&amp;REGLAS!I535&amp;"','yyyymmdd'),'"&amp;REGLAS!J535&amp;"');")</f>
        <v/>
      </c>
      <c r="B534" t="str">
        <f>IF(REGLAS!J535="OBSOLETO","","INSERT INTO INYCEXT.INYC_CONF_INF_REGLAS@tc_link (COD_INFORME,TABLA,NOMBRE,REGLA,F_INICIO,F_FIN,DESCRIPCION) VALUES ("&amp;REGLAS!B535&amp;",'"&amp;REGLAS!C535&amp;"','"&amp;REGLAS!D535&amp;"','"&amp;REGLAS!G535&amp;"',TO_DATE('"&amp;REGLAS!H535&amp;"','yyyymmdd'),TO_DATE('"&amp;REGLAS!I535&amp;"','yyyymmdd'),'"&amp;REGLAS!J535&amp;"');")</f>
        <v/>
      </c>
    </row>
    <row r="535" spans="1:2" x14ac:dyDescent="0.25">
      <c r="A535" t="str">
        <f>IF(REGLAS!J536="OBSOLETO","","INSERT INTO INYCEXT.INYC_CONF_INF_REGLAS (COD_INFORME,TABLA,NOMBRE,REGLA,F_INICIO,F_FIN,DESCRIPCION) VALUES ("&amp;REGLAS!B536&amp;",'"&amp;REGLAS!C536&amp;"','"&amp;REGLAS!D536&amp;"','"&amp;REGLAS!G536&amp;"',TO_DATE('"&amp;REGLAS!H536&amp;"','yyyymmdd'),TO_DATE('"&amp;REGLAS!I536&amp;"','yyyymmdd'),'"&amp;REGLAS!J536&amp;"');")</f>
        <v>INSERT INTO INYCEXT.INYC_CONF_INF_REGLAS (COD_INFORME,TABLA,NOMBRE,REGLA,F_INICIO,F_FIN,DESCRIPCION) VALUES (12.1,'INYC_AN_RESUMEN','I - AN1 Pago Anulaciones','I-O-AN1-Inspector-Pago-Anulaciones',TO_DATE('20171201','yyyymmdd'),TO_DATE('22000101','yyyymmdd'),'Version 201712');</v>
      </c>
      <c r="B535" t="str">
        <f>IF(REGLAS!J536="OBSOLETO","","INSERT INTO INYCEXT.INYC_CONF_INF_REGLAS@tc_link (COD_INFORME,TABLA,NOMBRE,REGLA,F_INICIO,F_FIN,DESCRIPCION) VALUES ("&amp;REGLAS!B536&amp;",'"&amp;REGLAS!C536&amp;"','"&amp;REGLAS!D536&amp;"','"&amp;REGLAS!G536&amp;"',TO_DATE('"&amp;REGLAS!H536&amp;"','yyyymmdd'),TO_DATE('"&amp;REGLAS!I536&amp;"','yyyymmdd'),'"&amp;REGLAS!J536&amp;"');")</f>
        <v>INSERT INTO INYCEXT.INYC_CONF_INF_REGLAS@tc_link (COD_INFORME,TABLA,NOMBRE,REGLA,F_INICIO,F_FIN,DESCRIPCION) VALUES (12.1,'INYC_AN_RESUMEN','I - AN1 Pago Anulaciones','I-O-AN1-Inspector-Pago-Anulaciones',TO_DATE('20171201','yyyymmdd'),TO_DATE('22000101','yyyymmdd'),'Version 201712');</v>
      </c>
    </row>
    <row r="536" spans="1:2" x14ac:dyDescent="0.25">
      <c r="A536" t="str">
        <f>IF(REGLAS!J537="OBSOLETO","","INSERT INTO INYCEXT.INYC_CONF_INF_REGLAS (COD_INFORME,TABLA,NOMBRE,REGLA,F_INICIO,F_FIN,DESCRIPCION) VALUES ("&amp;REGLAS!B537&amp;",'"&amp;REGLAS!C537&amp;"','"&amp;REGLAS!D537&amp;"','"&amp;REGLAS!G537&amp;"',TO_DATE('"&amp;REGLAS!H537&amp;"','yyyymmdd'),TO_DATE('"&amp;REGLAS!I537&amp;"','yyyymmdd'),'"&amp;REGLAS!J537&amp;"');")</f>
        <v>INSERT INTO INYCEXT.INYC_CONF_INF_REGLAS (COD_INFORME,TABLA,NOMBRE,REGLA,F_INICIO,F_FIN,DESCRIPCION) VALUES (12.1,'INYC_AN_RESUMEN','SM - AN2 Anulaciones Bloque1 Acumulado','SM-O-AN2-Inspector-NumPol-BLOQUE1-Anulacion-Acumulado',TO_DATE('20171201','yyyymmdd'),TO_DATE('20180101','yyyymmdd'),'Version 201712');</v>
      </c>
      <c r="B536" t="str">
        <f>IF(REGLAS!J537="OBSOLETO","","INSERT INTO INYCEXT.INYC_CONF_INF_REGLAS@tc_link (COD_INFORME,TABLA,NOMBRE,REGLA,F_INICIO,F_FIN,DESCRIPCION) VALUES ("&amp;REGLAS!B537&amp;",'"&amp;REGLAS!C537&amp;"','"&amp;REGLAS!D537&amp;"','"&amp;REGLAS!G537&amp;"',TO_DATE('"&amp;REGLAS!H537&amp;"','yyyymmdd'),TO_DATE('"&amp;REGLAS!I537&amp;"','yyyymmdd'),'"&amp;REGLAS!J537&amp;"');")</f>
        <v>INSERT INTO INYCEXT.INYC_CONF_INF_REGLAS@tc_link (COD_INFORME,TABLA,NOMBRE,REGLA,F_INICIO,F_FIN,DESCRIPCION) VALUES (12.1,'INYC_AN_RESUMEN','SM - AN2 Anulaciones Bloque1 Acumulado','SM-O-AN2-Inspector-NumPol-BLOQUE1-Anulacion-Acumulado',TO_DATE('20171201','yyyymmdd'),TO_DATE('20180101','yyyymmdd'),'Version 201712');</v>
      </c>
    </row>
    <row r="537" spans="1:2" x14ac:dyDescent="0.25">
      <c r="A537" t="str">
        <f>IF(REGLAS!J538="OBSOLETO","","INSERT INTO INYCEXT.INYC_CONF_INF_REGLAS (COD_INFORME,TABLA,NOMBRE,REGLA,F_INICIO,F_FIN,DESCRIPCION) VALUES ("&amp;REGLAS!B538&amp;",'"&amp;REGLAS!C538&amp;"','"&amp;REGLAS!D538&amp;"','"&amp;REGLAS!G538&amp;"',TO_DATE('"&amp;REGLAS!H538&amp;"','yyyymmdd'),TO_DATE('"&amp;REGLAS!I538&amp;"','yyyymmdd'),'"&amp;REGLAS!J538&amp;"');")</f>
        <v>INSERT INTO INYCEXT.INYC_CONF_INF_REGLAS (COD_INFORME,TABLA,NOMBRE,REGLA,F_INICIO,F_FIN,DESCRIPCION) VALUES (12.1,'INYC_AN_RESUMEN','SM - AN2 Anulaciones Bloque2 Acumulado','SM-O-AN2-Inspector-NumPol-BLOQUE2-Anulacion-Acumulado',TO_DATE('20171201','yyyymmdd'),TO_DATE('20180101','yyyymmdd'),'Version 201712');</v>
      </c>
      <c r="B537" t="str">
        <f>IF(REGLAS!J538="OBSOLETO","","INSERT INTO INYCEXT.INYC_CONF_INF_REGLAS@tc_link (COD_INFORME,TABLA,NOMBRE,REGLA,F_INICIO,F_FIN,DESCRIPCION) VALUES ("&amp;REGLAS!B538&amp;",'"&amp;REGLAS!C538&amp;"','"&amp;REGLAS!D538&amp;"','"&amp;REGLAS!G538&amp;"',TO_DATE('"&amp;REGLAS!H538&amp;"','yyyymmdd'),TO_DATE('"&amp;REGLAS!I538&amp;"','yyyymmdd'),'"&amp;REGLAS!J538&amp;"');")</f>
        <v>INSERT INTO INYCEXT.INYC_CONF_INF_REGLAS@tc_link (COD_INFORME,TABLA,NOMBRE,REGLA,F_INICIO,F_FIN,DESCRIPCION) VALUES (12.1,'INYC_AN_RESUMEN','SM - AN2 Anulaciones Bloque2 Acumulado','SM-O-AN2-Inspector-NumPol-BLOQUE2-Anulacion-Acumulado',TO_DATE('20171201','yyyymmdd'),TO_DATE('20180101','yyyymmdd'),'Version 201712');</v>
      </c>
    </row>
    <row r="538" spans="1:2" x14ac:dyDescent="0.25">
      <c r="A538" t="str">
        <f>IF(REGLAS!J539="OBSOLETO","","INSERT INTO INYCEXT.INYC_CONF_INF_REGLAS (COD_INFORME,TABLA,NOMBRE,REGLA,F_INICIO,F_FIN,DESCRIPCION) VALUES ("&amp;REGLAS!B539&amp;",'"&amp;REGLAS!C539&amp;"','"&amp;REGLAS!D539&amp;"','"&amp;REGLAS!G539&amp;"',TO_DATE('"&amp;REGLAS!H539&amp;"','yyyymmdd'),TO_DATE('"&amp;REGLAS!I539&amp;"','yyyymmdd'),'"&amp;REGLAS!J539&amp;"');")</f>
        <v>INSERT INTO INYCEXT.INYC_CONF_INF_REGLAS (COD_INFORME,TABLA,NOMBRE,REGLA,F_INICIO,F_FIN,DESCRIPCION) VALUES (12.1,'INYC_AN_RESUMEN','SM - AN2 Producción Bloque1 Año Anterior Acumulado','SM-O-AN2-Inspector-BLOQUE1-NumeroPolizasAnioAnterior',TO_DATE('20171201','yyyymmdd'),TO_DATE('20180101','yyyymmdd'),'Version 201712');</v>
      </c>
      <c r="B538" t="str">
        <f>IF(REGLAS!J539="OBSOLETO","","INSERT INTO INYCEXT.INYC_CONF_INF_REGLAS@tc_link (COD_INFORME,TABLA,NOMBRE,REGLA,F_INICIO,F_FIN,DESCRIPCION) VALUES ("&amp;REGLAS!B539&amp;",'"&amp;REGLAS!C539&amp;"','"&amp;REGLAS!D539&amp;"','"&amp;REGLAS!G539&amp;"',TO_DATE('"&amp;REGLAS!H539&amp;"','yyyymmdd'),TO_DATE('"&amp;REGLAS!I539&amp;"','yyyymmdd'),'"&amp;REGLAS!J539&amp;"');")</f>
        <v>INSERT INTO INYCEXT.INYC_CONF_INF_REGLAS@tc_link (COD_INFORME,TABLA,NOMBRE,REGLA,F_INICIO,F_FIN,DESCRIPCION) VALUES (12.1,'INYC_AN_RESUMEN','SM - AN2 Producción Bloque1 Año Anterior Acumulado','SM-O-AN2-Inspector-BLOQUE1-NumeroPolizasAnioAnterior',TO_DATE('20171201','yyyymmdd'),TO_DATE('20180101','yyyymmdd'),'Version 201712');</v>
      </c>
    </row>
    <row r="539" spans="1:2" x14ac:dyDescent="0.25">
      <c r="A539" t="str">
        <f>IF(REGLAS!J540="OBSOLETO","","INSERT INTO INYCEXT.INYC_CONF_INF_REGLAS (COD_INFORME,TABLA,NOMBRE,REGLA,F_INICIO,F_FIN,DESCRIPCION) VALUES ("&amp;REGLAS!B540&amp;",'"&amp;REGLAS!C540&amp;"','"&amp;REGLAS!D540&amp;"','"&amp;REGLAS!G540&amp;"',TO_DATE('"&amp;REGLAS!H540&amp;"','yyyymmdd'),TO_DATE('"&amp;REGLAS!I540&amp;"','yyyymmdd'),'"&amp;REGLAS!J540&amp;"');")</f>
        <v>INSERT INTO INYCEXT.INYC_CONF_INF_REGLAS (COD_INFORME,TABLA,NOMBRE,REGLA,F_INICIO,F_FIN,DESCRIPCION) VALUES (12.1,'INYC_AN_RESUMEN','SM - AN2 Producción Bloque2 Año Anterior Acumulado','SM-O-AN2-Inspector-BLOQUE2-NumeroPolizasAnioAnterior',TO_DATE('20171201','yyyymmdd'),TO_DATE('20180101','yyyymmdd'),'Version 201712');</v>
      </c>
      <c r="B539" t="str">
        <f>IF(REGLAS!J540="OBSOLETO","","INSERT INTO INYCEXT.INYC_CONF_INF_REGLAS@tc_link (COD_INFORME,TABLA,NOMBRE,REGLA,F_INICIO,F_FIN,DESCRIPCION) VALUES ("&amp;REGLAS!B540&amp;",'"&amp;REGLAS!C540&amp;"','"&amp;REGLAS!D540&amp;"','"&amp;REGLAS!G540&amp;"',TO_DATE('"&amp;REGLAS!H540&amp;"','yyyymmdd'),TO_DATE('"&amp;REGLAS!I540&amp;"','yyyymmdd'),'"&amp;REGLAS!J540&amp;"');")</f>
        <v>INSERT INTO INYCEXT.INYC_CONF_INF_REGLAS@tc_link (COD_INFORME,TABLA,NOMBRE,REGLA,F_INICIO,F_FIN,DESCRIPCION) VALUES (12.1,'INYC_AN_RESUMEN','SM - AN2 Producción Bloque2 Año Anterior Acumulado','SM-O-AN2-Inspector-BLOQUE2-NumeroPolizasAnioAnterior',TO_DATE('20171201','yyyymmdd'),TO_DATE('20180101','yyyymmdd'),'Version 201712');</v>
      </c>
    </row>
    <row r="540" spans="1:2" x14ac:dyDescent="0.25">
      <c r="A540" t="str">
        <f>IF(REGLAS!J541="OBSOLETO","","INSERT INTO INYCEXT.INYC_CONF_INF_REGLAS (COD_INFORME,TABLA,NOMBRE,REGLA,F_INICIO,F_FIN,DESCRIPCION) VALUES ("&amp;REGLAS!B541&amp;",'"&amp;REGLAS!C541&amp;"','"&amp;REGLAS!D541&amp;"','"&amp;REGLAS!G541&amp;"',TO_DATE('"&amp;REGLAS!H541&amp;"','yyyymmdd'),TO_DATE('"&amp;REGLAS!I541&amp;"','yyyymmdd'),'"&amp;REGLAS!J541&amp;"');")</f>
        <v>INSERT INTO INYCEXT.INYC_CONF_INF_REGLAS (COD_INFORME,TABLA,NOMBRE,REGLA,F_INICIO,F_FIN,DESCRIPCION) VALUES (12.1,'INYC_AN_RESUMEN','SM - AN2 Anulaciones Bloque1 Año Actual Acumulado','SM-O-AN2-Inspector-NumPol-BLOQUE1-Anulaciones2-Acumulado',TO_DATE('20171201','yyyymmdd'),TO_DATE('20180101','yyyymmdd'),'Version 201712');</v>
      </c>
      <c r="B540" t="str">
        <f>IF(REGLAS!J541="OBSOLETO","","INSERT INTO INYCEXT.INYC_CONF_INF_REGLAS@tc_link (COD_INFORME,TABLA,NOMBRE,REGLA,F_INICIO,F_FIN,DESCRIPCION) VALUES ("&amp;REGLAS!B541&amp;",'"&amp;REGLAS!C541&amp;"','"&amp;REGLAS!D541&amp;"','"&amp;REGLAS!G541&amp;"',TO_DATE('"&amp;REGLAS!H541&amp;"','yyyymmdd'),TO_DATE('"&amp;REGLAS!I541&amp;"','yyyymmdd'),'"&amp;REGLAS!J541&amp;"');")</f>
        <v>INSERT INTO INYCEXT.INYC_CONF_INF_REGLAS@tc_link (COD_INFORME,TABLA,NOMBRE,REGLA,F_INICIO,F_FIN,DESCRIPCION) VALUES (12.1,'INYC_AN_RESUMEN','SM - AN2 Anulaciones Bloque1 Año Actual Acumulado','SM-O-AN2-Inspector-NumPol-BLOQUE1-Anulaciones2-Acumulado',TO_DATE('20171201','yyyymmdd'),TO_DATE('20180101','yyyymmdd'),'Version 201712');</v>
      </c>
    </row>
    <row r="541" spans="1:2" x14ac:dyDescent="0.25">
      <c r="A541" t="str">
        <f>IF(REGLAS!J542="OBSOLETO","","INSERT INTO INYCEXT.INYC_CONF_INF_REGLAS (COD_INFORME,TABLA,NOMBRE,REGLA,F_INICIO,F_FIN,DESCRIPCION) VALUES ("&amp;REGLAS!B542&amp;",'"&amp;REGLAS!C542&amp;"','"&amp;REGLAS!D542&amp;"','"&amp;REGLAS!G542&amp;"',TO_DATE('"&amp;REGLAS!H542&amp;"','yyyymmdd'),TO_DATE('"&amp;REGLAS!I542&amp;"','yyyymmdd'),'"&amp;REGLAS!J542&amp;"');")</f>
        <v>INSERT INTO INYCEXT.INYC_CONF_INF_REGLAS (COD_INFORME,TABLA,NOMBRE,REGLA,F_INICIO,F_FIN,DESCRIPCION) VALUES (12.1,'INYC_AN_RESUMEN','SM - AN2 Anulaciones Bloque2 Año Actual Acumulado','SM-O-AN2-Inspector-NumPol-BLOQUE2-Anulaciones2-Acumulado',TO_DATE('20171201','yyyymmdd'),TO_DATE('20180101','yyyymmdd'),'Version 201712');</v>
      </c>
      <c r="B541" t="str">
        <f>IF(REGLAS!J542="OBSOLETO","","INSERT INTO INYCEXT.INYC_CONF_INF_REGLAS@tc_link (COD_INFORME,TABLA,NOMBRE,REGLA,F_INICIO,F_FIN,DESCRIPCION) VALUES ("&amp;REGLAS!B542&amp;",'"&amp;REGLAS!C542&amp;"','"&amp;REGLAS!D542&amp;"','"&amp;REGLAS!G542&amp;"',TO_DATE('"&amp;REGLAS!H542&amp;"','yyyymmdd'),TO_DATE('"&amp;REGLAS!I542&amp;"','yyyymmdd'),'"&amp;REGLAS!J542&amp;"');")</f>
        <v>INSERT INTO INYCEXT.INYC_CONF_INF_REGLAS@tc_link (COD_INFORME,TABLA,NOMBRE,REGLA,F_INICIO,F_FIN,DESCRIPCION) VALUES (12.1,'INYC_AN_RESUMEN','SM - AN2 Anulaciones Bloque2 Año Actual Acumulado','SM-O-AN2-Inspector-NumPol-BLOQUE2-Anulaciones2-Acumulado',TO_DATE('20171201','yyyymmdd'),TO_DATE('20180101','yyyymmdd'),'Version 201712');</v>
      </c>
    </row>
    <row r="542" spans="1:2" x14ac:dyDescent="0.25">
      <c r="A542" t="str">
        <f>IF(REGLAS!J543="OBSOLETO","","INSERT INTO INYCEXT.INYC_CONF_INF_REGLAS (COD_INFORME,TABLA,NOMBRE,REGLA,F_INICIO,F_FIN,DESCRIPCION) VALUES ("&amp;REGLAS!B543&amp;",'"&amp;REGLAS!C543&amp;"','"&amp;REGLAS!D543&amp;"','"&amp;REGLAS!G543&amp;"',TO_DATE('"&amp;REGLAS!H543&amp;"','yyyymmdd'),TO_DATE('"&amp;REGLAS!I543&amp;"','yyyymmdd'),'"&amp;REGLAS!J543&amp;"');")</f>
        <v>INSERT INTO INYCEXT.INYC_CONF_INF_REGLAS (COD_INFORME,TABLA,NOMBRE,REGLA,F_INICIO,F_FIN,DESCRIPCION) VALUES (12.1,'INYC_AN_RESUMEN','SM - AN2 No Primer Recibo Bloque1 Año Actual Acumulado','SM-O-AN2-Inspector-NumPol-BLOQUE1-NoPrimerRecibo2-Acumulado',TO_DATE('20171201','yyyymmdd'),TO_DATE('20180101','yyyymmdd'),'Version 201712');</v>
      </c>
      <c r="B542" t="str">
        <f>IF(REGLAS!J543="OBSOLETO","","INSERT INTO INYCEXT.INYC_CONF_INF_REGLAS@tc_link (COD_INFORME,TABLA,NOMBRE,REGLA,F_INICIO,F_FIN,DESCRIPCION) VALUES ("&amp;REGLAS!B543&amp;",'"&amp;REGLAS!C543&amp;"','"&amp;REGLAS!D543&amp;"','"&amp;REGLAS!G543&amp;"',TO_DATE('"&amp;REGLAS!H543&amp;"','yyyymmdd'),TO_DATE('"&amp;REGLAS!I543&amp;"','yyyymmdd'),'"&amp;REGLAS!J543&amp;"');")</f>
        <v>INSERT INTO INYCEXT.INYC_CONF_INF_REGLAS@tc_link (COD_INFORME,TABLA,NOMBRE,REGLA,F_INICIO,F_FIN,DESCRIPCION) VALUES (12.1,'INYC_AN_RESUMEN','SM - AN2 No Primer Recibo Bloque1 Año Actual Acumulado','SM-O-AN2-Inspector-NumPol-BLOQUE1-NoPrimerRecibo2-Acumulado',TO_DATE('20171201','yyyymmdd'),TO_DATE('20180101','yyyymmdd'),'Version 201712');</v>
      </c>
    </row>
    <row r="543" spans="1:2" x14ac:dyDescent="0.25">
      <c r="A543" t="str">
        <f>IF(REGLAS!J544="OBSOLETO","","INSERT INTO INYCEXT.INYC_CONF_INF_REGLAS (COD_INFORME,TABLA,NOMBRE,REGLA,F_INICIO,F_FIN,DESCRIPCION) VALUES ("&amp;REGLAS!B544&amp;",'"&amp;REGLAS!C544&amp;"','"&amp;REGLAS!D544&amp;"','"&amp;REGLAS!G544&amp;"',TO_DATE('"&amp;REGLAS!H544&amp;"','yyyymmdd'),TO_DATE('"&amp;REGLAS!I544&amp;"','yyyymmdd'),'"&amp;REGLAS!J544&amp;"');")</f>
        <v>INSERT INTO INYCEXT.INYC_CONF_INF_REGLAS (COD_INFORME,TABLA,NOMBRE,REGLA,F_INICIO,F_FIN,DESCRIPCION) VALUES (12.1,'INYC_AN_RESUMEN','SM - AN2 No Primer Recibo Bloque2 Año Actual Acumulado','SM-O-AN2-Inspector-NumPol-BLOQUE2-NoPrimerRecibo2-Acumulado',TO_DATE('20171201','yyyymmdd'),TO_DATE('20180101','yyyymmdd'),'Version 201712');</v>
      </c>
      <c r="B543" t="str">
        <f>IF(REGLAS!J544="OBSOLETO","","INSERT INTO INYCEXT.INYC_CONF_INF_REGLAS@tc_link (COD_INFORME,TABLA,NOMBRE,REGLA,F_INICIO,F_FIN,DESCRIPCION) VALUES ("&amp;REGLAS!B544&amp;",'"&amp;REGLAS!C544&amp;"','"&amp;REGLAS!D544&amp;"','"&amp;REGLAS!G544&amp;"',TO_DATE('"&amp;REGLAS!H544&amp;"','yyyymmdd'),TO_DATE('"&amp;REGLAS!I544&amp;"','yyyymmdd'),'"&amp;REGLAS!J544&amp;"');")</f>
        <v>INSERT INTO INYCEXT.INYC_CONF_INF_REGLAS@tc_link (COD_INFORME,TABLA,NOMBRE,REGLA,F_INICIO,F_FIN,DESCRIPCION) VALUES (12.1,'INYC_AN_RESUMEN','SM - AN2 No Primer Recibo Bloque2 Año Actual Acumulado','SM-O-AN2-Inspector-NumPol-BLOQUE2-NoPrimerRecibo2-Acumulado',TO_DATE('20171201','yyyymmdd'),TO_DATE('20180101','yyyymmdd'),'Version 201712');</v>
      </c>
    </row>
    <row r="544" spans="1:2" x14ac:dyDescent="0.25">
      <c r="A544" t="str">
        <f>IF(REGLAS!J545="OBSOLETO","","INSERT INTO INYCEXT.INYC_CONF_INF_REGLAS (COD_INFORME,TABLA,NOMBRE,REGLA,F_INICIO,F_FIN,DESCRIPCION) VALUES ("&amp;REGLAS!B545&amp;",'"&amp;REGLAS!C545&amp;"','"&amp;REGLAS!D545&amp;"','"&amp;REGLAS!G545&amp;"',TO_DATE('"&amp;REGLAS!H545&amp;"','yyyymmdd'),TO_DATE('"&amp;REGLAS!I545&amp;"','yyyymmdd'),'"&amp;REGLAS!J545&amp;"');")</f>
        <v>INSERT INTO INYCEXT.INYC_CONF_INF_REGLAS (COD_INFORME,TABLA,NOMBRE,REGLA,F_INICIO,F_FIN,DESCRIPCION) VALUES (12.1,'INYC_AN_RESUMEN','SM - AN2 Anulaciones Bloque1 Mensual','SM-O-AN2-Inspector-NumPol-BLOQUE1-Anulacion-TotalMes',TO_DATE('20180101','yyyymmdd'),TO_DATE('22000101','yyyymmdd'),'Version 201712');</v>
      </c>
      <c r="B544" t="str">
        <f>IF(REGLAS!J545="OBSOLETO","","INSERT INTO INYCEXT.INYC_CONF_INF_REGLAS@tc_link (COD_INFORME,TABLA,NOMBRE,REGLA,F_INICIO,F_FIN,DESCRIPCION) VALUES ("&amp;REGLAS!B545&amp;",'"&amp;REGLAS!C545&amp;"','"&amp;REGLAS!D545&amp;"','"&amp;REGLAS!G545&amp;"',TO_DATE('"&amp;REGLAS!H545&amp;"','yyyymmdd'),TO_DATE('"&amp;REGLAS!I545&amp;"','yyyymmdd'),'"&amp;REGLAS!J545&amp;"');")</f>
        <v>INSERT INTO INYCEXT.INYC_CONF_INF_REGLAS@tc_link (COD_INFORME,TABLA,NOMBRE,REGLA,F_INICIO,F_FIN,DESCRIPCION) VALUES (12.1,'INYC_AN_RESUMEN','SM - AN2 Anulaciones Bloque1 Mensual','SM-O-AN2-Inspector-NumPol-BLOQUE1-Anulacion-TotalMes',TO_DATE('20180101','yyyymmdd'),TO_DATE('22000101','yyyymmdd'),'Version 201712');</v>
      </c>
    </row>
    <row r="545" spans="1:2" x14ac:dyDescent="0.25">
      <c r="A545" t="str">
        <f>IF(REGLAS!J546="OBSOLETO","","INSERT INTO INYCEXT.INYC_CONF_INF_REGLAS (COD_INFORME,TABLA,NOMBRE,REGLA,F_INICIO,F_FIN,DESCRIPCION) VALUES ("&amp;REGLAS!B546&amp;",'"&amp;REGLAS!C546&amp;"','"&amp;REGLAS!D546&amp;"','"&amp;REGLAS!G546&amp;"',TO_DATE('"&amp;REGLAS!H546&amp;"','yyyymmdd'),TO_DATE('"&amp;REGLAS!I546&amp;"','yyyymmdd'),'"&amp;REGLAS!J546&amp;"');")</f>
        <v>INSERT INTO INYCEXT.INYC_CONF_INF_REGLAS (COD_INFORME,TABLA,NOMBRE,REGLA,F_INICIO,F_FIN,DESCRIPCION) VALUES (12.1,'INYC_AN_RESUMEN','SM - AN2 Anulaciones Bloque2 Mensual','SM-O-AN2-Inspector-NumPol-BLOQUE2-Anulacion-TotalMes',TO_DATE('20180101','yyyymmdd'),TO_DATE('22000101','yyyymmdd'),'Version 201712');</v>
      </c>
      <c r="B545" t="str">
        <f>IF(REGLAS!J546="OBSOLETO","","INSERT INTO INYCEXT.INYC_CONF_INF_REGLAS@tc_link (COD_INFORME,TABLA,NOMBRE,REGLA,F_INICIO,F_FIN,DESCRIPCION) VALUES ("&amp;REGLAS!B546&amp;",'"&amp;REGLAS!C546&amp;"','"&amp;REGLAS!D546&amp;"','"&amp;REGLAS!G546&amp;"',TO_DATE('"&amp;REGLAS!H546&amp;"','yyyymmdd'),TO_DATE('"&amp;REGLAS!I546&amp;"','yyyymmdd'),'"&amp;REGLAS!J546&amp;"');")</f>
        <v>INSERT INTO INYCEXT.INYC_CONF_INF_REGLAS@tc_link (COD_INFORME,TABLA,NOMBRE,REGLA,F_INICIO,F_FIN,DESCRIPCION) VALUES (12.1,'INYC_AN_RESUMEN','SM - AN2 Anulaciones Bloque2 Mensual','SM-O-AN2-Inspector-NumPol-BLOQUE2-Anulacion-TotalMes',TO_DATE('20180101','yyyymmdd'),TO_DATE('22000101','yyyymmdd'),'Version 201712');</v>
      </c>
    </row>
    <row r="546" spans="1:2" x14ac:dyDescent="0.25">
      <c r="A546" t="str">
        <f>IF(REGLAS!J547="OBSOLETO","","INSERT INTO INYCEXT.INYC_CONF_INF_REGLAS (COD_INFORME,TABLA,NOMBRE,REGLA,F_INICIO,F_FIN,DESCRIPCION) VALUES ("&amp;REGLAS!B547&amp;",'"&amp;REGLAS!C547&amp;"','"&amp;REGLAS!D547&amp;"','"&amp;REGLAS!G547&amp;"',TO_DATE('"&amp;REGLAS!H547&amp;"','yyyymmdd'),TO_DATE('"&amp;REGLAS!I547&amp;"','yyyymmdd'),'"&amp;REGLAS!J547&amp;"');")</f>
        <v>INSERT INTO INYCEXT.INYC_CONF_INF_REGLAS (COD_INFORME,TABLA,NOMBRE,REGLA,F_INICIO,F_FIN,DESCRIPCION) VALUES (12.1,'INYC_AN_RESUMEN','SM - AN2 Anulaciones Bloque1 Año Anterior Mensual','SM-O-AN2-Inspector-NumPol-BLOQUE1-Anulaciones-TotalMes-AnioAnterior',TO_DATE('20180101','yyyymmdd'),TO_DATE('20190101','yyyymmdd'),'Version 20190213');</v>
      </c>
      <c r="B546" t="str">
        <f>IF(REGLAS!J547="OBSOLETO","","INSERT INTO INYCEXT.INYC_CONF_INF_REGLAS@tc_link (COD_INFORME,TABLA,NOMBRE,REGLA,F_INICIO,F_FIN,DESCRIPCION) VALUES ("&amp;REGLAS!B547&amp;",'"&amp;REGLAS!C547&amp;"','"&amp;REGLAS!D547&amp;"','"&amp;REGLAS!G547&amp;"',TO_DATE('"&amp;REGLAS!H547&amp;"','yyyymmdd'),TO_DATE('"&amp;REGLAS!I547&amp;"','yyyymmdd'),'"&amp;REGLAS!J547&amp;"');")</f>
        <v>INSERT INTO INYCEXT.INYC_CONF_INF_REGLAS@tc_link (COD_INFORME,TABLA,NOMBRE,REGLA,F_INICIO,F_FIN,DESCRIPCION) VALUES (12.1,'INYC_AN_RESUMEN','SM - AN2 Anulaciones Bloque1 Año Anterior Mensual','SM-O-AN2-Inspector-NumPol-BLOQUE1-Anulaciones-TotalMes-AnioAnterior',TO_DATE('20180101','yyyymmdd'),TO_DATE('20190101','yyyymmdd'),'Version 20190213');</v>
      </c>
    </row>
    <row r="547" spans="1:2" x14ac:dyDescent="0.25">
      <c r="A547" t="str">
        <f>IF(REGLAS!J548="OBSOLETO","","INSERT INTO INYCEXT.INYC_CONF_INF_REGLAS (COD_INFORME,TABLA,NOMBRE,REGLA,F_INICIO,F_FIN,DESCRIPCION) VALUES ("&amp;REGLAS!B548&amp;",'"&amp;REGLAS!C548&amp;"','"&amp;REGLAS!D548&amp;"','"&amp;REGLAS!G548&amp;"',TO_DATE('"&amp;REGLAS!H548&amp;"','yyyymmdd'),TO_DATE('"&amp;REGLAS!I548&amp;"','yyyymmdd'),'"&amp;REGLAS!J548&amp;"');")</f>
        <v>INSERT INTO INYCEXT.INYC_CONF_INF_REGLAS (COD_INFORME,TABLA,NOMBRE,REGLA,F_INICIO,F_FIN,DESCRIPCION) VALUES (12.1,'INYC_AN_RESUMEN','SM - AN2 Anulaciones Bloque2 Año Anterior Mensual','SM-O-AN2-Inspector-NumPol-BLOQUE2-Anulaciones-TotalMes-AnioAnterior',TO_DATE('20180101','yyyymmdd'),TO_DATE('20190101','yyyymmdd'),'Version 20190213');</v>
      </c>
      <c r="B547" t="str">
        <f>IF(REGLAS!J548="OBSOLETO","","INSERT INTO INYCEXT.INYC_CONF_INF_REGLAS@tc_link (COD_INFORME,TABLA,NOMBRE,REGLA,F_INICIO,F_FIN,DESCRIPCION) VALUES ("&amp;REGLAS!B548&amp;",'"&amp;REGLAS!C548&amp;"','"&amp;REGLAS!D548&amp;"','"&amp;REGLAS!G548&amp;"',TO_DATE('"&amp;REGLAS!H548&amp;"','yyyymmdd'),TO_DATE('"&amp;REGLAS!I548&amp;"','yyyymmdd'),'"&amp;REGLAS!J548&amp;"');")</f>
        <v>INSERT INTO INYCEXT.INYC_CONF_INF_REGLAS@tc_link (COD_INFORME,TABLA,NOMBRE,REGLA,F_INICIO,F_FIN,DESCRIPCION) VALUES (12.1,'INYC_AN_RESUMEN','SM - AN2 Anulaciones Bloque2 Año Anterior Mensual','SM-O-AN2-Inspector-NumPol-BLOQUE2-Anulaciones-TotalMes-AnioAnterior',TO_DATE('20180101','yyyymmdd'),TO_DATE('20190101','yyyymmdd'),'Version 20190213');</v>
      </c>
    </row>
    <row r="548" spans="1:2" x14ac:dyDescent="0.25">
      <c r="A548" t="str">
        <f>IF(REGLAS!J549="OBSOLETO","","INSERT INTO INYCEXT.INYC_CONF_INF_REGLAS (COD_INFORME,TABLA,NOMBRE,REGLA,F_INICIO,F_FIN,DESCRIPCION) VALUES ("&amp;REGLAS!B549&amp;",'"&amp;REGLAS!C549&amp;"','"&amp;REGLAS!D549&amp;"','"&amp;REGLAS!G549&amp;"',TO_DATE('"&amp;REGLAS!H549&amp;"','yyyymmdd'),TO_DATE('"&amp;REGLAS!I549&amp;"','yyyymmdd'),'"&amp;REGLAS!J549&amp;"');")</f>
        <v>INSERT INTO INYCEXT.INYC_CONF_INF_REGLAS (COD_INFORME,TABLA,NOMBRE,REGLA,F_INICIO,F_FIN,DESCRIPCION) VALUES (12.1,'INYC_AN_RESUMEN','SM - AN2 Anulaciones Bloque1 Año Actual Mensual','SM-O-AN2-Inspector-NumPol-BLOQUE1-Anulaciones-TotalMes',TO_DATE('20190101','yyyymmdd'),TO_DATE('22000101','yyyymmdd'),'Version 20190213');</v>
      </c>
      <c r="B548" t="str">
        <f>IF(REGLAS!J549="OBSOLETO","","INSERT INTO INYCEXT.INYC_CONF_INF_REGLAS@tc_link (COD_INFORME,TABLA,NOMBRE,REGLA,F_INICIO,F_FIN,DESCRIPCION) VALUES ("&amp;REGLAS!B549&amp;",'"&amp;REGLAS!C549&amp;"','"&amp;REGLAS!D549&amp;"','"&amp;REGLAS!G549&amp;"',TO_DATE('"&amp;REGLAS!H549&amp;"','yyyymmdd'),TO_DATE('"&amp;REGLAS!I549&amp;"','yyyymmdd'),'"&amp;REGLAS!J549&amp;"');")</f>
        <v>INSERT INTO INYCEXT.INYC_CONF_INF_REGLAS@tc_link (COD_INFORME,TABLA,NOMBRE,REGLA,F_INICIO,F_FIN,DESCRIPCION) VALUES (12.1,'INYC_AN_RESUMEN','SM - AN2 Anulaciones Bloque1 Año Actual Mensual','SM-O-AN2-Inspector-NumPol-BLOQUE1-Anulaciones-TotalMes',TO_DATE('20190101','yyyymmdd'),TO_DATE('22000101','yyyymmdd'),'Version 20190213');</v>
      </c>
    </row>
    <row r="549" spans="1:2" x14ac:dyDescent="0.25">
      <c r="A549" t="str">
        <f>IF(REGLAS!J550="OBSOLETO","","INSERT INTO INYCEXT.INYC_CONF_INF_REGLAS (COD_INFORME,TABLA,NOMBRE,REGLA,F_INICIO,F_FIN,DESCRIPCION) VALUES ("&amp;REGLAS!B550&amp;",'"&amp;REGLAS!C550&amp;"','"&amp;REGLAS!D550&amp;"','"&amp;REGLAS!G550&amp;"',TO_DATE('"&amp;REGLAS!H550&amp;"','yyyymmdd'),TO_DATE('"&amp;REGLAS!I550&amp;"','yyyymmdd'),'"&amp;REGLAS!J550&amp;"');")</f>
        <v>INSERT INTO INYCEXT.INYC_CONF_INF_REGLAS (COD_INFORME,TABLA,NOMBRE,REGLA,F_INICIO,F_FIN,DESCRIPCION) VALUES (12.1,'INYC_AN_RESUMEN','SM - AN2 Anulaciones Bloque2 Año Actual Mensual','SM-O-AN2-Inspector-NumPol-BLOQUE2-Anulaciones-TotalMes',TO_DATE('20190101','yyyymmdd'),TO_DATE('22000101','yyyymmdd'),'Version 20190213');</v>
      </c>
      <c r="B549" t="str">
        <f>IF(REGLAS!J550="OBSOLETO","","INSERT INTO INYCEXT.INYC_CONF_INF_REGLAS@tc_link (COD_INFORME,TABLA,NOMBRE,REGLA,F_INICIO,F_FIN,DESCRIPCION) VALUES ("&amp;REGLAS!B550&amp;",'"&amp;REGLAS!C550&amp;"','"&amp;REGLAS!D550&amp;"','"&amp;REGLAS!G550&amp;"',TO_DATE('"&amp;REGLAS!H550&amp;"','yyyymmdd'),TO_DATE('"&amp;REGLAS!I550&amp;"','yyyymmdd'),'"&amp;REGLAS!J550&amp;"');")</f>
        <v>INSERT INTO INYCEXT.INYC_CONF_INF_REGLAS@tc_link (COD_INFORME,TABLA,NOMBRE,REGLA,F_INICIO,F_FIN,DESCRIPCION) VALUES (12.1,'INYC_AN_RESUMEN','SM - AN2 Anulaciones Bloque2 Año Actual Mensual','SM-O-AN2-Inspector-NumPol-BLOQUE2-Anulaciones-TotalMes',TO_DATE('20190101','yyyymmdd'),TO_DATE('22000101','yyyymmdd'),'Version 20190213');</v>
      </c>
    </row>
    <row r="550" spans="1:2" x14ac:dyDescent="0.25">
      <c r="A550" t="str">
        <f>IF(REGLAS!J551="OBSOLETO","","INSERT INTO INYCEXT.INYC_CONF_INF_REGLAS (COD_INFORME,TABLA,NOMBRE,REGLA,F_INICIO,F_FIN,DESCRIPCION) VALUES ("&amp;REGLAS!B551&amp;",'"&amp;REGLAS!C551&amp;"','"&amp;REGLAS!D551&amp;"','"&amp;REGLAS!G551&amp;"',TO_DATE('"&amp;REGLAS!H551&amp;"','yyyymmdd'),TO_DATE('"&amp;REGLAS!I551&amp;"','yyyymmdd'),'"&amp;REGLAS!J551&amp;"');")</f>
        <v>INSERT INTO INYCEXT.INYC_CONF_INF_REGLAS (COD_INFORME,TABLA,NOMBRE,REGLA,F_INICIO,F_FIN,DESCRIPCION) VALUES (12.1,'INYC_AN_RESUMEN','SM - AN2 No Primer Recibo Bloque1 Año Anterior Mensual','SM-O-AN2-Inspector-NumPol-BLOQUE1-NoPrimerRecibo-TotalMes-AnioAnterior',TO_DATE('20180101','yyyymmdd'),TO_DATE('20190101','yyyymmdd'),'Version 20190213');</v>
      </c>
      <c r="B550" t="str">
        <f>IF(REGLAS!J551="OBSOLETO","","INSERT INTO INYCEXT.INYC_CONF_INF_REGLAS@tc_link (COD_INFORME,TABLA,NOMBRE,REGLA,F_INICIO,F_FIN,DESCRIPCION) VALUES ("&amp;REGLAS!B551&amp;",'"&amp;REGLAS!C551&amp;"','"&amp;REGLAS!D551&amp;"','"&amp;REGLAS!G551&amp;"',TO_DATE('"&amp;REGLAS!H551&amp;"','yyyymmdd'),TO_DATE('"&amp;REGLAS!I551&amp;"','yyyymmdd'),'"&amp;REGLAS!J551&amp;"');")</f>
        <v>INSERT INTO INYCEXT.INYC_CONF_INF_REGLAS@tc_link (COD_INFORME,TABLA,NOMBRE,REGLA,F_INICIO,F_FIN,DESCRIPCION) VALUES (12.1,'INYC_AN_RESUMEN','SM - AN2 No Primer Recibo Bloque1 Año Anterior Mensual','SM-O-AN2-Inspector-NumPol-BLOQUE1-NoPrimerRecibo-TotalMes-AnioAnterior',TO_DATE('20180101','yyyymmdd'),TO_DATE('20190101','yyyymmdd'),'Version 20190213');</v>
      </c>
    </row>
    <row r="551" spans="1:2" x14ac:dyDescent="0.25">
      <c r="A551" t="str">
        <f>IF(REGLAS!J552="OBSOLETO","","INSERT INTO INYCEXT.INYC_CONF_INF_REGLAS (COD_INFORME,TABLA,NOMBRE,REGLA,F_INICIO,F_FIN,DESCRIPCION) VALUES ("&amp;REGLAS!B552&amp;",'"&amp;REGLAS!C552&amp;"','"&amp;REGLAS!D552&amp;"','"&amp;REGLAS!G552&amp;"',TO_DATE('"&amp;REGLAS!H552&amp;"','yyyymmdd'),TO_DATE('"&amp;REGLAS!I552&amp;"','yyyymmdd'),'"&amp;REGLAS!J552&amp;"');")</f>
        <v>INSERT INTO INYCEXT.INYC_CONF_INF_REGLAS (COD_INFORME,TABLA,NOMBRE,REGLA,F_INICIO,F_FIN,DESCRIPCION) VALUES (12.1,'INYC_AN_RESUMEN','SM - AN2 No Primer Recibo Bloque2 Año Anterior Mensual','SM-O-AN2-Inspector-NumPol-BLOQUE2-NoPrimerRecibo-TotalMes-AnioAnterior',TO_DATE('20180101','yyyymmdd'),TO_DATE('20190101','yyyymmdd'),'Version 20190213');</v>
      </c>
      <c r="B551" t="str">
        <f>IF(REGLAS!J552="OBSOLETO","","INSERT INTO INYCEXT.INYC_CONF_INF_REGLAS@tc_link (COD_INFORME,TABLA,NOMBRE,REGLA,F_INICIO,F_FIN,DESCRIPCION) VALUES ("&amp;REGLAS!B552&amp;",'"&amp;REGLAS!C552&amp;"','"&amp;REGLAS!D552&amp;"','"&amp;REGLAS!G552&amp;"',TO_DATE('"&amp;REGLAS!H552&amp;"','yyyymmdd'),TO_DATE('"&amp;REGLAS!I552&amp;"','yyyymmdd'),'"&amp;REGLAS!J552&amp;"');")</f>
        <v>INSERT INTO INYCEXT.INYC_CONF_INF_REGLAS@tc_link (COD_INFORME,TABLA,NOMBRE,REGLA,F_INICIO,F_FIN,DESCRIPCION) VALUES (12.1,'INYC_AN_RESUMEN','SM - AN2 No Primer Recibo Bloque2 Año Anterior Mensual','SM-O-AN2-Inspector-NumPol-BLOQUE2-NoPrimerRecibo-TotalMes-AnioAnterior',TO_DATE('20180101','yyyymmdd'),TO_DATE('20190101','yyyymmdd'),'Version 20190213');</v>
      </c>
    </row>
    <row r="552" spans="1:2" x14ac:dyDescent="0.25">
      <c r="A552" t="str">
        <f>IF(REGLAS!J553="OBSOLETO","","INSERT INTO INYCEXT.INYC_CONF_INF_REGLAS (COD_INFORME,TABLA,NOMBRE,REGLA,F_INICIO,F_FIN,DESCRIPCION) VALUES ("&amp;REGLAS!B553&amp;",'"&amp;REGLAS!C553&amp;"','"&amp;REGLAS!D553&amp;"','"&amp;REGLAS!G553&amp;"',TO_DATE('"&amp;REGLAS!H553&amp;"','yyyymmdd'),TO_DATE('"&amp;REGLAS!I553&amp;"','yyyymmdd'),'"&amp;REGLAS!J553&amp;"');")</f>
        <v>INSERT INTO INYCEXT.INYC_CONF_INF_REGLAS (COD_INFORME,TABLA,NOMBRE,REGLA,F_INICIO,F_FIN,DESCRIPCION) VALUES (12.1,'INYC_AN_RESUMEN','SM - AN2 Primer Recibo Bloque1 Año Anterior Mensual','SM-O-AN2-Inspector-NumPol-BLOQUE1-PrimerRecibo-TotalMes-AnioAnterior',TO_DATE('20180101','yyyymmdd'),TO_DATE('20190101','yyyymmdd'),'Version 20190213');</v>
      </c>
      <c r="B552" t="str">
        <f>IF(REGLAS!J553="OBSOLETO","","INSERT INTO INYCEXT.INYC_CONF_INF_REGLAS@tc_link (COD_INFORME,TABLA,NOMBRE,REGLA,F_INICIO,F_FIN,DESCRIPCION) VALUES ("&amp;REGLAS!B553&amp;",'"&amp;REGLAS!C553&amp;"','"&amp;REGLAS!D553&amp;"','"&amp;REGLAS!G553&amp;"',TO_DATE('"&amp;REGLAS!H553&amp;"','yyyymmdd'),TO_DATE('"&amp;REGLAS!I553&amp;"','yyyymmdd'),'"&amp;REGLAS!J553&amp;"');")</f>
        <v>INSERT INTO INYCEXT.INYC_CONF_INF_REGLAS@tc_link (COD_INFORME,TABLA,NOMBRE,REGLA,F_INICIO,F_FIN,DESCRIPCION) VALUES (12.1,'INYC_AN_RESUMEN','SM - AN2 Primer Recibo Bloque1 Año Anterior Mensual','SM-O-AN2-Inspector-NumPol-BLOQUE1-PrimerRecibo-TotalMes-AnioAnterior',TO_DATE('20180101','yyyymmdd'),TO_DATE('20190101','yyyymmdd'),'Version 20190213');</v>
      </c>
    </row>
    <row r="553" spans="1:2" x14ac:dyDescent="0.25">
      <c r="A553" t="str">
        <f>IF(REGLAS!J554="OBSOLETO","","INSERT INTO INYCEXT.INYC_CONF_INF_REGLAS (COD_INFORME,TABLA,NOMBRE,REGLA,F_INICIO,F_FIN,DESCRIPCION) VALUES ("&amp;REGLAS!B554&amp;",'"&amp;REGLAS!C554&amp;"','"&amp;REGLAS!D554&amp;"','"&amp;REGLAS!G554&amp;"',TO_DATE('"&amp;REGLAS!H554&amp;"','yyyymmdd'),TO_DATE('"&amp;REGLAS!I554&amp;"','yyyymmdd'),'"&amp;REGLAS!J554&amp;"');")</f>
        <v>INSERT INTO INYCEXT.INYC_CONF_INF_REGLAS (COD_INFORME,TABLA,NOMBRE,REGLA,F_INICIO,F_FIN,DESCRIPCION) VALUES (12.1,'INYC_AN_RESUMEN','SM - AN2 Primer Recibo Bloque2 Año Anterior Mensual','SM-O-AN2-Inspector-NumPol-BLOQUE2-PrimerRecibo-TotalMes-AnioAnterior',TO_DATE('20180101','yyyymmdd'),TO_DATE('20190101','yyyymmdd'),'Version 20190213');</v>
      </c>
      <c r="B553" t="str">
        <f>IF(REGLAS!J554="OBSOLETO","","INSERT INTO INYCEXT.INYC_CONF_INF_REGLAS@tc_link (COD_INFORME,TABLA,NOMBRE,REGLA,F_INICIO,F_FIN,DESCRIPCION) VALUES ("&amp;REGLAS!B554&amp;",'"&amp;REGLAS!C554&amp;"','"&amp;REGLAS!D554&amp;"','"&amp;REGLAS!G554&amp;"',TO_DATE('"&amp;REGLAS!H554&amp;"','yyyymmdd'),TO_DATE('"&amp;REGLAS!I554&amp;"','yyyymmdd'),'"&amp;REGLAS!J554&amp;"');")</f>
        <v>INSERT INTO INYCEXT.INYC_CONF_INF_REGLAS@tc_link (COD_INFORME,TABLA,NOMBRE,REGLA,F_INICIO,F_FIN,DESCRIPCION) VALUES (12.1,'INYC_AN_RESUMEN','SM - AN2 Primer Recibo Bloque2 Año Anterior Mensual','SM-O-AN2-Inspector-NumPol-BLOQUE2-PrimerRecibo-TotalMes-AnioAnterior',TO_DATE('20180101','yyyymmdd'),TO_DATE('20190101','yyyymmdd'),'Version 20190213');</v>
      </c>
    </row>
    <row r="554" spans="1:2" x14ac:dyDescent="0.25">
      <c r="A554" t="str">
        <f>IF(REGLAS!J555="OBSOLETO","","INSERT INTO INYCEXT.INYC_CONF_INF_REGLAS (COD_INFORME,TABLA,NOMBRE,REGLA,F_INICIO,F_FIN,DESCRIPCION) VALUES ("&amp;REGLAS!B555&amp;",'"&amp;REGLAS!C555&amp;"','"&amp;REGLAS!D555&amp;"','"&amp;REGLAS!G555&amp;"',TO_DATE('"&amp;REGLAS!H555&amp;"','yyyymmdd'),TO_DATE('"&amp;REGLAS!I555&amp;"','yyyymmdd'),'"&amp;REGLAS!J555&amp;"');")</f>
        <v>INSERT INTO INYCEXT.INYC_CONF_INF_REGLAS (COD_INFORME,TABLA,NOMBRE,REGLA,F_INICIO,F_FIN,DESCRIPCION) VALUES (12.1,'INYC_AN_RESUMEN','SM - AN2 Produccion Bloque1 Año Anterior Mensual','SM-O-AN2-Inspector-NumPol-BLOQUE1-Produccion-TotalMes-AnioAnterior',TO_DATE('20190101','yyyymmdd'),TO_DATE('22000101','yyyymmdd'),'Version 20190213');</v>
      </c>
      <c r="B554" t="str">
        <f>IF(REGLAS!J555="OBSOLETO","","INSERT INTO INYCEXT.INYC_CONF_INF_REGLAS@tc_link (COD_INFORME,TABLA,NOMBRE,REGLA,F_INICIO,F_FIN,DESCRIPCION) VALUES ("&amp;REGLAS!B555&amp;",'"&amp;REGLAS!C555&amp;"','"&amp;REGLAS!D555&amp;"','"&amp;REGLAS!G555&amp;"',TO_DATE('"&amp;REGLAS!H555&amp;"','yyyymmdd'),TO_DATE('"&amp;REGLAS!I555&amp;"','yyyymmdd'),'"&amp;REGLAS!J555&amp;"');")</f>
        <v>INSERT INTO INYCEXT.INYC_CONF_INF_REGLAS@tc_link (COD_INFORME,TABLA,NOMBRE,REGLA,F_INICIO,F_FIN,DESCRIPCION) VALUES (12.1,'INYC_AN_RESUMEN','SM - AN2 Produccion Bloque1 Año Anterior Mensual','SM-O-AN2-Inspector-NumPol-BLOQUE1-Produccion-TotalMes-AnioAnterior',TO_DATE('20190101','yyyymmdd'),TO_DATE('22000101','yyyymmdd'),'Version 20190213');</v>
      </c>
    </row>
    <row r="555" spans="1:2" x14ac:dyDescent="0.25">
      <c r="A555" t="str">
        <f>IF(REGLAS!J556="OBSOLETO","","INSERT INTO INYCEXT.INYC_CONF_INF_REGLAS (COD_INFORME,TABLA,NOMBRE,REGLA,F_INICIO,F_FIN,DESCRIPCION) VALUES ("&amp;REGLAS!B556&amp;",'"&amp;REGLAS!C556&amp;"','"&amp;REGLAS!D556&amp;"','"&amp;REGLAS!G556&amp;"',TO_DATE('"&amp;REGLAS!H556&amp;"','yyyymmdd'),TO_DATE('"&amp;REGLAS!I556&amp;"','yyyymmdd'),'"&amp;REGLAS!J556&amp;"');")</f>
        <v>INSERT INTO INYCEXT.INYC_CONF_INF_REGLAS (COD_INFORME,TABLA,NOMBRE,REGLA,F_INICIO,F_FIN,DESCRIPCION) VALUES (12.1,'INYC_AN_RESUMEN','SM - AN2 Produccion Bloque2 Año Anterior Mensual','SM-O-AN2-Inspector-NumPol-BLOQUE2-Produccion-TotalMes-AnioAnterior',TO_DATE('20190101','yyyymmdd'),TO_DATE('22000101','yyyymmdd'),'Version 20190213');</v>
      </c>
      <c r="B555" t="str">
        <f>IF(REGLAS!J556="OBSOLETO","","INSERT INTO INYCEXT.INYC_CONF_INF_REGLAS@tc_link (COD_INFORME,TABLA,NOMBRE,REGLA,F_INICIO,F_FIN,DESCRIPCION) VALUES ("&amp;REGLAS!B556&amp;",'"&amp;REGLAS!C556&amp;"','"&amp;REGLAS!D556&amp;"','"&amp;REGLAS!G556&amp;"',TO_DATE('"&amp;REGLAS!H556&amp;"','yyyymmdd'),TO_DATE('"&amp;REGLAS!I556&amp;"','yyyymmdd'),'"&amp;REGLAS!J556&amp;"');")</f>
        <v>INSERT INTO INYCEXT.INYC_CONF_INF_REGLAS@tc_link (COD_INFORME,TABLA,NOMBRE,REGLA,F_INICIO,F_FIN,DESCRIPCION) VALUES (12.1,'INYC_AN_RESUMEN','SM - AN2 Produccion Bloque2 Año Anterior Mensual','SM-O-AN2-Inspector-NumPol-BLOQUE2-Produccion-TotalMes-AnioAnterior',TO_DATE('20190101','yyyymmdd'),TO_DATE('22000101','yyyymmdd'),'Version 20190213');</v>
      </c>
    </row>
    <row r="556" spans="1:2" x14ac:dyDescent="0.25">
      <c r="A556" t="str">
        <f>IF(REGLAS!J557="OBSOLETO","","INSERT INTO INYCEXT.INYC_CONF_INF_REGLAS (COD_INFORME,TABLA,NOMBRE,REGLA,F_INICIO,F_FIN,DESCRIPCION) VALUES ("&amp;REGLAS!B557&amp;",'"&amp;REGLAS!C557&amp;"','"&amp;REGLAS!D557&amp;"','"&amp;REGLAS!G557&amp;"',TO_DATE('"&amp;REGLAS!H557&amp;"','yyyymmdd'),TO_DATE('"&amp;REGLAS!I557&amp;"','yyyymmdd'),'"&amp;REGLAS!J557&amp;"');")</f>
        <v>INSERT INTO INYCEXT.INYC_CONF_INF_REGLAS (COD_INFORME,TABLA,NOMBRE,REGLA,F_INICIO,F_FIN,DESCRIPCION) VALUES (12.1,'INYC_AN_RESUMEN','SM - AN2 Anulaciones Bloque1 Año Actual Mensual','SM-O-AN2-Inspector-NumPol-BLOQUE1-Anulaciones2-TotalMes',TO_DATE('20180101','yyyymmdd'),TO_DATE('20190101','yyyymmdd'),'Version 20190213');</v>
      </c>
      <c r="B556" t="str">
        <f>IF(REGLAS!J557="OBSOLETO","","INSERT INTO INYCEXT.INYC_CONF_INF_REGLAS@tc_link (COD_INFORME,TABLA,NOMBRE,REGLA,F_INICIO,F_FIN,DESCRIPCION) VALUES ("&amp;REGLAS!B557&amp;",'"&amp;REGLAS!C557&amp;"','"&amp;REGLAS!D557&amp;"','"&amp;REGLAS!G557&amp;"',TO_DATE('"&amp;REGLAS!H557&amp;"','yyyymmdd'),TO_DATE('"&amp;REGLAS!I557&amp;"','yyyymmdd'),'"&amp;REGLAS!J557&amp;"');")</f>
        <v>INSERT INTO INYCEXT.INYC_CONF_INF_REGLAS@tc_link (COD_INFORME,TABLA,NOMBRE,REGLA,F_INICIO,F_FIN,DESCRIPCION) VALUES (12.1,'INYC_AN_RESUMEN','SM - AN2 Anulaciones Bloque1 Año Actual Mensual','SM-O-AN2-Inspector-NumPol-BLOQUE1-Anulaciones2-TotalMes',TO_DATE('20180101','yyyymmdd'),TO_DATE('20190101','yyyymmdd'),'Version 20190213');</v>
      </c>
    </row>
    <row r="557" spans="1:2" x14ac:dyDescent="0.25">
      <c r="A557" t="str">
        <f>IF(REGLAS!J558="OBSOLETO","","INSERT INTO INYCEXT.INYC_CONF_INF_REGLAS (COD_INFORME,TABLA,NOMBRE,REGLA,F_INICIO,F_FIN,DESCRIPCION) VALUES ("&amp;REGLAS!B558&amp;",'"&amp;REGLAS!C558&amp;"','"&amp;REGLAS!D558&amp;"','"&amp;REGLAS!G558&amp;"',TO_DATE('"&amp;REGLAS!H558&amp;"','yyyymmdd'),TO_DATE('"&amp;REGLAS!I558&amp;"','yyyymmdd'),'"&amp;REGLAS!J558&amp;"');")</f>
        <v>INSERT INTO INYCEXT.INYC_CONF_INF_REGLAS (COD_INFORME,TABLA,NOMBRE,REGLA,F_INICIO,F_FIN,DESCRIPCION) VALUES (12.1,'INYC_AN_RESUMEN','SM - AN2 Anulaciones Bloque2 Año Actual Mensual','SM-O-AN2-Inspector-NumPol-BLOQUE2-Anulaciones2-TotalMes',TO_DATE('20180101','yyyymmdd'),TO_DATE('20190101','yyyymmdd'),'Version 20190213');</v>
      </c>
      <c r="B557" t="str">
        <f>IF(REGLAS!J558="OBSOLETO","","INSERT INTO INYCEXT.INYC_CONF_INF_REGLAS@tc_link (COD_INFORME,TABLA,NOMBRE,REGLA,F_INICIO,F_FIN,DESCRIPCION) VALUES ("&amp;REGLAS!B558&amp;",'"&amp;REGLAS!C558&amp;"','"&amp;REGLAS!D558&amp;"','"&amp;REGLAS!G558&amp;"',TO_DATE('"&amp;REGLAS!H558&amp;"','yyyymmdd'),TO_DATE('"&amp;REGLAS!I558&amp;"','yyyymmdd'),'"&amp;REGLAS!J558&amp;"');")</f>
        <v>INSERT INTO INYCEXT.INYC_CONF_INF_REGLAS@tc_link (COD_INFORME,TABLA,NOMBRE,REGLA,F_INICIO,F_FIN,DESCRIPCION) VALUES (12.1,'INYC_AN_RESUMEN','SM - AN2 Anulaciones Bloque2 Año Actual Mensual','SM-O-AN2-Inspector-NumPol-BLOQUE2-Anulaciones2-TotalMes',TO_DATE('20180101','yyyymmdd'),TO_DATE('20190101','yyyymmdd'),'Version 20190213');</v>
      </c>
    </row>
    <row r="558" spans="1:2" x14ac:dyDescent="0.25">
      <c r="A558" t="str">
        <f>IF(REGLAS!J559="OBSOLETO","","INSERT INTO INYCEXT.INYC_CONF_INF_REGLAS (COD_INFORME,TABLA,NOMBRE,REGLA,F_INICIO,F_FIN,DESCRIPCION) VALUES ("&amp;REGLAS!B559&amp;",'"&amp;REGLAS!C559&amp;"','"&amp;REGLAS!D559&amp;"','"&amp;REGLAS!G559&amp;"',TO_DATE('"&amp;REGLAS!H559&amp;"','yyyymmdd'),TO_DATE('"&amp;REGLAS!I559&amp;"','yyyymmdd'),'"&amp;REGLAS!J559&amp;"');")</f>
        <v>INSERT INTO INYCEXT.INYC_CONF_INF_REGLAS (COD_INFORME,TABLA,NOMBRE,REGLA,F_INICIO,F_FIN,DESCRIPCION) VALUES (12.1,'INYC_AN_RESUMEN','SM - AN2 No Primer Recibo Bloque1 Año Actual Mensual','SM-O-AN2-Inspector-NumPol-BLOQUE1-NoPrimerRecibo2-TotalMes',TO_DATE('20180101','yyyymmdd'),TO_DATE('20190101','yyyymmdd'),'Version 20190213');</v>
      </c>
      <c r="B558" t="str">
        <f>IF(REGLAS!J559="OBSOLETO","","INSERT INTO INYCEXT.INYC_CONF_INF_REGLAS@tc_link (COD_INFORME,TABLA,NOMBRE,REGLA,F_INICIO,F_FIN,DESCRIPCION) VALUES ("&amp;REGLAS!B559&amp;",'"&amp;REGLAS!C559&amp;"','"&amp;REGLAS!D559&amp;"','"&amp;REGLAS!G559&amp;"',TO_DATE('"&amp;REGLAS!H559&amp;"','yyyymmdd'),TO_DATE('"&amp;REGLAS!I559&amp;"','yyyymmdd'),'"&amp;REGLAS!J559&amp;"');")</f>
        <v>INSERT INTO INYCEXT.INYC_CONF_INF_REGLAS@tc_link (COD_INFORME,TABLA,NOMBRE,REGLA,F_INICIO,F_FIN,DESCRIPCION) VALUES (12.1,'INYC_AN_RESUMEN','SM - AN2 No Primer Recibo Bloque1 Año Actual Mensual','SM-O-AN2-Inspector-NumPol-BLOQUE1-NoPrimerRecibo2-TotalMes',TO_DATE('20180101','yyyymmdd'),TO_DATE('20190101','yyyymmdd'),'Version 20190213');</v>
      </c>
    </row>
    <row r="559" spans="1:2" x14ac:dyDescent="0.25">
      <c r="A559" t="str">
        <f>IF(REGLAS!J560="OBSOLETO","","INSERT INTO INYCEXT.INYC_CONF_INF_REGLAS (COD_INFORME,TABLA,NOMBRE,REGLA,F_INICIO,F_FIN,DESCRIPCION) VALUES ("&amp;REGLAS!B560&amp;",'"&amp;REGLAS!C560&amp;"','"&amp;REGLAS!D560&amp;"','"&amp;REGLAS!G560&amp;"',TO_DATE('"&amp;REGLAS!H560&amp;"','yyyymmdd'),TO_DATE('"&amp;REGLAS!I560&amp;"','yyyymmdd'),'"&amp;REGLAS!J560&amp;"');")</f>
        <v>INSERT INTO INYCEXT.INYC_CONF_INF_REGLAS (COD_INFORME,TABLA,NOMBRE,REGLA,F_INICIO,F_FIN,DESCRIPCION) VALUES (12.1,'INYC_AN_RESUMEN','SM - AN2 No Primer Recibo Bloque2 Año Actual Mensual','SM-O-AN2-Inspector-NumPol-BLOQUE2-NoPrimerRecibo2-TotalMes',TO_DATE('20180101','yyyymmdd'),TO_DATE('20190101','yyyymmdd'),'Version 20190213');</v>
      </c>
      <c r="B559" t="str">
        <f>IF(REGLAS!J560="OBSOLETO","","INSERT INTO INYCEXT.INYC_CONF_INF_REGLAS@tc_link (COD_INFORME,TABLA,NOMBRE,REGLA,F_INICIO,F_FIN,DESCRIPCION) VALUES ("&amp;REGLAS!B560&amp;",'"&amp;REGLAS!C560&amp;"','"&amp;REGLAS!D560&amp;"','"&amp;REGLAS!G560&amp;"',TO_DATE('"&amp;REGLAS!H560&amp;"','yyyymmdd'),TO_DATE('"&amp;REGLAS!I560&amp;"','yyyymmdd'),'"&amp;REGLAS!J560&amp;"');")</f>
        <v>INSERT INTO INYCEXT.INYC_CONF_INF_REGLAS@tc_link (COD_INFORME,TABLA,NOMBRE,REGLA,F_INICIO,F_FIN,DESCRIPCION) VALUES (12.1,'INYC_AN_RESUMEN','SM - AN2 No Primer Recibo Bloque2 Año Actual Mensual','SM-O-AN2-Inspector-NumPol-BLOQUE2-NoPrimerRecibo2-TotalMes',TO_DATE('20180101','yyyymmdd'),TO_DATE('20190101','yyyymmdd'),'Version 20190213');</v>
      </c>
    </row>
    <row r="560" spans="1:2" x14ac:dyDescent="0.25">
      <c r="A560" t="str">
        <f>IF(REGLAS!J561="OBSOLETO","","INSERT INTO INYCEXT.INYC_CONF_INF_REGLAS (COD_INFORME,TABLA,NOMBRE,REGLA,F_INICIO,F_FIN,DESCRIPCION) VALUES ("&amp;REGLAS!B561&amp;",'"&amp;REGLAS!C561&amp;"','"&amp;REGLAS!D561&amp;"','"&amp;REGLAS!G561&amp;"',TO_DATE('"&amp;REGLAS!H561&amp;"','yyyymmdd'),TO_DATE('"&amp;REGLAS!I561&amp;"','yyyymmdd'),'"&amp;REGLAS!J561&amp;"');")</f>
        <v>INSERT INTO INYCEXT.INYC_CONF_INF_REGLAS (COD_INFORME,TABLA,NOMBRE,REGLA,F_INICIO,F_FIN,DESCRIPCION) VALUES (12.1,'INYC_AN_RESUMEN','I - AN2 Pago Anulaciones Bloque1','I-O-AN2-Inspector-BLOQUE1-Pago-Anulaciones',TO_DATE('20171201','yyyymmdd'),TO_DATE('22000101','yyyymmdd'),'Version 201712');</v>
      </c>
      <c r="B560" t="str">
        <f>IF(REGLAS!J561="OBSOLETO","","INSERT INTO INYCEXT.INYC_CONF_INF_REGLAS@tc_link (COD_INFORME,TABLA,NOMBRE,REGLA,F_INICIO,F_FIN,DESCRIPCION) VALUES ("&amp;REGLAS!B561&amp;",'"&amp;REGLAS!C561&amp;"','"&amp;REGLAS!D561&amp;"','"&amp;REGLAS!G561&amp;"',TO_DATE('"&amp;REGLAS!H561&amp;"','yyyymmdd'),TO_DATE('"&amp;REGLAS!I561&amp;"','yyyymmdd'),'"&amp;REGLAS!J561&amp;"');")</f>
        <v>INSERT INTO INYCEXT.INYC_CONF_INF_REGLAS@tc_link (COD_INFORME,TABLA,NOMBRE,REGLA,F_INICIO,F_FIN,DESCRIPCION) VALUES (12.1,'INYC_AN_RESUMEN','I - AN2 Pago Anulaciones Bloque1','I-O-AN2-Inspector-BLOQUE1-Pago-Anulaciones',TO_DATE('20171201','yyyymmdd'),TO_DATE('22000101','yyyymmdd'),'Version 201712');</v>
      </c>
    </row>
    <row r="561" spans="1:2" x14ac:dyDescent="0.25">
      <c r="A561" t="str">
        <f>IF(REGLAS!J562="OBSOLETO","","INSERT INTO INYCEXT.INYC_CONF_INF_REGLAS (COD_INFORME,TABLA,NOMBRE,REGLA,F_INICIO,F_FIN,DESCRIPCION) VALUES ("&amp;REGLAS!B562&amp;",'"&amp;REGLAS!C562&amp;"','"&amp;REGLAS!D562&amp;"','"&amp;REGLAS!G562&amp;"',TO_DATE('"&amp;REGLAS!H562&amp;"','yyyymmdd'),TO_DATE('"&amp;REGLAS!I562&amp;"','yyyymmdd'),'"&amp;REGLAS!J562&amp;"');")</f>
        <v>INSERT INTO INYCEXT.INYC_CONF_INF_REGLAS (COD_INFORME,TABLA,NOMBRE,REGLA,F_INICIO,F_FIN,DESCRIPCION) VALUES (12.1,'INYC_AN_RESUMEN','I - AN2 Pago Anulaciones Bloque2','I-O-AN2-Inspector-BLOQUE2-Pago-Anulaciones',TO_DATE('20171201','yyyymmdd'),TO_DATE('22000101','yyyymmdd'),'Version 201712');</v>
      </c>
      <c r="B561" t="str">
        <f>IF(REGLAS!J562="OBSOLETO","","INSERT INTO INYCEXT.INYC_CONF_INF_REGLAS@tc_link (COD_INFORME,TABLA,NOMBRE,REGLA,F_INICIO,F_FIN,DESCRIPCION) VALUES ("&amp;REGLAS!B562&amp;",'"&amp;REGLAS!C562&amp;"','"&amp;REGLAS!D562&amp;"','"&amp;REGLAS!G562&amp;"',TO_DATE('"&amp;REGLAS!H562&amp;"','yyyymmdd'),TO_DATE('"&amp;REGLAS!I562&amp;"','yyyymmdd'),'"&amp;REGLAS!J562&amp;"');")</f>
        <v>INSERT INTO INYCEXT.INYC_CONF_INF_REGLAS@tc_link (COD_INFORME,TABLA,NOMBRE,REGLA,F_INICIO,F_FIN,DESCRIPCION) VALUES (12.1,'INYC_AN_RESUMEN','I - AN2 Pago Anulaciones Bloque2','I-O-AN2-Inspector-BLOQUE2-Pago-Anulaciones',TO_DATE('20171201','yyyymmdd'),TO_DATE('22000101','yyyymmdd'),'Version 201712');</v>
      </c>
    </row>
    <row r="562" spans="1:2" x14ac:dyDescent="0.25">
      <c r="A562" t="str">
        <f>IF(REGLAS!J563="OBSOLETO","","INSERT INTO INYCEXT.INYC_CONF_INF_REGLAS (COD_INFORME,TABLA,NOMBRE,REGLA,F_INICIO,F_FIN,DESCRIPCION) VALUES ("&amp;REGLAS!B563&amp;",'"&amp;REGLAS!C563&amp;"','"&amp;REGLAS!D563&amp;"','"&amp;REGLAS!G563&amp;"',TO_DATE('"&amp;REGLAS!H563&amp;"','yyyymmdd'),TO_DATE('"&amp;REGLAS!I563&amp;"','yyyymmdd'),'"&amp;REGLAS!J563&amp;"');")</f>
        <v>INSERT INTO INYCEXT.INYC_CONF_INF_REGLAS (COD_INFORME,TABLA,NOMBRE,REGLA,F_INICIO,F_FIN,DESCRIPCION) VALUES (12.2,'INYC_AN_DETALLE','Anulaciones','DC-O-AN1-Inspector-NumeroPolizas-998-PrimerRecibo',TO_DATE('20140101','yyyymmdd'),TO_DATE('20190101','yyyymmdd'),'Version 20190213');</v>
      </c>
      <c r="B562" t="str">
        <f>IF(REGLAS!J563="OBSOLETO","","INSERT INTO INYCEXT.INYC_CONF_INF_REGLAS@tc_link (COD_INFORME,TABLA,NOMBRE,REGLA,F_INICIO,F_FIN,DESCRIPCION) VALUES ("&amp;REGLAS!B563&amp;",'"&amp;REGLAS!C563&amp;"','"&amp;REGLAS!D563&amp;"','"&amp;REGLAS!G563&amp;"',TO_DATE('"&amp;REGLAS!H563&amp;"','yyyymmdd'),TO_DATE('"&amp;REGLAS!I563&amp;"','yyyymmdd'),'"&amp;REGLAS!J563&amp;"');")</f>
        <v>INSERT INTO INYCEXT.INYC_CONF_INF_REGLAS@tc_link (COD_INFORME,TABLA,NOMBRE,REGLA,F_INICIO,F_FIN,DESCRIPCION) VALUES (12.2,'INYC_AN_DETALLE','Anulaciones','DC-O-AN1-Inspector-NumeroPolizas-998-PrimerRecibo',TO_DATE('20140101','yyyymmdd'),TO_DATE('20190101','yyyymmdd'),'Version 20190213');</v>
      </c>
    </row>
    <row r="563" spans="1:2" x14ac:dyDescent="0.25">
      <c r="A563" t="str">
        <f>IF(REGLAS!J564="OBSOLETO","","INSERT INTO INYCEXT.INYC_CONF_INF_REGLAS (COD_INFORME,TABLA,NOMBRE,REGLA,F_INICIO,F_FIN,DESCRIPCION) VALUES ("&amp;REGLAS!B564&amp;",'"&amp;REGLAS!C564&amp;"','"&amp;REGLAS!D564&amp;"','"&amp;REGLAS!G564&amp;"',TO_DATE('"&amp;REGLAS!H564&amp;"','yyyymmdd'),TO_DATE('"&amp;REGLAS!I564&amp;"','yyyymmdd'),'"&amp;REGLAS!J564&amp;"');")</f>
        <v>INSERT INTO INYCEXT.INYC_CONF_INF_REGLAS (COD_INFORME,TABLA,NOMBRE,REGLA,F_INICIO,F_FIN,DESCRIPCION) VALUES (12.2,'INYC_AN_DETALLE','Anulaciones','IC-O-AN1-Inspector-NumeroPolizas-998-PrimerRecibo',TO_DATE('20140101','yyyymmdd'),TO_DATE('20190101','yyyymmdd'),'Version 20190213');</v>
      </c>
      <c r="B563" t="str">
        <f>IF(REGLAS!J564="OBSOLETO","","INSERT INTO INYCEXT.INYC_CONF_INF_REGLAS@tc_link (COD_INFORME,TABLA,NOMBRE,REGLA,F_INICIO,F_FIN,DESCRIPCION) VALUES ("&amp;REGLAS!B564&amp;",'"&amp;REGLAS!C564&amp;"','"&amp;REGLAS!D564&amp;"','"&amp;REGLAS!G564&amp;"',TO_DATE('"&amp;REGLAS!H564&amp;"','yyyymmdd'),TO_DATE('"&amp;REGLAS!I564&amp;"','yyyymmdd'),'"&amp;REGLAS!J564&amp;"');")</f>
        <v>INSERT INTO INYCEXT.INYC_CONF_INF_REGLAS@tc_link (COD_INFORME,TABLA,NOMBRE,REGLA,F_INICIO,F_FIN,DESCRIPCION) VALUES (12.2,'INYC_AN_DETALLE','Anulaciones','IC-O-AN1-Inspector-NumeroPolizas-998-PrimerRecibo',TO_DATE('20140101','yyyymmdd'),TO_DATE('20190101','yyyymmdd'),'Version 20190213');</v>
      </c>
    </row>
    <row r="564" spans="1:2" x14ac:dyDescent="0.25">
      <c r="A564" t="str">
        <f>IF(REGLAS!J565="OBSOLETO","","INSERT INTO INYCEXT.INYC_CONF_INF_REGLAS (COD_INFORME,TABLA,NOMBRE,REGLA,F_INICIO,F_FIN,DESCRIPCION) VALUES ("&amp;REGLAS!B565&amp;",'"&amp;REGLAS!C565&amp;"','"&amp;REGLAS!D565&amp;"','"&amp;REGLAS!G565&amp;"',TO_DATE('"&amp;REGLAS!H565&amp;"','yyyymmdd'),TO_DATE('"&amp;REGLAS!I565&amp;"','yyyymmdd'),'"&amp;REGLAS!J565&amp;"');")</f>
        <v>INSERT INTO INYCEXT.INYC_CONF_INF_REGLAS (COD_INFORME,TABLA,NOMBRE,REGLA,F_INICIO,F_FIN,DESCRIPCION) VALUES (12.2,'INYC_AN_DETALLE','Anulaciones','DC-O-AN1-Inspector-NumeroPolizas-998-Produccion',TO_DATE('20190101','yyyymmdd'),TO_DATE('22000101','yyyymmdd'),'Version 20190213');</v>
      </c>
      <c r="B564" t="str">
        <f>IF(REGLAS!J565="OBSOLETO","","INSERT INTO INYCEXT.INYC_CONF_INF_REGLAS@tc_link (COD_INFORME,TABLA,NOMBRE,REGLA,F_INICIO,F_FIN,DESCRIPCION) VALUES ("&amp;REGLAS!B565&amp;",'"&amp;REGLAS!C565&amp;"','"&amp;REGLAS!D565&amp;"','"&amp;REGLAS!G565&amp;"',TO_DATE('"&amp;REGLAS!H565&amp;"','yyyymmdd'),TO_DATE('"&amp;REGLAS!I565&amp;"','yyyymmdd'),'"&amp;REGLAS!J565&amp;"');")</f>
        <v>INSERT INTO INYCEXT.INYC_CONF_INF_REGLAS@tc_link (COD_INFORME,TABLA,NOMBRE,REGLA,F_INICIO,F_FIN,DESCRIPCION) VALUES (12.2,'INYC_AN_DETALLE','Anulaciones','DC-O-AN1-Inspector-NumeroPolizas-998-Produccion',TO_DATE('20190101','yyyymmdd'),TO_DATE('22000101','yyyymmdd'),'Version 20190213');</v>
      </c>
    </row>
    <row r="565" spans="1:2" x14ac:dyDescent="0.25">
      <c r="A565" t="str">
        <f>IF(REGLAS!J566="OBSOLETO","","INSERT INTO INYCEXT.INYC_CONF_INF_REGLAS (COD_INFORME,TABLA,NOMBRE,REGLA,F_INICIO,F_FIN,DESCRIPCION) VALUES ("&amp;REGLAS!B566&amp;",'"&amp;REGLAS!C566&amp;"','"&amp;REGLAS!D566&amp;"','"&amp;REGLAS!G566&amp;"',TO_DATE('"&amp;REGLAS!H566&amp;"','yyyymmdd'),TO_DATE('"&amp;REGLAS!I566&amp;"','yyyymmdd'),'"&amp;REGLAS!J566&amp;"');")</f>
        <v>INSERT INTO INYCEXT.INYC_CONF_INF_REGLAS (COD_INFORME,TABLA,NOMBRE,REGLA,F_INICIO,F_FIN,DESCRIPCION) VALUES (12.2,'INYC_AN_DETALLE','Anulaciones','IC-O-AN1-Inspector-NumeroPolizas-998-Produccion',TO_DATE('20190101','yyyymmdd'),TO_DATE('22000101','yyyymmdd'),'Version 20190213');</v>
      </c>
      <c r="B565" t="str">
        <f>IF(REGLAS!J566="OBSOLETO","","INSERT INTO INYCEXT.INYC_CONF_INF_REGLAS@tc_link (COD_INFORME,TABLA,NOMBRE,REGLA,F_INICIO,F_FIN,DESCRIPCION) VALUES ("&amp;REGLAS!B566&amp;",'"&amp;REGLAS!C566&amp;"','"&amp;REGLAS!D566&amp;"','"&amp;REGLAS!G566&amp;"',TO_DATE('"&amp;REGLAS!H566&amp;"','yyyymmdd'),TO_DATE('"&amp;REGLAS!I566&amp;"','yyyymmdd'),'"&amp;REGLAS!J566&amp;"');")</f>
        <v>INSERT INTO INYCEXT.INYC_CONF_INF_REGLAS@tc_link (COD_INFORME,TABLA,NOMBRE,REGLA,F_INICIO,F_FIN,DESCRIPCION) VALUES (12.2,'INYC_AN_DETALLE','Anulaciones','IC-O-AN1-Inspector-NumeroPolizas-998-Produccion',TO_DATE('20190101','yyyymmdd'),TO_DATE('22000101','yyyymmdd'),'Version 20190213');</v>
      </c>
    </row>
    <row r="566" spans="1:2" x14ac:dyDescent="0.25">
      <c r="A566" t="str">
        <f>IF(REGLAS!J567="OBSOLETO","","INSERT INTO INYCEXT.INYC_CONF_INF_REGLAS (COD_INFORME,TABLA,NOMBRE,REGLA,F_INICIO,F_FIN,DESCRIPCION) VALUES ("&amp;REGLAS!B567&amp;",'"&amp;REGLAS!C567&amp;"','"&amp;REGLAS!D567&amp;"','"&amp;REGLAS!G567&amp;"',TO_DATE('"&amp;REGLAS!H567&amp;"','yyyymmdd'),TO_DATE('"&amp;REGLAS!I567&amp;"','yyyymmdd'),'"&amp;REGLAS!J567&amp;"');")</f>
        <v>INSERT INTO INYCEXT.INYC_CONF_INF_REGLAS (COD_INFORME,TABLA,NOMBRE,REGLA,F_INICIO,F_FIN,DESCRIPCION) VALUES (12.2,'INYC_AN_DETALLE','Anulaciones','DC-O-AN1-Inspector-NumeroPolizas-998-NoPrimerRecibo',TO_DATE('20140101','yyyymmdd'),TO_DATE('20190101','yyyymmdd'),'Version 20190213');</v>
      </c>
      <c r="B566" t="str">
        <f>IF(REGLAS!J567="OBSOLETO","","INSERT INTO INYCEXT.INYC_CONF_INF_REGLAS@tc_link (COD_INFORME,TABLA,NOMBRE,REGLA,F_INICIO,F_FIN,DESCRIPCION) VALUES ("&amp;REGLAS!B567&amp;",'"&amp;REGLAS!C567&amp;"','"&amp;REGLAS!D567&amp;"','"&amp;REGLAS!G567&amp;"',TO_DATE('"&amp;REGLAS!H567&amp;"','yyyymmdd'),TO_DATE('"&amp;REGLAS!I567&amp;"','yyyymmdd'),'"&amp;REGLAS!J567&amp;"');")</f>
        <v>INSERT INTO INYCEXT.INYC_CONF_INF_REGLAS@tc_link (COD_INFORME,TABLA,NOMBRE,REGLA,F_INICIO,F_FIN,DESCRIPCION) VALUES (12.2,'INYC_AN_DETALLE','Anulaciones','DC-O-AN1-Inspector-NumeroPolizas-998-NoPrimerRecibo',TO_DATE('20140101','yyyymmdd'),TO_DATE('20190101','yyyymmdd'),'Version 20190213');</v>
      </c>
    </row>
    <row r="567" spans="1:2" x14ac:dyDescent="0.25">
      <c r="A567" t="str">
        <f>IF(REGLAS!J568="OBSOLETO","","INSERT INTO INYCEXT.INYC_CONF_INF_REGLAS (COD_INFORME,TABLA,NOMBRE,REGLA,F_INICIO,F_FIN,DESCRIPCION) VALUES ("&amp;REGLAS!B568&amp;",'"&amp;REGLAS!C568&amp;"','"&amp;REGLAS!D568&amp;"','"&amp;REGLAS!G568&amp;"',TO_DATE('"&amp;REGLAS!H568&amp;"','yyyymmdd'),TO_DATE('"&amp;REGLAS!I568&amp;"','yyyymmdd'),'"&amp;REGLAS!J568&amp;"');")</f>
        <v>INSERT INTO INYCEXT.INYC_CONF_INF_REGLAS (COD_INFORME,TABLA,NOMBRE,REGLA,F_INICIO,F_FIN,DESCRIPCION) VALUES (12.2,'INYC_AN_DETALLE','Anulaciones','IC-O-AN1-Inspector-NumeroPolizas-998-NoPrimerRecibo',TO_DATE('20140101','yyyymmdd'),TO_DATE('20190101','yyyymmdd'),'Version 20190213');</v>
      </c>
      <c r="B567" t="str">
        <f>IF(REGLAS!J568="OBSOLETO","","INSERT INTO INYCEXT.INYC_CONF_INF_REGLAS@tc_link (COD_INFORME,TABLA,NOMBRE,REGLA,F_INICIO,F_FIN,DESCRIPCION) VALUES ("&amp;REGLAS!B568&amp;",'"&amp;REGLAS!C568&amp;"','"&amp;REGLAS!D568&amp;"','"&amp;REGLAS!G568&amp;"',TO_DATE('"&amp;REGLAS!H568&amp;"','yyyymmdd'),TO_DATE('"&amp;REGLAS!I568&amp;"','yyyymmdd'),'"&amp;REGLAS!J568&amp;"');")</f>
        <v>INSERT INTO INYCEXT.INYC_CONF_INF_REGLAS@tc_link (COD_INFORME,TABLA,NOMBRE,REGLA,F_INICIO,F_FIN,DESCRIPCION) VALUES (12.2,'INYC_AN_DETALLE','Anulaciones','IC-O-AN1-Inspector-NumeroPolizas-998-NoPrimerRecibo',TO_DATE('20140101','yyyymmdd'),TO_DATE('20190101','yyyymmdd'),'Version 20190213');</v>
      </c>
    </row>
    <row r="568" spans="1:2" x14ac:dyDescent="0.25">
      <c r="A568" t="str">
        <f>IF(REGLAS!J569="OBSOLETO","","INSERT INTO INYCEXT.INYC_CONF_INF_REGLAS (COD_INFORME,TABLA,NOMBRE,REGLA,F_INICIO,F_FIN,DESCRIPCION) VALUES ("&amp;REGLAS!B569&amp;",'"&amp;REGLAS!C569&amp;"','"&amp;REGLAS!D569&amp;"','"&amp;REGLAS!G569&amp;"',TO_DATE('"&amp;REGLAS!H569&amp;"','yyyymmdd'),TO_DATE('"&amp;REGLAS!I569&amp;"','yyyymmdd'),'"&amp;REGLAS!J569&amp;"');")</f>
        <v>INSERT INTO INYCEXT.INYC_CONF_INF_REGLAS (COD_INFORME,TABLA,NOMBRE,REGLA,F_INICIO,F_FIN,DESCRIPCION) VALUES (12.2,'INYC_AN_DETALLE','Anulaciones','DC-O-AN1-Inspector-NumeroPolizas-998-Anulaciones',TO_DATE('20140101','yyyymmdd'),TO_DATE('22000101','yyyymmdd'),'');</v>
      </c>
      <c r="B568" t="str">
        <f>IF(REGLAS!J569="OBSOLETO","","INSERT INTO INYCEXT.INYC_CONF_INF_REGLAS@tc_link (COD_INFORME,TABLA,NOMBRE,REGLA,F_INICIO,F_FIN,DESCRIPCION) VALUES ("&amp;REGLAS!B569&amp;",'"&amp;REGLAS!C569&amp;"','"&amp;REGLAS!D569&amp;"','"&amp;REGLAS!G569&amp;"',TO_DATE('"&amp;REGLAS!H569&amp;"','yyyymmdd'),TO_DATE('"&amp;REGLAS!I569&amp;"','yyyymmdd'),'"&amp;REGLAS!J569&amp;"');")</f>
        <v>INSERT INTO INYCEXT.INYC_CONF_INF_REGLAS@tc_link (COD_INFORME,TABLA,NOMBRE,REGLA,F_INICIO,F_FIN,DESCRIPCION) VALUES (12.2,'INYC_AN_DETALLE','Anulaciones','DC-O-AN1-Inspector-NumeroPolizas-998-Anulaciones',TO_DATE('20140101','yyyymmdd'),TO_DATE('22000101','yyyymmdd'),'');</v>
      </c>
    </row>
    <row r="569" spans="1:2" x14ac:dyDescent="0.25">
      <c r="A569" t="str">
        <f>IF(REGLAS!J570="OBSOLETO","","INSERT INTO INYCEXT.INYC_CONF_INF_REGLAS (COD_INFORME,TABLA,NOMBRE,REGLA,F_INICIO,F_FIN,DESCRIPCION) VALUES ("&amp;REGLAS!B570&amp;",'"&amp;REGLAS!C570&amp;"','"&amp;REGLAS!D570&amp;"','"&amp;REGLAS!G570&amp;"',TO_DATE('"&amp;REGLAS!H570&amp;"','yyyymmdd'),TO_DATE('"&amp;REGLAS!I570&amp;"','yyyymmdd'),'"&amp;REGLAS!J570&amp;"');")</f>
        <v>INSERT INTO INYCEXT.INYC_CONF_INF_REGLAS (COD_INFORME,TABLA,NOMBRE,REGLA,F_INICIO,F_FIN,DESCRIPCION) VALUES (12.2,'INYC_AN_DETALLE','Anulaciones','IC-O-AN1-Inspector-NumeroPolizas-998-Anulaciones',TO_DATE('20140101','yyyymmdd'),TO_DATE('22000101','yyyymmdd'),'');</v>
      </c>
      <c r="B569" t="str">
        <f>IF(REGLAS!J570="OBSOLETO","","INSERT INTO INYCEXT.INYC_CONF_INF_REGLAS@tc_link (COD_INFORME,TABLA,NOMBRE,REGLA,F_INICIO,F_FIN,DESCRIPCION) VALUES ("&amp;REGLAS!B570&amp;",'"&amp;REGLAS!C570&amp;"','"&amp;REGLAS!D570&amp;"','"&amp;REGLAS!G570&amp;"',TO_DATE('"&amp;REGLAS!H570&amp;"','yyyymmdd'),TO_DATE('"&amp;REGLAS!I570&amp;"','yyyymmdd'),'"&amp;REGLAS!J570&amp;"');")</f>
        <v>INSERT INTO INYCEXT.INYC_CONF_INF_REGLAS@tc_link (COD_INFORME,TABLA,NOMBRE,REGLA,F_INICIO,F_FIN,DESCRIPCION) VALUES (12.2,'INYC_AN_DETALLE','Anulaciones','IC-O-AN1-Inspector-NumeroPolizas-998-Anulaciones',TO_DATE('20140101','yyyymmdd'),TO_DATE('22000101','yyyymmdd'),'');</v>
      </c>
    </row>
    <row r="570" spans="1:2" x14ac:dyDescent="0.25">
      <c r="A570" t="str">
        <f>IF(REGLAS!J571="OBSOLETO","","INSERT INTO INYCEXT.INYC_CONF_INF_REGLAS (COD_INFORME,TABLA,NOMBRE,REGLA,F_INICIO,F_FIN,DESCRIPCION) VALUES ("&amp;REGLAS!B571&amp;",'"&amp;REGLAS!C571&amp;"','"&amp;REGLAS!D571&amp;"','"&amp;REGLAS!G571&amp;"',TO_DATE('"&amp;REGLAS!H571&amp;"','yyyymmdd'),TO_DATE('"&amp;REGLAS!I571&amp;"','yyyymmdd'),'"&amp;REGLAS!J571&amp;"');")</f>
        <v>INSERT INTO INYCEXT.INYC_CONF_INF_REGLAS (COD_INFORME,TABLA,NOMBRE,REGLA,F_INICIO,F_FIN,DESCRIPCION) VALUES (12.2,'INYC_AN_DETALLE','Anulaciones','DC-O-AN2-Inspector-NumPol-BLOQUE1-PrimerRecibo',TO_DATE('20140101','yyyymmdd'),TO_DATE('20190101','yyyymmdd'),'Version 20190213');</v>
      </c>
      <c r="B570" t="str">
        <f>IF(REGLAS!J571="OBSOLETO","","INSERT INTO INYCEXT.INYC_CONF_INF_REGLAS@tc_link (COD_INFORME,TABLA,NOMBRE,REGLA,F_INICIO,F_FIN,DESCRIPCION) VALUES ("&amp;REGLAS!B571&amp;",'"&amp;REGLAS!C571&amp;"','"&amp;REGLAS!D571&amp;"','"&amp;REGLAS!G571&amp;"',TO_DATE('"&amp;REGLAS!H571&amp;"','yyyymmdd'),TO_DATE('"&amp;REGLAS!I571&amp;"','yyyymmdd'),'"&amp;REGLAS!J571&amp;"');")</f>
        <v>INSERT INTO INYCEXT.INYC_CONF_INF_REGLAS@tc_link (COD_INFORME,TABLA,NOMBRE,REGLA,F_INICIO,F_FIN,DESCRIPCION) VALUES (12.2,'INYC_AN_DETALLE','Anulaciones','DC-O-AN2-Inspector-NumPol-BLOQUE1-PrimerRecibo',TO_DATE('20140101','yyyymmdd'),TO_DATE('20190101','yyyymmdd'),'Version 20190213');</v>
      </c>
    </row>
    <row r="571" spans="1:2" x14ac:dyDescent="0.25">
      <c r="A571" t="str">
        <f>IF(REGLAS!J572="OBSOLETO","","INSERT INTO INYCEXT.INYC_CONF_INF_REGLAS (COD_INFORME,TABLA,NOMBRE,REGLA,F_INICIO,F_FIN,DESCRIPCION) VALUES ("&amp;REGLAS!B572&amp;",'"&amp;REGLAS!C572&amp;"','"&amp;REGLAS!D572&amp;"','"&amp;REGLAS!G572&amp;"',TO_DATE('"&amp;REGLAS!H572&amp;"','yyyymmdd'),TO_DATE('"&amp;REGLAS!I572&amp;"','yyyymmdd'),'"&amp;REGLAS!J572&amp;"');")</f>
        <v>INSERT INTO INYCEXT.INYC_CONF_INF_REGLAS (COD_INFORME,TABLA,NOMBRE,REGLA,F_INICIO,F_FIN,DESCRIPCION) VALUES (12.2,'INYC_AN_DETALLE','Anulaciones','IC-O-AN2-Inspector-NumPol-BLOQUE1-PrimerRecibo',TO_DATE('20140101','yyyymmdd'),TO_DATE('20190101','yyyymmdd'),'Version 20190213');</v>
      </c>
      <c r="B571" t="str">
        <f>IF(REGLAS!J572="OBSOLETO","","INSERT INTO INYCEXT.INYC_CONF_INF_REGLAS@tc_link (COD_INFORME,TABLA,NOMBRE,REGLA,F_INICIO,F_FIN,DESCRIPCION) VALUES ("&amp;REGLAS!B572&amp;",'"&amp;REGLAS!C572&amp;"','"&amp;REGLAS!D572&amp;"','"&amp;REGLAS!G572&amp;"',TO_DATE('"&amp;REGLAS!H572&amp;"','yyyymmdd'),TO_DATE('"&amp;REGLAS!I572&amp;"','yyyymmdd'),'"&amp;REGLAS!J572&amp;"');")</f>
        <v>INSERT INTO INYCEXT.INYC_CONF_INF_REGLAS@tc_link (COD_INFORME,TABLA,NOMBRE,REGLA,F_INICIO,F_FIN,DESCRIPCION) VALUES (12.2,'INYC_AN_DETALLE','Anulaciones','IC-O-AN2-Inspector-NumPol-BLOQUE1-PrimerRecibo',TO_DATE('20140101','yyyymmdd'),TO_DATE('20190101','yyyymmdd'),'Version 20190213');</v>
      </c>
    </row>
    <row r="572" spans="1:2" x14ac:dyDescent="0.25">
      <c r="A572" t="str">
        <f>IF(REGLAS!J573="OBSOLETO","","INSERT INTO INYCEXT.INYC_CONF_INF_REGLAS (COD_INFORME,TABLA,NOMBRE,REGLA,F_INICIO,F_FIN,DESCRIPCION) VALUES ("&amp;REGLAS!B573&amp;",'"&amp;REGLAS!C573&amp;"','"&amp;REGLAS!D573&amp;"','"&amp;REGLAS!G573&amp;"',TO_DATE('"&amp;REGLAS!H573&amp;"','yyyymmdd'),TO_DATE('"&amp;REGLAS!I573&amp;"','yyyymmdd'),'"&amp;REGLAS!J573&amp;"');")</f>
        <v>INSERT INTO INYCEXT.INYC_CONF_INF_REGLAS (COD_INFORME,TABLA,NOMBRE,REGLA,F_INICIO,F_FIN,DESCRIPCION) VALUES (12.2,'INYC_AN_DETALLE','Anulaciones','DC-O-AN2-Inspector-NumPol-BLOQUE1-Produccion',TO_DATE('20190101','yyyymmdd'),TO_DATE('22000101','yyyymmdd'),'Version 20190213');</v>
      </c>
      <c r="B572" t="str">
        <f>IF(REGLAS!J573="OBSOLETO","","INSERT INTO INYCEXT.INYC_CONF_INF_REGLAS@tc_link (COD_INFORME,TABLA,NOMBRE,REGLA,F_INICIO,F_FIN,DESCRIPCION) VALUES ("&amp;REGLAS!B573&amp;",'"&amp;REGLAS!C573&amp;"','"&amp;REGLAS!D573&amp;"','"&amp;REGLAS!G573&amp;"',TO_DATE('"&amp;REGLAS!H573&amp;"','yyyymmdd'),TO_DATE('"&amp;REGLAS!I573&amp;"','yyyymmdd'),'"&amp;REGLAS!J573&amp;"');")</f>
        <v>INSERT INTO INYCEXT.INYC_CONF_INF_REGLAS@tc_link (COD_INFORME,TABLA,NOMBRE,REGLA,F_INICIO,F_FIN,DESCRIPCION) VALUES (12.2,'INYC_AN_DETALLE','Anulaciones','DC-O-AN2-Inspector-NumPol-BLOQUE1-Produccion',TO_DATE('20190101','yyyymmdd'),TO_DATE('22000101','yyyymmdd'),'Version 20190213');</v>
      </c>
    </row>
    <row r="573" spans="1:2" x14ac:dyDescent="0.25">
      <c r="A573" t="str">
        <f>IF(REGLAS!J574="OBSOLETO","","INSERT INTO INYCEXT.INYC_CONF_INF_REGLAS (COD_INFORME,TABLA,NOMBRE,REGLA,F_INICIO,F_FIN,DESCRIPCION) VALUES ("&amp;REGLAS!B574&amp;",'"&amp;REGLAS!C574&amp;"','"&amp;REGLAS!D574&amp;"','"&amp;REGLAS!G574&amp;"',TO_DATE('"&amp;REGLAS!H574&amp;"','yyyymmdd'),TO_DATE('"&amp;REGLAS!I574&amp;"','yyyymmdd'),'"&amp;REGLAS!J574&amp;"');")</f>
        <v>INSERT INTO INYCEXT.INYC_CONF_INF_REGLAS (COD_INFORME,TABLA,NOMBRE,REGLA,F_INICIO,F_FIN,DESCRIPCION) VALUES (12.2,'INYC_AN_DETALLE','Anulaciones','IC-O-AN2-Inspector-NumPol-BLOQUE1-Produccion',TO_DATE('20190101','yyyymmdd'),TO_DATE('22000101','yyyymmdd'),'Version 20190213');</v>
      </c>
      <c r="B573" t="str">
        <f>IF(REGLAS!J574="OBSOLETO","","INSERT INTO INYCEXT.INYC_CONF_INF_REGLAS@tc_link (COD_INFORME,TABLA,NOMBRE,REGLA,F_INICIO,F_FIN,DESCRIPCION) VALUES ("&amp;REGLAS!B574&amp;",'"&amp;REGLAS!C574&amp;"','"&amp;REGLAS!D574&amp;"','"&amp;REGLAS!G574&amp;"',TO_DATE('"&amp;REGLAS!H574&amp;"','yyyymmdd'),TO_DATE('"&amp;REGLAS!I574&amp;"','yyyymmdd'),'"&amp;REGLAS!J574&amp;"');")</f>
        <v>INSERT INTO INYCEXT.INYC_CONF_INF_REGLAS@tc_link (COD_INFORME,TABLA,NOMBRE,REGLA,F_INICIO,F_FIN,DESCRIPCION) VALUES (12.2,'INYC_AN_DETALLE','Anulaciones','IC-O-AN2-Inspector-NumPol-BLOQUE1-Produccion',TO_DATE('20190101','yyyymmdd'),TO_DATE('22000101','yyyymmdd'),'Version 20190213');</v>
      </c>
    </row>
    <row r="574" spans="1:2" x14ac:dyDescent="0.25">
      <c r="A574" t="str">
        <f>IF(REGLAS!J575="OBSOLETO","","INSERT INTO INYCEXT.INYC_CONF_INF_REGLAS (COD_INFORME,TABLA,NOMBRE,REGLA,F_INICIO,F_FIN,DESCRIPCION) VALUES ("&amp;REGLAS!B575&amp;",'"&amp;REGLAS!C575&amp;"','"&amp;REGLAS!D575&amp;"','"&amp;REGLAS!G575&amp;"',TO_DATE('"&amp;REGLAS!H575&amp;"','yyyymmdd'),TO_DATE('"&amp;REGLAS!I575&amp;"','yyyymmdd'),'"&amp;REGLAS!J575&amp;"');")</f>
        <v>INSERT INTO INYCEXT.INYC_CONF_INF_REGLAS (COD_INFORME,TABLA,NOMBRE,REGLA,F_INICIO,F_FIN,DESCRIPCION) VALUES (12.2,'INYC_AN_DETALLE','Anulaciones','DC-O-AN2-Inspector-NumPol-BLOQUE1-NoPrimerRecibo',TO_DATE('20140101','yyyymmdd'),TO_DATE('20190101','yyyymmdd'),'Version 20190213');</v>
      </c>
      <c r="B574" t="str">
        <f>IF(REGLAS!J575="OBSOLETO","","INSERT INTO INYCEXT.INYC_CONF_INF_REGLAS@tc_link (COD_INFORME,TABLA,NOMBRE,REGLA,F_INICIO,F_FIN,DESCRIPCION) VALUES ("&amp;REGLAS!B575&amp;",'"&amp;REGLAS!C575&amp;"','"&amp;REGLAS!D575&amp;"','"&amp;REGLAS!G575&amp;"',TO_DATE('"&amp;REGLAS!H575&amp;"','yyyymmdd'),TO_DATE('"&amp;REGLAS!I575&amp;"','yyyymmdd'),'"&amp;REGLAS!J575&amp;"');")</f>
        <v>INSERT INTO INYCEXT.INYC_CONF_INF_REGLAS@tc_link (COD_INFORME,TABLA,NOMBRE,REGLA,F_INICIO,F_FIN,DESCRIPCION) VALUES (12.2,'INYC_AN_DETALLE','Anulaciones','DC-O-AN2-Inspector-NumPol-BLOQUE1-NoPrimerRecibo',TO_DATE('20140101','yyyymmdd'),TO_DATE('20190101','yyyymmdd'),'Version 20190213');</v>
      </c>
    </row>
    <row r="575" spans="1:2" x14ac:dyDescent="0.25">
      <c r="A575" t="str">
        <f>IF(REGLAS!J576="OBSOLETO","","INSERT INTO INYCEXT.INYC_CONF_INF_REGLAS (COD_INFORME,TABLA,NOMBRE,REGLA,F_INICIO,F_FIN,DESCRIPCION) VALUES ("&amp;REGLAS!B576&amp;",'"&amp;REGLAS!C576&amp;"','"&amp;REGLAS!D576&amp;"','"&amp;REGLAS!G576&amp;"',TO_DATE('"&amp;REGLAS!H576&amp;"','yyyymmdd'),TO_DATE('"&amp;REGLAS!I576&amp;"','yyyymmdd'),'"&amp;REGLAS!J576&amp;"');")</f>
        <v>INSERT INTO INYCEXT.INYC_CONF_INF_REGLAS (COD_INFORME,TABLA,NOMBRE,REGLA,F_INICIO,F_FIN,DESCRIPCION) VALUES (12.2,'INYC_AN_DETALLE','Anulaciones','IC-O-AN2-Inspector-NumPol-BLOQUE1-NoPrimerRecibo',TO_DATE('20140101','yyyymmdd'),TO_DATE('20190101','yyyymmdd'),'Version 20190213');</v>
      </c>
      <c r="B575" t="str">
        <f>IF(REGLAS!J576="OBSOLETO","","INSERT INTO INYCEXT.INYC_CONF_INF_REGLAS@tc_link (COD_INFORME,TABLA,NOMBRE,REGLA,F_INICIO,F_FIN,DESCRIPCION) VALUES ("&amp;REGLAS!B576&amp;",'"&amp;REGLAS!C576&amp;"','"&amp;REGLAS!D576&amp;"','"&amp;REGLAS!G576&amp;"',TO_DATE('"&amp;REGLAS!H576&amp;"','yyyymmdd'),TO_DATE('"&amp;REGLAS!I576&amp;"','yyyymmdd'),'"&amp;REGLAS!J576&amp;"');")</f>
        <v>INSERT INTO INYCEXT.INYC_CONF_INF_REGLAS@tc_link (COD_INFORME,TABLA,NOMBRE,REGLA,F_INICIO,F_FIN,DESCRIPCION) VALUES (12.2,'INYC_AN_DETALLE','Anulaciones','IC-O-AN2-Inspector-NumPol-BLOQUE1-NoPrimerRecibo',TO_DATE('20140101','yyyymmdd'),TO_DATE('20190101','yyyymmdd'),'Version 20190213');</v>
      </c>
    </row>
    <row r="576" spans="1:2" x14ac:dyDescent="0.25">
      <c r="A576" t="str">
        <f>IF(REGLAS!J577="OBSOLETO","","INSERT INTO INYCEXT.INYC_CONF_INF_REGLAS (COD_INFORME,TABLA,NOMBRE,REGLA,F_INICIO,F_FIN,DESCRIPCION) VALUES ("&amp;REGLAS!B577&amp;",'"&amp;REGLAS!C577&amp;"','"&amp;REGLAS!D577&amp;"','"&amp;REGLAS!G577&amp;"',TO_DATE('"&amp;REGLAS!H577&amp;"','yyyymmdd'),TO_DATE('"&amp;REGLAS!I577&amp;"','yyyymmdd'),'"&amp;REGLAS!J577&amp;"');")</f>
        <v>INSERT INTO INYCEXT.INYC_CONF_INF_REGLAS (COD_INFORME,TABLA,NOMBRE,REGLA,F_INICIO,F_FIN,DESCRIPCION) VALUES (12.2,'INYC_AN_DETALLE','Anulaciones','DC-O-AN2-Inspector-NumPol-BLOQUE1-Anulaciones',TO_DATE('20140101','yyyymmdd'),TO_DATE('22000101','yyyymmdd'),'');</v>
      </c>
      <c r="B576" t="str">
        <f>IF(REGLAS!J577="OBSOLETO","","INSERT INTO INYCEXT.INYC_CONF_INF_REGLAS@tc_link (COD_INFORME,TABLA,NOMBRE,REGLA,F_INICIO,F_FIN,DESCRIPCION) VALUES ("&amp;REGLAS!B577&amp;",'"&amp;REGLAS!C577&amp;"','"&amp;REGLAS!D577&amp;"','"&amp;REGLAS!G577&amp;"',TO_DATE('"&amp;REGLAS!H577&amp;"','yyyymmdd'),TO_DATE('"&amp;REGLAS!I577&amp;"','yyyymmdd'),'"&amp;REGLAS!J577&amp;"');")</f>
        <v>INSERT INTO INYCEXT.INYC_CONF_INF_REGLAS@tc_link (COD_INFORME,TABLA,NOMBRE,REGLA,F_INICIO,F_FIN,DESCRIPCION) VALUES (12.2,'INYC_AN_DETALLE','Anulaciones','DC-O-AN2-Inspector-NumPol-BLOQUE1-Anulaciones',TO_DATE('20140101','yyyymmdd'),TO_DATE('22000101','yyyymmdd'),'');</v>
      </c>
    </row>
    <row r="577" spans="1:2" x14ac:dyDescent="0.25">
      <c r="A577" t="str">
        <f>IF(REGLAS!J578="OBSOLETO","","INSERT INTO INYCEXT.INYC_CONF_INF_REGLAS (COD_INFORME,TABLA,NOMBRE,REGLA,F_INICIO,F_FIN,DESCRIPCION) VALUES ("&amp;REGLAS!B578&amp;",'"&amp;REGLAS!C578&amp;"','"&amp;REGLAS!D578&amp;"','"&amp;REGLAS!G578&amp;"',TO_DATE('"&amp;REGLAS!H578&amp;"','yyyymmdd'),TO_DATE('"&amp;REGLAS!I578&amp;"','yyyymmdd'),'"&amp;REGLAS!J578&amp;"');")</f>
        <v>INSERT INTO INYCEXT.INYC_CONF_INF_REGLAS (COD_INFORME,TABLA,NOMBRE,REGLA,F_INICIO,F_FIN,DESCRIPCION) VALUES (12.2,'INYC_AN_DETALLE','Anulaciones','IC-O-AN2-Inspector-NumPol-BLOQUE1-Anulaciones',TO_DATE('20140101','yyyymmdd'),TO_DATE('22000101','yyyymmdd'),'');</v>
      </c>
      <c r="B577" t="str">
        <f>IF(REGLAS!J578="OBSOLETO","","INSERT INTO INYCEXT.INYC_CONF_INF_REGLAS@tc_link (COD_INFORME,TABLA,NOMBRE,REGLA,F_INICIO,F_FIN,DESCRIPCION) VALUES ("&amp;REGLAS!B578&amp;",'"&amp;REGLAS!C578&amp;"','"&amp;REGLAS!D578&amp;"','"&amp;REGLAS!G578&amp;"',TO_DATE('"&amp;REGLAS!H578&amp;"','yyyymmdd'),TO_DATE('"&amp;REGLAS!I578&amp;"','yyyymmdd'),'"&amp;REGLAS!J578&amp;"');")</f>
        <v>INSERT INTO INYCEXT.INYC_CONF_INF_REGLAS@tc_link (COD_INFORME,TABLA,NOMBRE,REGLA,F_INICIO,F_FIN,DESCRIPCION) VALUES (12.2,'INYC_AN_DETALLE','Anulaciones','IC-O-AN2-Inspector-NumPol-BLOQUE1-Anulaciones',TO_DATE('20140101','yyyymmdd'),TO_DATE('22000101','yyyymmdd'),'');</v>
      </c>
    </row>
    <row r="578" spans="1:2" x14ac:dyDescent="0.25">
      <c r="A578" t="str">
        <f>IF(REGLAS!J579="OBSOLETO","","INSERT INTO INYCEXT.INYC_CONF_INF_REGLAS (COD_INFORME,TABLA,NOMBRE,REGLA,F_INICIO,F_FIN,DESCRIPCION) VALUES ("&amp;REGLAS!B579&amp;",'"&amp;REGLAS!C579&amp;"','"&amp;REGLAS!D579&amp;"','"&amp;REGLAS!G579&amp;"',TO_DATE('"&amp;REGLAS!H579&amp;"','yyyymmdd'),TO_DATE('"&amp;REGLAS!I579&amp;"','yyyymmdd'),'"&amp;REGLAS!J579&amp;"');")</f>
        <v>INSERT INTO INYCEXT.INYC_CONF_INF_REGLAS (COD_INFORME,TABLA,NOMBRE,REGLA,F_INICIO,F_FIN,DESCRIPCION) VALUES (12.2,'INYC_AN_DETALLE','Anulaciones','DC-O-AN2-Inspector-NumPol-BLOQUE1-Anulacion',TO_DATE('20140101','yyyymmdd'),TO_DATE('22000101','yyyymmdd'),'');</v>
      </c>
      <c r="B578" t="str">
        <f>IF(REGLAS!J579="OBSOLETO","","INSERT INTO INYCEXT.INYC_CONF_INF_REGLAS@tc_link (COD_INFORME,TABLA,NOMBRE,REGLA,F_INICIO,F_FIN,DESCRIPCION) VALUES ("&amp;REGLAS!B579&amp;",'"&amp;REGLAS!C579&amp;"','"&amp;REGLAS!D579&amp;"','"&amp;REGLAS!G579&amp;"',TO_DATE('"&amp;REGLAS!H579&amp;"','yyyymmdd'),TO_DATE('"&amp;REGLAS!I579&amp;"','yyyymmdd'),'"&amp;REGLAS!J579&amp;"');")</f>
        <v>INSERT INTO INYCEXT.INYC_CONF_INF_REGLAS@tc_link (COD_INFORME,TABLA,NOMBRE,REGLA,F_INICIO,F_FIN,DESCRIPCION) VALUES (12.2,'INYC_AN_DETALLE','Anulaciones','DC-O-AN2-Inspector-NumPol-BLOQUE1-Anulacion',TO_DATE('20140101','yyyymmdd'),TO_DATE('22000101','yyyymmdd'),'');</v>
      </c>
    </row>
    <row r="579" spans="1:2" x14ac:dyDescent="0.25">
      <c r="A579" t="str">
        <f>IF(REGLAS!J580="OBSOLETO","","INSERT INTO INYCEXT.INYC_CONF_INF_REGLAS (COD_INFORME,TABLA,NOMBRE,REGLA,F_INICIO,F_FIN,DESCRIPCION) VALUES ("&amp;REGLAS!B580&amp;",'"&amp;REGLAS!C580&amp;"','"&amp;REGLAS!D580&amp;"','"&amp;REGLAS!G580&amp;"',TO_DATE('"&amp;REGLAS!H580&amp;"','yyyymmdd'),TO_DATE('"&amp;REGLAS!I580&amp;"','yyyymmdd'),'"&amp;REGLAS!J580&amp;"');")</f>
        <v>INSERT INTO INYCEXT.INYC_CONF_INF_REGLAS (COD_INFORME,TABLA,NOMBRE,REGLA,F_INICIO,F_FIN,DESCRIPCION) VALUES (12.2,'INYC_AN_DETALLE','Anulaciones','IC-O-AN2-Inspector-NumPol-BLOQUE1-Anulacion',TO_DATE('20140101','yyyymmdd'),TO_DATE('22000101','yyyymmdd'),'');</v>
      </c>
      <c r="B579" t="str">
        <f>IF(REGLAS!J580="OBSOLETO","","INSERT INTO INYCEXT.INYC_CONF_INF_REGLAS@tc_link (COD_INFORME,TABLA,NOMBRE,REGLA,F_INICIO,F_FIN,DESCRIPCION) VALUES ("&amp;REGLAS!B580&amp;",'"&amp;REGLAS!C580&amp;"','"&amp;REGLAS!D580&amp;"','"&amp;REGLAS!G580&amp;"',TO_DATE('"&amp;REGLAS!H580&amp;"','yyyymmdd'),TO_DATE('"&amp;REGLAS!I580&amp;"','yyyymmdd'),'"&amp;REGLAS!J580&amp;"');")</f>
        <v>INSERT INTO INYCEXT.INYC_CONF_INF_REGLAS@tc_link (COD_INFORME,TABLA,NOMBRE,REGLA,F_INICIO,F_FIN,DESCRIPCION) VALUES (12.2,'INYC_AN_DETALLE','Anulaciones','IC-O-AN2-Inspector-NumPol-BLOQUE1-Anulacion',TO_DATE('20140101','yyyymmdd'),TO_DATE('22000101','yyyymmdd'),'');</v>
      </c>
    </row>
    <row r="580" spans="1:2" x14ac:dyDescent="0.25">
      <c r="A580" t="str">
        <f>IF(REGLAS!J581="OBSOLETO","","INSERT INTO INYCEXT.INYC_CONF_INF_REGLAS (COD_INFORME,TABLA,NOMBRE,REGLA,F_INICIO,F_FIN,DESCRIPCION) VALUES ("&amp;REGLAS!B581&amp;",'"&amp;REGLAS!C581&amp;"','"&amp;REGLAS!D581&amp;"','"&amp;REGLAS!G581&amp;"',TO_DATE('"&amp;REGLAS!H581&amp;"','yyyymmdd'),TO_DATE('"&amp;REGLAS!I581&amp;"','yyyymmdd'),'"&amp;REGLAS!J581&amp;"');")</f>
        <v>INSERT INTO INYCEXT.INYC_CONF_INF_REGLAS (COD_INFORME,TABLA,NOMBRE,REGLA,F_INICIO,F_FIN,DESCRIPCION) VALUES (12.2,'INYC_AN_DETALLE','Anulaciones','IC-O-AN2-Inspector-NumPol-BLOQUE1-Rehabilitacion',TO_DATE('20140101','yyyymmdd'),TO_DATE('22000101','yyyymmdd'),'');</v>
      </c>
      <c r="B580" t="str">
        <f>IF(REGLAS!J581="OBSOLETO","","INSERT INTO INYCEXT.INYC_CONF_INF_REGLAS@tc_link (COD_INFORME,TABLA,NOMBRE,REGLA,F_INICIO,F_FIN,DESCRIPCION) VALUES ("&amp;REGLAS!B581&amp;",'"&amp;REGLAS!C581&amp;"','"&amp;REGLAS!D581&amp;"','"&amp;REGLAS!G581&amp;"',TO_DATE('"&amp;REGLAS!H581&amp;"','yyyymmdd'),TO_DATE('"&amp;REGLAS!I581&amp;"','yyyymmdd'),'"&amp;REGLAS!J581&amp;"');")</f>
        <v>INSERT INTO INYCEXT.INYC_CONF_INF_REGLAS@tc_link (COD_INFORME,TABLA,NOMBRE,REGLA,F_INICIO,F_FIN,DESCRIPCION) VALUES (12.2,'INYC_AN_DETALLE','Anulaciones','IC-O-AN2-Inspector-NumPol-BLOQUE1-Rehabilitacion',TO_DATE('20140101','yyyymmdd'),TO_DATE('22000101','yyyymmdd'),'');</v>
      </c>
    </row>
    <row r="581" spans="1:2" x14ac:dyDescent="0.25">
      <c r="A581" t="str">
        <f>IF(REGLAS!J582="OBSOLETO","","INSERT INTO INYCEXT.INYC_CONF_INF_REGLAS (COD_INFORME,TABLA,NOMBRE,REGLA,F_INICIO,F_FIN,DESCRIPCION) VALUES ("&amp;REGLAS!B582&amp;",'"&amp;REGLAS!C582&amp;"','"&amp;REGLAS!D582&amp;"','"&amp;REGLAS!G582&amp;"',TO_DATE('"&amp;REGLAS!H582&amp;"','yyyymmdd'),TO_DATE('"&amp;REGLAS!I582&amp;"','yyyymmdd'),'"&amp;REGLAS!J582&amp;"');")</f>
        <v>INSERT INTO INYCEXT.INYC_CONF_INF_REGLAS (COD_INFORME,TABLA,NOMBRE,REGLA,F_INICIO,F_FIN,DESCRIPCION) VALUES (12.2,'INYC_AN_DETALLE','Anulaciones','IC-O-AN2-Inspector-NumPol-BLOQUE1-Rehabilitacion',TO_DATE('20140101','yyyymmdd'),TO_DATE('22000101','yyyymmdd'),'');</v>
      </c>
      <c r="B581" t="str">
        <f>IF(REGLAS!J582="OBSOLETO","","INSERT INTO INYCEXT.INYC_CONF_INF_REGLAS@tc_link (COD_INFORME,TABLA,NOMBRE,REGLA,F_INICIO,F_FIN,DESCRIPCION) VALUES ("&amp;REGLAS!B582&amp;",'"&amp;REGLAS!C582&amp;"','"&amp;REGLAS!D582&amp;"','"&amp;REGLAS!G582&amp;"',TO_DATE('"&amp;REGLAS!H582&amp;"','yyyymmdd'),TO_DATE('"&amp;REGLAS!I582&amp;"','yyyymmdd'),'"&amp;REGLAS!J582&amp;"');")</f>
        <v>INSERT INTO INYCEXT.INYC_CONF_INF_REGLAS@tc_link (COD_INFORME,TABLA,NOMBRE,REGLA,F_INICIO,F_FIN,DESCRIPCION) VALUES (12.2,'INYC_AN_DETALLE','Anulaciones','IC-O-AN2-Inspector-NumPol-BLOQUE1-Rehabilitacion',TO_DATE('20140101','yyyymmdd'),TO_DATE('22000101','yyyymmdd'),'');</v>
      </c>
    </row>
    <row r="582" spans="1:2" x14ac:dyDescent="0.25">
      <c r="A582" t="str">
        <f>IF(REGLAS!J583="OBSOLETO","","INSERT INTO INYCEXT.INYC_CONF_INF_REGLAS (COD_INFORME,TABLA,NOMBRE,REGLA,F_INICIO,F_FIN,DESCRIPCION) VALUES ("&amp;REGLAS!B583&amp;",'"&amp;REGLAS!C583&amp;"','"&amp;REGLAS!D583&amp;"','"&amp;REGLAS!G583&amp;"',TO_DATE('"&amp;REGLAS!H583&amp;"','yyyymmdd'),TO_DATE('"&amp;REGLAS!I583&amp;"','yyyymmdd'),'"&amp;REGLAS!J583&amp;"');")</f>
        <v>INSERT INTO INYCEXT.INYC_CONF_INF_REGLAS (COD_INFORME,TABLA,NOMBRE,REGLA,F_INICIO,F_FIN,DESCRIPCION) VALUES (12.2,'INYC_AN_DETALLE','Anulaciones','DC-O-AN2-Inspector-NumPol-BLOQUE2-PrimerRecibo',TO_DATE('20140101','yyyymmdd'),TO_DATE('20190101','yyyymmdd'),'Version 20190213');</v>
      </c>
      <c r="B582" t="str">
        <f>IF(REGLAS!J583="OBSOLETO","","INSERT INTO INYCEXT.INYC_CONF_INF_REGLAS@tc_link (COD_INFORME,TABLA,NOMBRE,REGLA,F_INICIO,F_FIN,DESCRIPCION) VALUES ("&amp;REGLAS!B583&amp;",'"&amp;REGLAS!C583&amp;"','"&amp;REGLAS!D583&amp;"','"&amp;REGLAS!G583&amp;"',TO_DATE('"&amp;REGLAS!H583&amp;"','yyyymmdd'),TO_DATE('"&amp;REGLAS!I583&amp;"','yyyymmdd'),'"&amp;REGLAS!J583&amp;"');")</f>
        <v>INSERT INTO INYCEXT.INYC_CONF_INF_REGLAS@tc_link (COD_INFORME,TABLA,NOMBRE,REGLA,F_INICIO,F_FIN,DESCRIPCION) VALUES (12.2,'INYC_AN_DETALLE','Anulaciones','DC-O-AN2-Inspector-NumPol-BLOQUE2-PrimerRecibo',TO_DATE('20140101','yyyymmdd'),TO_DATE('20190101','yyyymmdd'),'Version 20190213');</v>
      </c>
    </row>
    <row r="583" spans="1:2" x14ac:dyDescent="0.25">
      <c r="A583" t="str">
        <f>IF(REGLAS!J584="OBSOLETO","","INSERT INTO INYCEXT.INYC_CONF_INF_REGLAS (COD_INFORME,TABLA,NOMBRE,REGLA,F_INICIO,F_FIN,DESCRIPCION) VALUES ("&amp;REGLAS!B584&amp;",'"&amp;REGLAS!C584&amp;"','"&amp;REGLAS!D584&amp;"','"&amp;REGLAS!G584&amp;"',TO_DATE('"&amp;REGLAS!H584&amp;"','yyyymmdd'),TO_DATE('"&amp;REGLAS!I584&amp;"','yyyymmdd'),'"&amp;REGLAS!J584&amp;"');")</f>
        <v>INSERT INTO INYCEXT.INYC_CONF_INF_REGLAS (COD_INFORME,TABLA,NOMBRE,REGLA,F_INICIO,F_FIN,DESCRIPCION) VALUES (12.2,'INYC_AN_DETALLE','Anulaciones','IC-O-AN2-Inspector-NumPol-BLOQUE2-PrimerRecibo',TO_DATE('20140101','yyyymmdd'),TO_DATE('20190101','yyyymmdd'),'Version 20190213');</v>
      </c>
      <c r="B583" t="str">
        <f>IF(REGLAS!J584="OBSOLETO","","INSERT INTO INYCEXT.INYC_CONF_INF_REGLAS@tc_link (COD_INFORME,TABLA,NOMBRE,REGLA,F_INICIO,F_FIN,DESCRIPCION) VALUES ("&amp;REGLAS!B584&amp;",'"&amp;REGLAS!C584&amp;"','"&amp;REGLAS!D584&amp;"','"&amp;REGLAS!G584&amp;"',TO_DATE('"&amp;REGLAS!H584&amp;"','yyyymmdd'),TO_DATE('"&amp;REGLAS!I584&amp;"','yyyymmdd'),'"&amp;REGLAS!J584&amp;"');")</f>
        <v>INSERT INTO INYCEXT.INYC_CONF_INF_REGLAS@tc_link (COD_INFORME,TABLA,NOMBRE,REGLA,F_INICIO,F_FIN,DESCRIPCION) VALUES (12.2,'INYC_AN_DETALLE','Anulaciones','IC-O-AN2-Inspector-NumPol-BLOQUE2-PrimerRecibo',TO_DATE('20140101','yyyymmdd'),TO_DATE('20190101','yyyymmdd'),'Version 20190213');</v>
      </c>
    </row>
    <row r="584" spans="1:2" x14ac:dyDescent="0.25">
      <c r="A584" t="str">
        <f>IF(REGLAS!J585="OBSOLETO","","INSERT INTO INYCEXT.INYC_CONF_INF_REGLAS (COD_INFORME,TABLA,NOMBRE,REGLA,F_INICIO,F_FIN,DESCRIPCION) VALUES ("&amp;REGLAS!B585&amp;",'"&amp;REGLAS!C585&amp;"','"&amp;REGLAS!D585&amp;"','"&amp;REGLAS!G585&amp;"',TO_DATE('"&amp;REGLAS!H585&amp;"','yyyymmdd'),TO_DATE('"&amp;REGLAS!I585&amp;"','yyyymmdd'),'"&amp;REGLAS!J585&amp;"');")</f>
        <v>INSERT INTO INYCEXT.INYC_CONF_INF_REGLAS (COD_INFORME,TABLA,NOMBRE,REGLA,F_INICIO,F_FIN,DESCRIPCION) VALUES (12.2,'INYC_AN_DETALLE','Anulaciones','DC-O-AN2-Inspector-NumPol-BLOQUE2-Produccion',TO_DATE('20190101','yyyymmdd'),TO_DATE('22000101','yyyymmdd'),'Version 20190213');</v>
      </c>
      <c r="B584" t="str">
        <f>IF(REGLAS!J585="OBSOLETO","","INSERT INTO INYCEXT.INYC_CONF_INF_REGLAS@tc_link (COD_INFORME,TABLA,NOMBRE,REGLA,F_INICIO,F_FIN,DESCRIPCION) VALUES ("&amp;REGLAS!B585&amp;",'"&amp;REGLAS!C585&amp;"','"&amp;REGLAS!D585&amp;"','"&amp;REGLAS!G585&amp;"',TO_DATE('"&amp;REGLAS!H585&amp;"','yyyymmdd'),TO_DATE('"&amp;REGLAS!I585&amp;"','yyyymmdd'),'"&amp;REGLAS!J585&amp;"');")</f>
        <v>INSERT INTO INYCEXT.INYC_CONF_INF_REGLAS@tc_link (COD_INFORME,TABLA,NOMBRE,REGLA,F_INICIO,F_FIN,DESCRIPCION) VALUES (12.2,'INYC_AN_DETALLE','Anulaciones','DC-O-AN2-Inspector-NumPol-BLOQUE2-Produccion',TO_DATE('20190101','yyyymmdd'),TO_DATE('22000101','yyyymmdd'),'Version 20190213');</v>
      </c>
    </row>
    <row r="585" spans="1:2" x14ac:dyDescent="0.25">
      <c r="A585" t="str">
        <f>IF(REGLAS!J586="OBSOLETO","","INSERT INTO INYCEXT.INYC_CONF_INF_REGLAS (COD_INFORME,TABLA,NOMBRE,REGLA,F_INICIO,F_FIN,DESCRIPCION) VALUES ("&amp;REGLAS!B586&amp;",'"&amp;REGLAS!C586&amp;"','"&amp;REGLAS!D586&amp;"','"&amp;REGLAS!G586&amp;"',TO_DATE('"&amp;REGLAS!H586&amp;"','yyyymmdd'),TO_DATE('"&amp;REGLAS!I586&amp;"','yyyymmdd'),'"&amp;REGLAS!J586&amp;"');")</f>
        <v>INSERT INTO INYCEXT.INYC_CONF_INF_REGLAS (COD_INFORME,TABLA,NOMBRE,REGLA,F_INICIO,F_FIN,DESCRIPCION) VALUES (12.2,'INYC_AN_DETALLE','Anulaciones','IC-O-AN2-Inspector-NumPol-BLOQUE2-Produccion',TO_DATE('20190101','yyyymmdd'),TO_DATE('22000101','yyyymmdd'),'Version 20190213');</v>
      </c>
      <c r="B585" t="str">
        <f>IF(REGLAS!J586="OBSOLETO","","INSERT INTO INYCEXT.INYC_CONF_INF_REGLAS@tc_link (COD_INFORME,TABLA,NOMBRE,REGLA,F_INICIO,F_FIN,DESCRIPCION) VALUES ("&amp;REGLAS!B586&amp;",'"&amp;REGLAS!C586&amp;"','"&amp;REGLAS!D586&amp;"','"&amp;REGLAS!G586&amp;"',TO_DATE('"&amp;REGLAS!H586&amp;"','yyyymmdd'),TO_DATE('"&amp;REGLAS!I586&amp;"','yyyymmdd'),'"&amp;REGLAS!J586&amp;"');")</f>
        <v>INSERT INTO INYCEXT.INYC_CONF_INF_REGLAS@tc_link (COD_INFORME,TABLA,NOMBRE,REGLA,F_INICIO,F_FIN,DESCRIPCION) VALUES (12.2,'INYC_AN_DETALLE','Anulaciones','IC-O-AN2-Inspector-NumPol-BLOQUE2-Produccion',TO_DATE('20190101','yyyymmdd'),TO_DATE('22000101','yyyymmdd'),'Version 20190213');</v>
      </c>
    </row>
    <row r="586" spans="1:2" x14ac:dyDescent="0.25">
      <c r="A586" t="str">
        <f>IF(REGLAS!J587="OBSOLETO","","INSERT INTO INYCEXT.INYC_CONF_INF_REGLAS (COD_INFORME,TABLA,NOMBRE,REGLA,F_INICIO,F_FIN,DESCRIPCION) VALUES ("&amp;REGLAS!B587&amp;",'"&amp;REGLAS!C587&amp;"','"&amp;REGLAS!D587&amp;"','"&amp;REGLAS!G587&amp;"',TO_DATE('"&amp;REGLAS!H587&amp;"','yyyymmdd'),TO_DATE('"&amp;REGLAS!I587&amp;"','yyyymmdd'),'"&amp;REGLAS!J587&amp;"');")</f>
        <v>INSERT INTO INYCEXT.INYC_CONF_INF_REGLAS (COD_INFORME,TABLA,NOMBRE,REGLA,F_INICIO,F_FIN,DESCRIPCION) VALUES (12.2,'INYC_AN_DETALLE','Anulaciones','DC-O-AN2-Inspector-NumPol-BLOQUE2-Anulaciones',TO_DATE('20140101','yyyymmdd'),TO_DATE('22000101','yyyymmdd'),'');</v>
      </c>
      <c r="B586" t="str">
        <f>IF(REGLAS!J587="OBSOLETO","","INSERT INTO INYCEXT.INYC_CONF_INF_REGLAS@tc_link (COD_INFORME,TABLA,NOMBRE,REGLA,F_INICIO,F_FIN,DESCRIPCION) VALUES ("&amp;REGLAS!B587&amp;",'"&amp;REGLAS!C587&amp;"','"&amp;REGLAS!D587&amp;"','"&amp;REGLAS!G587&amp;"',TO_DATE('"&amp;REGLAS!H587&amp;"','yyyymmdd'),TO_DATE('"&amp;REGLAS!I587&amp;"','yyyymmdd'),'"&amp;REGLAS!J587&amp;"');")</f>
        <v>INSERT INTO INYCEXT.INYC_CONF_INF_REGLAS@tc_link (COD_INFORME,TABLA,NOMBRE,REGLA,F_INICIO,F_FIN,DESCRIPCION) VALUES (12.2,'INYC_AN_DETALLE','Anulaciones','DC-O-AN2-Inspector-NumPol-BLOQUE2-Anulaciones',TO_DATE('20140101','yyyymmdd'),TO_DATE('22000101','yyyymmdd'),'');</v>
      </c>
    </row>
    <row r="587" spans="1:2" x14ac:dyDescent="0.25">
      <c r="A587" t="str">
        <f>IF(REGLAS!J588="OBSOLETO","","INSERT INTO INYCEXT.INYC_CONF_INF_REGLAS (COD_INFORME,TABLA,NOMBRE,REGLA,F_INICIO,F_FIN,DESCRIPCION) VALUES ("&amp;REGLAS!B588&amp;",'"&amp;REGLAS!C588&amp;"','"&amp;REGLAS!D588&amp;"','"&amp;REGLAS!G588&amp;"',TO_DATE('"&amp;REGLAS!H588&amp;"','yyyymmdd'),TO_DATE('"&amp;REGLAS!I588&amp;"','yyyymmdd'),'"&amp;REGLAS!J588&amp;"');")</f>
        <v>INSERT INTO INYCEXT.INYC_CONF_INF_REGLAS (COD_INFORME,TABLA,NOMBRE,REGLA,F_INICIO,F_FIN,DESCRIPCION) VALUES (12.2,'INYC_AN_DETALLE','Anulaciones','IC-O-AN2-Inspector-NumPol-BLOQUE2-Anulaciones',TO_DATE('20140101','yyyymmdd'),TO_DATE('22000101','yyyymmdd'),'');</v>
      </c>
      <c r="B587" t="str">
        <f>IF(REGLAS!J588="OBSOLETO","","INSERT INTO INYCEXT.INYC_CONF_INF_REGLAS@tc_link (COD_INFORME,TABLA,NOMBRE,REGLA,F_INICIO,F_FIN,DESCRIPCION) VALUES ("&amp;REGLAS!B588&amp;",'"&amp;REGLAS!C588&amp;"','"&amp;REGLAS!D588&amp;"','"&amp;REGLAS!G588&amp;"',TO_DATE('"&amp;REGLAS!H588&amp;"','yyyymmdd'),TO_DATE('"&amp;REGLAS!I588&amp;"','yyyymmdd'),'"&amp;REGLAS!J588&amp;"');")</f>
        <v>INSERT INTO INYCEXT.INYC_CONF_INF_REGLAS@tc_link (COD_INFORME,TABLA,NOMBRE,REGLA,F_INICIO,F_FIN,DESCRIPCION) VALUES (12.2,'INYC_AN_DETALLE','Anulaciones','IC-O-AN2-Inspector-NumPol-BLOQUE2-Anulaciones',TO_DATE('20140101','yyyymmdd'),TO_DATE('22000101','yyyymmdd'),'');</v>
      </c>
    </row>
    <row r="588" spans="1:2" x14ac:dyDescent="0.25">
      <c r="A588" t="str">
        <f>IF(REGLAS!J589="OBSOLETO","","INSERT INTO INYCEXT.INYC_CONF_INF_REGLAS (COD_INFORME,TABLA,NOMBRE,REGLA,F_INICIO,F_FIN,DESCRIPCION) VALUES ("&amp;REGLAS!B589&amp;",'"&amp;REGLAS!C589&amp;"','"&amp;REGLAS!D589&amp;"','"&amp;REGLAS!G589&amp;"',TO_DATE('"&amp;REGLAS!H589&amp;"','yyyymmdd'),TO_DATE('"&amp;REGLAS!I589&amp;"','yyyymmdd'),'"&amp;REGLAS!J589&amp;"');")</f>
        <v>INSERT INTO INYCEXT.INYC_CONF_INF_REGLAS (COD_INFORME,TABLA,NOMBRE,REGLA,F_INICIO,F_FIN,DESCRIPCION) VALUES (12.2,'INYC_AN_DETALLE','Anulaciones','DC-O-AN2-Inspector-NumPol-BLOQUE2-Anulacion',TO_DATE('20140101','yyyymmdd'),TO_DATE('22000101','yyyymmdd'),'');</v>
      </c>
      <c r="B588" t="str">
        <f>IF(REGLAS!J589="OBSOLETO","","INSERT INTO INYCEXT.INYC_CONF_INF_REGLAS@tc_link (COD_INFORME,TABLA,NOMBRE,REGLA,F_INICIO,F_FIN,DESCRIPCION) VALUES ("&amp;REGLAS!B589&amp;",'"&amp;REGLAS!C589&amp;"','"&amp;REGLAS!D589&amp;"','"&amp;REGLAS!G589&amp;"',TO_DATE('"&amp;REGLAS!H589&amp;"','yyyymmdd'),TO_DATE('"&amp;REGLAS!I589&amp;"','yyyymmdd'),'"&amp;REGLAS!J589&amp;"');")</f>
        <v>INSERT INTO INYCEXT.INYC_CONF_INF_REGLAS@tc_link (COD_INFORME,TABLA,NOMBRE,REGLA,F_INICIO,F_FIN,DESCRIPCION) VALUES (12.2,'INYC_AN_DETALLE','Anulaciones','DC-O-AN2-Inspector-NumPol-BLOQUE2-Anulacion',TO_DATE('20140101','yyyymmdd'),TO_DATE('22000101','yyyymmdd'),'');</v>
      </c>
    </row>
    <row r="589" spans="1:2" x14ac:dyDescent="0.25">
      <c r="A589" t="str">
        <f>IF(REGLAS!J590="OBSOLETO","","INSERT INTO INYCEXT.INYC_CONF_INF_REGLAS (COD_INFORME,TABLA,NOMBRE,REGLA,F_INICIO,F_FIN,DESCRIPCION) VALUES ("&amp;REGLAS!B590&amp;",'"&amp;REGLAS!C590&amp;"','"&amp;REGLAS!D590&amp;"','"&amp;REGLAS!G590&amp;"',TO_DATE('"&amp;REGLAS!H590&amp;"','yyyymmdd'),TO_DATE('"&amp;REGLAS!I590&amp;"','yyyymmdd'),'"&amp;REGLAS!J590&amp;"');")</f>
        <v>INSERT INTO INYCEXT.INYC_CONF_INF_REGLAS (COD_INFORME,TABLA,NOMBRE,REGLA,F_INICIO,F_FIN,DESCRIPCION) VALUES (12.2,'INYC_AN_DETALLE','Anulaciones','IC-O-AN2-Inspector-NumPol-BLOQUE2-Anulacion',TO_DATE('20140101','yyyymmdd'),TO_DATE('22000101','yyyymmdd'),'');</v>
      </c>
      <c r="B589" t="str">
        <f>IF(REGLAS!J590="OBSOLETO","","INSERT INTO INYCEXT.INYC_CONF_INF_REGLAS@tc_link (COD_INFORME,TABLA,NOMBRE,REGLA,F_INICIO,F_FIN,DESCRIPCION) VALUES ("&amp;REGLAS!B590&amp;",'"&amp;REGLAS!C590&amp;"','"&amp;REGLAS!D590&amp;"','"&amp;REGLAS!G590&amp;"',TO_DATE('"&amp;REGLAS!H590&amp;"','yyyymmdd'),TO_DATE('"&amp;REGLAS!I590&amp;"','yyyymmdd'),'"&amp;REGLAS!J590&amp;"');")</f>
        <v>INSERT INTO INYCEXT.INYC_CONF_INF_REGLAS@tc_link (COD_INFORME,TABLA,NOMBRE,REGLA,F_INICIO,F_FIN,DESCRIPCION) VALUES (12.2,'INYC_AN_DETALLE','Anulaciones','IC-O-AN2-Inspector-NumPol-BLOQUE2-Anulacion',TO_DATE('20140101','yyyymmdd'),TO_DATE('22000101','yyyymmdd'),'');</v>
      </c>
    </row>
    <row r="590" spans="1:2" x14ac:dyDescent="0.25">
      <c r="A590" t="str">
        <f>IF(REGLAS!J591="OBSOLETO","","INSERT INTO INYCEXT.INYC_CONF_INF_REGLAS (COD_INFORME,TABLA,NOMBRE,REGLA,F_INICIO,F_FIN,DESCRIPCION) VALUES ("&amp;REGLAS!B591&amp;",'"&amp;REGLAS!C591&amp;"','"&amp;REGLAS!D591&amp;"','"&amp;REGLAS!G591&amp;"',TO_DATE('"&amp;REGLAS!H591&amp;"','yyyymmdd'),TO_DATE('"&amp;REGLAS!I591&amp;"','yyyymmdd'),'"&amp;REGLAS!J591&amp;"');")</f>
        <v>INSERT INTO INYCEXT.INYC_CONF_INF_REGLAS (COD_INFORME,TABLA,NOMBRE,REGLA,F_INICIO,F_FIN,DESCRIPCION) VALUES (12.2,'INYC_AN_DETALLE','Anulaciones','IC-O-AN2-Inspector-NumPol-BLOQUE2-Rehabilitacion',TO_DATE('20140101','yyyymmdd'),TO_DATE('22000101','yyyymmdd'),'');</v>
      </c>
      <c r="B590" t="str">
        <f>IF(REGLAS!J591="OBSOLETO","","INSERT INTO INYCEXT.INYC_CONF_INF_REGLAS@tc_link (COD_INFORME,TABLA,NOMBRE,REGLA,F_INICIO,F_FIN,DESCRIPCION) VALUES ("&amp;REGLAS!B591&amp;",'"&amp;REGLAS!C591&amp;"','"&amp;REGLAS!D591&amp;"','"&amp;REGLAS!G591&amp;"',TO_DATE('"&amp;REGLAS!H591&amp;"','yyyymmdd'),TO_DATE('"&amp;REGLAS!I591&amp;"','yyyymmdd'),'"&amp;REGLAS!J591&amp;"');")</f>
        <v>INSERT INTO INYCEXT.INYC_CONF_INF_REGLAS@tc_link (COD_INFORME,TABLA,NOMBRE,REGLA,F_INICIO,F_FIN,DESCRIPCION) VALUES (12.2,'INYC_AN_DETALLE','Anulaciones','IC-O-AN2-Inspector-NumPol-BLOQUE2-Rehabilitacion',TO_DATE('20140101','yyyymmdd'),TO_DATE('22000101','yyyymmdd'),'');</v>
      </c>
    </row>
    <row r="591" spans="1:2" x14ac:dyDescent="0.25">
      <c r="A591" t="str">
        <f>IF(REGLAS!J592="OBSOLETO","","INSERT INTO INYCEXT.INYC_CONF_INF_REGLAS (COD_INFORME,TABLA,NOMBRE,REGLA,F_INICIO,F_FIN,DESCRIPCION) VALUES ("&amp;REGLAS!B592&amp;",'"&amp;REGLAS!C592&amp;"','"&amp;REGLAS!D592&amp;"','"&amp;REGLAS!G592&amp;"',TO_DATE('"&amp;REGLAS!H592&amp;"','yyyymmdd'),TO_DATE('"&amp;REGLAS!I592&amp;"','yyyymmdd'),'"&amp;REGLAS!J592&amp;"');")</f>
        <v>INSERT INTO INYCEXT.INYC_CONF_INF_REGLAS (COD_INFORME,TABLA,NOMBRE,REGLA,F_INICIO,F_FIN,DESCRIPCION) VALUES (12.2,'INYC_AN_DETALLE','Anulaciones','IC-O-AN2-Inspector-NumPol-BLOQUE2-Rehabilitacion',TO_DATE('20140101','yyyymmdd'),TO_DATE('22000101','yyyymmdd'),'');</v>
      </c>
      <c r="B591" t="str">
        <f>IF(REGLAS!J592="OBSOLETO","","INSERT INTO INYCEXT.INYC_CONF_INF_REGLAS@tc_link (COD_INFORME,TABLA,NOMBRE,REGLA,F_INICIO,F_FIN,DESCRIPCION) VALUES ("&amp;REGLAS!B592&amp;",'"&amp;REGLAS!C592&amp;"','"&amp;REGLAS!D592&amp;"','"&amp;REGLAS!G592&amp;"',TO_DATE('"&amp;REGLAS!H592&amp;"','yyyymmdd'),TO_DATE('"&amp;REGLAS!I592&amp;"','yyyymmdd'),'"&amp;REGLAS!J592&amp;"');")</f>
        <v>INSERT INTO INYCEXT.INYC_CONF_INF_REGLAS@tc_link (COD_INFORME,TABLA,NOMBRE,REGLA,F_INICIO,F_FIN,DESCRIPCION) VALUES (12.2,'INYC_AN_DETALLE','Anulaciones','IC-O-AN2-Inspector-NumPol-BLOQUE2-Rehabilitacion',TO_DATE('20140101','yyyymmdd'),TO_DATE('22000101','yyyymmdd'),'');</v>
      </c>
    </row>
    <row r="592" spans="1:2" x14ac:dyDescent="0.25">
      <c r="A592" t="str">
        <f>IF(REGLAS!J593="OBSOLETO","","INSERT INTO INYCEXT.INYC_CONF_INF_REGLAS (COD_INFORME,TABLA,NOMBRE,REGLA,F_INICIO,F_FIN,DESCRIPCION) VALUES ("&amp;REGLAS!B593&amp;",'"&amp;REGLAS!C593&amp;"','"&amp;REGLAS!D593&amp;"','"&amp;REGLAS!G593&amp;"',TO_DATE('"&amp;REGLAS!H593&amp;"','yyyymmdd'),TO_DATE('"&amp;REGLAS!I593&amp;"','yyyymmdd'),'"&amp;REGLAS!J593&amp;"');")</f>
        <v>INSERT INTO INYCEXT.INYC_CONF_INF_REGLAS (COD_INFORME,TABLA,NOMBRE,REGLA,F_INICIO,F_FIN,DESCRIPCION) VALUES (13.1,'INYC_DIF_E_RESUMEN','Resumen Mensual','PM-E-DIF-Inspector-Importe-RRTT',TO_DATE('20140101','yyyymmdd'),TO_DATE('22000101','yyyymmdd'),'');</v>
      </c>
      <c r="B592" t="str">
        <f>IF(REGLAS!J593="OBSOLETO","","INSERT INTO INYCEXT.INYC_CONF_INF_REGLAS@tc_link (COD_INFORME,TABLA,NOMBRE,REGLA,F_INICIO,F_FIN,DESCRIPCION) VALUES ("&amp;REGLAS!B593&amp;",'"&amp;REGLAS!C593&amp;"','"&amp;REGLAS!D593&amp;"','"&amp;REGLAS!G593&amp;"',TO_DATE('"&amp;REGLAS!H593&amp;"','yyyymmdd'),TO_DATE('"&amp;REGLAS!I593&amp;"','yyyymmdd'),'"&amp;REGLAS!J593&amp;"');")</f>
        <v>INSERT INTO INYCEXT.INYC_CONF_INF_REGLAS@tc_link (COD_INFORME,TABLA,NOMBRE,REGLA,F_INICIO,F_FIN,DESCRIPCION) VALUES (13.1,'INYC_DIF_E_RESUMEN','Resumen Mensual','PM-E-DIF-Inspector-Importe-RRTT',TO_DATE('20140101','yyyymmdd'),TO_DATE('22000101','yyyymmdd'),'');</v>
      </c>
    </row>
    <row r="593" spans="1:2" x14ac:dyDescent="0.25">
      <c r="A593" t="str">
        <f>IF(REGLAS!J594="OBSOLETO","","INSERT INTO INYCEXT.INYC_CONF_INF_REGLAS (COD_INFORME,TABLA,NOMBRE,REGLA,F_INICIO,F_FIN,DESCRIPCION) VALUES ("&amp;REGLAS!B594&amp;",'"&amp;REGLAS!C594&amp;"','"&amp;REGLAS!D594&amp;"','"&amp;REGLAS!G594&amp;"',TO_DATE('"&amp;REGLAS!H594&amp;"','yyyymmdd'),TO_DATE('"&amp;REGLAS!I594&amp;"','yyyymmdd'),'"&amp;REGLAS!J594&amp;"');")</f>
        <v>INSERT INTO INYCEXT.INYC_CONF_INF_REGLAS (COD_INFORME,TABLA,NOMBRE,REGLA,F_INICIO,F_FIN,DESCRIPCION) VALUES (13.1,'INYC_DIF_E_RESUMEN','Resumen Mensual','PM-E-DIF-Inspector-Importe-RRGG',TO_DATE('20140101','yyyymmdd'),TO_DATE('22000101','yyyymmdd'),'');</v>
      </c>
      <c r="B593" t="str">
        <f>IF(REGLAS!J594="OBSOLETO","","INSERT INTO INYCEXT.INYC_CONF_INF_REGLAS@tc_link (COD_INFORME,TABLA,NOMBRE,REGLA,F_INICIO,F_FIN,DESCRIPCION) VALUES ("&amp;REGLAS!B594&amp;",'"&amp;REGLAS!C594&amp;"','"&amp;REGLAS!D594&amp;"','"&amp;REGLAS!G594&amp;"',TO_DATE('"&amp;REGLAS!H594&amp;"','yyyymmdd'),TO_DATE('"&amp;REGLAS!I594&amp;"','yyyymmdd'),'"&amp;REGLAS!J594&amp;"');")</f>
        <v>INSERT INTO INYCEXT.INYC_CONF_INF_REGLAS@tc_link (COD_INFORME,TABLA,NOMBRE,REGLA,F_INICIO,F_FIN,DESCRIPCION) VALUES (13.1,'INYC_DIF_E_RESUMEN','Resumen Mensual','PM-E-DIF-Inspector-Importe-RRGG',TO_DATE('20140101','yyyymmdd'),TO_DATE('22000101','yyyymmdd'),'');</v>
      </c>
    </row>
    <row r="594" spans="1:2" x14ac:dyDescent="0.25">
      <c r="A594" t="str">
        <f>IF(REGLAS!J595="OBSOLETO","","INSERT INTO INYCEXT.INYC_CONF_INF_REGLAS (COD_INFORME,TABLA,NOMBRE,REGLA,F_INICIO,F_FIN,DESCRIPCION) VALUES ("&amp;REGLAS!B595&amp;",'"&amp;REGLAS!C595&amp;"','"&amp;REGLAS!D595&amp;"','"&amp;REGLAS!G595&amp;"',TO_DATE('"&amp;REGLAS!H595&amp;"','yyyymmdd'),TO_DATE('"&amp;REGLAS!I595&amp;"','yyyymmdd'),'"&amp;REGLAS!J595&amp;"');")</f>
        <v>INSERT INTO INYCEXT.INYC_CONF_INF_REGLAS (COD_INFORME,TABLA,NOMBRE,REGLA,F_INICIO,F_FIN,DESCRIPCION) VALUES (13.1,'INYC_DIF_E_RESUMEN','Detalle por Linea','PM-E-DIF-Inspector-Importe-Agentes-RRTT',TO_DATE('20140101','yyyymmdd'),TO_DATE('22000101','yyyymmdd'),'');</v>
      </c>
      <c r="B594" t="str">
        <f>IF(REGLAS!J595="OBSOLETO","","INSERT INTO INYCEXT.INYC_CONF_INF_REGLAS@tc_link (COD_INFORME,TABLA,NOMBRE,REGLA,F_INICIO,F_FIN,DESCRIPCION) VALUES ("&amp;REGLAS!B595&amp;",'"&amp;REGLAS!C595&amp;"','"&amp;REGLAS!D595&amp;"','"&amp;REGLAS!G595&amp;"',TO_DATE('"&amp;REGLAS!H595&amp;"','yyyymmdd'),TO_DATE('"&amp;REGLAS!I595&amp;"','yyyymmdd'),'"&amp;REGLAS!J595&amp;"');")</f>
        <v>INSERT INTO INYCEXT.INYC_CONF_INF_REGLAS@tc_link (COD_INFORME,TABLA,NOMBRE,REGLA,F_INICIO,F_FIN,DESCRIPCION) VALUES (13.1,'INYC_DIF_E_RESUMEN','Detalle por Linea','PM-E-DIF-Inspector-Importe-Agentes-RRTT',TO_DATE('20140101','yyyymmdd'),TO_DATE('22000101','yyyymmdd'),'');</v>
      </c>
    </row>
    <row r="595" spans="1:2" x14ac:dyDescent="0.25">
      <c r="A595" t="str">
        <f>IF(REGLAS!J596="OBSOLETO","","INSERT INTO INYCEXT.INYC_CONF_INF_REGLAS (COD_INFORME,TABLA,NOMBRE,REGLA,F_INICIO,F_FIN,DESCRIPCION) VALUES ("&amp;REGLAS!B596&amp;",'"&amp;REGLAS!C596&amp;"','"&amp;REGLAS!D596&amp;"','"&amp;REGLAS!G596&amp;"',TO_DATE('"&amp;REGLAS!H596&amp;"','yyyymmdd'),TO_DATE('"&amp;REGLAS!I596&amp;"','yyyymmdd'),'"&amp;REGLAS!J596&amp;"');")</f>
        <v>INSERT INTO INYCEXT.INYC_CONF_INF_REGLAS (COD_INFORME,TABLA,NOMBRE,REGLA,F_INICIO,F_FIN,DESCRIPCION) VALUES (13.1,'INYC_DIF_E_RESUMEN','Detalle por Linea','PM-E-DIF-Inspector-Importe-Agentes-RRGG',TO_DATE('20140101','yyyymmdd'),TO_DATE('22000101','yyyymmdd'),'');</v>
      </c>
      <c r="B595" t="str">
        <f>IF(REGLAS!J596="OBSOLETO","","INSERT INTO INYCEXT.INYC_CONF_INF_REGLAS@tc_link (COD_INFORME,TABLA,NOMBRE,REGLA,F_INICIO,F_FIN,DESCRIPCION) VALUES ("&amp;REGLAS!B596&amp;",'"&amp;REGLAS!C596&amp;"','"&amp;REGLAS!D596&amp;"','"&amp;REGLAS!G596&amp;"',TO_DATE('"&amp;REGLAS!H596&amp;"','yyyymmdd'),TO_DATE('"&amp;REGLAS!I596&amp;"','yyyymmdd'),'"&amp;REGLAS!J596&amp;"');")</f>
        <v>INSERT INTO INYCEXT.INYC_CONF_INF_REGLAS@tc_link (COD_INFORME,TABLA,NOMBRE,REGLA,F_INICIO,F_FIN,DESCRIPCION) VALUES (13.1,'INYC_DIF_E_RESUMEN','Detalle por Linea','PM-E-DIF-Inspector-Importe-Agentes-RRGG',TO_DATE('20140101','yyyymmdd'),TO_DATE('22000101','yyyymmdd'),'');</v>
      </c>
    </row>
    <row r="596" spans="1:2" x14ac:dyDescent="0.25">
      <c r="A596" t="str">
        <f>IF(REGLAS!J597="OBSOLETO","","INSERT INTO INYCEXT.INYC_CONF_INF_REGLAS (COD_INFORME,TABLA,NOMBRE,REGLA,F_INICIO,F_FIN,DESCRIPCION) VALUES ("&amp;REGLAS!B597&amp;",'"&amp;REGLAS!C597&amp;"','"&amp;REGLAS!D597&amp;"','"&amp;REGLAS!G597&amp;"',TO_DATE('"&amp;REGLAS!H597&amp;"','yyyymmdd'),TO_DATE('"&amp;REGLAS!I597&amp;"','yyyymmdd'),'"&amp;REGLAS!J597&amp;"');")</f>
        <v>INSERT INTO INYCEXT.INYC_CONF_INF_REGLAS (COD_INFORME,TABLA,NOMBRE,REGLA,F_INICIO,F_FIN,DESCRIPCION) VALUES (13.1,'INYC_DIF_E_RESUMEN','Detalle por Linea','SM-E-DIF-Inspector-PagoMensual',TO_DATE('20140101','yyyymmdd'),TO_DATE('22000101','yyyymmdd'),'');</v>
      </c>
      <c r="B596" t="str">
        <f>IF(REGLAS!J597="OBSOLETO","","INSERT INTO INYCEXT.INYC_CONF_INF_REGLAS@tc_link (COD_INFORME,TABLA,NOMBRE,REGLA,F_INICIO,F_FIN,DESCRIPCION) VALUES ("&amp;REGLAS!B597&amp;",'"&amp;REGLAS!C597&amp;"','"&amp;REGLAS!D597&amp;"','"&amp;REGLAS!G597&amp;"',TO_DATE('"&amp;REGLAS!H597&amp;"','yyyymmdd'),TO_DATE('"&amp;REGLAS!I597&amp;"','yyyymmdd'),'"&amp;REGLAS!J597&amp;"');")</f>
        <v>INSERT INTO INYCEXT.INYC_CONF_INF_REGLAS@tc_link (COD_INFORME,TABLA,NOMBRE,REGLA,F_INICIO,F_FIN,DESCRIPCION) VALUES (13.1,'INYC_DIF_E_RESUMEN','Detalle por Linea','SM-E-DIF-Inspector-PagoMensual',TO_DATE('20140101','yyyymmdd'),TO_DATE('22000101','yyyymmdd'),'');</v>
      </c>
    </row>
    <row r="597" spans="1:2" x14ac:dyDescent="0.25">
      <c r="A597" t="str">
        <f>IF(REGLAS!J598="OBSOLETO","","INSERT INTO INYCEXT.INYC_CONF_INF_REGLAS (COD_INFORME,TABLA,NOMBRE,REGLA,F_INICIO,F_FIN,DESCRIPCION) VALUES ("&amp;REGLAS!B598&amp;",'"&amp;REGLAS!C598&amp;"','"&amp;REGLAS!D598&amp;"','"&amp;REGLAS!G598&amp;"',TO_DATE('"&amp;REGLAS!H598&amp;"','yyyymmdd'),TO_DATE('"&amp;REGLAS!I598&amp;"','yyyymmdd'),'"&amp;REGLAS!J598&amp;"');")</f>
        <v>INSERT INTO INYCEXT.INYC_CONF_INF_REGLAS (COD_INFORME,TABLA,NOMBRE,REGLA,F_INICIO,F_FIN,DESCRIPCION) VALUES (13.1,'INYC_DIF_E_RESUMEN','Pago','I-E-DIF-Inspector-PagoMensual-RRTT',TO_DATE('20140101','yyyymmdd'),TO_DATE('22000101','yyyymmdd'),'');</v>
      </c>
      <c r="B597" t="str">
        <f>IF(REGLAS!J598="OBSOLETO","","INSERT INTO INYCEXT.INYC_CONF_INF_REGLAS@tc_link (COD_INFORME,TABLA,NOMBRE,REGLA,F_INICIO,F_FIN,DESCRIPCION) VALUES ("&amp;REGLAS!B598&amp;",'"&amp;REGLAS!C598&amp;"','"&amp;REGLAS!D598&amp;"','"&amp;REGLAS!G598&amp;"',TO_DATE('"&amp;REGLAS!H598&amp;"','yyyymmdd'),TO_DATE('"&amp;REGLAS!I598&amp;"','yyyymmdd'),'"&amp;REGLAS!J598&amp;"');")</f>
        <v>INSERT INTO INYCEXT.INYC_CONF_INF_REGLAS@tc_link (COD_INFORME,TABLA,NOMBRE,REGLA,F_INICIO,F_FIN,DESCRIPCION) VALUES (13.1,'INYC_DIF_E_RESUMEN','Pago','I-E-DIF-Inspector-PagoMensual-RRTT',TO_DATE('20140101','yyyymmdd'),TO_DATE('22000101','yyyymmdd'),'');</v>
      </c>
    </row>
    <row r="598" spans="1:2" x14ac:dyDescent="0.25">
      <c r="A598" t="str">
        <f>IF(REGLAS!J599="OBSOLETO","","INSERT INTO INYCEXT.INYC_CONF_INF_REGLAS (COD_INFORME,TABLA,NOMBRE,REGLA,F_INICIO,F_FIN,DESCRIPCION) VALUES ("&amp;REGLAS!B599&amp;",'"&amp;REGLAS!C599&amp;"','"&amp;REGLAS!D599&amp;"','"&amp;REGLAS!G599&amp;"',TO_DATE('"&amp;REGLAS!H599&amp;"','yyyymmdd'),TO_DATE('"&amp;REGLAS!I599&amp;"','yyyymmdd'),'"&amp;REGLAS!J599&amp;"');")</f>
        <v>INSERT INTO INYCEXT.INYC_CONF_INF_REGLAS (COD_INFORME,TABLA,NOMBRE,REGLA,F_INICIO,F_FIN,DESCRIPCION) VALUES (13.1,'INYC_DIF_E_RESUMEN','Pago','I-E-DIF-Inspector-PagoMensual-RRGG',TO_DATE('20140101','yyyymmdd'),TO_DATE('22000101','yyyymmdd'),'');</v>
      </c>
      <c r="B598" t="str">
        <f>IF(REGLAS!J599="OBSOLETO","","INSERT INTO INYCEXT.INYC_CONF_INF_REGLAS@tc_link (COD_INFORME,TABLA,NOMBRE,REGLA,F_INICIO,F_FIN,DESCRIPCION) VALUES ("&amp;REGLAS!B599&amp;",'"&amp;REGLAS!C599&amp;"','"&amp;REGLAS!D599&amp;"','"&amp;REGLAS!G599&amp;"',TO_DATE('"&amp;REGLAS!H599&amp;"','yyyymmdd'),TO_DATE('"&amp;REGLAS!I599&amp;"','yyyymmdd'),'"&amp;REGLAS!J599&amp;"');")</f>
        <v>INSERT INTO INYCEXT.INYC_CONF_INF_REGLAS@tc_link (COD_INFORME,TABLA,NOMBRE,REGLA,F_INICIO,F_FIN,DESCRIPCION) VALUES (13.1,'INYC_DIF_E_RESUMEN','Pago','I-E-DIF-Inspector-PagoMensual-RRGG',TO_DATE('20140101','yyyymmdd'),TO_DATE('22000101','yyyymmdd'),'');</v>
      </c>
    </row>
    <row r="599" spans="1:2" x14ac:dyDescent="0.25">
      <c r="A599" t="str">
        <f>IF(REGLAS!J600="OBSOLETO","","INSERT INTO INYCEXT.INYC_CONF_INF_REGLAS (COD_INFORME,TABLA,NOMBRE,REGLA,F_INICIO,F_FIN,DESCRIPCION) VALUES ("&amp;REGLAS!B600&amp;",'"&amp;REGLAS!C600&amp;"','"&amp;REGLAS!D600&amp;"','"&amp;REGLAS!G600&amp;"',TO_DATE('"&amp;REGLAS!H600&amp;"','yyyymmdd'),TO_DATE('"&amp;REGLAS!I600&amp;"','yyyymmdd'),'"&amp;REGLAS!J600&amp;"');")</f>
        <v>INSERT INTO INYCEXT.INYC_CONF_INF_REGLAS (COD_INFORME,TABLA,NOMBRE,REGLA,F_INICIO,F_FIN,DESCRIPCION) VALUES (13.2,'INYC_DIF_E_DETALLE','Diferenciales Eterna','IC-E-GEN-Inspector-PrimaCorregida-998',TO_DATE('20140101','yyyymmdd'),TO_DATE('22000101','yyyymmdd'),'Version 20180119');</v>
      </c>
      <c r="B599" t="str">
        <f>IF(REGLAS!J600="OBSOLETO","","INSERT INTO INYCEXT.INYC_CONF_INF_REGLAS@tc_link (COD_INFORME,TABLA,NOMBRE,REGLA,F_INICIO,F_FIN,DESCRIPCION) VALUES ("&amp;REGLAS!B600&amp;",'"&amp;REGLAS!C600&amp;"','"&amp;REGLAS!D600&amp;"','"&amp;REGLAS!G600&amp;"',TO_DATE('"&amp;REGLAS!H600&amp;"','yyyymmdd'),TO_DATE('"&amp;REGLAS!I600&amp;"','yyyymmdd'),'"&amp;REGLAS!J600&amp;"');")</f>
        <v>INSERT INTO INYCEXT.INYC_CONF_INF_REGLAS@tc_link (COD_INFORME,TABLA,NOMBRE,REGLA,F_INICIO,F_FIN,DESCRIPCION) VALUES (13.2,'INYC_DIF_E_DETALLE','Diferenciales Eterna','IC-E-GEN-Inspector-PrimaCorregida-998',TO_DATE('20140101','yyyymmdd'),TO_DATE('22000101','yyyymmdd'),'Version 20180119');</v>
      </c>
    </row>
    <row r="600" spans="1:2" x14ac:dyDescent="0.25">
      <c r="A600" t="str">
        <f>IF(REGLAS!J601="OBSOLETO","","INSERT INTO INYCEXT.INYC_CONF_INF_REGLAS (COD_INFORME,TABLA,NOMBRE,REGLA,F_INICIO,F_FIN,DESCRIPCION) VALUES ("&amp;REGLAS!B601&amp;",'"&amp;REGLAS!C601&amp;"','"&amp;REGLAS!D601&amp;"','"&amp;REGLAS!G601&amp;"',TO_DATE('"&amp;REGLAS!H601&amp;"','yyyymmdd'),TO_DATE('"&amp;REGLAS!I601&amp;"','yyyymmdd'),'"&amp;REGLAS!J601&amp;"');")</f>
        <v>INSERT INTO INYCEXT.INYC_CONF_INF_REGLAS (COD_INFORME,TABLA,NOMBRE,REGLA,F_INICIO,F_FIN,DESCRIPCION) VALUES (14.1,'INYC_PP_RESUMEN','SM - Nº Pólizas Inspector Total Productos Acumulado','SM-O-GEN-Inspector-NumeroPolizas-998-TotalAcum',TO_DATE('20140101','yyyymmdd'),TO_DATE('20180101','yyyymmdd'),'Version 20180312');</v>
      </c>
      <c r="B600" t="str">
        <f>IF(REGLAS!J601="OBSOLETO","","INSERT INTO INYCEXT.INYC_CONF_INF_REGLAS@tc_link (COD_INFORME,TABLA,NOMBRE,REGLA,F_INICIO,F_FIN,DESCRIPCION) VALUES ("&amp;REGLAS!B601&amp;",'"&amp;REGLAS!C601&amp;"','"&amp;REGLAS!D601&amp;"','"&amp;REGLAS!G601&amp;"',TO_DATE('"&amp;REGLAS!H601&amp;"','yyyymmdd'),TO_DATE('"&amp;REGLAS!I601&amp;"','yyyymmdd'),'"&amp;REGLAS!J601&amp;"');")</f>
        <v>INSERT INTO INYCEXT.INYC_CONF_INF_REGLAS@tc_link (COD_INFORME,TABLA,NOMBRE,REGLA,F_INICIO,F_FIN,DESCRIPCION) VALUES (14.1,'INYC_PP_RESUMEN','SM - Nº Pólizas Inspector Total Productos Acumulado','SM-O-GEN-Inspector-NumeroPolizas-998-TotalAcum',TO_DATE('20140101','yyyymmdd'),TO_DATE('20180101','yyyymmdd'),'Version 20180312');</v>
      </c>
    </row>
    <row r="601" spans="1:2" x14ac:dyDescent="0.25">
      <c r="A601" t="str">
        <f>IF(REGLAS!J602="OBSOLETO","","INSERT INTO INYCEXT.INYC_CONF_INF_REGLAS (COD_INFORME,TABLA,NOMBRE,REGLA,F_INICIO,F_FIN,DESCRIPCION) VALUES ("&amp;REGLAS!B602&amp;",'"&amp;REGLAS!C602&amp;"','"&amp;REGLAS!D602&amp;"','"&amp;REGLAS!G602&amp;"',TO_DATE('"&amp;REGLAS!H602&amp;"','yyyymmdd'),TO_DATE('"&amp;REGLAS!I602&amp;"','yyyymmdd'),'"&amp;REGLAS!J602&amp;"');")</f>
        <v>INSERT INTO INYCEXT.INYC_CONF_INF_REGLAS (COD_INFORME,TABLA,NOMBRE,REGLA,F_INICIO,F_FIN,DESCRIPCION) VALUES (14.1,'INYC_PP_RESUMEN','PM - Nº Pólizas Corregidas Inspector Total Productos','PM-O-GEN-Inspector-NumeroPolizasCorregidas-998',TO_DATE('20180101','yyyymmdd'),TO_DATE('22000101','yyyymmdd'),'Version 20180314');</v>
      </c>
      <c r="B601" t="str">
        <f>IF(REGLAS!J602="OBSOLETO","","INSERT INTO INYCEXT.INYC_CONF_INF_REGLAS@tc_link (COD_INFORME,TABLA,NOMBRE,REGLA,F_INICIO,F_FIN,DESCRIPCION) VALUES ("&amp;REGLAS!B602&amp;",'"&amp;REGLAS!C602&amp;"','"&amp;REGLAS!D602&amp;"','"&amp;REGLAS!G602&amp;"',TO_DATE('"&amp;REGLAS!H602&amp;"','yyyymmdd'),TO_DATE('"&amp;REGLAS!I602&amp;"','yyyymmdd'),'"&amp;REGLAS!J602&amp;"');")</f>
        <v>INSERT INTO INYCEXT.INYC_CONF_INF_REGLAS@tc_link (COD_INFORME,TABLA,NOMBRE,REGLA,F_INICIO,F_FIN,DESCRIPCION) VALUES (14.1,'INYC_PP_RESUMEN','PM - Nº Pólizas Corregidas Inspector Total Productos','PM-O-GEN-Inspector-NumeroPolizasCorregidas-998',TO_DATE('20180101','yyyymmdd'),TO_DATE('22000101','yyyymmdd'),'Version 20180314');</v>
      </c>
    </row>
    <row r="602" spans="1:2" x14ac:dyDescent="0.25">
      <c r="A602" t="str">
        <f>IF(REGLAS!J603="OBSOLETO","","INSERT INTO INYCEXT.INYC_CONF_INF_REGLAS (COD_INFORME,TABLA,NOMBRE,REGLA,F_INICIO,F_FIN,DESCRIPCION) VALUES ("&amp;REGLAS!B603&amp;",'"&amp;REGLAS!C603&amp;"','"&amp;REGLAS!D603&amp;"','"&amp;REGLAS!G603&amp;"',TO_DATE('"&amp;REGLAS!H603&amp;"','yyyymmdd'),TO_DATE('"&amp;REGLAS!I603&amp;"','yyyymmdd'),'"&amp;REGLAS!J603&amp;"');")</f>
        <v>INSERT INTO INYCEXT.INYC_CONF_INF_REGLAS (COD_INFORME,TABLA,NOMBRE,REGLA,F_INICIO,F_FIN,DESCRIPCION) VALUES (14.1,'INYC_PP_RESUMEN','Resumen Trimestral','SM-O-PP-Inspector-Extorno',TO_DATE('20140101','yyyymmdd'),TO_DATE('22000101','yyyymmdd'),'');</v>
      </c>
      <c r="B602" t="str">
        <f>IF(REGLAS!J603="OBSOLETO","","INSERT INTO INYCEXT.INYC_CONF_INF_REGLAS@tc_link (COD_INFORME,TABLA,NOMBRE,REGLA,F_INICIO,F_FIN,DESCRIPCION) VALUES ("&amp;REGLAS!B603&amp;",'"&amp;REGLAS!C603&amp;"','"&amp;REGLAS!D603&amp;"','"&amp;REGLAS!G603&amp;"',TO_DATE('"&amp;REGLAS!H603&amp;"','yyyymmdd'),TO_DATE('"&amp;REGLAS!I603&amp;"','yyyymmdd'),'"&amp;REGLAS!J603&amp;"');")</f>
        <v>INSERT INTO INYCEXT.INYC_CONF_INF_REGLAS@tc_link (COD_INFORME,TABLA,NOMBRE,REGLA,F_INICIO,F_FIN,DESCRIPCION) VALUES (14.1,'INYC_PP_RESUMEN','Resumen Trimestral','SM-O-PP-Inspector-Extorno',TO_DATE('20140101','yyyymmdd'),TO_DATE('22000101','yyyymmdd'),'');</v>
      </c>
    </row>
    <row r="603" spans="1:2" x14ac:dyDescent="0.25">
      <c r="A603" t="str">
        <f>IF(REGLAS!J604="OBSOLETO","","INSERT INTO INYCEXT.INYC_CONF_INF_REGLAS (COD_INFORME,TABLA,NOMBRE,REGLA,F_INICIO,F_FIN,DESCRIPCION) VALUES ("&amp;REGLAS!B604&amp;",'"&amp;REGLAS!C604&amp;"','"&amp;REGLAS!D604&amp;"','"&amp;REGLAS!G604&amp;"',TO_DATE('"&amp;REGLAS!H604&amp;"','yyyymmdd'),TO_DATE('"&amp;REGLAS!I604&amp;"','yyyymmdd'),'"&amp;REGLAS!J604&amp;"');")</f>
        <v>INSERT INTO INYCEXT.INYC_CONF_INF_REGLAS (COD_INFORME,TABLA,NOMBRE,REGLA,F_INICIO,F_FIN,DESCRIPCION) VALUES (14.1,'INYC_PP_RESUMEN','SM - Meses como Inspector','SM-O-GEN-Inspector-Meses',TO_DATE('20140101','yyyymmdd'),TO_DATE('22000101','yyyymmdd'),'');</v>
      </c>
      <c r="B603" t="str">
        <f>IF(REGLAS!J604="OBSOLETO","","INSERT INTO INYCEXT.INYC_CONF_INF_REGLAS@tc_link (COD_INFORME,TABLA,NOMBRE,REGLA,F_INICIO,F_FIN,DESCRIPCION) VALUES ("&amp;REGLAS!B604&amp;",'"&amp;REGLAS!C604&amp;"','"&amp;REGLAS!D604&amp;"','"&amp;REGLAS!G604&amp;"',TO_DATE('"&amp;REGLAS!H604&amp;"','yyyymmdd'),TO_DATE('"&amp;REGLAS!I604&amp;"','yyyymmdd'),'"&amp;REGLAS!J604&amp;"');")</f>
        <v>INSERT INTO INYCEXT.INYC_CONF_INF_REGLAS@tc_link (COD_INFORME,TABLA,NOMBRE,REGLA,F_INICIO,F_FIN,DESCRIPCION) VALUES (14.1,'INYC_PP_RESUMEN','SM - Meses como Inspector','SM-O-GEN-Inspector-Meses',TO_DATE('20140101','yyyymmdd'),TO_DATE('22000101','yyyymmdd'),'');</v>
      </c>
    </row>
    <row r="604" spans="1:2" x14ac:dyDescent="0.25">
      <c r="A604" t="str">
        <f>IF(REGLAS!J605="OBSOLETO","","INSERT INTO INYCEXT.INYC_CONF_INF_REGLAS (COD_INFORME,TABLA,NOMBRE,REGLA,F_INICIO,F_FIN,DESCRIPCION) VALUES ("&amp;REGLAS!B605&amp;",'"&amp;REGLAS!C605&amp;"','"&amp;REGLAS!D605&amp;"','"&amp;REGLAS!G605&amp;"',TO_DATE('"&amp;REGLAS!H605&amp;"','yyyymmdd'),TO_DATE('"&amp;REGLAS!I605&amp;"','yyyymmdd'),'"&amp;REGLAS!J605&amp;"');")</f>
        <v>INSERT INTO INYCEXT.INYC_CONF_INF_REGLAS (COD_INFORME,TABLA,NOMBRE,REGLA,F_INICIO,F_FIN,DESCRIPCION) VALUES (14.2,'INYC_PP_DETALLE','PM - Nº Pólizas Corregidas Inspector Total Productos','PM-O-GEN-Inspector-NumeroPolizasCorregidas-998',TO_DATE('20200101','yyyymmdd'),TO_DATE('22000101','yyyymmdd'),'Version 20200805');</v>
      </c>
      <c r="B604" t="str">
        <f>IF(REGLAS!J605="OBSOLETO","","INSERT INTO INYCEXT.INYC_CONF_INF_REGLAS@tc_link (COD_INFORME,TABLA,NOMBRE,REGLA,F_INICIO,F_FIN,DESCRIPCION) VALUES ("&amp;REGLAS!B605&amp;",'"&amp;REGLAS!C605&amp;"','"&amp;REGLAS!D605&amp;"','"&amp;REGLAS!G605&amp;"',TO_DATE('"&amp;REGLAS!H605&amp;"','yyyymmdd'),TO_DATE('"&amp;REGLAS!I605&amp;"','yyyymmdd'),'"&amp;REGLAS!J605&amp;"');")</f>
        <v>INSERT INTO INYCEXT.INYC_CONF_INF_REGLAS@tc_link (COD_INFORME,TABLA,NOMBRE,REGLA,F_INICIO,F_FIN,DESCRIPCION) VALUES (14.2,'INYC_PP_DETALLE','PM - Nº Pólizas Corregidas Inspector Total Productos','PM-O-GEN-Inspector-NumeroPolizasCorregidas-998',TO_DATE('20200101','yyyymmdd'),TO_DATE('22000101','yyyymmdd'),'Version 20200805');</v>
      </c>
    </row>
    <row r="605" spans="1:2" x14ac:dyDescent="0.25">
      <c r="A605" t="str">
        <f>IF(REGLAS!J606="OBSOLETO","","INSERT INTO INYCEXT.INYC_CONF_INF_REGLAS (COD_INFORME,TABLA,NOMBRE,REGLA,F_INICIO,F_FIN,DESCRIPCION) VALUES ("&amp;REGLAS!B606&amp;",'"&amp;REGLAS!C606&amp;"','"&amp;REGLAS!D606&amp;"','"&amp;REGLAS!G606&amp;"',TO_DATE('"&amp;REGLAS!H606&amp;"','yyyymmdd'),TO_DATE('"&amp;REGLAS!I606&amp;"','yyyymmdd'),'"&amp;REGLAS!J606&amp;"');")</f>
        <v>INSERT INTO INYCEXT.INYC_CONF_INF_REGLAS (COD_INFORME,TABLA,NOMBRE,REGLA,F_INICIO,F_FIN,DESCRIPCION) VALUES (15.1,'INYC_RIN_RESUMEN','Pago Anual','SM-O-RIN-Agente-Prima-998-AcumuladoAnual',TO_DATE('20140101','yyyymmdd'),TO_DATE('22000101','yyyymmdd'),'');</v>
      </c>
      <c r="B605" t="str">
        <f>IF(REGLAS!J606="OBSOLETO","","INSERT INTO INYCEXT.INYC_CONF_INF_REGLAS@tc_link (COD_INFORME,TABLA,NOMBRE,REGLA,F_INICIO,F_FIN,DESCRIPCION) VALUES ("&amp;REGLAS!B606&amp;",'"&amp;REGLAS!C606&amp;"','"&amp;REGLAS!D606&amp;"','"&amp;REGLAS!G606&amp;"',TO_DATE('"&amp;REGLAS!H606&amp;"','yyyymmdd'),TO_DATE('"&amp;REGLAS!I606&amp;"','yyyymmdd'),'"&amp;REGLAS!J606&amp;"');")</f>
        <v>INSERT INTO INYCEXT.INYC_CONF_INF_REGLAS@tc_link (COD_INFORME,TABLA,NOMBRE,REGLA,F_INICIO,F_FIN,DESCRIPCION) VALUES (15.1,'INYC_RIN_RESUMEN','Pago Anual','SM-O-RIN-Agente-Prima-998-AcumuladoAnual',TO_DATE('20140101','yyyymmdd'),TO_DATE('22000101','yyyymmdd'),'');</v>
      </c>
    </row>
    <row r="606" spans="1:2" x14ac:dyDescent="0.25">
      <c r="A606" t="str">
        <f>IF(REGLAS!J607="OBSOLETO","","INSERT INTO INYCEXT.INYC_CONF_INF_REGLAS (COD_INFORME,TABLA,NOMBRE,REGLA,F_INICIO,F_FIN,DESCRIPCION) VALUES ("&amp;REGLAS!B607&amp;",'"&amp;REGLAS!C607&amp;"','"&amp;REGLAS!D607&amp;"','"&amp;REGLAS!G607&amp;"',TO_DATE('"&amp;REGLAS!H607&amp;"','yyyymmdd'),TO_DATE('"&amp;REGLAS!I607&amp;"','yyyymmdd'),'"&amp;REGLAS!J607&amp;"');")</f>
        <v>INSERT INTO INYCEXT.INYC_CONF_INF_REGLAS (COD_INFORME,TABLA,NOMBRE,REGLA,F_INICIO,F_FIN,DESCRIPCION) VALUES (15.1,'INYC_RIN_RESUMEN','Pago Anual','SM-O-RIN-Agente-Prima-997-AcumuladoAnual',TO_DATE('20140101','yyyymmdd'),TO_DATE('22000101','yyyymmdd'),'');</v>
      </c>
      <c r="B606" t="str">
        <f>IF(REGLAS!J607="OBSOLETO","","INSERT INTO INYCEXT.INYC_CONF_INF_REGLAS@tc_link (COD_INFORME,TABLA,NOMBRE,REGLA,F_INICIO,F_FIN,DESCRIPCION) VALUES ("&amp;REGLAS!B607&amp;",'"&amp;REGLAS!C607&amp;"','"&amp;REGLAS!D607&amp;"','"&amp;REGLAS!G607&amp;"',TO_DATE('"&amp;REGLAS!H607&amp;"','yyyymmdd'),TO_DATE('"&amp;REGLAS!I607&amp;"','yyyymmdd'),'"&amp;REGLAS!J607&amp;"');")</f>
        <v>INSERT INTO INYCEXT.INYC_CONF_INF_REGLAS@tc_link (COD_INFORME,TABLA,NOMBRE,REGLA,F_INICIO,F_FIN,DESCRIPCION) VALUES (15.1,'INYC_RIN_RESUMEN','Pago Anual','SM-O-RIN-Agente-Prima-997-AcumuladoAnual',TO_DATE('20140101','yyyymmdd'),TO_DATE('22000101','yyyymmdd'),'');</v>
      </c>
    </row>
    <row r="607" spans="1:2" x14ac:dyDescent="0.25">
      <c r="A607" t="str">
        <f>IF(REGLAS!J608="OBSOLETO","","INSERT INTO INYCEXT.INYC_CONF_INF_REGLAS (COD_INFORME,TABLA,NOMBRE,REGLA,F_INICIO,F_FIN,DESCRIPCION) VALUES ("&amp;REGLAS!B608&amp;",'"&amp;REGLAS!C608&amp;"','"&amp;REGLAS!D608&amp;"','"&amp;REGLAS!G608&amp;"',TO_DATE('"&amp;REGLAS!H608&amp;"','yyyymmdd'),TO_DATE('"&amp;REGLAS!I608&amp;"','yyyymmdd'),'"&amp;REGLAS!J608&amp;"');")</f>
        <v>INSERT INTO INYCEXT.INYC_CONF_INF_REGLAS (COD_INFORME,TABLA,NOMBRE,REGLA,F_INICIO,F_FIN,DESCRIPCION) VALUES (15.1,'INYC_RIN_RESUMEN','Pago Anual','SM-O-RIN-Agente-Prima-998-AcumuladoAnual-AnioAnterior',TO_DATE('20180801','yyyymmdd'),TO_DATE('20190101','yyyymmdd'),'Version 20180918');</v>
      </c>
      <c r="B607" t="str">
        <f>IF(REGLAS!J608="OBSOLETO","","INSERT INTO INYCEXT.INYC_CONF_INF_REGLAS@tc_link (COD_INFORME,TABLA,NOMBRE,REGLA,F_INICIO,F_FIN,DESCRIPCION) VALUES ("&amp;REGLAS!B608&amp;",'"&amp;REGLAS!C608&amp;"','"&amp;REGLAS!D608&amp;"','"&amp;REGLAS!G608&amp;"',TO_DATE('"&amp;REGLAS!H608&amp;"','yyyymmdd'),TO_DATE('"&amp;REGLAS!I608&amp;"','yyyymmdd'),'"&amp;REGLAS!J608&amp;"');")</f>
        <v>INSERT INTO INYCEXT.INYC_CONF_INF_REGLAS@tc_link (COD_INFORME,TABLA,NOMBRE,REGLA,F_INICIO,F_FIN,DESCRIPCION) VALUES (15.1,'INYC_RIN_RESUMEN','Pago Anual','SM-O-RIN-Agente-Prima-998-AcumuladoAnual-AnioAnterior',TO_DATE('20180801','yyyymmdd'),TO_DATE('20190101','yyyymmdd'),'Version 20180918');</v>
      </c>
    </row>
    <row r="608" spans="1:2" x14ac:dyDescent="0.25">
      <c r="A608" t="str">
        <f>IF(REGLAS!J609="OBSOLETO","","INSERT INTO INYCEXT.INYC_CONF_INF_REGLAS (COD_INFORME,TABLA,NOMBRE,REGLA,F_INICIO,F_FIN,DESCRIPCION) VALUES ("&amp;REGLAS!B609&amp;",'"&amp;REGLAS!C609&amp;"','"&amp;REGLAS!D609&amp;"','"&amp;REGLAS!G609&amp;"',TO_DATE('"&amp;REGLAS!H609&amp;"','yyyymmdd'),TO_DATE('"&amp;REGLAS!I609&amp;"','yyyymmdd'),'"&amp;REGLAS!J609&amp;"');")</f>
        <v>INSERT INTO INYCEXT.INYC_CONF_INF_REGLAS (COD_INFORME,TABLA,NOMBRE,REGLA,F_INICIO,F_FIN,DESCRIPCION) VALUES (15.1,'INYC_RIN_RESUMEN','Pago Anual','SM-O-RIN-Agente-Prima-997-AcumuladoAnual-AnioAnterior',TO_DATE('20180801','yyyymmdd'),TO_DATE('20190101','yyyymmdd'),'Version 20180918');</v>
      </c>
      <c r="B608" t="str">
        <f>IF(REGLAS!J609="OBSOLETO","","INSERT INTO INYCEXT.INYC_CONF_INF_REGLAS@tc_link (COD_INFORME,TABLA,NOMBRE,REGLA,F_INICIO,F_FIN,DESCRIPCION) VALUES ("&amp;REGLAS!B609&amp;",'"&amp;REGLAS!C609&amp;"','"&amp;REGLAS!D609&amp;"','"&amp;REGLAS!G609&amp;"',TO_DATE('"&amp;REGLAS!H609&amp;"','yyyymmdd'),TO_DATE('"&amp;REGLAS!I609&amp;"','yyyymmdd'),'"&amp;REGLAS!J609&amp;"');")</f>
        <v>INSERT INTO INYCEXT.INYC_CONF_INF_REGLAS@tc_link (COD_INFORME,TABLA,NOMBRE,REGLA,F_INICIO,F_FIN,DESCRIPCION) VALUES (15.1,'INYC_RIN_RESUMEN','Pago Anual','SM-O-RIN-Agente-Prima-997-AcumuladoAnual-AnioAnterior',TO_DATE('20180801','yyyymmdd'),TO_DATE('20190101','yyyymmdd'),'Version 20180918');</v>
      </c>
    </row>
    <row r="609" spans="1:2" x14ac:dyDescent="0.25">
      <c r="A609" t="str">
        <f>IF(REGLAS!J610="OBSOLETO","","INSERT INTO INYCEXT.INYC_CONF_INF_REGLAS (COD_INFORME,TABLA,NOMBRE,REGLA,F_INICIO,F_FIN,DESCRIPCION) VALUES ("&amp;REGLAS!B610&amp;",'"&amp;REGLAS!C610&amp;"','"&amp;REGLAS!D610&amp;"','"&amp;REGLAS!G610&amp;"',TO_DATE('"&amp;REGLAS!H610&amp;"','yyyymmdd'),TO_DATE('"&amp;REGLAS!I610&amp;"','yyyymmdd'),'"&amp;REGLAS!J610&amp;"');")</f>
        <v>INSERT INTO INYCEXT.INYC_CONF_INF_REGLAS (COD_INFORME,TABLA,NOMBRE,REGLA,F_INICIO,F_FIN,DESCRIPCION) VALUES (15.1,'INYC_RIN_RESUMEN','Pago Anual','SM-O-RIN-Agente-NumeroPolizas-998-AcumuladoAnual',TO_DATE('20140101','yyyymmdd'),TO_DATE('22000101','yyyymmdd'),'');</v>
      </c>
      <c r="B609" t="str">
        <f>IF(REGLAS!J610="OBSOLETO","","INSERT INTO INYCEXT.INYC_CONF_INF_REGLAS@tc_link (COD_INFORME,TABLA,NOMBRE,REGLA,F_INICIO,F_FIN,DESCRIPCION) VALUES ("&amp;REGLAS!B610&amp;",'"&amp;REGLAS!C610&amp;"','"&amp;REGLAS!D610&amp;"','"&amp;REGLAS!G610&amp;"',TO_DATE('"&amp;REGLAS!H610&amp;"','yyyymmdd'),TO_DATE('"&amp;REGLAS!I610&amp;"','yyyymmdd'),'"&amp;REGLAS!J610&amp;"');")</f>
        <v>INSERT INTO INYCEXT.INYC_CONF_INF_REGLAS@tc_link (COD_INFORME,TABLA,NOMBRE,REGLA,F_INICIO,F_FIN,DESCRIPCION) VALUES (15.1,'INYC_RIN_RESUMEN','Pago Anual','SM-O-RIN-Agente-NumeroPolizas-998-AcumuladoAnual',TO_DATE('20140101','yyyymmdd'),TO_DATE('22000101','yyyymmdd'),'');</v>
      </c>
    </row>
    <row r="610" spans="1:2" x14ac:dyDescent="0.25">
      <c r="A610" t="str">
        <f>IF(REGLAS!J611="OBSOLETO","","INSERT INTO INYCEXT.INYC_CONF_INF_REGLAS (COD_INFORME,TABLA,NOMBRE,REGLA,F_INICIO,F_FIN,DESCRIPCION) VALUES ("&amp;REGLAS!B611&amp;",'"&amp;REGLAS!C611&amp;"','"&amp;REGLAS!D611&amp;"','"&amp;REGLAS!G611&amp;"',TO_DATE('"&amp;REGLAS!H611&amp;"','yyyymmdd'),TO_DATE('"&amp;REGLAS!I611&amp;"','yyyymmdd'),'"&amp;REGLAS!J611&amp;"');")</f>
        <v>INSERT INTO INYCEXT.INYC_CONF_INF_REGLAS (COD_INFORME,TABLA,NOMBRE,REGLA,F_INICIO,F_FIN,DESCRIPCION) VALUES (15.1,'INYC_RIN_RESUMEN','Pago Anual','SM-O-RIN-Agente-NumeroPolizas-997-AcumuladoAnual',TO_DATE('20140101','yyyymmdd'),TO_DATE('22000101','yyyymmdd'),'');</v>
      </c>
      <c r="B610" t="str">
        <f>IF(REGLAS!J611="OBSOLETO","","INSERT INTO INYCEXT.INYC_CONF_INF_REGLAS@tc_link (COD_INFORME,TABLA,NOMBRE,REGLA,F_INICIO,F_FIN,DESCRIPCION) VALUES ("&amp;REGLAS!B611&amp;",'"&amp;REGLAS!C611&amp;"','"&amp;REGLAS!D611&amp;"','"&amp;REGLAS!G611&amp;"',TO_DATE('"&amp;REGLAS!H611&amp;"','yyyymmdd'),TO_DATE('"&amp;REGLAS!I611&amp;"','yyyymmdd'),'"&amp;REGLAS!J611&amp;"');")</f>
        <v>INSERT INTO INYCEXT.INYC_CONF_INF_REGLAS@tc_link (COD_INFORME,TABLA,NOMBRE,REGLA,F_INICIO,F_FIN,DESCRIPCION) VALUES (15.1,'INYC_RIN_RESUMEN','Pago Anual','SM-O-RIN-Agente-NumeroPolizas-997-AcumuladoAnual',TO_DATE('20140101','yyyymmdd'),TO_DATE('22000101','yyyymmdd'),'');</v>
      </c>
    </row>
    <row r="611" spans="1:2" x14ac:dyDescent="0.25">
      <c r="A611" t="str">
        <f>IF(REGLAS!J612="OBSOLETO","","INSERT INTO INYCEXT.INYC_CONF_INF_REGLAS (COD_INFORME,TABLA,NOMBRE,REGLA,F_INICIO,F_FIN,DESCRIPCION) VALUES ("&amp;REGLAS!B612&amp;",'"&amp;REGLAS!C612&amp;"','"&amp;REGLAS!D612&amp;"','"&amp;REGLAS!G612&amp;"',TO_DATE('"&amp;REGLAS!H612&amp;"','yyyymmdd'),TO_DATE('"&amp;REGLAS!I612&amp;"','yyyymmdd'),'"&amp;REGLAS!J612&amp;"');")</f>
        <v>INSERT INTO INYCEXT.INYC_CONF_INF_REGLAS (COD_INFORME,TABLA,NOMBRE,REGLA,F_INICIO,F_FIN,DESCRIPCION) VALUES (15.1,'INYC_RIN_RESUMEN','Pago Anual','SM-O-RIN-Agente-TasaSiniestralidad',TO_DATE('20140101','yyyymmdd'),TO_DATE('22000101','yyyymmdd'),'');</v>
      </c>
      <c r="B611" t="str">
        <f>IF(REGLAS!J612="OBSOLETO","","INSERT INTO INYCEXT.INYC_CONF_INF_REGLAS@tc_link (COD_INFORME,TABLA,NOMBRE,REGLA,F_INICIO,F_FIN,DESCRIPCION) VALUES ("&amp;REGLAS!B612&amp;",'"&amp;REGLAS!C612&amp;"','"&amp;REGLAS!D612&amp;"','"&amp;REGLAS!G612&amp;"',TO_DATE('"&amp;REGLAS!H612&amp;"','yyyymmdd'),TO_DATE('"&amp;REGLAS!I612&amp;"','yyyymmdd'),'"&amp;REGLAS!J612&amp;"');")</f>
        <v>INSERT INTO INYCEXT.INYC_CONF_INF_REGLAS@tc_link (COD_INFORME,TABLA,NOMBRE,REGLA,F_INICIO,F_FIN,DESCRIPCION) VALUES (15.1,'INYC_RIN_RESUMEN','Pago Anual','SM-O-RIN-Agente-TasaSiniestralidad',TO_DATE('20140101','yyyymmdd'),TO_DATE('22000101','yyyymmdd'),'');</v>
      </c>
    </row>
    <row r="612" spans="1:2" x14ac:dyDescent="0.25">
      <c r="A612" t="str">
        <f>IF(REGLAS!J613="OBSOLETO","","INSERT INTO INYCEXT.INYC_CONF_INF_REGLAS (COD_INFORME,TABLA,NOMBRE,REGLA,F_INICIO,F_FIN,DESCRIPCION) VALUES ("&amp;REGLAS!B613&amp;",'"&amp;REGLAS!C613&amp;"','"&amp;REGLAS!D613&amp;"','"&amp;REGLAS!G613&amp;"',TO_DATE('"&amp;REGLAS!H613&amp;"','yyyymmdd'),TO_DATE('"&amp;REGLAS!I613&amp;"','yyyymmdd'),'"&amp;REGLAS!J613&amp;"');")</f>
        <v>INSERT INTO INYCEXT.INYC_CONF_INF_REGLAS (COD_INFORME,TABLA,NOMBRE,REGLA,F_INICIO,F_FIN,DESCRIPCION) VALUES (15.1,'INYC_RIN_RESUMEN','Pago Anual','SM-O-RIN-Agente-Prima-998-Incremento',TO_DATE('20140101','yyyymmdd'),TO_DATE('22000101','yyyymmdd'),'');</v>
      </c>
      <c r="B612" t="str">
        <f>IF(REGLAS!J613="OBSOLETO","","INSERT INTO INYCEXT.INYC_CONF_INF_REGLAS@tc_link (COD_INFORME,TABLA,NOMBRE,REGLA,F_INICIO,F_FIN,DESCRIPCION) VALUES ("&amp;REGLAS!B613&amp;",'"&amp;REGLAS!C613&amp;"','"&amp;REGLAS!D613&amp;"','"&amp;REGLAS!G613&amp;"',TO_DATE('"&amp;REGLAS!H613&amp;"','yyyymmdd'),TO_DATE('"&amp;REGLAS!I613&amp;"','yyyymmdd'),'"&amp;REGLAS!J613&amp;"');")</f>
        <v>INSERT INTO INYCEXT.INYC_CONF_INF_REGLAS@tc_link (COD_INFORME,TABLA,NOMBRE,REGLA,F_INICIO,F_FIN,DESCRIPCION) VALUES (15.1,'INYC_RIN_RESUMEN','Pago Anual','SM-O-RIN-Agente-Prima-998-Incremento',TO_DATE('20140101','yyyymmdd'),TO_DATE('22000101','yyyymmdd'),'');</v>
      </c>
    </row>
    <row r="613" spans="1:2" x14ac:dyDescent="0.25">
      <c r="A613" t="str">
        <f>IF(REGLAS!J614="OBSOLETO","","INSERT INTO INYCEXT.INYC_CONF_INF_REGLAS (COD_INFORME,TABLA,NOMBRE,REGLA,F_INICIO,F_FIN,DESCRIPCION) VALUES ("&amp;REGLAS!B614&amp;",'"&amp;REGLAS!C614&amp;"','"&amp;REGLAS!D614&amp;"','"&amp;REGLAS!G614&amp;"',TO_DATE('"&amp;REGLAS!H614&amp;"','yyyymmdd'),TO_DATE('"&amp;REGLAS!I614&amp;"','yyyymmdd'),'"&amp;REGLAS!J614&amp;"');")</f>
        <v>INSERT INTO INYCEXT.INYC_CONF_INF_REGLAS (COD_INFORME,TABLA,NOMBRE,REGLA,F_INICIO,F_FIN,DESCRIPCION) VALUES (15.1,'INYC_RIN_RESUMEN','Pago Anual','SM-O-RIN-Agente-Prima-997-Incremento',TO_DATE('20140101','yyyymmdd'),TO_DATE('22000101','yyyymmdd'),'');</v>
      </c>
      <c r="B613" t="str">
        <f>IF(REGLAS!J614="OBSOLETO","","INSERT INTO INYCEXT.INYC_CONF_INF_REGLAS@tc_link (COD_INFORME,TABLA,NOMBRE,REGLA,F_INICIO,F_FIN,DESCRIPCION) VALUES ("&amp;REGLAS!B614&amp;",'"&amp;REGLAS!C614&amp;"','"&amp;REGLAS!D614&amp;"','"&amp;REGLAS!G614&amp;"',TO_DATE('"&amp;REGLAS!H614&amp;"','yyyymmdd'),TO_DATE('"&amp;REGLAS!I614&amp;"','yyyymmdd'),'"&amp;REGLAS!J614&amp;"');")</f>
        <v>INSERT INTO INYCEXT.INYC_CONF_INF_REGLAS@tc_link (COD_INFORME,TABLA,NOMBRE,REGLA,F_INICIO,F_FIN,DESCRIPCION) VALUES (15.1,'INYC_RIN_RESUMEN','Pago Anual','SM-O-RIN-Agente-Prima-997-Incremento',TO_DATE('20140101','yyyymmdd'),TO_DATE('22000101','yyyymmdd'),'');</v>
      </c>
    </row>
    <row r="614" spans="1:2" x14ac:dyDescent="0.25">
      <c r="A614" t="str">
        <f>IF(REGLAS!J615="OBSOLETO","","INSERT INTO INYCEXT.INYC_CONF_INF_REGLAS (COD_INFORME,TABLA,NOMBRE,REGLA,F_INICIO,F_FIN,DESCRIPCION) VALUES ("&amp;REGLAS!B615&amp;",'"&amp;REGLAS!C615&amp;"','"&amp;REGLAS!D615&amp;"','"&amp;REGLAS!G615&amp;"',TO_DATE('"&amp;REGLAS!H615&amp;"','yyyymmdd'),TO_DATE('"&amp;REGLAS!I615&amp;"','yyyymmdd'),'"&amp;REGLAS!J615&amp;"');")</f>
        <v>INSERT INTO INYCEXT.INYC_CONF_INF_REGLAS (COD_INFORME,TABLA,NOMBRE,REGLA,F_INICIO,F_FIN,DESCRIPCION) VALUES (15.1,'INYC_RIN_RESUMEN','Pago Anual','SM-O-RIN-Agente-NumeroPolizas-998-Incremento',TO_DATE('20140101','yyyymmdd'),TO_DATE('22000101','yyyymmdd'),'');</v>
      </c>
      <c r="B614" t="str">
        <f>IF(REGLAS!J615="OBSOLETO","","INSERT INTO INYCEXT.INYC_CONF_INF_REGLAS@tc_link (COD_INFORME,TABLA,NOMBRE,REGLA,F_INICIO,F_FIN,DESCRIPCION) VALUES ("&amp;REGLAS!B615&amp;",'"&amp;REGLAS!C615&amp;"','"&amp;REGLAS!D615&amp;"','"&amp;REGLAS!G615&amp;"',TO_DATE('"&amp;REGLAS!H615&amp;"','yyyymmdd'),TO_DATE('"&amp;REGLAS!I615&amp;"','yyyymmdd'),'"&amp;REGLAS!J615&amp;"');")</f>
        <v>INSERT INTO INYCEXT.INYC_CONF_INF_REGLAS@tc_link (COD_INFORME,TABLA,NOMBRE,REGLA,F_INICIO,F_FIN,DESCRIPCION) VALUES (15.1,'INYC_RIN_RESUMEN','Pago Anual','SM-O-RIN-Agente-NumeroPolizas-998-Incremento',TO_DATE('20140101','yyyymmdd'),TO_DATE('22000101','yyyymmdd'),'');</v>
      </c>
    </row>
    <row r="615" spans="1:2" x14ac:dyDescent="0.25">
      <c r="A615" t="str">
        <f>IF(REGLAS!J616="OBSOLETO","","INSERT INTO INYCEXT.INYC_CONF_INF_REGLAS (COD_INFORME,TABLA,NOMBRE,REGLA,F_INICIO,F_FIN,DESCRIPCION) VALUES ("&amp;REGLAS!B616&amp;",'"&amp;REGLAS!C616&amp;"','"&amp;REGLAS!D616&amp;"','"&amp;REGLAS!G616&amp;"',TO_DATE('"&amp;REGLAS!H616&amp;"','yyyymmdd'),TO_DATE('"&amp;REGLAS!I616&amp;"','yyyymmdd'),'"&amp;REGLAS!J616&amp;"');")</f>
        <v>INSERT INTO INYCEXT.INYC_CONF_INF_REGLAS (COD_INFORME,TABLA,NOMBRE,REGLA,F_INICIO,F_FIN,DESCRIPCION) VALUES (15.1,'INYC_RIN_RESUMEN','Pago Anual','SM-O-RIN-Agente-NumeroPolizas-997-Incremento',TO_DATE('20140101','yyyymmdd'),TO_DATE('22000101','yyyymmdd'),'');</v>
      </c>
      <c r="B615" t="str">
        <f>IF(REGLAS!J616="OBSOLETO","","INSERT INTO INYCEXT.INYC_CONF_INF_REGLAS@tc_link (COD_INFORME,TABLA,NOMBRE,REGLA,F_INICIO,F_FIN,DESCRIPCION) VALUES ("&amp;REGLAS!B616&amp;",'"&amp;REGLAS!C616&amp;"','"&amp;REGLAS!D616&amp;"','"&amp;REGLAS!G616&amp;"',TO_DATE('"&amp;REGLAS!H616&amp;"','yyyymmdd'),TO_DATE('"&amp;REGLAS!I616&amp;"','yyyymmdd'),'"&amp;REGLAS!J616&amp;"');")</f>
        <v>INSERT INTO INYCEXT.INYC_CONF_INF_REGLAS@tc_link (COD_INFORME,TABLA,NOMBRE,REGLA,F_INICIO,F_FIN,DESCRIPCION) VALUES (15.1,'INYC_RIN_RESUMEN','Pago Anual','SM-O-RIN-Agente-NumeroPolizas-997-Incremento',TO_DATE('20140101','yyyymmdd'),TO_DATE('22000101','yyyymmdd'),'');</v>
      </c>
    </row>
    <row r="616" spans="1:2" x14ac:dyDescent="0.25">
      <c r="A616" t="str">
        <f>IF(REGLAS!J617="OBSOLETO","","INSERT INTO INYCEXT.INYC_CONF_INF_REGLAS (COD_INFORME,TABLA,NOMBRE,REGLA,F_INICIO,F_FIN,DESCRIPCION) VALUES ("&amp;REGLAS!B617&amp;",'"&amp;REGLAS!C617&amp;"','"&amp;REGLAS!D617&amp;"','"&amp;REGLAS!G617&amp;"',TO_DATE('"&amp;REGLAS!H617&amp;"','yyyymmdd'),TO_DATE('"&amp;REGLAS!I617&amp;"','yyyymmdd'),'"&amp;REGLAS!J617&amp;"');")</f>
        <v>INSERT INTO INYCEXT.INYC_CONF_INF_REGLAS (COD_INFORME,TABLA,NOMBRE,REGLA,F_INICIO,F_FIN,DESCRIPCION) VALUES (15.1,'INYC_RIN_RESUMEN','Pago Anual','SM-O-RIN-Agente-APRO-Porcentaje-998',TO_DATE('20140101','yyyymmdd'),TO_DATE('22000101','yyyymmdd'),'');</v>
      </c>
      <c r="B616" t="str">
        <f>IF(REGLAS!J617="OBSOLETO","","INSERT INTO INYCEXT.INYC_CONF_INF_REGLAS@tc_link (COD_INFORME,TABLA,NOMBRE,REGLA,F_INICIO,F_FIN,DESCRIPCION) VALUES ("&amp;REGLAS!B617&amp;",'"&amp;REGLAS!C617&amp;"','"&amp;REGLAS!D617&amp;"','"&amp;REGLAS!G617&amp;"',TO_DATE('"&amp;REGLAS!H617&amp;"','yyyymmdd'),TO_DATE('"&amp;REGLAS!I617&amp;"','yyyymmdd'),'"&amp;REGLAS!J617&amp;"');")</f>
        <v>INSERT INTO INYCEXT.INYC_CONF_INF_REGLAS@tc_link (COD_INFORME,TABLA,NOMBRE,REGLA,F_INICIO,F_FIN,DESCRIPCION) VALUES (15.1,'INYC_RIN_RESUMEN','Pago Anual','SM-O-RIN-Agente-APRO-Porcentaje-998',TO_DATE('20140101','yyyymmdd'),TO_DATE('22000101','yyyymmdd'),'');</v>
      </c>
    </row>
    <row r="617" spans="1:2" x14ac:dyDescent="0.25">
      <c r="A617" t="str">
        <f>IF(REGLAS!J618="OBSOLETO","","INSERT INTO INYCEXT.INYC_CONF_INF_REGLAS (COD_INFORME,TABLA,NOMBRE,REGLA,F_INICIO,F_FIN,DESCRIPCION) VALUES ("&amp;REGLAS!B618&amp;",'"&amp;REGLAS!C618&amp;"','"&amp;REGLAS!D618&amp;"','"&amp;REGLAS!G618&amp;"',TO_DATE('"&amp;REGLAS!H618&amp;"','yyyymmdd'),TO_DATE('"&amp;REGLAS!I618&amp;"','yyyymmdd'),'"&amp;REGLAS!J618&amp;"');")</f>
        <v>INSERT INTO INYCEXT.INYC_CONF_INF_REGLAS (COD_INFORME,TABLA,NOMBRE,REGLA,F_INICIO,F_FIN,DESCRIPCION) VALUES (15.1,'INYC_RIN_RESUMEN','Pago Anual','SM-O-RIN-Agente-APRO-Pago',TO_DATE('20140101','yyyymmdd'),TO_DATE('22000101','yyyymmdd'),'');</v>
      </c>
      <c r="B617" t="str">
        <f>IF(REGLAS!J618="OBSOLETO","","INSERT INTO INYCEXT.INYC_CONF_INF_REGLAS@tc_link (COD_INFORME,TABLA,NOMBRE,REGLA,F_INICIO,F_FIN,DESCRIPCION) VALUES ("&amp;REGLAS!B618&amp;",'"&amp;REGLAS!C618&amp;"','"&amp;REGLAS!D618&amp;"','"&amp;REGLAS!G618&amp;"',TO_DATE('"&amp;REGLAS!H618&amp;"','yyyymmdd'),TO_DATE('"&amp;REGLAS!I618&amp;"','yyyymmdd'),'"&amp;REGLAS!J618&amp;"');")</f>
        <v>INSERT INTO INYCEXT.INYC_CONF_INF_REGLAS@tc_link (COD_INFORME,TABLA,NOMBRE,REGLA,F_INICIO,F_FIN,DESCRIPCION) VALUES (15.1,'INYC_RIN_RESUMEN','Pago Anual','SM-O-RIN-Agente-APRO-Pago',TO_DATE('20140101','yyyymmdd'),TO_DATE('22000101','yyyymmdd'),'');</v>
      </c>
    </row>
    <row r="618" spans="1:2" x14ac:dyDescent="0.25">
      <c r="A618" t="str">
        <f>IF(REGLAS!J619="OBSOLETO","","INSERT INTO INYCEXT.INYC_CONF_INF_REGLAS (COD_INFORME,TABLA,NOMBRE,REGLA,F_INICIO,F_FIN,DESCRIPCION) VALUES ("&amp;REGLAS!B619&amp;",'"&amp;REGLAS!C619&amp;"','"&amp;REGLAS!D619&amp;"','"&amp;REGLAS!G619&amp;"',TO_DATE('"&amp;REGLAS!H619&amp;"','yyyymmdd'),TO_DATE('"&amp;REGLAS!I619&amp;"','yyyymmdd'),'"&amp;REGLAS!J619&amp;"');")</f>
        <v>INSERT INTO INYCEXT.INYC_CONF_INF_REGLAS (COD_INFORME,TABLA,NOMBRE,REGLA,F_INICIO,F_FIN,DESCRIPCION) VALUES (15.1,'INYC_RIN_RESUMEN','Pago Anual','SM-O-RIN-Agente-PlanCarrera-Porcentaje-998',TO_DATE('20140101','yyyymmdd'),TO_DATE('22000101','yyyymmdd'),'');</v>
      </c>
      <c r="B618" t="str">
        <f>IF(REGLAS!J619="OBSOLETO","","INSERT INTO INYCEXT.INYC_CONF_INF_REGLAS@tc_link (COD_INFORME,TABLA,NOMBRE,REGLA,F_INICIO,F_FIN,DESCRIPCION) VALUES ("&amp;REGLAS!B619&amp;",'"&amp;REGLAS!C619&amp;"','"&amp;REGLAS!D619&amp;"','"&amp;REGLAS!G619&amp;"',TO_DATE('"&amp;REGLAS!H619&amp;"','yyyymmdd'),TO_DATE('"&amp;REGLAS!I619&amp;"','yyyymmdd'),'"&amp;REGLAS!J619&amp;"');")</f>
        <v>INSERT INTO INYCEXT.INYC_CONF_INF_REGLAS@tc_link (COD_INFORME,TABLA,NOMBRE,REGLA,F_INICIO,F_FIN,DESCRIPCION) VALUES (15.1,'INYC_RIN_RESUMEN','Pago Anual','SM-O-RIN-Agente-PlanCarrera-Porcentaje-998',TO_DATE('20140101','yyyymmdd'),TO_DATE('22000101','yyyymmdd'),'');</v>
      </c>
    </row>
    <row r="619" spans="1:2" x14ac:dyDescent="0.25">
      <c r="A619" t="str">
        <f>IF(REGLAS!J620="OBSOLETO","","INSERT INTO INYCEXT.INYC_CONF_INF_REGLAS (COD_INFORME,TABLA,NOMBRE,REGLA,F_INICIO,F_FIN,DESCRIPCION) VALUES ("&amp;REGLAS!B620&amp;",'"&amp;REGLAS!C620&amp;"','"&amp;REGLAS!D620&amp;"','"&amp;REGLAS!G620&amp;"',TO_DATE('"&amp;REGLAS!H620&amp;"','yyyymmdd'),TO_DATE('"&amp;REGLAS!I620&amp;"','yyyymmdd'),'"&amp;REGLAS!J620&amp;"');")</f>
        <v>INSERT INTO INYCEXT.INYC_CONF_INF_REGLAS (COD_INFORME,TABLA,NOMBRE,REGLA,F_INICIO,F_FIN,DESCRIPCION) VALUES (15.1,'INYC_RIN_RESUMEN','Pago Anual','SM-O-RIN-Agente-PlanCarrera-Pago',TO_DATE('20140101','yyyymmdd'),TO_DATE('22000101','yyyymmdd'),'');</v>
      </c>
      <c r="B619" t="str">
        <f>IF(REGLAS!J620="OBSOLETO","","INSERT INTO INYCEXT.INYC_CONF_INF_REGLAS@tc_link (COD_INFORME,TABLA,NOMBRE,REGLA,F_INICIO,F_FIN,DESCRIPCION) VALUES ("&amp;REGLAS!B620&amp;",'"&amp;REGLAS!C620&amp;"','"&amp;REGLAS!D620&amp;"','"&amp;REGLAS!G620&amp;"',TO_DATE('"&amp;REGLAS!H620&amp;"','yyyymmdd'),TO_DATE('"&amp;REGLAS!I620&amp;"','yyyymmdd'),'"&amp;REGLAS!J620&amp;"');")</f>
        <v>INSERT INTO INYCEXT.INYC_CONF_INF_REGLAS@tc_link (COD_INFORME,TABLA,NOMBRE,REGLA,F_INICIO,F_FIN,DESCRIPCION) VALUES (15.1,'INYC_RIN_RESUMEN','Pago Anual','SM-O-RIN-Agente-PlanCarrera-Pago',TO_DATE('20140101','yyyymmdd'),TO_DATE('22000101','yyyymmdd'),'');</v>
      </c>
    </row>
    <row r="620" spans="1:2" x14ac:dyDescent="0.25">
      <c r="A620" t="str">
        <f>IF(REGLAS!J621="OBSOLETO","","INSERT INTO INYCEXT.INYC_CONF_INF_REGLAS (COD_INFORME,TABLA,NOMBRE,REGLA,F_INICIO,F_FIN,DESCRIPCION) VALUES ("&amp;REGLAS!B621&amp;",'"&amp;REGLAS!C621&amp;"','"&amp;REGLAS!D621&amp;"','"&amp;REGLAS!G621&amp;"',TO_DATE('"&amp;REGLAS!H621&amp;"','yyyymmdd'),TO_DATE('"&amp;REGLAS!I621&amp;"','yyyymmdd'),'"&amp;REGLAS!J621&amp;"');")</f>
        <v>INSERT INTO INYCEXT.INYC_CONF_INF_REGLAS (COD_INFORME,TABLA,NOMBRE,REGLA,F_INICIO,F_FIN,DESCRIPCION) VALUES (15.1,'INYC_RIN_RESUMEN','Pago Anual','SM-O-RIN-Agente-APRO-IncrementoPolizas-Pago',TO_DATE('20140101','yyyymmdd'),TO_DATE('22000101','yyyymmdd'),'');</v>
      </c>
      <c r="B620" t="str">
        <f>IF(REGLAS!J621="OBSOLETO","","INSERT INTO INYCEXT.INYC_CONF_INF_REGLAS@tc_link (COD_INFORME,TABLA,NOMBRE,REGLA,F_INICIO,F_FIN,DESCRIPCION) VALUES ("&amp;REGLAS!B621&amp;",'"&amp;REGLAS!C621&amp;"','"&amp;REGLAS!D621&amp;"','"&amp;REGLAS!G621&amp;"',TO_DATE('"&amp;REGLAS!H621&amp;"','yyyymmdd'),TO_DATE('"&amp;REGLAS!I621&amp;"','yyyymmdd'),'"&amp;REGLAS!J621&amp;"');")</f>
        <v>INSERT INTO INYCEXT.INYC_CONF_INF_REGLAS@tc_link (COD_INFORME,TABLA,NOMBRE,REGLA,F_INICIO,F_FIN,DESCRIPCION) VALUES (15.1,'INYC_RIN_RESUMEN','Pago Anual','SM-O-RIN-Agente-APRO-IncrementoPolizas-Pago',TO_DATE('20140101','yyyymmdd'),TO_DATE('22000101','yyyymmdd'),'');</v>
      </c>
    </row>
    <row r="621" spans="1:2" x14ac:dyDescent="0.25">
      <c r="A621" t="str">
        <f>IF(REGLAS!J622="OBSOLETO","","INSERT INTO INYCEXT.INYC_CONF_INF_REGLAS (COD_INFORME,TABLA,NOMBRE,REGLA,F_INICIO,F_FIN,DESCRIPCION) VALUES ("&amp;REGLAS!B622&amp;",'"&amp;REGLAS!C622&amp;"','"&amp;REGLAS!D622&amp;"','"&amp;REGLAS!G622&amp;"',TO_DATE('"&amp;REGLAS!H622&amp;"','yyyymmdd'),TO_DATE('"&amp;REGLAS!I622&amp;"','yyyymmdd'),'"&amp;REGLAS!J622&amp;"');")</f>
        <v>INSERT INTO INYCEXT.INYC_CONF_INF_REGLAS (COD_INFORME,TABLA,NOMBRE,REGLA,F_INICIO,F_FIN,DESCRIPCION) VALUES (16.1,'INYC_FIN_RESUMEN','SM - Primas Agente Total Productos Mensual','SM-O-GEN-Agente-Prima-998-TotalMes',TO_DATE('20140101','yyyymmdd'),TO_DATE('22000101','yyyymmdd'),'');</v>
      </c>
      <c r="B621" t="str">
        <f>IF(REGLAS!J622="OBSOLETO","","INSERT INTO INYCEXT.INYC_CONF_INF_REGLAS@tc_link (COD_INFORME,TABLA,NOMBRE,REGLA,F_INICIO,F_FIN,DESCRIPCION) VALUES ("&amp;REGLAS!B622&amp;",'"&amp;REGLAS!C622&amp;"','"&amp;REGLAS!D622&amp;"','"&amp;REGLAS!G622&amp;"',TO_DATE('"&amp;REGLAS!H622&amp;"','yyyymmdd'),TO_DATE('"&amp;REGLAS!I622&amp;"','yyyymmdd'),'"&amp;REGLAS!J622&amp;"');")</f>
        <v>INSERT INTO INYCEXT.INYC_CONF_INF_REGLAS@tc_link (COD_INFORME,TABLA,NOMBRE,REGLA,F_INICIO,F_FIN,DESCRIPCION) VALUES (16.1,'INYC_FIN_RESUMEN','SM - Primas Agente Total Productos Mensual','SM-O-GEN-Agente-Prima-998-TotalMes',TO_DATE('20140101','yyyymmdd'),TO_DATE('22000101','yyyymmdd'),'');</v>
      </c>
    </row>
    <row r="622" spans="1:2" x14ac:dyDescent="0.25">
      <c r="A622" t="str">
        <f>IF(REGLAS!J623="OBSOLETO","","INSERT INTO INYCEXT.INYC_CONF_INF_REGLAS (COD_INFORME,TABLA,NOMBRE,REGLA,F_INICIO,F_FIN,DESCRIPCION) VALUES ("&amp;REGLAS!B623&amp;",'"&amp;REGLAS!C623&amp;"','"&amp;REGLAS!D623&amp;"','"&amp;REGLAS!G623&amp;"',TO_DATE('"&amp;REGLAS!H623&amp;"','yyyymmdd'),TO_DATE('"&amp;REGLAS!I623&amp;"','yyyymmdd'),'"&amp;REGLAS!J623&amp;"');")</f>
        <v>INSERT INTO INYCEXT.INYC_CONF_INF_REGLAS (COD_INFORME,TABLA,NOMBRE,REGLA,F_INICIO,F_FIN,DESCRIPCION) VALUES (16.1,'INYC_FIN_RESUMEN','SM - Nº Pólizas Agente Total Productos Mensual','SM-O-GEN-Agente-NumeroPolizas-998-TotalMes',TO_DATE('20140101','yyyymmdd'),TO_DATE('22000101','yyyymmdd'),'');</v>
      </c>
      <c r="B622" t="str">
        <f>IF(REGLAS!J623="OBSOLETO","","INSERT INTO INYCEXT.INYC_CONF_INF_REGLAS@tc_link (COD_INFORME,TABLA,NOMBRE,REGLA,F_INICIO,F_FIN,DESCRIPCION) VALUES ("&amp;REGLAS!B623&amp;",'"&amp;REGLAS!C623&amp;"','"&amp;REGLAS!D623&amp;"','"&amp;REGLAS!G623&amp;"',TO_DATE('"&amp;REGLAS!H623&amp;"','yyyymmdd'),TO_DATE('"&amp;REGLAS!I623&amp;"','yyyymmdd'),'"&amp;REGLAS!J623&amp;"');")</f>
        <v>INSERT INTO INYCEXT.INYC_CONF_INF_REGLAS@tc_link (COD_INFORME,TABLA,NOMBRE,REGLA,F_INICIO,F_FIN,DESCRIPCION) VALUES (16.1,'INYC_FIN_RESUMEN','SM - Nº Pólizas Agente Total Productos Mensual','SM-O-GEN-Agente-NumeroPolizas-998-TotalMes',TO_DATE('20140101','yyyymmdd'),TO_DATE('22000101','yyyymmdd'),'');</v>
      </c>
    </row>
    <row r="623" spans="1:2" x14ac:dyDescent="0.25">
      <c r="A623" t="str">
        <f>IF(REGLAS!J624="OBSOLETO","","INSERT INTO INYCEXT.INYC_CONF_INF_REGLAS (COD_INFORME,TABLA,NOMBRE,REGLA,F_INICIO,F_FIN,DESCRIPCION) VALUES ("&amp;REGLAS!B624&amp;",'"&amp;REGLAS!C624&amp;"','"&amp;REGLAS!D624&amp;"','"&amp;REGLAS!G624&amp;"',TO_DATE('"&amp;REGLAS!H624&amp;"','yyyymmdd'),TO_DATE('"&amp;REGLAS!I624&amp;"','yyyymmdd'),'"&amp;REGLAS!J624&amp;"');")</f>
        <v>INSERT INTO INYCEXT.INYC_CONF_INF_REGLAS (COD_INFORME,TABLA,NOMBRE,REGLA,F_INICIO,F_FIN,DESCRIPCION) VALUES (16.1,'INYC_FIN_RESUMEN','Pago Mensual','SM-O-FIN-Agente-MinimoGarantizado',TO_DATE('20140101','yyyymmdd'),TO_DATE('22000101','yyyymmdd'),'');</v>
      </c>
      <c r="B623" t="str">
        <f>IF(REGLAS!J624="OBSOLETO","","INSERT INTO INYCEXT.INYC_CONF_INF_REGLAS@tc_link (COD_INFORME,TABLA,NOMBRE,REGLA,F_INICIO,F_FIN,DESCRIPCION) VALUES ("&amp;REGLAS!B624&amp;",'"&amp;REGLAS!C624&amp;"','"&amp;REGLAS!D624&amp;"','"&amp;REGLAS!G624&amp;"',TO_DATE('"&amp;REGLAS!H624&amp;"','yyyymmdd'),TO_DATE('"&amp;REGLAS!I624&amp;"','yyyymmdd'),'"&amp;REGLAS!J624&amp;"');")</f>
        <v>INSERT INTO INYCEXT.INYC_CONF_INF_REGLAS@tc_link (COD_INFORME,TABLA,NOMBRE,REGLA,F_INICIO,F_FIN,DESCRIPCION) VALUES (16.1,'INYC_FIN_RESUMEN','Pago Mensual','SM-O-FIN-Agente-MinimoGarantizado',TO_DATE('20140101','yyyymmdd'),TO_DATE('22000101','yyyymmdd'),'');</v>
      </c>
    </row>
    <row r="624" spans="1:2" x14ac:dyDescent="0.25">
      <c r="A624" t="str">
        <f>IF(REGLAS!J625="OBSOLETO","","INSERT INTO INYCEXT.INYC_CONF_INF_REGLAS (COD_INFORME,TABLA,NOMBRE,REGLA,F_INICIO,F_FIN,DESCRIPCION) VALUES ("&amp;REGLAS!B625&amp;",'"&amp;REGLAS!C625&amp;"','"&amp;REGLAS!D625&amp;"','"&amp;REGLAS!G625&amp;"',TO_DATE('"&amp;REGLAS!H625&amp;"','yyyymmdd'),TO_DATE('"&amp;REGLAS!I625&amp;"','yyyymmdd'),'"&amp;REGLAS!J625&amp;"');")</f>
        <v>INSERT INTO INYCEXT.INYC_CONF_INF_REGLAS (COD_INFORME,TABLA,NOMBRE,REGLA,F_INICIO,F_FIN,DESCRIPCION) VALUES (16.1,'INYC_FIN_RESUMEN','SM - Importe Agente Total Comisiones','SM-O-GEN-Agente-Total-Comisiones',TO_DATE('20140101','yyyymmdd'),TO_DATE('22000101','yyyymmdd'),'');</v>
      </c>
      <c r="B624" t="str">
        <f>IF(REGLAS!J625="OBSOLETO","","INSERT INTO INYCEXT.INYC_CONF_INF_REGLAS@tc_link (COD_INFORME,TABLA,NOMBRE,REGLA,F_INICIO,F_FIN,DESCRIPCION) VALUES ("&amp;REGLAS!B625&amp;",'"&amp;REGLAS!C625&amp;"','"&amp;REGLAS!D625&amp;"','"&amp;REGLAS!G625&amp;"',TO_DATE('"&amp;REGLAS!H625&amp;"','yyyymmdd'),TO_DATE('"&amp;REGLAS!I625&amp;"','yyyymmdd'),'"&amp;REGLAS!J625&amp;"');")</f>
        <v>INSERT INTO INYCEXT.INYC_CONF_INF_REGLAS@tc_link (COD_INFORME,TABLA,NOMBRE,REGLA,F_INICIO,F_FIN,DESCRIPCION) VALUES (16.1,'INYC_FIN_RESUMEN','SM - Importe Agente Total Comisiones','SM-O-GEN-Agente-Total-Comisiones',TO_DATE('20140101','yyyymmdd'),TO_DATE('22000101','yyyymmdd'),'');</v>
      </c>
    </row>
    <row r="625" spans="1:2" x14ac:dyDescent="0.25">
      <c r="A625" t="str">
        <f>IF(REGLAS!J626="OBSOLETO","","INSERT INTO INYCEXT.INYC_CONF_INF_REGLAS (COD_INFORME,TABLA,NOMBRE,REGLA,F_INICIO,F_FIN,DESCRIPCION) VALUES ("&amp;REGLAS!B626&amp;",'"&amp;REGLAS!C626&amp;"','"&amp;REGLAS!D626&amp;"','"&amp;REGLAS!G626&amp;"',TO_DATE('"&amp;REGLAS!H626&amp;"','yyyymmdd'),TO_DATE('"&amp;REGLAS!I626&amp;"','yyyymmdd'),'"&amp;REGLAS!J626&amp;"');")</f>
        <v>INSERT INTO INYCEXT.INYC_CONF_INF_REGLAS (COD_INFORME,TABLA,NOMBRE,REGLA,F_INICIO,F_FIN,DESCRIPCION) VALUES (16.1,'INYC_FIN_RESUMEN','Pago Mensual','SM-E-GEN-Agente-Total-Comisiones',TO_DATE('20140101','yyyymmdd'),TO_DATE('22000101','yyyymmdd'),'');</v>
      </c>
      <c r="B625" t="str">
        <f>IF(REGLAS!J626="OBSOLETO","","INSERT INTO INYCEXT.INYC_CONF_INF_REGLAS@tc_link (COD_INFORME,TABLA,NOMBRE,REGLA,F_INICIO,F_FIN,DESCRIPCION) VALUES ("&amp;REGLAS!B626&amp;",'"&amp;REGLAS!C626&amp;"','"&amp;REGLAS!D626&amp;"','"&amp;REGLAS!G626&amp;"',TO_DATE('"&amp;REGLAS!H626&amp;"','yyyymmdd'),TO_DATE('"&amp;REGLAS!I626&amp;"','yyyymmdd'),'"&amp;REGLAS!J626&amp;"');")</f>
        <v>INSERT INTO INYCEXT.INYC_CONF_INF_REGLAS@tc_link (COD_INFORME,TABLA,NOMBRE,REGLA,F_INICIO,F_FIN,DESCRIPCION) VALUES (16.1,'INYC_FIN_RESUMEN','Pago Mensual','SM-E-GEN-Agente-Total-Comisiones',TO_DATE('20140101','yyyymmdd'),TO_DATE('22000101','yyyymmdd'),'');</v>
      </c>
    </row>
    <row r="626" spans="1:2" x14ac:dyDescent="0.25">
      <c r="A626" t="str">
        <f>IF(REGLAS!J627="OBSOLETO","","INSERT INTO INYCEXT.INYC_CONF_INF_REGLAS (COD_INFORME,TABLA,NOMBRE,REGLA,F_INICIO,F_FIN,DESCRIPCION) VALUES ("&amp;REGLAS!B627&amp;",'"&amp;REGLAS!C627&amp;"','"&amp;REGLAS!D627&amp;"','"&amp;REGLAS!G627&amp;"',TO_DATE('"&amp;REGLAS!H627&amp;"','yyyymmdd'),TO_DATE('"&amp;REGLAS!I627&amp;"','yyyymmdd'),'"&amp;REGLAS!J627&amp;"');")</f>
        <v>INSERT INTO INYCEXT.INYC_CONF_INF_REGLAS (COD_INFORME,TABLA,NOMBRE,REGLA,F_INICIO,F_FIN,DESCRIPCION) VALUES (16.1,'INYC_FIN_RESUMEN','Pago Mensual','SM-O-FIN-Agente-Pago',TO_DATE('20140101','yyyymmdd'),TO_DATE('22000101','yyyymmdd'),'');</v>
      </c>
      <c r="B626" t="str">
        <f>IF(REGLAS!J627="OBSOLETO","","INSERT INTO INYCEXT.INYC_CONF_INF_REGLAS@tc_link (COD_INFORME,TABLA,NOMBRE,REGLA,F_INICIO,F_FIN,DESCRIPCION) VALUES ("&amp;REGLAS!B627&amp;",'"&amp;REGLAS!C627&amp;"','"&amp;REGLAS!D627&amp;"','"&amp;REGLAS!G627&amp;"',TO_DATE('"&amp;REGLAS!H627&amp;"','yyyymmdd'),TO_DATE('"&amp;REGLAS!I627&amp;"','yyyymmdd'),'"&amp;REGLAS!J627&amp;"');")</f>
        <v>INSERT INTO INYCEXT.INYC_CONF_INF_REGLAS@tc_link (COD_INFORME,TABLA,NOMBRE,REGLA,F_INICIO,F_FIN,DESCRIPCION) VALUES (16.1,'INYC_FIN_RESUMEN','Pago Mensual','SM-O-FIN-Agente-Pago',TO_DATE('20140101','yyyymmdd'),TO_DATE('22000101','yyyymmdd'),'');</v>
      </c>
    </row>
    <row r="627" spans="1:2" x14ac:dyDescent="0.25">
      <c r="A627" t="str">
        <f>IF(REGLAS!J628="OBSOLETO","","INSERT INTO INYCEXT.INYC_CONF_INF_REGLAS (COD_INFORME,TABLA,NOMBRE,REGLA,F_INICIO,F_FIN,DESCRIPCION) VALUES ("&amp;REGLAS!B628&amp;",'"&amp;REGLAS!C628&amp;"','"&amp;REGLAS!D628&amp;"','"&amp;REGLAS!G628&amp;"',TO_DATE('"&amp;REGLAS!H628&amp;"','yyyymmdd'),TO_DATE('"&amp;REGLAS!I628&amp;"','yyyymmdd'),'"&amp;REGLAS!J628&amp;"');")</f>
        <v>INSERT INTO INYCEXT.INYC_CONF_INF_REGLAS (COD_INFORME,TABLA,NOMBRE,REGLA,F_INICIO,F_FIN,DESCRIPCION) VALUES (17.1,'INYC_RE_RESUMEN','SM - Nº Pólizas Inspector Hogar Mensual','SM-O-GEN-Inspector-NumeroPolizas-002-TotalMes',TO_DATE('20140101','yyyymmdd'),TO_DATE('22000101','yyyymmdd'),'');</v>
      </c>
      <c r="B627" t="str">
        <f>IF(REGLAS!J628="OBSOLETO","","INSERT INTO INYCEXT.INYC_CONF_INF_REGLAS@tc_link (COD_INFORME,TABLA,NOMBRE,REGLA,F_INICIO,F_FIN,DESCRIPCION) VALUES ("&amp;REGLAS!B628&amp;",'"&amp;REGLAS!C628&amp;"','"&amp;REGLAS!D628&amp;"','"&amp;REGLAS!G628&amp;"',TO_DATE('"&amp;REGLAS!H628&amp;"','yyyymmdd'),TO_DATE('"&amp;REGLAS!I628&amp;"','yyyymmdd'),'"&amp;REGLAS!J628&amp;"');")</f>
        <v>INSERT INTO INYCEXT.INYC_CONF_INF_REGLAS@tc_link (COD_INFORME,TABLA,NOMBRE,REGLA,F_INICIO,F_FIN,DESCRIPCION) VALUES (17.1,'INYC_RE_RESUMEN','SM - Nº Pólizas Inspector Hogar Mensual','SM-O-GEN-Inspector-NumeroPolizas-002-TotalMes',TO_DATE('20140101','yyyymmdd'),TO_DATE('22000101','yyyymmdd'),'');</v>
      </c>
    </row>
    <row r="628" spans="1:2" x14ac:dyDescent="0.25">
      <c r="A628" t="str">
        <f>IF(REGLAS!J629="OBSOLETO","","INSERT INTO INYCEXT.INYC_CONF_INF_REGLAS (COD_INFORME,TABLA,NOMBRE,REGLA,F_INICIO,F_FIN,DESCRIPCION) VALUES ("&amp;REGLAS!B629&amp;",'"&amp;REGLAS!C629&amp;"','"&amp;REGLAS!D629&amp;"','"&amp;REGLAS!G629&amp;"',TO_DATE('"&amp;REGLAS!H629&amp;"','yyyymmdd'),TO_DATE('"&amp;REGLAS!I629&amp;"','yyyymmdd'),'"&amp;REGLAS!J629&amp;"');")</f>
        <v>INSERT INTO INYCEXT.INYC_CONF_INF_REGLAS (COD_INFORME,TABLA,NOMBRE,REGLA,F_INICIO,F_FIN,DESCRIPCION) VALUES (17.1,'INYC_RE_RESUMEN','SM - Objetivo Nº Pólizas Hogar','SM-O-REH-Inspector-Objetivo-NumeroPolizas',TO_DATE('20140101','yyyymmdd'),TO_DATE('22000101','yyyymmdd'),'');</v>
      </c>
      <c r="B628" t="str">
        <f>IF(REGLAS!J629="OBSOLETO","","INSERT INTO INYCEXT.INYC_CONF_INF_REGLAS@tc_link (COD_INFORME,TABLA,NOMBRE,REGLA,F_INICIO,F_FIN,DESCRIPCION) VALUES ("&amp;REGLAS!B629&amp;",'"&amp;REGLAS!C629&amp;"','"&amp;REGLAS!D629&amp;"','"&amp;REGLAS!G629&amp;"',TO_DATE('"&amp;REGLAS!H629&amp;"','yyyymmdd'),TO_DATE('"&amp;REGLAS!I629&amp;"','yyyymmdd'),'"&amp;REGLAS!J629&amp;"');")</f>
        <v>INSERT INTO INYCEXT.INYC_CONF_INF_REGLAS@tc_link (COD_INFORME,TABLA,NOMBRE,REGLA,F_INICIO,F_FIN,DESCRIPCION) VALUES (17.1,'INYC_RE_RESUMEN','SM - Objetivo Nº Pólizas Hogar','SM-O-REH-Inspector-Objetivo-NumeroPolizas',TO_DATE('20140101','yyyymmdd'),TO_DATE('22000101','yyyymmdd'),'');</v>
      </c>
    </row>
    <row r="629" spans="1:2" x14ac:dyDescent="0.25">
      <c r="A629" t="str">
        <f>IF(REGLAS!J630="OBSOLETO","","INSERT INTO INYCEXT.INYC_CONF_INF_REGLAS (COD_INFORME,TABLA,NOMBRE,REGLA,F_INICIO,F_FIN,DESCRIPCION) VALUES ("&amp;REGLAS!B630&amp;",'"&amp;REGLAS!C630&amp;"','"&amp;REGLAS!D630&amp;"','"&amp;REGLAS!G630&amp;"',TO_DATE('"&amp;REGLAS!H630&amp;"','yyyymmdd'),TO_DATE('"&amp;REGLAS!I630&amp;"','yyyymmdd'),'"&amp;REGLAS!J630&amp;"');")</f>
        <v>INSERT INTO INYCEXT.INYC_CONF_INF_REGLAS (COD_INFORME,TABLA,NOMBRE,REGLA,F_INICIO,F_FIN,DESCRIPCION) VALUES (17.1,'INYC_RE_RESUMEN','SM - Prima Anualizada Inspector Hogar Trimestral','SM-O-GEN-Inspector-PrimaAnual-002-Trim',TO_DATE('20180301','yyyymmdd'),TO_DATE('20190101','yyyymmdd'),'Version 20180425');</v>
      </c>
      <c r="B629" t="str">
        <f>IF(REGLAS!J630="OBSOLETO","","INSERT INTO INYCEXT.INYC_CONF_INF_REGLAS@tc_link (COD_INFORME,TABLA,NOMBRE,REGLA,F_INICIO,F_FIN,DESCRIPCION) VALUES ("&amp;REGLAS!B630&amp;",'"&amp;REGLAS!C630&amp;"','"&amp;REGLAS!D630&amp;"','"&amp;REGLAS!G630&amp;"',TO_DATE('"&amp;REGLAS!H630&amp;"','yyyymmdd'),TO_DATE('"&amp;REGLAS!I630&amp;"','yyyymmdd'),'"&amp;REGLAS!J630&amp;"');")</f>
        <v>INSERT INTO INYCEXT.INYC_CONF_INF_REGLAS@tc_link (COD_INFORME,TABLA,NOMBRE,REGLA,F_INICIO,F_FIN,DESCRIPCION) VALUES (17.1,'INYC_RE_RESUMEN','SM - Prima Anualizada Inspector Hogar Trimestral','SM-O-GEN-Inspector-PrimaAnual-002-Trim',TO_DATE('20180301','yyyymmdd'),TO_DATE('20190101','yyyymmdd'),'Version 20180425');</v>
      </c>
    </row>
    <row r="630" spans="1:2" x14ac:dyDescent="0.25">
      <c r="A630" t="str">
        <f>IF(REGLAS!J631="OBSOLETO","","INSERT INTO INYCEXT.INYC_CONF_INF_REGLAS (COD_INFORME,TABLA,NOMBRE,REGLA,F_INICIO,F_FIN,DESCRIPCION) VALUES ("&amp;REGLAS!B631&amp;",'"&amp;REGLAS!C631&amp;"','"&amp;REGLAS!D631&amp;"','"&amp;REGLAS!G631&amp;"',TO_DATE('"&amp;REGLAS!H631&amp;"','yyyymmdd'),TO_DATE('"&amp;REGLAS!I631&amp;"','yyyymmdd'),'"&amp;REGLAS!J631&amp;"');")</f>
        <v>INSERT INTO INYCEXT.INYC_CONF_INF_REGLAS (COD_INFORME,TABLA,NOMBRE,REGLA,F_INICIO,F_FIN,DESCRIPCION) VALUES (17.1,'INYC_RE_RESUMEN','SM - Prima Anualizada Inspector Hogar Trimestral','SM-O-GEN-Inspector-Prima-002-TotalAnual',TO_DATE('20190101','yyyymmdd'),TO_DATE('20190401','yyyymmdd'),'Version 20180425');</v>
      </c>
      <c r="B630" t="str">
        <f>IF(REGLAS!J631="OBSOLETO","","INSERT INTO INYCEXT.INYC_CONF_INF_REGLAS@tc_link (COD_INFORME,TABLA,NOMBRE,REGLA,F_INICIO,F_FIN,DESCRIPCION) VALUES ("&amp;REGLAS!B631&amp;",'"&amp;REGLAS!C631&amp;"','"&amp;REGLAS!D631&amp;"','"&amp;REGLAS!G631&amp;"',TO_DATE('"&amp;REGLAS!H631&amp;"','yyyymmdd'),TO_DATE('"&amp;REGLAS!I631&amp;"','yyyymmdd'),'"&amp;REGLAS!J631&amp;"');")</f>
        <v>INSERT INTO INYCEXT.INYC_CONF_INF_REGLAS@tc_link (COD_INFORME,TABLA,NOMBRE,REGLA,F_INICIO,F_FIN,DESCRIPCION) VALUES (17.1,'INYC_RE_RESUMEN','SM - Prima Anualizada Inspector Hogar Trimestral','SM-O-GEN-Inspector-Prima-002-TotalAnual',TO_DATE('20190101','yyyymmdd'),TO_DATE('20190401','yyyymmdd'),'Version 20180425');</v>
      </c>
    </row>
    <row r="631" spans="1:2" x14ac:dyDescent="0.25">
      <c r="A631" t="str">
        <f>IF(REGLAS!J632="OBSOLETO","","INSERT INTO INYCEXT.INYC_CONF_INF_REGLAS (COD_INFORME,TABLA,NOMBRE,REGLA,F_INICIO,F_FIN,DESCRIPCION) VALUES ("&amp;REGLAS!B632&amp;",'"&amp;REGLAS!C632&amp;"','"&amp;REGLAS!D632&amp;"','"&amp;REGLAS!G632&amp;"',TO_DATE('"&amp;REGLAS!H632&amp;"','yyyymmdd'),TO_DATE('"&amp;REGLAS!I632&amp;"','yyyymmdd'),'"&amp;REGLAS!J632&amp;"');")</f>
        <v>INSERT INTO INYCEXT.INYC_CONF_INF_REGLAS (COD_INFORME,TABLA,NOMBRE,REGLA,F_INICIO,F_FIN,DESCRIPCION) VALUES (17.1,'INYC_RE_RESUMEN','SM - Prima Anualizada Inspector Hogar Trimestral','SM-O-GEN-Inspector-PrimaAnual-002-Trim',TO_DATE('20190401','yyyymmdd'),TO_DATE('22000101','yyyymmdd'),'Version 20180425');</v>
      </c>
      <c r="B631" t="str">
        <f>IF(REGLAS!J632="OBSOLETO","","INSERT INTO INYCEXT.INYC_CONF_INF_REGLAS@tc_link (COD_INFORME,TABLA,NOMBRE,REGLA,F_INICIO,F_FIN,DESCRIPCION) VALUES ("&amp;REGLAS!B632&amp;",'"&amp;REGLAS!C632&amp;"','"&amp;REGLAS!D632&amp;"','"&amp;REGLAS!G632&amp;"',TO_DATE('"&amp;REGLAS!H632&amp;"','yyyymmdd'),TO_DATE('"&amp;REGLAS!I632&amp;"','yyyymmdd'),'"&amp;REGLAS!J632&amp;"');")</f>
        <v>INSERT INTO INYCEXT.INYC_CONF_INF_REGLAS@tc_link (COD_INFORME,TABLA,NOMBRE,REGLA,F_INICIO,F_FIN,DESCRIPCION) VALUES (17.1,'INYC_RE_RESUMEN','SM - Prima Anualizada Inspector Hogar Trimestral','SM-O-GEN-Inspector-PrimaAnual-002-Trim',TO_DATE('20190401','yyyymmdd'),TO_DATE('22000101','yyyymmdd'),'Version 20180425');</v>
      </c>
    </row>
    <row r="632" spans="1:2" x14ac:dyDescent="0.25">
      <c r="A632" t="str">
        <f>IF(REGLAS!J633="OBSOLETO","","INSERT INTO INYCEXT.INYC_CONF_INF_REGLAS (COD_INFORME,TABLA,NOMBRE,REGLA,F_INICIO,F_FIN,DESCRIPCION) VALUES ("&amp;REGLAS!B633&amp;",'"&amp;REGLAS!C633&amp;"','"&amp;REGLAS!D633&amp;"','"&amp;REGLAS!G633&amp;"',TO_DATE('"&amp;REGLAS!H633&amp;"','yyyymmdd'),TO_DATE('"&amp;REGLAS!I633&amp;"','yyyymmdd'),'"&amp;REGLAS!J633&amp;"');")</f>
        <v>INSERT INTO INYCEXT.INYC_CONF_INF_REGLAS (COD_INFORME,TABLA,NOMBRE,REGLA,F_INICIO,F_FIN,DESCRIPCION) VALUES (17.1,'INYC_RE_RESUMEN','SM - Objetivo Prima Anualizada Hogar','SM-O-REH-Inspector-Objetivo-PrimaAnualizada',TO_DATE('20180301','yyyymmdd'),TO_DATE('22000101','yyyymmdd'),'Version 20180326');</v>
      </c>
      <c r="B632" t="str">
        <f>IF(REGLAS!J633="OBSOLETO","","INSERT INTO INYCEXT.INYC_CONF_INF_REGLAS@tc_link (COD_INFORME,TABLA,NOMBRE,REGLA,F_INICIO,F_FIN,DESCRIPCION) VALUES ("&amp;REGLAS!B633&amp;",'"&amp;REGLAS!C633&amp;"','"&amp;REGLAS!D633&amp;"','"&amp;REGLAS!G633&amp;"',TO_DATE('"&amp;REGLAS!H633&amp;"','yyyymmdd'),TO_DATE('"&amp;REGLAS!I633&amp;"','yyyymmdd'),'"&amp;REGLAS!J633&amp;"');")</f>
        <v>INSERT INTO INYCEXT.INYC_CONF_INF_REGLAS@tc_link (COD_INFORME,TABLA,NOMBRE,REGLA,F_INICIO,F_FIN,DESCRIPCION) VALUES (17.1,'INYC_RE_RESUMEN','SM - Objetivo Prima Anualizada Hogar','SM-O-REH-Inspector-Objetivo-PrimaAnualizada',TO_DATE('20180301','yyyymmdd'),TO_DATE('22000101','yyyymmdd'),'Version 20180326');</v>
      </c>
    </row>
    <row r="633" spans="1:2" x14ac:dyDescent="0.25">
      <c r="A633" t="str">
        <f>IF(REGLAS!J634="OBSOLETO","","INSERT INTO INYCEXT.INYC_CONF_INF_REGLAS (COD_INFORME,TABLA,NOMBRE,REGLA,F_INICIO,F_FIN,DESCRIPCION) VALUES ("&amp;REGLAS!B634&amp;",'"&amp;REGLAS!C634&amp;"','"&amp;REGLAS!D634&amp;"','"&amp;REGLAS!G634&amp;"',TO_DATE('"&amp;REGLAS!H634&amp;"','yyyymmdd'),TO_DATE('"&amp;REGLAS!I634&amp;"','yyyymmdd'),'"&amp;REGLAS!J634&amp;"');")</f>
        <v>INSERT INTO INYCEXT.INYC_CONF_INF_REGLAS (COD_INFORME,TABLA,NOMBRE,REGLA,F_INICIO,F_FIN,DESCRIPCION) VALUES (17.1,'INYC_RE_RESUMEN','SM - Pago Mensual Hogar','SM-O-REH-Inspector-Pago',TO_DATE('20140101','yyyymmdd'),TO_DATE('22000101','yyyymmdd'),'');</v>
      </c>
      <c r="B633" t="str">
        <f>IF(REGLAS!J634="OBSOLETO","","INSERT INTO INYCEXT.INYC_CONF_INF_REGLAS@tc_link (COD_INFORME,TABLA,NOMBRE,REGLA,F_INICIO,F_FIN,DESCRIPCION) VALUES ("&amp;REGLAS!B634&amp;",'"&amp;REGLAS!C634&amp;"','"&amp;REGLAS!D634&amp;"','"&amp;REGLAS!G634&amp;"',TO_DATE('"&amp;REGLAS!H634&amp;"','yyyymmdd'),TO_DATE('"&amp;REGLAS!I634&amp;"','yyyymmdd'),'"&amp;REGLAS!J634&amp;"');")</f>
        <v>INSERT INTO INYCEXT.INYC_CONF_INF_REGLAS@tc_link (COD_INFORME,TABLA,NOMBRE,REGLA,F_INICIO,F_FIN,DESCRIPCION) VALUES (17.1,'INYC_RE_RESUMEN','SM - Pago Mensual Hogar','SM-O-REH-Inspector-Pago',TO_DATE('20140101','yyyymmdd'),TO_DATE('22000101','yyyymmdd'),'');</v>
      </c>
    </row>
    <row r="634" spans="1:2" x14ac:dyDescent="0.25">
      <c r="A634" t="str">
        <f>IF(REGLAS!J635="OBSOLETO","","INSERT INTO INYCEXT.INYC_CONF_INF_REGLAS (COD_INFORME,TABLA,NOMBRE,REGLA,F_INICIO,F_FIN,DESCRIPCION) VALUES ("&amp;REGLAS!B635&amp;",'"&amp;REGLAS!C635&amp;"','"&amp;REGLAS!D635&amp;"','"&amp;REGLAS!G635&amp;"',TO_DATE('"&amp;REGLAS!H635&amp;"','yyyymmdd'),TO_DATE('"&amp;REGLAS!I635&amp;"','yyyymmdd'),'"&amp;REGLAS!J635&amp;"');")</f>
        <v>INSERT INTO INYCEXT.INYC_CONF_INF_REGLAS (COD_INFORME,TABLA,NOMBRE,REGLA,F_INICIO,F_FIN,DESCRIPCION) VALUES (17.1,'INYC_RE_RESUMEN','SM - Nº Pólizas Inspector RRPP (excl PU y conv/colec) Mensual','SM-O-GEN-Inspector-NumeroPolizas-906-TotalMes',TO_DATE('20140101','yyyymmdd'),TO_DATE('22000101','yyyymmdd'),'');</v>
      </c>
      <c r="B634" t="str">
        <f>IF(REGLAS!J635="OBSOLETO","","INSERT INTO INYCEXT.INYC_CONF_INF_REGLAS@tc_link (COD_INFORME,TABLA,NOMBRE,REGLA,F_INICIO,F_FIN,DESCRIPCION) VALUES ("&amp;REGLAS!B635&amp;",'"&amp;REGLAS!C635&amp;"','"&amp;REGLAS!D635&amp;"','"&amp;REGLAS!G635&amp;"',TO_DATE('"&amp;REGLAS!H635&amp;"','yyyymmdd'),TO_DATE('"&amp;REGLAS!I635&amp;"','yyyymmdd'),'"&amp;REGLAS!J635&amp;"');")</f>
        <v>INSERT INTO INYCEXT.INYC_CONF_INF_REGLAS@tc_link (COD_INFORME,TABLA,NOMBRE,REGLA,F_INICIO,F_FIN,DESCRIPCION) VALUES (17.1,'INYC_RE_RESUMEN','SM - Nº Pólizas Inspector RRPP (excl PU y conv/colec) Mensual','SM-O-GEN-Inspector-NumeroPolizas-906-TotalMes',TO_DATE('20140101','yyyymmdd'),TO_DATE('22000101','yyyymmdd'),'');</v>
      </c>
    </row>
    <row r="635" spans="1:2" x14ac:dyDescent="0.25">
      <c r="A635" t="str">
        <f>IF(REGLAS!J636="OBSOLETO","","INSERT INTO INYCEXT.INYC_CONF_INF_REGLAS (COD_INFORME,TABLA,NOMBRE,REGLA,F_INICIO,F_FIN,DESCRIPCION) VALUES ("&amp;REGLAS!B636&amp;",'"&amp;REGLAS!C636&amp;"','"&amp;REGLAS!D636&amp;"','"&amp;REGLAS!G636&amp;"',TO_DATE('"&amp;REGLAS!H636&amp;"','yyyymmdd'),TO_DATE('"&amp;REGLAS!I636&amp;"','yyyymmdd'),'"&amp;REGLAS!J636&amp;"');")</f>
        <v>INSERT INTO INYCEXT.INYC_CONF_INF_REGLAS (COD_INFORME,TABLA,NOMBRE,REGLA,F_INICIO,F_FIN,DESCRIPCION) VALUES (17.1,'INYC_RE_RESUMEN','SM - Objetivo Nº Pólizas RRPP','SM-O-REP-Inspector-Objetivo-NumeroPolizas',TO_DATE('20140101','yyyymmdd'),TO_DATE('22000101','yyyymmdd'),'');</v>
      </c>
      <c r="B635" t="str">
        <f>IF(REGLAS!J636="OBSOLETO","","INSERT INTO INYCEXT.INYC_CONF_INF_REGLAS@tc_link (COD_INFORME,TABLA,NOMBRE,REGLA,F_INICIO,F_FIN,DESCRIPCION) VALUES ("&amp;REGLAS!B636&amp;",'"&amp;REGLAS!C636&amp;"','"&amp;REGLAS!D636&amp;"','"&amp;REGLAS!G636&amp;"',TO_DATE('"&amp;REGLAS!H636&amp;"','yyyymmdd'),TO_DATE('"&amp;REGLAS!I636&amp;"','yyyymmdd'),'"&amp;REGLAS!J636&amp;"');")</f>
        <v>INSERT INTO INYCEXT.INYC_CONF_INF_REGLAS@tc_link (COD_INFORME,TABLA,NOMBRE,REGLA,F_INICIO,F_FIN,DESCRIPCION) VALUES (17.1,'INYC_RE_RESUMEN','SM - Objetivo Nº Pólizas RRPP','SM-O-REP-Inspector-Objetivo-NumeroPolizas',TO_DATE('20140101','yyyymmdd'),TO_DATE('22000101','yyyymmdd'),'');</v>
      </c>
    </row>
    <row r="636" spans="1:2" x14ac:dyDescent="0.25">
      <c r="A636" t="str">
        <f>IF(REGLAS!J637="OBSOLETO","","INSERT INTO INYCEXT.INYC_CONF_INF_REGLAS (COD_INFORME,TABLA,NOMBRE,REGLA,F_INICIO,F_FIN,DESCRIPCION) VALUES ("&amp;REGLAS!B637&amp;",'"&amp;REGLAS!C637&amp;"','"&amp;REGLAS!D637&amp;"','"&amp;REGLAS!G637&amp;"',TO_DATE('"&amp;REGLAS!H637&amp;"','yyyymmdd'),TO_DATE('"&amp;REGLAS!I637&amp;"','yyyymmdd'),'"&amp;REGLAS!J637&amp;"');")</f>
        <v>INSERT INTO INYCEXT.INYC_CONF_INF_REGLAS (COD_INFORME,TABLA,NOMBRE,REGLA,F_INICIO,F_FIN,DESCRIPCION) VALUES (17.1,'INYC_RE_RESUMEN','SM - Prima Anualizada Inspector RRPP Trimestral','SM-O-GEN-Inspector-PrimaAnual-906-Trim',TO_DATE('20180301','yyyymmdd'),TO_DATE('20190101','yyyymmdd'),'Version 20180508');</v>
      </c>
      <c r="B636" t="str">
        <f>IF(REGLAS!J637="OBSOLETO","","INSERT INTO INYCEXT.INYC_CONF_INF_REGLAS@tc_link (COD_INFORME,TABLA,NOMBRE,REGLA,F_INICIO,F_FIN,DESCRIPCION) VALUES ("&amp;REGLAS!B637&amp;",'"&amp;REGLAS!C637&amp;"','"&amp;REGLAS!D637&amp;"','"&amp;REGLAS!G637&amp;"',TO_DATE('"&amp;REGLAS!H637&amp;"','yyyymmdd'),TO_DATE('"&amp;REGLAS!I637&amp;"','yyyymmdd'),'"&amp;REGLAS!J637&amp;"');")</f>
        <v>INSERT INTO INYCEXT.INYC_CONF_INF_REGLAS@tc_link (COD_INFORME,TABLA,NOMBRE,REGLA,F_INICIO,F_FIN,DESCRIPCION) VALUES (17.1,'INYC_RE_RESUMEN','SM - Prima Anualizada Inspector RRPP Trimestral','SM-O-GEN-Inspector-PrimaAnual-906-Trim',TO_DATE('20180301','yyyymmdd'),TO_DATE('20190101','yyyymmdd'),'Version 20180508');</v>
      </c>
    </row>
    <row r="637" spans="1:2" x14ac:dyDescent="0.25">
      <c r="A637" t="str">
        <f>IF(REGLAS!J638="OBSOLETO","","INSERT INTO INYCEXT.INYC_CONF_INF_REGLAS (COD_INFORME,TABLA,NOMBRE,REGLA,F_INICIO,F_FIN,DESCRIPCION) VALUES ("&amp;REGLAS!B638&amp;",'"&amp;REGLAS!C638&amp;"','"&amp;REGLAS!D638&amp;"','"&amp;REGLAS!G638&amp;"',TO_DATE('"&amp;REGLAS!H638&amp;"','yyyymmdd'),TO_DATE('"&amp;REGLAS!I638&amp;"','yyyymmdd'),'"&amp;REGLAS!J638&amp;"');")</f>
        <v>INSERT INTO INYCEXT.INYC_CONF_INF_REGLAS (COD_INFORME,TABLA,NOMBRE,REGLA,F_INICIO,F_FIN,DESCRIPCION) VALUES (17.1,'INYC_RE_RESUMEN','SM - Prima Anualizada Inspector RRPP Trimestral','SM-O-GEN-Inspector-Prima-906-TotalAnual',TO_DATE('20190101','yyyymmdd'),TO_DATE('20190401','yyyymmdd'),'Version 20180508');</v>
      </c>
      <c r="B637" t="str">
        <f>IF(REGLAS!J638="OBSOLETO","","INSERT INTO INYCEXT.INYC_CONF_INF_REGLAS@tc_link (COD_INFORME,TABLA,NOMBRE,REGLA,F_INICIO,F_FIN,DESCRIPCION) VALUES ("&amp;REGLAS!B638&amp;",'"&amp;REGLAS!C638&amp;"','"&amp;REGLAS!D638&amp;"','"&amp;REGLAS!G638&amp;"',TO_DATE('"&amp;REGLAS!H638&amp;"','yyyymmdd'),TO_DATE('"&amp;REGLAS!I638&amp;"','yyyymmdd'),'"&amp;REGLAS!J638&amp;"');")</f>
        <v>INSERT INTO INYCEXT.INYC_CONF_INF_REGLAS@tc_link (COD_INFORME,TABLA,NOMBRE,REGLA,F_INICIO,F_FIN,DESCRIPCION) VALUES (17.1,'INYC_RE_RESUMEN','SM - Prima Anualizada Inspector RRPP Trimestral','SM-O-GEN-Inspector-Prima-906-TotalAnual',TO_DATE('20190101','yyyymmdd'),TO_DATE('20190401','yyyymmdd'),'Version 20180508');</v>
      </c>
    </row>
    <row r="638" spans="1:2" x14ac:dyDescent="0.25">
      <c r="A638" t="str">
        <f>IF(REGLAS!J639="OBSOLETO","","INSERT INTO INYCEXT.INYC_CONF_INF_REGLAS (COD_INFORME,TABLA,NOMBRE,REGLA,F_INICIO,F_FIN,DESCRIPCION) VALUES ("&amp;REGLAS!B639&amp;",'"&amp;REGLAS!C639&amp;"','"&amp;REGLAS!D639&amp;"','"&amp;REGLAS!G639&amp;"',TO_DATE('"&amp;REGLAS!H639&amp;"','yyyymmdd'),TO_DATE('"&amp;REGLAS!I639&amp;"','yyyymmdd'),'"&amp;REGLAS!J639&amp;"');")</f>
        <v>INSERT INTO INYCEXT.INYC_CONF_INF_REGLAS (COD_INFORME,TABLA,NOMBRE,REGLA,F_INICIO,F_FIN,DESCRIPCION) VALUES (17.1,'INYC_RE_RESUMEN','SM - Prima Anualizada Inspector RRPP Trimestral','SM-O-GEN-Inspector-PrimaAnual-906-Trim',TO_DATE('20190401','yyyymmdd'),TO_DATE('22000101','yyyymmdd'),'Version 20180508');</v>
      </c>
      <c r="B638" t="str">
        <f>IF(REGLAS!J639="OBSOLETO","","INSERT INTO INYCEXT.INYC_CONF_INF_REGLAS@tc_link (COD_INFORME,TABLA,NOMBRE,REGLA,F_INICIO,F_FIN,DESCRIPCION) VALUES ("&amp;REGLAS!B639&amp;",'"&amp;REGLAS!C639&amp;"','"&amp;REGLAS!D639&amp;"','"&amp;REGLAS!G639&amp;"',TO_DATE('"&amp;REGLAS!H639&amp;"','yyyymmdd'),TO_DATE('"&amp;REGLAS!I639&amp;"','yyyymmdd'),'"&amp;REGLAS!J639&amp;"');")</f>
        <v>INSERT INTO INYCEXT.INYC_CONF_INF_REGLAS@tc_link (COD_INFORME,TABLA,NOMBRE,REGLA,F_INICIO,F_FIN,DESCRIPCION) VALUES (17.1,'INYC_RE_RESUMEN','SM - Prima Anualizada Inspector RRPP Trimestral','SM-O-GEN-Inspector-PrimaAnual-906-Trim',TO_DATE('20190401','yyyymmdd'),TO_DATE('22000101','yyyymmdd'),'Version 20180508');</v>
      </c>
    </row>
    <row r="639" spans="1:2" x14ac:dyDescent="0.25">
      <c r="A639" t="str">
        <f>IF(REGLAS!J640="OBSOLETO","","INSERT INTO INYCEXT.INYC_CONF_INF_REGLAS (COD_INFORME,TABLA,NOMBRE,REGLA,F_INICIO,F_FIN,DESCRIPCION) VALUES ("&amp;REGLAS!B640&amp;",'"&amp;REGLAS!C640&amp;"','"&amp;REGLAS!D640&amp;"','"&amp;REGLAS!G640&amp;"',TO_DATE('"&amp;REGLAS!H640&amp;"','yyyymmdd'),TO_DATE('"&amp;REGLAS!I640&amp;"','yyyymmdd'),'"&amp;REGLAS!J640&amp;"');")</f>
        <v>INSERT INTO INYCEXT.INYC_CONF_INF_REGLAS (COD_INFORME,TABLA,NOMBRE,REGLA,F_INICIO,F_FIN,DESCRIPCION) VALUES (17.1,'INYC_RE_RESUMEN','SM - Objetivo Nº Pólizas RRPP','SM-O-REP-Inspector-Objetivo-PrimaAnualizada',TO_DATE('20180301','yyyymmdd'),TO_DATE('22000101','yyyymmdd'),'Version 20180326');</v>
      </c>
      <c r="B639" t="str">
        <f>IF(REGLAS!J640="OBSOLETO","","INSERT INTO INYCEXT.INYC_CONF_INF_REGLAS@tc_link (COD_INFORME,TABLA,NOMBRE,REGLA,F_INICIO,F_FIN,DESCRIPCION) VALUES ("&amp;REGLAS!B640&amp;",'"&amp;REGLAS!C640&amp;"','"&amp;REGLAS!D640&amp;"','"&amp;REGLAS!G640&amp;"',TO_DATE('"&amp;REGLAS!H640&amp;"','yyyymmdd'),TO_DATE('"&amp;REGLAS!I640&amp;"','yyyymmdd'),'"&amp;REGLAS!J640&amp;"');")</f>
        <v>INSERT INTO INYCEXT.INYC_CONF_INF_REGLAS@tc_link (COD_INFORME,TABLA,NOMBRE,REGLA,F_INICIO,F_FIN,DESCRIPCION) VALUES (17.1,'INYC_RE_RESUMEN','SM - Objetivo Nº Pólizas RRPP','SM-O-REP-Inspector-Objetivo-PrimaAnualizada',TO_DATE('20180301','yyyymmdd'),TO_DATE('22000101','yyyymmdd'),'Version 20180326');</v>
      </c>
    </row>
    <row r="640" spans="1:2" x14ac:dyDescent="0.25">
      <c r="A640" t="str">
        <f>IF(REGLAS!J641="OBSOLETO","","INSERT INTO INYCEXT.INYC_CONF_INF_REGLAS (COD_INFORME,TABLA,NOMBRE,REGLA,F_INICIO,F_FIN,DESCRIPCION) VALUES ("&amp;REGLAS!B641&amp;",'"&amp;REGLAS!C641&amp;"','"&amp;REGLAS!D641&amp;"','"&amp;REGLAS!G641&amp;"',TO_DATE('"&amp;REGLAS!H641&amp;"','yyyymmdd'),TO_DATE('"&amp;REGLAS!I641&amp;"','yyyymmdd'),'"&amp;REGLAS!J641&amp;"');")</f>
        <v>INSERT INTO INYCEXT.INYC_CONF_INF_REGLAS (COD_INFORME,TABLA,NOMBRE,REGLA,F_INICIO,F_FIN,DESCRIPCION) VALUES (17.1,'INYC_RE_RESUMEN','SM - Pago Mensual RRPP','SM-O-REP-Inspector-PagoMensual',TO_DATE('20140101','yyyymmdd'),TO_DATE('20180101','yyyymmdd'),'Version 20180324');</v>
      </c>
      <c r="B640" t="str">
        <f>IF(REGLAS!J641="OBSOLETO","","INSERT INTO INYCEXT.INYC_CONF_INF_REGLAS@tc_link (COD_INFORME,TABLA,NOMBRE,REGLA,F_INICIO,F_FIN,DESCRIPCION) VALUES ("&amp;REGLAS!B641&amp;",'"&amp;REGLAS!C641&amp;"','"&amp;REGLAS!D641&amp;"','"&amp;REGLAS!G641&amp;"',TO_DATE('"&amp;REGLAS!H641&amp;"','yyyymmdd'),TO_DATE('"&amp;REGLAS!I641&amp;"','yyyymmdd'),'"&amp;REGLAS!J641&amp;"');")</f>
        <v>INSERT INTO INYCEXT.INYC_CONF_INF_REGLAS@tc_link (COD_INFORME,TABLA,NOMBRE,REGLA,F_INICIO,F_FIN,DESCRIPCION) VALUES (17.1,'INYC_RE_RESUMEN','SM - Pago Mensual RRPP','SM-O-REP-Inspector-PagoMensual',TO_DATE('20140101','yyyymmdd'),TO_DATE('20180101','yyyymmdd'),'Version 20180324');</v>
      </c>
    </row>
    <row r="641" spans="1:2" x14ac:dyDescent="0.25">
      <c r="A641" t="str">
        <f>IF(REGLAS!J642="OBSOLETO","","INSERT INTO INYCEXT.INYC_CONF_INF_REGLAS (COD_INFORME,TABLA,NOMBRE,REGLA,F_INICIO,F_FIN,DESCRIPCION) VALUES ("&amp;REGLAS!B642&amp;",'"&amp;REGLAS!C642&amp;"','"&amp;REGLAS!D642&amp;"','"&amp;REGLAS!G642&amp;"',TO_DATE('"&amp;REGLAS!H642&amp;"','yyyymmdd'),TO_DATE('"&amp;REGLAS!I642&amp;"','yyyymmdd'),'"&amp;REGLAS!J642&amp;"');")</f>
        <v>INSERT INTO INYCEXT.INYC_CONF_INF_REGLAS (COD_INFORME,TABLA,NOMBRE,REGLA,F_INICIO,F_FIN,DESCRIPCION) VALUES (17.1,'INYC_RE_RESUMEN','SM - Pago Mensual RRPP','SM-O-REP-Inspector-Pago',TO_DATE('20180101','yyyymmdd'),TO_DATE('22000101','yyyymmdd'),'Version 20180324');</v>
      </c>
      <c r="B641" t="str">
        <f>IF(REGLAS!J642="OBSOLETO","","INSERT INTO INYCEXT.INYC_CONF_INF_REGLAS@tc_link (COD_INFORME,TABLA,NOMBRE,REGLA,F_INICIO,F_FIN,DESCRIPCION) VALUES ("&amp;REGLAS!B642&amp;",'"&amp;REGLAS!C642&amp;"','"&amp;REGLAS!D642&amp;"','"&amp;REGLAS!G642&amp;"',TO_DATE('"&amp;REGLAS!H642&amp;"','yyyymmdd'),TO_DATE('"&amp;REGLAS!I642&amp;"','yyyymmdd'),'"&amp;REGLAS!J642&amp;"');")</f>
        <v>INSERT INTO INYCEXT.INYC_CONF_INF_REGLAS@tc_link (COD_INFORME,TABLA,NOMBRE,REGLA,F_INICIO,F_FIN,DESCRIPCION) VALUES (17.1,'INYC_RE_RESUMEN','SM - Pago Mensual RRPP','SM-O-REP-Inspector-Pago',TO_DATE('20180101','yyyymmdd'),TO_DATE('22000101','yyyymmdd'),'Version 20180324');</v>
      </c>
    </row>
    <row r="642" spans="1:2" x14ac:dyDescent="0.25">
      <c r="A642" t="str">
        <f>IF(REGLAS!J643="OBSOLETO","","INSERT INTO INYCEXT.INYC_CONF_INF_REGLAS (COD_INFORME,TABLA,NOMBRE,REGLA,F_INICIO,F_FIN,DESCRIPCION) VALUES ("&amp;REGLAS!B643&amp;",'"&amp;REGLAS!C643&amp;"','"&amp;REGLAS!D643&amp;"','"&amp;REGLAS!G643&amp;"',TO_DATE('"&amp;REGLAS!H643&amp;"','yyyymmdd'),TO_DATE('"&amp;REGLAS!I643&amp;"','yyyymmdd'),'"&amp;REGLAS!J643&amp;"');")</f>
        <v>INSERT INTO INYCEXT.INYC_CONF_INF_REGLAS (COD_INFORME,TABLA,NOMBRE,REGLA,F_INICIO,F_FIN,DESCRIPCION) VALUES (17.1,'INYC_RE_RESUMEN','SM - Nº Pólizas Inspector RRTT Mensual','SM-O-GEN-Inspector-NumeroPolizas-001-TotalMes',TO_DATE('20170101','yyyymmdd'),TO_DATE('20180101','yyyymmdd'),'Version 20180324');</v>
      </c>
      <c r="B642" t="str">
        <f>IF(REGLAS!J643="OBSOLETO","","INSERT INTO INYCEXT.INYC_CONF_INF_REGLAS@tc_link (COD_INFORME,TABLA,NOMBRE,REGLA,F_INICIO,F_FIN,DESCRIPCION) VALUES ("&amp;REGLAS!B643&amp;",'"&amp;REGLAS!C643&amp;"','"&amp;REGLAS!D643&amp;"','"&amp;REGLAS!G643&amp;"',TO_DATE('"&amp;REGLAS!H643&amp;"','yyyymmdd'),TO_DATE('"&amp;REGLAS!I643&amp;"','yyyymmdd'),'"&amp;REGLAS!J643&amp;"');")</f>
        <v>INSERT INTO INYCEXT.INYC_CONF_INF_REGLAS@tc_link (COD_INFORME,TABLA,NOMBRE,REGLA,F_INICIO,F_FIN,DESCRIPCION) VALUES (17.1,'INYC_RE_RESUMEN','SM - Nº Pólizas Inspector RRTT Mensual','SM-O-GEN-Inspector-NumeroPolizas-001-TotalMes',TO_DATE('20170101','yyyymmdd'),TO_DATE('20180101','yyyymmdd'),'Version 20180324');</v>
      </c>
    </row>
    <row r="643" spans="1:2" x14ac:dyDescent="0.25">
      <c r="A643" t="str">
        <f>IF(REGLAS!J644="OBSOLETO","","INSERT INTO INYCEXT.INYC_CONF_INF_REGLAS (COD_INFORME,TABLA,NOMBRE,REGLA,F_INICIO,F_FIN,DESCRIPCION) VALUES ("&amp;REGLAS!B644&amp;",'"&amp;REGLAS!C644&amp;"','"&amp;REGLAS!D644&amp;"','"&amp;REGLAS!G644&amp;"',TO_DATE('"&amp;REGLAS!H644&amp;"','yyyymmdd'),TO_DATE('"&amp;REGLAS!I644&amp;"','yyyymmdd'),'"&amp;REGLAS!J644&amp;"');")</f>
        <v>INSERT INTO INYCEXT.INYC_CONF_INF_REGLAS (COD_INFORME,TABLA,NOMBRE,REGLA,F_INICIO,F_FIN,DESCRIPCION) VALUES (17.1,'INYC_RE_RESUMEN','SM - Nº Pólizas Inspector RRTT Mensual','SM-O-GEN-Inspector-NumeroPolizas-001-TotalMes',TO_DATE('20210101','yyyymmdd'),TO_DATE('22000101','yyyymmdd'),'Version 20210324');</v>
      </c>
      <c r="B643" t="str">
        <f>IF(REGLAS!J644="OBSOLETO","","INSERT INTO INYCEXT.INYC_CONF_INF_REGLAS@tc_link (COD_INFORME,TABLA,NOMBRE,REGLA,F_INICIO,F_FIN,DESCRIPCION) VALUES ("&amp;REGLAS!B644&amp;",'"&amp;REGLAS!C644&amp;"','"&amp;REGLAS!D644&amp;"','"&amp;REGLAS!G644&amp;"',TO_DATE('"&amp;REGLAS!H644&amp;"','yyyymmdd'),TO_DATE('"&amp;REGLAS!I644&amp;"','yyyymmdd'),'"&amp;REGLAS!J644&amp;"');")</f>
        <v>INSERT INTO INYCEXT.INYC_CONF_INF_REGLAS@tc_link (COD_INFORME,TABLA,NOMBRE,REGLA,F_INICIO,F_FIN,DESCRIPCION) VALUES (17.1,'INYC_RE_RESUMEN','SM - Nº Pólizas Inspector RRTT Mensual','SM-O-GEN-Inspector-NumeroPolizas-001-TotalMes',TO_DATE('20210101','yyyymmdd'),TO_DATE('22000101','yyyymmdd'),'Version 20210324');</v>
      </c>
    </row>
    <row r="644" spans="1:2" x14ac:dyDescent="0.25">
      <c r="A644" t="str">
        <f>IF(REGLAS!J645="OBSOLETO","","INSERT INTO INYCEXT.INYC_CONF_INF_REGLAS (COD_INFORME,TABLA,NOMBRE,REGLA,F_INICIO,F_FIN,DESCRIPCION) VALUES ("&amp;REGLAS!B645&amp;",'"&amp;REGLAS!C645&amp;"','"&amp;REGLAS!D645&amp;"','"&amp;REGLAS!G645&amp;"',TO_DATE('"&amp;REGLAS!H645&amp;"','yyyymmdd'),TO_DATE('"&amp;REGLAS!I645&amp;"','yyyymmdd'),'"&amp;REGLAS!J645&amp;"');")</f>
        <v>INSERT INTO INYCEXT.INYC_CONF_INF_REGLAS (COD_INFORME,TABLA,NOMBRE,REGLA,F_INICIO,F_FIN,DESCRIPCION) VALUES (17.1,'INYC_RE_RESUMEN','SM - Nº Asegurados Inspector Mensual','SM-O-GEN-Inspector-NumAsegurados-TotalMes',TO_DATE('20180101','yyyymmdd'),TO_DATE('22000101','yyyymmdd'),'Version 20180324');</v>
      </c>
      <c r="B644" t="str">
        <f>IF(REGLAS!J645="OBSOLETO","","INSERT INTO INYCEXT.INYC_CONF_INF_REGLAS@tc_link (COD_INFORME,TABLA,NOMBRE,REGLA,F_INICIO,F_FIN,DESCRIPCION) VALUES ("&amp;REGLAS!B645&amp;",'"&amp;REGLAS!C645&amp;"','"&amp;REGLAS!D645&amp;"','"&amp;REGLAS!G645&amp;"',TO_DATE('"&amp;REGLAS!H645&amp;"','yyyymmdd'),TO_DATE('"&amp;REGLAS!I645&amp;"','yyyymmdd'),'"&amp;REGLAS!J645&amp;"');")</f>
        <v>INSERT INTO INYCEXT.INYC_CONF_INF_REGLAS@tc_link (COD_INFORME,TABLA,NOMBRE,REGLA,F_INICIO,F_FIN,DESCRIPCION) VALUES (17.1,'INYC_RE_RESUMEN','SM - Nº Asegurados Inspector Mensual','SM-O-GEN-Inspector-NumAsegurados-TotalMes',TO_DATE('20180101','yyyymmdd'),TO_DATE('22000101','yyyymmdd'),'Version 20180324');</v>
      </c>
    </row>
    <row r="645" spans="1:2" x14ac:dyDescent="0.25">
      <c r="A645" t="str">
        <f>IF(REGLAS!J646="OBSOLETO","","INSERT INTO INYCEXT.INYC_CONF_INF_REGLAS (COD_INFORME,TABLA,NOMBRE,REGLA,F_INICIO,F_FIN,DESCRIPCION) VALUES ("&amp;REGLAS!B646&amp;",'"&amp;REGLAS!C646&amp;"','"&amp;REGLAS!D646&amp;"','"&amp;REGLAS!G646&amp;"',TO_DATE('"&amp;REGLAS!H646&amp;"','yyyymmdd'),TO_DATE('"&amp;REGLAS!I646&amp;"','yyyymmdd'),'"&amp;REGLAS!J646&amp;"');")</f>
        <v>INSERT INTO INYCEXT.INYC_CONF_INF_REGLAS (COD_INFORME,TABLA,NOMBRE,REGLA,F_INICIO,F_FIN,DESCRIPCION) VALUES (17.1,'INYC_RE_RESUMEN','SM - Objetivo Nº Pólizas RRTT','SM-O-RETT-Inspector-Objetivo-NumeroPolizas',TO_DATE('20170101','yyyymmdd'),TO_DATE('22000101','yyyymmdd'),'');</v>
      </c>
      <c r="B645" t="str">
        <f>IF(REGLAS!J646="OBSOLETO","","INSERT INTO INYCEXT.INYC_CONF_INF_REGLAS@tc_link (COD_INFORME,TABLA,NOMBRE,REGLA,F_INICIO,F_FIN,DESCRIPCION) VALUES ("&amp;REGLAS!B646&amp;",'"&amp;REGLAS!C646&amp;"','"&amp;REGLAS!D646&amp;"','"&amp;REGLAS!G646&amp;"',TO_DATE('"&amp;REGLAS!H646&amp;"','yyyymmdd'),TO_DATE('"&amp;REGLAS!I646&amp;"','yyyymmdd'),'"&amp;REGLAS!J646&amp;"');")</f>
        <v>INSERT INTO INYCEXT.INYC_CONF_INF_REGLAS@tc_link (COD_INFORME,TABLA,NOMBRE,REGLA,F_INICIO,F_FIN,DESCRIPCION) VALUES (17.1,'INYC_RE_RESUMEN','SM - Objetivo Nº Pólizas RRTT','SM-O-RETT-Inspector-Objetivo-NumeroPolizas',TO_DATE('20170101','yyyymmdd'),TO_DATE('22000101','yyyymmdd'),'');</v>
      </c>
    </row>
    <row r="646" spans="1:2" x14ac:dyDescent="0.25">
      <c r="A646" t="str">
        <f>IF(REGLAS!J647="OBSOLETO","","INSERT INTO INYCEXT.INYC_CONF_INF_REGLAS (COD_INFORME,TABLA,NOMBRE,REGLA,F_INICIO,F_FIN,DESCRIPCION) VALUES ("&amp;REGLAS!B647&amp;",'"&amp;REGLAS!C647&amp;"','"&amp;REGLAS!D647&amp;"','"&amp;REGLAS!G647&amp;"',TO_DATE('"&amp;REGLAS!H647&amp;"','yyyymmdd'),TO_DATE('"&amp;REGLAS!I647&amp;"','yyyymmdd'),'"&amp;REGLAS!J647&amp;"');")</f>
        <v>INSERT INTO INYCEXT.INYC_CONF_INF_REGLAS (COD_INFORME,TABLA,NOMBRE,REGLA,F_INICIO,F_FIN,DESCRIPCION) VALUES (17.1,'INYC_RE_RESUMEN','SM - Pago Mensual RRTT','SM-O-RETT-Inspector-PagoMensual',TO_DATE('20170101','yyyymmdd'),TO_DATE('20180101','yyyymmdd'),'Version 20180324');</v>
      </c>
      <c r="B646" t="str">
        <f>IF(REGLAS!J647="OBSOLETO","","INSERT INTO INYCEXT.INYC_CONF_INF_REGLAS@tc_link (COD_INFORME,TABLA,NOMBRE,REGLA,F_INICIO,F_FIN,DESCRIPCION) VALUES ("&amp;REGLAS!B647&amp;",'"&amp;REGLAS!C647&amp;"','"&amp;REGLAS!D647&amp;"','"&amp;REGLAS!G647&amp;"',TO_DATE('"&amp;REGLAS!H647&amp;"','yyyymmdd'),TO_DATE('"&amp;REGLAS!I647&amp;"','yyyymmdd'),'"&amp;REGLAS!J647&amp;"');")</f>
        <v>INSERT INTO INYCEXT.INYC_CONF_INF_REGLAS@tc_link (COD_INFORME,TABLA,NOMBRE,REGLA,F_INICIO,F_FIN,DESCRIPCION) VALUES (17.1,'INYC_RE_RESUMEN','SM - Pago Mensual RRTT','SM-O-RETT-Inspector-PagoMensual',TO_DATE('20170101','yyyymmdd'),TO_DATE('20180101','yyyymmdd'),'Version 20180324');</v>
      </c>
    </row>
    <row r="647" spans="1:2" x14ac:dyDescent="0.25">
      <c r="A647" t="str">
        <f>IF(REGLAS!J648="OBSOLETO","","INSERT INTO INYCEXT.INYC_CONF_INF_REGLAS (COD_INFORME,TABLA,NOMBRE,REGLA,F_INICIO,F_FIN,DESCRIPCION) VALUES ("&amp;REGLAS!B648&amp;",'"&amp;REGLAS!C648&amp;"','"&amp;REGLAS!D648&amp;"','"&amp;REGLAS!G648&amp;"',TO_DATE('"&amp;REGLAS!H648&amp;"','yyyymmdd'),TO_DATE('"&amp;REGLAS!I648&amp;"','yyyymmdd'),'"&amp;REGLAS!J648&amp;"');")</f>
        <v>INSERT INTO INYCEXT.INYC_CONF_INF_REGLAS (COD_INFORME,TABLA,NOMBRE,REGLA,F_INICIO,F_FIN,DESCRIPCION) VALUES (17.1,'INYC_RE_RESUMEN','SM - Pago Mensual RRTT','SM-O-RETT-Inspector-Pago',TO_DATE('20180101','yyyymmdd'),TO_DATE('22000101','yyyymmdd'),'Version 20180324');</v>
      </c>
      <c r="B647" t="str">
        <f>IF(REGLAS!J648="OBSOLETO","","INSERT INTO INYCEXT.INYC_CONF_INF_REGLAS@tc_link (COD_INFORME,TABLA,NOMBRE,REGLA,F_INICIO,F_FIN,DESCRIPCION) VALUES ("&amp;REGLAS!B648&amp;",'"&amp;REGLAS!C648&amp;"','"&amp;REGLAS!D648&amp;"','"&amp;REGLAS!G648&amp;"',TO_DATE('"&amp;REGLAS!H648&amp;"','yyyymmdd'),TO_DATE('"&amp;REGLAS!I648&amp;"','yyyymmdd'),'"&amp;REGLAS!J648&amp;"');")</f>
        <v>INSERT INTO INYCEXT.INYC_CONF_INF_REGLAS@tc_link (COD_INFORME,TABLA,NOMBRE,REGLA,F_INICIO,F_FIN,DESCRIPCION) VALUES (17.1,'INYC_RE_RESUMEN','SM - Pago Mensual RRTT','SM-O-RETT-Inspector-Pago',TO_DATE('20180101','yyyymmdd'),TO_DATE('22000101','yyyymmdd'),'Version 20180324');</v>
      </c>
    </row>
    <row r="648" spans="1:2" x14ac:dyDescent="0.25">
      <c r="A648" t="str">
        <f>IF(REGLAS!J649="OBSOLETO","","INSERT INTO INYCEXT.INYC_CONF_INF_REGLAS (COD_INFORME,TABLA,NOMBRE,REGLA,F_INICIO,F_FIN,DESCRIPCION) VALUES ("&amp;REGLAS!B649&amp;",'"&amp;REGLAS!C649&amp;"','"&amp;REGLAS!D649&amp;"','"&amp;REGLAS!G649&amp;"',TO_DATE('"&amp;REGLAS!H649&amp;"','yyyymmdd'),TO_DATE('"&amp;REGLAS!I649&amp;"','yyyymmdd'),'"&amp;REGLAS!J649&amp;"');")</f>
        <v>INSERT INTO INYCEXT.INYC_CONF_INF_REGLAS (COD_INFORME,TABLA,NOMBRE,REGLA,F_INICIO,F_FIN,DESCRIPCION) VALUES (17.1,'INYC_RE_RESUMEN','PM - Nº Pólizas Propias Hogar','PM-O-GEN-Inspector-NumeroPolizas-002',TO_DATE('20140101','yyyymmdd'),TO_DATE('22000101','yyyymmdd'),'');</v>
      </c>
      <c r="B648" t="str">
        <f>IF(REGLAS!J649="OBSOLETO","","INSERT INTO INYCEXT.INYC_CONF_INF_REGLAS@tc_link (COD_INFORME,TABLA,NOMBRE,REGLA,F_INICIO,F_FIN,DESCRIPCION) VALUES ("&amp;REGLAS!B649&amp;",'"&amp;REGLAS!C649&amp;"','"&amp;REGLAS!D649&amp;"','"&amp;REGLAS!G649&amp;"',TO_DATE('"&amp;REGLAS!H649&amp;"','yyyymmdd'),TO_DATE('"&amp;REGLAS!I649&amp;"','yyyymmdd'),'"&amp;REGLAS!J649&amp;"');")</f>
        <v>INSERT INTO INYCEXT.INYC_CONF_INF_REGLAS@tc_link (COD_INFORME,TABLA,NOMBRE,REGLA,F_INICIO,F_FIN,DESCRIPCION) VALUES (17.1,'INYC_RE_RESUMEN','PM - Nº Pólizas Propias Hogar','PM-O-GEN-Inspector-NumeroPolizas-002',TO_DATE('20140101','yyyymmdd'),TO_DATE('22000101','yyyymmdd'),'');</v>
      </c>
    </row>
    <row r="649" spans="1:2" x14ac:dyDescent="0.25">
      <c r="A649" t="str">
        <f>IF(REGLAS!J650="OBSOLETO","","INSERT INTO INYCEXT.INYC_CONF_INF_REGLAS (COD_INFORME,TABLA,NOMBRE,REGLA,F_INICIO,F_FIN,DESCRIPCION) VALUES ("&amp;REGLAS!B650&amp;",'"&amp;REGLAS!C650&amp;"','"&amp;REGLAS!D650&amp;"','"&amp;REGLAS!G650&amp;"',TO_DATE('"&amp;REGLAS!H650&amp;"','yyyymmdd'),TO_DATE('"&amp;REGLAS!I650&amp;"','yyyymmdd'),'"&amp;REGLAS!J650&amp;"');")</f>
        <v>INSERT INTO INYCEXT.INYC_CONF_INF_REGLAS (COD_INFORME,TABLA,NOMBRE,REGLA,F_INICIO,F_FIN,DESCRIPCION) VALUES (17.1,'INYC_RE_RESUMEN','PM - Nº Pólizas Resto Agentes Hogar','PM-O-GEN-Inspector-NumeroPolizas-002-Agentes',TO_DATE('20140101','yyyymmdd'),TO_DATE('22000101','yyyymmdd'),'');</v>
      </c>
      <c r="B649" t="str">
        <f>IF(REGLAS!J650="OBSOLETO","","INSERT INTO INYCEXT.INYC_CONF_INF_REGLAS@tc_link (COD_INFORME,TABLA,NOMBRE,REGLA,F_INICIO,F_FIN,DESCRIPCION) VALUES ("&amp;REGLAS!B650&amp;",'"&amp;REGLAS!C650&amp;"','"&amp;REGLAS!D650&amp;"','"&amp;REGLAS!G650&amp;"',TO_DATE('"&amp;REGLAS!H650&amp;"','yyyymmdd'),TO_DATE('"&amp;REGLAS!I650&amp;"','yyyymmdd'),'"&amp;REGLAS!J650&amp;"');")</f>
        <v>INSERT INTO INYCEXT.INYC_CONF_INF_REGLAS@tc_link (COD_INFORME,TABLA,NOMBRE,REGLA,F_INICIO,F_FIN,DESCRIPCION) VALUES (17.1,'INYC_RE_RESUMEN','PM - Nº Pólizas Resto Agentes Hogar','PM-O-GEN-Inspector-NumeroPolizas-002-Agentes',TO_DATE('20140101','yyyymmdd'),TO_DATE('22000101','yyyymmdd'),'');</v>
      </c>
    </row>
    <row r="650" spans="1:2" x14ac:dyDescent="0.25">
      <c r="A650" t="str">
        <f>IF(REGLAS!J651="OBSOLETO","","INSERT INTO INYCEXT.INYC_CONF_INF_REGLAS (COD_INFORME,TABLA,NOMBRE,REGLA,F_INICIO,F_FIN,DESCRIPCION) VALUES ("&amp;REGLAS!B651&amp;",'"&amp;REGLAS!C651&amp;"','"&amp;REGLAS!D651&amp;"','"&amp;REGLAS!G651&amp;"',TO_DATE('"&amp;REGLAS!H651&amp;"','yyyymmdd'),TO_DATE('"&amp;REGLAS!I651&amp;"','yyyymmdd'),'"&amp;REGLAS!J651&amp;"');")</f>
        <v>INSERT INTO INYCEXT.INYC_CONF_INF_REGLAS (COD_INFORME,TABLA,NOMBRE,REGLA,F_INICIO,F_FIN,DESCRIPCION) VALUES (17.1,'INYC_RE_RESUMEN','PM - Primas Anualizadas Hogar','PM-O-GEN-Inspector-PrimaAnual-002',TO_DATE('20180101','yyyymmdd'),TO_DATE('22000101','yyyymmdd'),'Version 20180326');</v>
      </c>
      <c r="B650" t="str">
        <f>IF(REGLAS!J651="OBSOLETO","","INSERT INTO INYCEXT.INYC_CONF_INF_REGLAS@tc_link (COD_INFORME,TABLA,NOMBRE,REGLA,F_INICIO,F_FIN,DESCRIPCION) VALUES ("&amp;REGLAS!B651&amp;",'"&amp;REGLAS!C651&amp;"','"&amp;REGLAS!D651&amp;"','"&amp;REGLAS!G651&amp;"',TO_DATE('"&amp;REGLAS!H651&amp;"','yyyymmdd'),TO_DATE('"&amp;REGLAS!I651&amp;"','yyyymmdd'),'"&amp;REGLAS!J651&amp;"');")</f>
        <v>INSERT INTO INYCEXT.INYC_CONF_INF_REGLAS@tc_link (COD_INFORME,TABLA,NOMBRE,REGLA,F_INICIO,F_FIN,DESCRIPCION) VALUES (17.1,'INYC_RE_RESUMEN','PM - Primas Anualizadas Hogar','PM-O-GEN-Inspector-PrimaAnual-002',TO_DATE('20180101','yyyymmdd'),TO_DATE('22000101','yyyymmdd'),'Version 20180326');</v>
      </c>
    </row>
    <row r="651" spans="1:2" x14ac:dyDescent="0.25">
      <c r="A651" t="str">
        <f>IF(REGLAS!J652="OBSOLETO","","INSERT INTO INYCEXT.INYC_CONF_INF_REGLAS (COD_INFORME,TABLA,NOMBRE,REGLA,F_INICIO,F_FIN,DESCRIPCION) VALUES ("&amp;REGLAS!B652&amp;",'"&amp;REGLAS!C652&amp;"','"&amp;REGLAS!D652&amp;"','"&amp;REGLAS!G652&amp;"',TO_DATE('"&amp;REGLAS!H652&amp;"','yyyymmdd'),TO_DATE('"&amp;REGLAS!I652&amp;"','yyyymmdd'),'"&amp;REGLAS!J652&amp;"');")</f>
        <v>INSERT INTO INYCEXT.INYC_CONF_INF_REGLAS (COD_INFORME,TABLA,NOMBRE,REGLA,F_INICIO,F_FIN,DESCRIPCION) VALUES (17.1,'INYC_RE_RESUMEN','PM - Nº Pólizas Propias RRPP','PM-O-GEN-Inspector-NumeroPolizas-906',TO_DATE('20140101','yyyymmdd'),TO_DATE('22000101','yyyymmdd'),'');</v>
      </c>
      <c r="B651" t="str">
        <f>IF(REGLAS!J652="OBSOLETO","","INSERT INTO INYCEXT.INYC_CONF_INF_REGLAS@tc_link (COD_INFORME,TABLA,NOMBRE,REGLA,F_INICIO,F_FIN,DESCRIPCION) VALUES ("&amp;REGLAS!B652&amp;",'"&amp;REGLAS!C652&amp;"','"&amp;REGLAS!D652&amp;"','"&amp;REGLAS!G652&amp;"',TO_DATE('"&amp;REGLAS!H652&amp;"','yyyymmdd'),TO_DATE('"&amp;REGLAS!I652&amp;"','yyyymmdd'),'"&amp;REGLAS!J652&amp;"');")</f>
        <v>INSERT INTO INYCEXT.INYC_CONF_INF_REGLAS@tc_link (COD_INFORME,TABLA,NOMBRE,REGLA,F_INICIO,F_FIN,DESCRIPCION) VALUES (17.1,'INYC_RE_RESUMEN','PM - Nº Pólizas Propias RRPP','PM-O-GEN-Inspector-NumeroPolizas-906',TO_DATE('20140101','yyyymmdd'),TO_DATE('22000101','yyyymmdd'),'');</v>
      </c>
    </row>
    <row r="652" spans="1:2" x14ac:dyDescent="0.25">
      <c r="A652" t="str">
        <f>IF(REGLAS!J653="OBSOLETO","","INSERT INTO INYCEXT.INYC_CONF_INF_REGLAS (COD_INFORME,TABLA,NOMBRE,REGLA,F_INICIO,F_FIN,DESCRIPCION) VALUES ("&amp;REGLAS!B653&amp;",'"&amp;REGLAS!C653&amp;"','"&amp;REGLAS!D653&amp;"','"&amp;REGLAS!G653&amp;"',TO_DATE('"&amp;REGLAS!H653&amp;"','yyyymmdd'),TO_DATE('"&amp;REGLAS!I653&amp;"','yyyymmdd'),'"&amp;REGLAS!J653&amp;"');")</f>
        <v>INSERT INTO INYCEXT.INYC_CONF_INF_REGLAS (COD_INFORME,TABLA,NOMBRE,REGLA,F_INICIO,F_FIN,DESCRIPCION) VALUES (17.1,'INYC_RE_RESUMEN','PM - Nº Pólizas Resto Agentes RRPP','PM-O-GEN-Inspector-NumeroPolizas-906-Agentes',TO_DATE('20140101','yyyymmdd'),TO_DATE('22000101','yyyymmdd'),'');</v>
      </c>
      <c r="B652" t="str">
        <f>IF(REGLAS!J653="OBSOLETO","","INSERT INTO INYCEXT.INYC_CONF_INF_REGLAS@tc_link (COD_INFORME,TABLA,NOMBRE,REGLA,F_INICIO,F_FIN,DESCRIPCION) VALUES ("&amp;REGLAS!B653&amp;",'"&amp;REGLAS!C653&amp;"','"&amp;REGLAS!D653&amp;"','"&amp;REGLAS!G653&amp;"',TO_DATE('"&amp;REGLAS!H653&amp;"','yyyymmdd'),TO_DATE('"&amp;REGLAS!I653&amp;"','yyyymmdd'),'"&amp;REGLAS!J653&amp;"');")</f>
        <v>INSERT INTO INYCEXT.INYC_CONF_INF_REGLAS@tc_link (COD_INFORME,TABLA,NOMBRE,REGLA,F_INICIO,F_FIN,DESCRIPCION) VALUES (17.1,'INYC_RE_RESUMEN','PM - Nº Pólizas Resto Agentes RRPP','PM-O-GEN-Inspector-NumeroPolizas-906-Agentes',TO_DATE('20140101','yyyymmdd'),TO_DATE('22000101','yyyymmdd'),'');</v>
      </c>
    </row>
    <row r="653" spans="1:2" x14ac:dyDescent="0.25">
      <c r="A653" t="str">
        <f>IF(REGLAS!J654="OBSOLETO","","INSERT INTO INYCEXT.INYC_CONF_INF_REGLAS (COD_INFORME,TABLA,NOMBRE,REGLA,F_INICIO,F_FIN,DESCRIPCION) VALUES ("&amp;REGLAS!B654&amp;",'"&amp;REGLAS!C654&amp;"','"&amp;REGLAS!D654&amp;"','"&amp;REGLAS!G654&amp;"',TO_DATE('"&amp;REGLAS!H654&amp;"','yyyymmdd'),TO_DATE('"&amp;REGLAS!I654&amp;"','yyyymmdd'),'"&amp;REGLAS!J654&amp;"');")</f>
        <v>INSERT INTO INYCEXT.INYC_CONF_INF_REGLAS (COD_INFORME,TABLA,NOMBRE,REGLA,F_INICIO,F_FIN,DESCRIPCION) VALUES (17.1,'INYC_RE_RESUMEN','PM - Primas Anulaizadas RRPP','PM-O-GEN-Inspector-PrimaAnual-906',TO_DATE('20180101','yyyymmdd'),TO_DATE('22000101','yyyymmdd'),'Version 20180326');</v>
      </c>
      <c r="B653" t="str">
        <f>IF(REGLAS!J654="OBSOLETO","","INSERT INTO INYCEXT.INYC_CONF_INF_REGLAS@tc_link (COD_INFORME,TABLA,NOMBRE,REGLA,F_INICIO,F_FIN,DESCRIPCION) VALUES ("&amp;REGLAS!B654&amp;",'"&amp;REGLAS!C654&amp;"','"&amp;REGLAS!D654&amp;"','"&amp;REGLAS!G654&amp;"',TO_DATE('"&amp;REGLAS!H654&amp;"','yyyymmdd'),TO_DATE('"&amp;REGLAS!I654&amp;"','yyyymmdd'),'"&amp;REGLAS!J654&amp;"');")</f>
        <v>INSERT INTO INYCEXT.INYC_CONF_INF_REGLAS@tc_link (COD_INFORME,TABLA,NOMBRE,REGLA,F_INICIO,F_FIN,DESCRIPCION) VALUES (17.1,'INYC_RE_RESUMEN','PM - Primas Anulaizadas RRPP','PM-O-GEN-Inspector-PrimaAnual-906',TO_DATE('20180101','yyyymmdd'),TO_DATE('22000101','yyyymmdd'),'Version 20180326');</v>
      </c>
    </row>
    <row r="654" spans="1:2" x14ac:dyDescent="0.25">
      <c r="A654" t="str">
        <f>IF(REGLAS!J655="OBSOLETO","","INSERT INTO INYCEXT.INYC_CONF_INF_REGLAS (COD_INFORME,TABLA,NOMBRE,REGLA,F_INICIO,F_FIN,DESCRIPCION) VALUES ("&amp;REGLAS!B655&amp;",'"&amp;REGLAS!C655&amp;"','"&amp;REGLAS!D655&amp;"','"&amp;REGLAS!G655&amp;"',TO_DATE('"&amp;REGLAS!H655&amp;"','yyyymmdd'),TO_DATE('"&amp;REGLAS!I655&amp;"','yyyymmdd'),'"&amp;REGLAS!J655&amp;"');")</f>
        <v>INSERT INTO INYCEXT.INYC_CONF_INF_REGLAS (COD_INFORME,TABLA,NOMBRE,REGLA,F_INICIO,F_FIN,DESCRIPCION) VALUES (17.1,'INYC_RE_RESUMEN','PM - Nº Pólizas Propias RRTT','PM-O-GEN-Inspector-NumeroPolizas-001',TO_DATE('20170101','yyyymmdd'),TO_DATE('20180101','yyyymmdd'),'Version 20180324');</v>
      </c>
      <c r="B654" t="str">
        <f>IF(REGLAS!J655="OBSOLETO","","INSERT INTO INYCEXT.INYC_CONF_INF_REGLAS@tc_link (COD_INFORME,TABLA,NOMBRE,REGLA,F_INICIO,F_FIN,DESCRIPCION) VALUES ("&amp;REGLAS!B655&amp;",'"&amp;REGLAS!C655&amp;"','"&amp;REGLAS!D655&amp;"','"&amp;REGLAS!G655&amp;"',TO_DATE('"&amp;REGLAS!H655&amp;"','yyyymmdd'),TO_DATE('"&amp;REGLAS!I655&amp;"','yyyymmdd'),'"&amp;REGLAS!J655&amp;"');")</f>
        <v>INSERT INTO INYCEXT.INYC_CONF_INF_REGLAS@tc_link (COD_INFORME,TABLA,NOMBRE,REGLA,F_INICIO,F_FIN,DESCRIPCION) VALUES (17.1,'INYC_RE_RESUMEN','PM - Nº Pólizas Propias RRTT','PM-O-GEN-Inspector-NumeroPolizas-001',TO_DATE('20170101','yyyymmdd'),TO_DATE('20180101','yyyymmdd'),'Version 20180324');</v>
      </c>
    </row>
    <row r="655" spans="1:2" x14ac:dyDescent="0.25">
      <c r="A655" t="str">
        <f>IF(REGLAS!J656="OBSOLETO","","INSERT INTO INYCEXT.INYC_CONF_INF_REGLAS (COD_INFORME,TABLA,NOMBRE,REGLA,F_INICIO,F_FIN,DESCRIPCION) VALUES ("&amp;REGLAS!B656&amp;",'"&amp;REGLAS!C656&amp;"','"&amp;REGLAS!D656&amp;"','"&amp;REGLAS!G656&amp;"',TO_DATE('"&amp;REGLAS!H656&amp;"','yyyymmdd'),TO_DATE('"&amp;REGLAS!I656&amp;"','yyyymmdd'),'"&amp;REGLAS!J656&amp;"');")</f>
        <v>INSERT INTO INYCEXT.INYC_CONF_INF_REGLAS (COD_INFORME,TABLA,NOMBRE,REGLA,F_INICIO,F_FIN,DESCRIPCION) VALUES (17.1,'INYC_RE_RESUMEN','PM - Nº Pólizas Resto Agentes RRTT','PM-O-GEN-Inspector-NumeroPolizas-001-Agentes',TO_DATE('20170101','yyyymmdd'),TO_DATE('20180101','yyyymmdd'),'Version 20180324');</v>
      </c>
      <c r="B655" t="str">
        <f>IF(REGLAS!J656="OBSOLETO","","INSERT INTO INYCEXT.INYC_CONF_INF_REGLAS@tc_link (COD_INFORME,TABLA,NOMBRE,REGLA,F_INICIO,F_FIN,DESCRIPCION) VALUES ("&amp;REGLAS!B656&amp;",'"&amp;REGLAS!C656&amp;"','"&amp;REGLAS!D656&amp;"','"&amp;REGLAS!G656&amp;"',TO_DATE('"&amp;REGLAS!H656&amp;"','yyyymmdd'),TO_DATE('"&amp;REGLAS!I656&amp;"','yyyymmdd'),'"&amp;REGLAS!J656&amp;"');")</f>
        <v>INSERT INTO INYCEXT.INYC_CONF_INF_REGLAS@tc_link (COD_INFORME,TABLA,NOMBRE,REGLA,F_INICIO,F_FIN,DESCRIPCION) VALUES (17.1,'INYC_RE_RESUMEN','PM - Nº Pólizas Resto Agentes RRTT','PM-O-GEN-Inspector-NumeroPolizas-001-Agentes',TO_DATE('20170101','yyyymmdd'),TO_DATE('20180101','yyyymmdd'),'Version 20180324');</v>
      </c>
    </row>
    <row r="656" spans="1:2" x14ac:dyDescent="0.25">
      <c r="A656" t="str">
        <f>IF(REGLAS!J657="OBSOLETO","","INSERT INTO INYCEXT.INYC_CONF_INF_REGLAS (COD_INFORME,TABLA,NOMBRE,REGLA,F_INICIO,F_FIN,DESCRIPCION) VALUES ("&amp;REGLAS!B657&amp;",'"&amp;REGLAS!C657&amp;"','"&amp;REGLAS!D657&amp;"','"&amp;REGLAS!G657&amp;"',TO_DATE('"&amp;REGLAS!H657&amp;"','yyyymmdd'),TO_DATE('"&amp;REGLAS!I657&amp;"','yyyymmdd'),'"&amp;REGLAS!J657&amp;"');")</f>
        <v>INSERT INTO INYCEXT.INYC_CONF_INF_REGLAS (COD_INFORME,TABLA,NOMBRE,REGLA,F_INICIO,F_FIN,DESCRIPCION) VALUES (17.1,'INYC_RE_RESUMEN','PM - Nº Pólizas Propias RRTT','PM-O-GEN-Inspector-NumeroPolizas-001',TO_DATE('20210101','yyyymmdd'),TO_DATE('22000101','yyyymmdd'),'Version 20210324');</v>
      </c>
      <c r="B656" t="str">
        <f>IF(REGLAS!J657="OBSOLETO","","INSERT INTO INYCEXT.INYC_CONF_INF_REGLAS@tc_link (COD_INFORME,TABLA,NOMBRE,REGLA,F_INICIO,F_FIN,DESCRIPCION) VALUES ("&amp;REGLAS!B657&amp;",'"&amp;REGLAS!C657&amp;"','"&amp;REGLAS!D657&amp;"','"&amp;REGLAS!G657&amp;"',TO_DATE('"&amp;REGLAS!H657&amp;"','yyyymmdd'),TO_DATE('"&amp;REGLAS!I657&amp;"','yyyymmdd'),'"&amp;REGLAS!J657&amp;"');")</f>
        <v>INSERT INTO INYCEXT.INYC_CONF_INF_REGLAS@tc_link (COD_INFORME,TABLA,NOMBRE,REGLA,F_INICIO,F_FIN,DESCRIPCION) VALUES (17.1,'INYC_RE_RESUMEN','PM - Nº Pólizas Propias RRTT','PM-O-GEN-Inspector-NumeroPolizas-001',TO_DATE('20210101','yyyymmdd'),TO_DATE('22000101','yyyymmdd'),'Version 20210324');</v>
      </c>
    </row>
    <row r="657" spans="1:2" x14ac:dyDescent="0.25">
      <c r="A657" t="str">
        <f>IF(REGLAS!J658="OBSOLETO","","INSERT INTO INYCEXT.INYC_CONF_INF_REGLAS (COD_INFORME,TABLA,NOMBRE,REGLA,F_INICIO,F_FIN,DESCRIPCION) VALUES ("&amp;REGLAS!B658&amp;",'"&amp;REGLAS!C658&amp;"','"&amp;REGLAS!D658&amp;"','"&amp;REGLAS!G658&amp;"',TO_DATE('"&amp;REGLAS!H658&amp;"','yyyymmdd'),TO_DATE('"&amp;REGLAS!I658&amp;"','yyyymmdd'),'"&amp;REGLAS!J658&amp;"');")</f>
        <v>INSERT INTO INYCEXT.INYC_CONF_INF_REGLAS (COD_INFORME,TABLA,NOMBRE,REGLA,F_INICIO,F_FIN,DESCRIPCION) VALUES (17.1,'INYC_RE_RESUMEN','PM - Nº Pólizas Resto Agentes RRTT','PM-O-GEN-Inspector-NumeroPolizas-001-Agentes',TO_DATE('20210101','yyyymmdd'),TO_DATE('22000101','yyyymmdd'),'Version 20210324');</v>
      </c>
      <c r="B657" t="str">
        <f>IF(REGLAS!J658="OBSOLETO","","INSERT INTO INYCEXT.INYC_CONF_INF_REGLAS@tc_link (COD_INFORME,TABLA,NOMBRE,REGLA,F_INICIO,F_FIN,DESCRIPCION) VALUES ("&amp;REGLAS!B658&amp;",'"&amp;REGLAS!C658&amp;"','"&amp;REGLAS!D658&amp;"','"&amp;REGLAS!G658&amp;"',TO_DATE('"&amp;REGLAS!H658&amp;"','yyyymmdd'),TO_DATE('"&amp;REGLAS!I658&amp;"','yyyymmdd'),'"&amp;REGLAS!J658&amp;"');")</f>
        <v>INSERT INTO INYCEXT.INYC_CONF_INF_REGLAS@tc_link (COD_INFORME,TABLA,NOMBRE,REGLA,F_INICIO,F_FIN,DESCRIPCION) VALUES (17.1,'INYC_RE_RESUMEN','PM - Nº Pólizas Resto Agentes RRTT','PM-O-GEN-Inspector-NumeroPolizas-001-Agentes',TO_DATE('20210101','yyyymmdd'),TO_DATE('22000101','yyyymmdd'),'Version 20210324');</v>
      </c>
    </row>
    <row r="658" spans="1:2" x14ac:dyDescent="0.25">
      <c r="A658" t="str">
        <f>IF(REGLAS!J659="OBSOLETO","","INSERT INTO INYCEXT.INYC_CONF_INF_REGLAS (COD_INFORME,TABLA,NOMBRE,REGLA,F_INICIO,F_FIN,DESCRIPCION) VALUES ("&amp;REGLAS!B659&amp;",'"&amp;REGLAS!C659&amp;"','"&amp;REGLAS!D659&amp;"','"&amp;REGLAS!G659&amp;"',TO_DATE('"&amp;REGLAS!H659&amp;"','yyyymmdd'),TO_DATE('"&amp;REGLAS!I659&amp;"','yyyymmdd'),'"&amp;REGLAS!J659&amp;"');")</f>
        <v>INSERT INTO INYCEXT.INYC_CONF_INF_REGLAS (COD_INFORME,TABLA,NOMBRE,REGLA,F_INICIO,F_FIN,DESCRIPCION) VALUES (17.1,'INYC_RE_RESUMEN','PM - Nº Asegurados Inspector','PM-O-GEN-Agente-NumAsegurados',TO_DATE('20180101','yyyymmdd'),TO_DATE('22000101','yyyymmdd'),'Version 20180324');</v>
      </c>
      <c r="B658" t="str">
        <f>IF(REGLAS!J659="OBSOLETO","","INSERT INTO INYCEXT.INYC_CONF_INF_REGLAS@tc_link (COD_INFORME,TABLA,NOMBRE,REGLA,F_INICIO,F_FIN,DESCRIPCION) VALUES ("&amp;REGLAS!B659&amp;",'"&amp;REGLAS!C659&amp;"','"&amp;REGLAS!D659&amp;"','"&amp;REGLAS!G659&amp;"',TO_DATE('"&amp;REGLAS!H659&amp;"','yyyymmdd'),TO_DATE('"&amp;REGLAS!I659&amp;"','yyyymmdd'),'"&amp;REGLAS!J659&amp;"');")</f>
        <v>INSERT INTO INYCEXT.INYC_CONF_INF_REGLAS@tc_link (COD_INFORME,TABLA,NOMBRE,REGLA,F_INICIO,F_FIN,DESCRIPCION) VALUES (17.1,'INYC_RE_RESUMEN','PM - Nº Asegurados Inspector','PM-O-GEN-Agente-NumAsegurados',TO_DATE('20180101','yyyymmdd'),TO_DATE('22000101','yyyymmdd'),'Version 20180324');</v>
      </c>
    </row>
    <row r="659" spans="1:2" x14ac:dyDescent="0.25">
      <c r="A659" t="str">
        <f>IF(REGLAS!J660="OBSOLETO","","INSERT INTO INYCEXT.INYC_CONF_INF_REGLAS (COD_INFORME,TABLA,NOMBRE,REGLA,F_INICIO,F_FIN,DESCRIPCION) VALUES ("&amp;REGLAS!B660&amp;",'"&amp;REGLAS!C660&amp;"','"&amp;REGLAS!D660&amp;"','"&amp;REGLAS!G660&amp;"',TO_DATE('"&amp;REGLAS!H660&amp;"','yyyymmdd'),TO_DATE('"&amp;REGLAS!I660&amp;"','yyyymmdd'),'"&amp;REGLAS!J660&amp;"');")</f>
        <v>INSERT INTO INYCEXT.INYC_CONF_INF_REGLAS (COD_INFORME,TABLA,NOMBRE,REGLA,F_INICIO,F_FIN,DESCRIPCION) VALUES (17.1,'INYC_RE_RESUMEN','PM - Nº Asegurados Inspector Agentes','PM-O-GEN-Inspector-NumAsegurados-Agentes',TO_DATE('20180101','yyyymmdd'),TO_DATE('22000101','yyyymmdd'),'Version 20180324');</v>
      </c>
      <c r="B659" t="str">
        <f>IF(REGLAS!J660="OBSOLETO","","INSERT INTO INYCEXT.INYC_CONF_INF_REGLAS@tc_link (COD_INFORME,TABLA,NOMBRE,REGLA,F_INICIO,F_FIN,DESCRIPCION) VALUES ("&amp;REGLAS!B660&amp;",'"&amp;REGLAS!C660&amp;"','"&amp;REGLAS!D660&amp;"','"&amp;REGLAS!G660&amp;"',TO_DATE('"&amp;REGLAS!H660&amp;"','yyyymmdd'),TO_DATE('"&amp;REGLAS!I660&amp;"','yyyymmdd'),'"&amp;REGLAS!J660&amp;"');")</f>
        <v>INSERT INTO INYCEXT.INYC_CONF_INF_REGLAS@tc_link (COD_INFORME,TABLA,NOMBRE,REGLA,F_INICIO,F_FIN,DESCRIPCION) VALUES (17.1,'INYC_RE_RESUMEN','PM - Nº Asegurados Inspector Agentes','PM-O-GEN-Inspector-NumAsegurados-Agentes',TO_DATE('20180101','yyyymmdd'),TO_DATE('22000101','yyyymmdd'),'Version 20180324');</v>
      </c>
    </row>
    <row r="660" spans="1:2" x14ac:dyDescent="0.25">
      <c r="A660" t="str">
        <f>IF(REGLAS!J661="OBSOLETO","","INSERT INTO INYCEXT.INYC_CONF_INF_REGLAS (COD_INFORME,TABLA,NOMBRE,REGLA,F_INICIO,F_FIN,DESCRIPCION) VALUES ("&amp;REGLAS!B661&amp;",'"&amp;REGLAS!C661&amp;"','"&amp;REGLAS!D661&amp;"','"&amp;REGLAS!G661&amp;"',TO_DATE('"&amp;REGLAS!H661&amp;"','yyyymmdd'),TO_DATE('"&amp;REGLAS!I661&amp;"','yyyymmdd'),'"&amp;REGLAS!J661&amp;"');")</f>
        <v>INSERT INTO INYCEXT.INYC_CONF_INF_REGLAS (COD_INFORME,TABLA,NOMBRE,REGLA,F_INICIO,F_FIN,DESCRIPCION) VALUES (17.2,'INYC_RE_DETALLE','PM - Nº Pólizas Propias Hogar','PM-O-GEN-Inspector-NumeroPolizas-002',TO_DATE('20140101','yyyymmdd'),TO_DATE('22000101','yyyymmdd'),'');</v>
      </c>
      <c r="B660" t="str">
        <f>IF(REGLAS!J661="OBSOLETO","","INSERT INTO INYCEXT.INYC_CONF_INF_REGLAS@tc_link (COD_INFORME,TABLA,NOMBRE,REGLA,F_INICIO,F_FIN,DESCRIPCION) VALUES ("&amp;REGLAS!B661&amp;",'"&amp;REGLAS!C661&amp;"','"&amp;REGLAS!D661&amp;"','"&amp;REGLAS!G661&amp;"',TO_DATE('"&amp;REGLAS!H661&amp;"','yyyymmdd'),TO_DATE('"&amp;REGLAS!I661&amp;"','yyyymmdd'),'"&amp;REGLAS!J661&amp;"');")</f>
        <v>INSERT INTO INYCEXT.INYC_CONF_INF_REGLAS@tc_link (COD_INFORME,TABLA,NOMBRE,REGLA,F_INICIO,F_FIN,DESCRIPCION) VALUES (17.2,'INYC_RE_DETALLE','PM - Nº Pólizas Propias Hogar','PM-O-GEN-Inspector-NumeroPolizas-002',TO_DATE('20140101','yyyymmdd'),TO_DATE('22000101','yyyymmdd'),'');</v>
      </c>
    </row>
    <row r="661" spans="1:2" x14ac:dyDescent="0.25">
      <c r="A661" t="str">
        <f>IF(REGLAS!J662="OBSOLETO","","INSERT INTO INYCEXT.INYC_CONF_INF_REGLAS (COD_INFORME,TABLA,NOMBRE,REGLA,F_INICIO,F_FIN,DESCRIPCION) VALUES ("&amp;REGLAS!B662&amp;",'"&amp;REGLAS!C662&amp;"','"&amp;REGLAS!D662&amp;"','"&amp;REGLAS!G662&amp;"',TO_DATE('"&amp;REGLAS!H662&amp;"','yyyymmdd'),TO_DATE('"&amp;REGLAS!I662&amp;"','yyyymmdd'),'"&amp;REGLAS!J662&amp;"');")</f>
        <v>INSERT INTO INYCEXT.INYC_CONF_INF_REGLAS (COD_INFORME,TABLA,NOMBRE,REGLA,F_INICIO,F_FIN,DESCRIPCION) VALUES (17.2,'INYC_RE_DETALLE','PM - Nº Pólizas Resto Agentes Hogar','PM-O-GEN-Inspector-NumeroPolizas-002-Agentes',TO_DATE('20140101','yyyymmdd'),TO_DATE('22000101','yyyymmdd'),'');</v>
      </c>
      <c r="B661" t="str">
        <f>IF(REGLAS!J662="OBSOLETO","","INSERT INTO INYCEXT.INYC_CONF_INF_REGLAS@tc_link (COD_INFORME,TABLA,NOMBRE,REGLA,F_INICIO,F_FIN,DESCRIPCION) VALUES ("&amp;REGLAS!B662&amp;",'"&amp;REGLAS!C662&amp;"','"&amp;REGLAS!D662&amp;"','"&amp;REGLAS!G662&amp;"',TO_DATE('"&amp;REGLAS!H662&amp;"','yyyymmdd'),TO_DATE('"&amp;REGLAS!I662&amp;"','yyyymmdd'),'"&amp;REGLAS!J662&amp;"');")</f>
        <v>INSERT INTO INYCEXT.INYC_CONF_INF_REGLAS@tc_link (COD_INFORME,TABLA,NOMBRE,REGLA,F_INICIO,F_FIN,DESCRIPCION) VALUES (17.2,'INYC_RE_DETALLE','PM - Nº Pólizas Resto Agentes Hogar','PM-O-GEN-Inspector-NumeroPolizas-002-Agentes',TO_DATE('20140101','yyyymmdd'),TO_DATE('22000101','yyyymmdd'),'');</v>
      </c>
    </row>
    <row r="662" spans="1:2" x14ac:dyDescent="0.25">
      <c r="A662" t="str">
        <f>IF(REGLAS!J663="OBSOLETO","","INSERT INTO INYCEXT.INYC_CONF_INF_REGLAS (COD_INFORME,TABLA,NOMBRE,REGLA,F_INICIO,F_FIN,DESCRIPCION) VALUES ("&amp;REGLAS!B663&amp;",'"&amp;REGLAS!C663&amp;"','"&amp;REGLAS!D663&amp;"','"&amp;REGLAS!G663&amp;"',TO_DATE('"&amp;REGLAS!H663&amp;"','yyyymmdd'),TO_DATE('"&amp;REGLAS!I663&amp;"','yyyymmdd'),'"&amp;REGLAS!J663&amp;"');")</f>
        <v>INSERT INTO INYCEXT.INYC_CONF_INF_REGLAS (COD_INFORME,TABLA,NOMBRE,REGLA,F_INICIO,F_FIN,DESCRIPCION) VALUES (17.2,'INYC_RE_DETALLE','PM - Nº Pólizas Propias RRPP','PM-O-GEN-Inspector-NumeroPolizas-906',TO_DATE('20140101','yyyymmdd'),TO_DATE('22000101','yyyymmdd'),'');</v>
      </c>
      <c r="B662" t="str">
        <f>IF(REGLAS!J663="OBSOLETO","","INSERT INTO INYCEXT.INYC_CONF_INF_REGLAS@tc_link (COD_INFORME,TABLA,NOMBRE,REGLA,F_INICIO,F_FIN,DESCRIPCION) VALUES ("&amp;REGLAS!B663&amp;",'"&amp;REGLAS!C663&amp;"','"&amp;REGLAS!D663&amp;"','"&amp;REGLAS!G663&amp;"',TO_DATE('"&amp;REGLAS!H663&amp;"','yyyymmdd'),TO_DATE('"&amp;REGLAS!I663&amp;"','yyyymmdd'),'"&amp;REGLAS!J663&amp;"');")</f>
        <v>INSERT INTO INYCEXT.INYC_CONF_INF_REGLAS@tc_link (COD_INFORME,TABLA,NOMBRE,REGLA,F_INICIO,F_FIN,DESCRIPCION) VALUES (17.2,'INYC_RE_DETALLE','PM - Nº Pólizas Propias RRPP','PM-O-GEN-Inspector-NumeroPolizas-906',TO_DATE('20140101','yyyymmdd'),TO_DATE('22000101','yyyymmdd'),'');</v>
      </c>
    </row>
    <row r="663" spans="1:2" x14ac:dyDescent="0.25">
      <c r="A663" t="str">
        <f>IF(REGLAS!J664="OBSOLETO","","INSERT INTO INYCEXT.INYC_CONF_INF_REGLAS (COD_INFORME,TABLA,NOMBRE,REGLA,F_INICIO,F_FIN,DESCRIPCION) VALUES ("&amp;REGLAS!B664&amp;",'"&amp;REGLAS!C664&amp;"','"&amp;REGLAS!D664&amp;"','"&amp;REGLAS!G664&amp;"',TO_DATE('"&amp;REGLAS!H664&amp;"','yyyymmdd'),TO_DATE('"&amp;REGLAS!I664&amp;"','yyyymmdd'),'"&amp;REGLAS!J664&amp;"');")</f>
        <v>INSERT INTO INYCEXT.INYC_CONF_INF_REGLAS (COD_INFORME,TABLA,NOMBRE,REGLA,F_INICIO,F_FIN,DESCRIPCION) VALUES (17.2,'INYC_RE_DETALLE','PM - Nº Pólizas Resto Agentes RRPP','PM-O-GEN-Inspector-NumeroPolizas-906-Agentes',TO_DATE('20140101','yyyymmdd'),TO_DATE('22000101','yyyymmdd'),'');</v>
      </c>
      <c r="B663" t="str">
        <f>IF(REGLAS!J664="OBSOLETO","","INSERT INTO INYCEXT.INYC_CONF_INF_REGLAS@tc_link (COD_INFORME,TABLA,NOMBRE,REGLA,F_INICIO,F_FIN,DESCRIPCION) VALUES ("&amp;REGLAS!B664&amp;",'"&amp;REGLAS!C664&amp;"','"&amp;REGLAS!D664&amp;"','"&amp;REGLAS!G664&amp;"',TO_DATE('"&amp;REGLAS!H664&amp;"','yyyymmdd'),TO_DATE('"&amp;REGLAS!I664&amp;"','yyyymmdd'),'"&amp;REGLAS!J664&amp;"');")</f>
        <v>INSERT INTO INYCEXT.INYC_CONF_INF_REGLAS@tc_link (COD_INFORME,TABLA,NOMBRE,REGLA,F_INICIO,F_FIN,DESCRIPCION) VALUES (17.2,'INYC_RE_DETALLE','PM - Nº Pólizas Resto Agentes RRPP','PM-O-GEN-Inspector-NumeroPolizas-906-Agentes',TO_DATE('20140101','yyyymmdd'),TO_DATE('22000101','yyyymmdd'),'');</v>
      </c>
    </row>
    <row r="664" spans="1:2" x14ac:dyDescent="0.25">
      <c r="A664" t="str">
        <f>IF(REGLAS!J665="OBSOLETO","","INSERT INTO INYCEXT.INYC_CONF_INF_REGLAS (COD_INFORME,TABLA,NOMBRE,REGLA,F_INICIO,F_FIN,DESCRIPCION) VALUES ("&amp;REGLAS!B665&amp;",'"&amp;REGLAS!C665&amp;"','"&amp;REGLAS!D665&amp;"','"&amp;REGLAS!G665&amp;"',TO_DATE('"&amp;REGLAS!H665&amp;"','yyyymmdd'),TO_DATE('"&amp;REGLAS!I665&amp;"','yyyymmdd'),'"&amp;REGLAS!J665&amp;"');")</f>
        <v>INSERT INTO INYCEXT.INYC_CONF_INF_REGLAS (COD_INFORME,TABLA,NOMBRE,REGLA,F_INICIO,F_FIN,DESCRIPCION) VALUES (17.2,'INYC_RE_DETALLE','PM - Nº Pólizas Propias RRTT','PM-O-GEN-Inspector-NumeroPolizas-001',TO_DATE('20170101','yyyymmdd'),TO_DATE('22000101','yyyymmdd'),'');</v>
      </c>
      <c r="B664" t="str">
        <f>IF(REGLAS!J665="OBSOLETO","","INSERT INTO INYCEXT.INYC_CONF_INF_REGLAS@tc_link (COD_INFORME,TABLA,NOMBRE,REGLA,F_INICIO,F_FIN,DESCRIPCION) VALUES ("&amp;REGLAS!B665&amp;",'"&amp;REGLAS!C665&amp;"','"&amp;REGLAS!D665&amp;"','"&amp;REGLAS!G665&amp;"',TO_DATE('"&amp;REGLAS!H665&amp;"','yyyymmdd'),TO_DATE('"&amp;REGLAS!I665&amp;"','yyyymmdd'),'"&amp;REGLAS!J665&amp;"');")</f>
        <v>INSERT INTO INYCEXT.INYC_CONF_INF_REGLAS@tc_link (COD_INFORME,TABLA,NOMBRE,REGLA,F_INICIO,F_FIN,DESCRIPCION) VALUES (17.2,'INYC_RE_DETALLE','PM - Nº Pólizas Propias RRTT','PM-O-GEN-Inspector-NumeroPolizas-001',TO_DATE('20170101','yyyymmdd'),TO_DATE('22000101','yyyymmdd'),'');</v>
      </c>
    </row>
    <row r="665" spans="1:2" x14ac:dyDescent="0.25">
      <c r="A665" t="str">
        <f>IF(REGLAS!J666="OBSOLETO","","INSERT INTO INYCEXT.INYC_CONF_INF_REGLAS (COD_INFORME,TABLA,NOMBRE,REGLA,F_INICIO,F_FIN,DESCRIPCION) VALUES ("&amp;REGLAS!B666&amp;",'"&amp;REGLAS!C666&amp;"','"&amp;REGLAS!D666&amp;"','"&amp;REGLAS!G666&amp;"',TO_DATE('"&amp;REGLAS!H666&amp;"','yyyymmdd'),TO_DATE('"&amp;REGLAS!I666&amp;"','yyyymmdd'),'"&amp;REGLAS!J666&amp;"');")</f>
        <v>INSERT INTO INYCEXT.INYC_CONF_INF_REGLAS (COD_INFORME,TABLA,NOMBRE,REGLA,F_INICIO,F_FIN,DESCRIPCION) VALUES (17.2,'INYC_RE_DETALLE','PM - Nº Pólizas Resto Agentes RRTT','PM-O-GEN-Inspector-NumeroPolizas-001-Agentes',TO_DATE('20170101','yyyymmdd'),TO_DATE('22000101','yyyymmdd'),'');</v>
      </c>
      <c r="B665" t="str">
        <f>IF(REGLAS!J666="OBSOLETO","","INSERT INTO INYCEXT.INYC_CONF_INF_REGLAS@tc_link (COD_INFORME,TABLA,NOMBRE,REGLA,F_INICIO,F_FIN,DESCRIPCION) VALUES ("&amp;REGLAS!B666&amp;",'"&amp;REGLAS!C666&amp;"','"&amp;REGLAS!D666&amp;"','"&amp;REGLAS!G666&amp;"',TO_DATE('"&amp;REGLAS!H666&amp;"','yyyymmdd'),TO_DATE('"&amp;REGLAS!I666&amp;"','yyyymmdd'),'"&amp;REGLAS!J666&amp;"');")</f>
        <v>INSERT INTO INYCEXT.INYC_CONF_INF_REGLAS@tc_link (COD_INFORME,TABLA,NOMBRE,REGLA,F_INICIO,F_FIN,DESCRIPCION) VALUES (17.2,'INYC_RE_DETALLE','PM - Nº Pólizas Resto Agentes RRTT','PM-O-GEN-Inspector-NumeroPolizas-001-Agentes',TO_DATE('20170101','yyyymmdd'),TO_DATE('22000101','yyyymmdd'),'');</v>
      </c>
    </row>
    <row r="666" spans="1:2" x14ac:dyDescent="0.25">
      <c r="A666" t="str">
        <f>IF(REGLAS!J667="OBSOLETO","","INSERT INTO INYCEXT.INYC_CONF_INF_REGLAS (COD_INFORME,TABLA,NOMBRE,REGLA,F_INICIO,F_FIN,DESCRIPCION) VALUES ("&amp;REGLAS!B667&amp;",'"&amp;REGLAS!C667&amp;"','"&amp;REGLAS!D667&amp;"','"&amp;REGLAS!G667&amp;"',TO_DATE('"&amp;REGLAS!H667&amp;"','yyyymmdd'),TO_DATE('"&amp;REGLAS!I667&amp;"','yyyymmdd'),'"&amp;REGLAS!J667&amp;"');")</f>
        <v>INSERT INTO INYCEXT.INYC_CONF_INF_REGLAS (COD_INFORME,TABLA,NOMBRE,REGLA,F_INICIO,F_FIN,DESCRIPCION) VALUES (18.1,'INYC_COMU_RESUMEN','Pago Semestral','SM-O-COMU-Inspector-NumeroPolizas',TO_DATE('20140101','yyyymmdd'),TO_DATE('22000101','yyyymmdd'),'Version 20180118');</v>
      </c>
      <c r="B666" t="str">
        <f>IF(REGLAS!J667="OBSOLETO","","INSERT INTO INYCEXT.INYC_CONF_INF_REGLAS@tc_link (COD_INFORME,TABLA,NOMBRE,REGLA,F_INICIO,F_FIN,DESCRIPCION) VALUES ("&amp;REGLAS!B667&amp;",'"&amp;REGLAS!C667&amp;"','"&amp;REGLAS!D667&amp;"','"&amp;REGLAS!G667&amp;"',TO_DATE('"&amp;REGLAS!H667&amp;"','yyyymmdd'),TO_DATE('"&amp;REGLAS!I667&amp;"','yyyymmdd'),'"&amp;REGLAS!J667&amp;"');")</f>
        <v>INSERT INTO INYCEXT.INYC_CONF_INF_REGLAS@tc_link (COD_INFORME,TABLA,NOMBRE,REGLA,F_INICIO,F_FIN,DESCRIPCION) VALUES (18.1,'INYC_COMU_RESUMEN','Pago Semestral','SM-O-COMU-Inspector-NumeroPolizas',TO_DATE('20140101','yyyymmdd'),TO_DATE('22000101','yyyymmdd'),'Version 20180118');</v>
      </c>
    </row>
    <row r="667" spans="1:2" x14ac:dyDescent="0.25">
      <c r="A667" t="str">
        <f>IF(REGLAS!J668="OBSOLETO","","INSERT INTO INYCEXT.INYC_CONF_INF_REGLAS (COD_INFORME,TABLA,NOMBRE,REGLA,F_INICIO,F_FIN,DESCRIPCION) VALUES ("&amp;REGLAS!B668&amp;",'"&amp;REGLAS!C668&amp;"','"&amp;REGLAS!D668&amp;"','"&amp;REGLAS!G668&amp;"',TO_DATE('"&amp;REGLAS!H668&amp;"','yyyymmdd'),TO_DATE('"&amp;REGLAS!I668&amp;"','yyyymmdd'),'"&amp;REGLAS!J668&amp;"');")</f>
        <v>INSERT INTO INYCEXT.INYC_CONF_INF_REGLAS (COD_INFORME,TABLA,NOMBRE,REGLA,F_INICIO,F_FIN,DESCRIPCION) VALUES (18.1,'INYC_COMU_RESUMEN','Pago Semestral','SM-O-GEN-Inspector-Meses',TO_DATE('20140101','yyyymmdd'),TO_DATE('22000101','yyyymmdd'),'Version 20180118');</v>
      </c>
      <c r="B667" t="str">
        <f>IF(REGLAS!J668="OBSOLETO","","INSERT INTO INYCEXT.INYC_CONF_INF_REGLAS@tc_link (COD_INFORME,TABLA,NOMBRE,REGLA,F_INICIO,F_FIN,DESCRIPCION) VALUES ("&amp;REGLAS!B668&amp;",'"&amp;REGLAS!C668&amp;"','"&amp;REGLAS!D668&amp;"','"&amp;REGLAS!G668&amp;"',TO_DATE('"&amp;REGLAS!H668&amp;"','yyyymmdd'),TO_DATE('"&amp;REGLAS!I668&amp;"','yyyymmdd'),'"&amp;REGLAS!J668&amp;"');")</f>
        <v>INSERT INTO INYCEXT.INYC_CONF_INF_REGLAS@tc_link (COD_INFORME,TABLA,NOMBRE,REGLA,F_INICIO,F_FIN,DESCRIPCION) VALUES (18.1,'INYC_COMU_RESUMEN','Pago Semestral','SM-O-GEN-Inspector-Meses',TO_DATE('20140101','yyyymmdd'),TO_DATE('22000101','yyyymmdd'),'Version 20180118');</v>
      </c>
    </row>
    <row r="668" spans="1:2" x14ac:dyDescent="0.25">
      <c r="A668" t="str">
        <f>IF(REGLAS!J669="OBSOLETO","","INSERT INTO INYCEXT.INYC_CONF_INF_REGLAS (COD_INFORME,TABLA,NOMBRE,REGLA,F_INICIO,F_FIN,DESCRIPCION) VALUES ("&amp;REGLAS!B669&amp;",'"&amp;REGLAS!C669&amp;"','"&amp;REGLAS!D669&amp;"','"&amp;REGLAS!G669&amp;"',TO_DATE('"&amp;REGLAS!H669&amp;"','yyyymmdd'),TO_DATE('"&amp;REGLAS!I669&amp;"','yyyymmdd'),'"&amp;REGLAS!J669&amp;"');")</f>
        <v>INSERT INTO INYCEXT.INYC_CONF_INF_REGLAS (COD_INFORME,TABLA,NOMBRE,REGLA,F_INICIO,F_FIN,DESCRIPCION) VALUES (18.1,'INYC_COMU_RESUMEN','Pago Semestral','SM-O-COMU-Inspector-Pago',TO_DATE('20140101','yyyymmdd'),TO_DATE('22000101','yyyymmdd'),'Version 20180118');</v>
      </c>
      <c r="B668" t="str">
        <f>IF(REGLAS!J669="OBSOLETO","","INSERT INTO INYCEXT.INYC_CONF_INF_REGLAS@tc_link (COD_INFORME,TABLA,NOMBRE,REGLA,F_INICIO,F_FIN,DESCRIPCION) VALUES ("&amp;REGLAS!B669&amp;",'"&amp;REGLAS!C669&amp;"','"&amp;REGLAS!D669&amp;"','"&amp;REGLAS!G669&amp;"',TO_DATE('"&amp;REGLAS!H669&amp;"','yyyymmdd'),TO_DATE('"&amp;REGLAS!I669&amp;"','yyyymmdd'),'"&amp;REGLAS!J669&amp;"');")</f>
        <v>INSERT INTO INYCEXT.INYC_CONF_INF_REGLAS@tc_link (COD_INFORME,TABLA,NOMBRE,REGLA,F_INICIO,F_FIN,DESCRIPCION) VALUES (18.1,'INYC_COMU_RESUMEN','Pago Semestral','SM-O-COMU-Inspector-Pago',TO_DATE('20140101','yyyymmdd'),TO_DATE('22000101','yyyymmdd'),'Version 20180118');</v>
      </c>
    </row>
    <row r="669" spans="1:2" x14ac:dyDescent="0.25">
      <c r="A669" t="str">
        <f>IF(REGLAS!J670="OBSOLETO","","INSERT INTO INYCEXT.INYC_CONF_INF_REGLAS (COD_INFORME,TABLA,NOMBRE,REGLA,F_INICIO,F_FIN,DESCRIPCION) VALUES ("&amp;REGLAS!B670&amp;",'"&amp;REGLAS!C670&amp;"','"&amp;REGLAS!D670&amp;"','"&amp;REGLAS!G670&amp;"',TO_DATE('"&amp;REGLAS!H670&amp;"','yyyymmdd'),TO_DATE('"&amp;REGLAS!I670&amp;"','yyyymmdd'),'"&amp;REGLAS!J670&amp;"');")</f>
        <v>INSERT INTO INYCEXT.INYC_CONF_INF_REGLAS (COD_INFORME,TABLA,NOMBRE,REGLA,F_INICIO,F_FIN,DESCRIPCION) VALUES (19.1,'INYC_ASI_RESUMEN','PM - Nº Asistencias','PM-O-COM-NumeroAsistencias',TO_DATE('20140101','yyyymmdd'),TO_DATE('22000101','yyyymmdd'),'');</v>
      </c>
      <c r="B669" t="str">
        <f>IF(REGLAS!J670="OBSOLETO","","INSERT INTO INYCEXT.INYC_CONF_INF_REGLAS@tc_link (COD_INFORME,TABLA,NOMBRE,REGLA,F_INICIO,F_FIN,DESCRIPCION) VALUES ("&amp;REGLAS!B670&amp;",'"&amp;REGLAS!C670&amp;"','"&amp;REGLAS!D670&amp;"','"&amp;REGLAS!G670&amp;"',TO_DATE('"&amp;REGLAS!H670&amp;"','yyyymmdd'),TO_DATE('"&amp;REGLAS!I670&amp;"','yyyymmdd'),'"&amp;REGLAS!J670&amp;"');")</f>
        <v>INSERT INTO INYCEXT.INYC_CONF_INF_REGLAS@tc_link (COD_INFORME,TABLA,NOMBRE,REGLA,F_INICIO,F_FIN,DESCRIPCION) VALUES (19.1,'INYC_ASI_RESUMEN','PM - Nº Asistencias','PM-O-COM-NumeroAsistencias',TO_DATE('20140101','yyyymmdd'),TO_DATE('22000101','yyyymmdd'),'');</v>
      </c>
    </row>
    <row r="670" spans="1:2" x14ac:dyDescent="0.25">
      <c r="A670" t="str">
        <f>IF(REGLAS!J671="OBSOLETO","","INSERT INTO INYCEXT.INYC_CONF_INF_REGLAS (COD_INFORME,TABLA,NOMBRE,REGLA,F_INICIO,F_FIN,DESCRIPCION) VALUES ("&amp;REGLAS!B671&amp;",'"&amp;REGLAS!C671&amp;"','"&amp;REGLAS!D671&amp;"','"&amp;REGLAS!G671&amp;"',TO_DATE('"&amp;REGLAS!H671&amp;"','yyyymmdd'),TO_DATE('"&amp;REGLAS!I671&amp;"','yyyymmdd'),'"&amp;REGLAS!J671&amp;"');")</f>
        <v>INSERT INTO INYCEXT.INYC_CONF_INF_REGLAS (COD_INFORME,TABLA,NOMBRE,REGLA,F_INICIO,F_FIN,DESCRIPCION) VALUES (19.1,'INYC_ASI_RESUMEN','SM - Nº Pólizas Corregidas Agente Total Productos Mensual','SM-O-GEN-Agente-NumeroPolizasCorregidas-998-TotalMes',TO_DATE('20140101','yyyymmdd'),TO_DATE('22000101','yyyymmdd'),'');</v>
      </c>
      <c r="B670" t="str">
        <f>IF(REGLAS!J671="OBSOLETO","","INSERT INTO INYCEXT.INYC_CONF_INF_REGLAS@tc_link (COD_INFORME,TABLA,NOMBRE,REGLA,F_INICIO,F_FIN,DESCRIPCION) VALUES ("&amp;REGLAS!B671&amp;",'"&amp;REGLAS!C671&amp;"','"&amp;REGLAS!D671&amp;"','"&amp;REGLAS!G671&amp;"',TO_DATE('"&amp;REGLAS!H671&amp;"','yyyymmdd'),TO_DATE('"&amp;REGLAS!I671&amp;"','yyyymmdd'),'"&amp;REGLAS!J671&amp;"');")</f>
        <v>INSERT INTO INYCEXT.INYC_CONF_INF_REGLAS@tc_link (COD_INFORME,TABLA,NOMBRE,REGLA,F_INICIO,F_FIN,DESCRIPCION) VALUES (19.1,'INYC_ASI_RESUMEN','SM - Nº Pólizas Corregidas Agente Total Productos Mensual','SM-O-GEN-Agente-NumeroPolizasCorregidas-998-TotalMes',TO_DATE('20140101','yyyymmdd'),TO_DATE('22000101','yyyymmdd'),'');</v>
      </c>
    </row>
    <row r="671" spans="1:2" x14ac:dyDescent="0.25">
      <c r="A671" t="str">
        <f>IF(REGLAS!J672="OBSOLETO","","INSERT INTO INYCEXT.INYC_CONF_INF_REGLAS (COD_INFORME,TABLA,NOMBRE,REGLA,F_INICIO,F_FIN,DESCRIPCION) VALUES ("&amp;REGLAS!B672&amp;",'"&amp;REGLAS!C672&amp;"','"&amp;REGLAS!D672&amp;"','"&amp;REGLAS!G672&amp;"',TO_DATE('"&amp;REGLAS!H672&amp;"','yyyymmdd'),TO_DATE('"&amp;REGLAS!I672&amp;"','yyyymmdd'),'"&amp;REGLAS!J672&amp;"');")</f>
        <v>INSERT INTO INYCEXT.INYC_CONF_INF_REGLAS (COD_INFORME,TABLA,NOMBRE,REGLA,F_INICIO,F_FIN,DESCRIPCION) VALUES (19.1,'INYC_ASI_RESUMEN','SM - Nº Pólizas Corregidas Agente Total Productos Trimestral','SM-O-GEN-Agente-NumeroPolizasCorregidas-998-TotalTrimestre',TO_DATE('20140101','yyyymmdd'),TO_DATE('22000101','yyyymmdd'),'');</v>
      </c>
      <c r="B671" t="str">
        <f>IF(REGLAS!J672="OBSOLETO","","INSERT INTO INYCEXT.INYC_CONF_INF_REGLAS@tc_link (COD_INFORME,TABLA,NOMBRE,REGLA,F_INICIO,F_FIN,DESCRIPCION) VALUES ("&amp;REGLAS!B672&amp;",'"&amp;REGLAS!C672&amp;"','"&amp;REGLAS!D672&amp;"','"&amp;REGLAS!G672&amp;"',TO_DATE('"&amp;REGLAS!H672&amp;"','yyyymmdd'),TO_DATE('"&amp;REGLAS!I672&amp;"','yyyymmdd'),'"&amp;REGLAS!J672&amp;"');")</f>
        <v>INSERT INTO INYCEXT.INYC_CONF_INF_REGLAS@tc_link (COD_INFORME,TABLA,NOMBRE,REGLA,F_INICIO,F_FIN,DESCRIPCION) VALUES (19.1,'INYC_ASI_RESUMEN','SM - Nº Pólizas Corregidas Agente Total Productos Trimestral','SM-O-GEN-Agente-NumeroPolizasCorregidas-998-TotalTrimestre',TO_DATE('20140101','yyyymmdd'),TO_DATE('22000101','yyyymmdd'),'');</v>
      </c>
    </row>
    <row r="672" spans="1:2" x14ac:dyDescent="0.25">
      <c r="A672" t="str">
        <f>IF(REGLAS!J673="OBSOLETO","","INSERT INTO INYCEXT.INYC_CONF_INF_REGLAS (COD_INFORME,TABLA,NOMBRE,REGLA,F_INICIO,F_FIN,DESCRIPCION) VALUES ("&amp;REGLAS!B673&amp;",'"&amp;REGLAS!C673&amp;"','"&amp;REGLAS!D673&amp;"','"&amp;REGLAS!G673&amp;"',TO_DATE('"&amp;REGLAS!H673&amp;"','yyyymmdd'),TO_DATE('"&amp;REGLAS!I673&amp;"','yyyymmdd'),'"&amp;REGLAS!J673&amp;"');")</f>
        <v>INSERT INTO INYCEXT.INYC_CONF_INF_REGLAS (COD_INFORME,TABLA,NOMBRE,REGLA,F_INICIO,F_FIN,DESCRIPCION) VALUES (19.1,'INYC_ASI_RESUMEN','SM - Nº Asegurados Agente Mensual','SM-O-GEN-Agente-NumAsegurados-TotalMes',TO_DATE('20180101','yyyymmdd'),TO_DATE('22000101','yyyymmdd'),'Version 20180117');</v>
      </c>
      <c r="B672" t="str">
        <f>IF(REGLAS!J673="OBSOLETO","","INSERT INTO INYCEXT.INYC_CONF_INF_REGLAS@tc_link (COD_INFORME,TABLA,NOMBRE,REGLA,F_INICIO,F_FIN,DESCRIPCION) VALUES ("&amp;REGLAS!B673&amp;",'"&amp;REGLAS!C673&amp;"','"&amp;REGLAS!D673&amp;"','"&amp;REGLAS!G673&amp;"',TO_DATE('"&amp;REGLAS!H673&amp;"','yyyymmdd'),TO_DATE('"&amp;REGLAS!I673&amp;"','yyyymmdd'),'"&amp;REGLAS!J673&amp;"');")</f>
        <v>INSERT INTO INYCEXT.INYC_CONF_INF_REGLAS@tc_link (COD_INFORME,TABLA,NOMBRE,REGLA,F_INICIO,F_FIN,DESCRIPCION) VALUES (19.1,'INYC_ASI_RESUMEN','SM - Nº Asegurados Agente Mensual','SM-O-GEN-Agente-NumAsegurados-TotalMes',TO_DATE('20180101','yyyymmdd'),TO_DATE('22000101','yyyymmdd'),'Version 20180117');</v>
      </c>
    </row>
    <row r="673" spans="1:2" x14ac:dyDescent="0.25">
      <c r="A673" t="str">
        <f>IF(REGLAS!J674="OBSOLETO","","INSERT INTO INYCEXT.INYC_CONF_INF_REGLAS (COD_INFORME,TABLA,NOMBRE,REGLA,F_INICIO,F_FIN,DESCRIPCION) VALUES ("&amp;REGLAS!B674&amp;",'"&amp;REGLAS!C674&amp;"','"&amp;REGLAS!D674&amp;"','"&amp;REGLAS!G674&amp;"',TO_DATE('"&amp;REGLAS!H674&amp;"','yyyymmdd'),TO_DATE('"&amp;REGLAS!I674&amp;"','yyyymmdd'),'"&amp;REGLAS!J674&amp;"');")</f>
        <v>INSERT INTO INYCEXT.INYC_CONF_INF_REGLAS (COD_INFORME,TABLA,NOMBRE,REGLA,F_INICIO,F_FIN,DESCRIPCION) VALUES (19.1,'INYC_ASI_RESUMEN','PM - Importe Asistencias','PM-O-COM-Asistencia-Importe',TO_DATE('20140101','yyyymmdd'),TO_DATE('22000101','yyyymmdd'),'');</v>
      </c>
      <c r="B673" t="str">
        <f>IF(REGLAS!J674="OBSOLETO","","INSERT INTO INYCEXT.INYC_CONF_INF_REGLAS@tc_link (COD_INFORME,TABLA,NOMBRE,REGLA,F_INICIO,F_FIN,DESCRIPCION) VALUES ("&amp;REGLAS!B674&amp;",'"&amp;REGLAS!C674&amp;"','"&amp;REGLAS!D674&amp;"','"&amp;REGLAS!G674&amp;"',TO_DATE('"&amp;REGLAS!H674&amp;"','yyyymmdd'),TO_DATE('"&amp;REGLAS!I674&amp;"','yyyymmdd'),'"&amp;REGLAS!J674&amp;"');")</f>
        <v>INSERT INTO INYCEXT.INYC_CONF_INF_REGLAS@tc_link (COD_INFORME,TABLA,NOMBRE,REGLA,F_INICIO,F_FIN,DESCRIPCION) VALUES (19.1,'INYC_ASI_RESUMEN','PM - Importe Asistencias','PM-O-COM-Asistencia-Importe',TO_DATE('20140101','yyyymmdd'),TO_DATE('22000101','yyyymmdd'),'');</v>
      </c>
    </row>
    <row r="674" spans="1:2" x14ac:dyDescent="0.25">
      <c r="A674" t="str">
        <f>IF(REGLAS!J675="OBSOLETO","","INSERT INTO INYCEXT.INYC_CONF_INF_REGLAS (COD_INFORME,TABLA,NOMBRE,REGLA,F_INICIO,F_FIN,DESCRIPCION) VALUES ("&amp;REGLAS!B675&amp;",'"&amp;REGLAS!C675&amp;"','"&amp;REGLAS!D675&amp;"','"&amp;REGLAS!G675&amp;"',TO_DATE('"&amp;REGLAS!H675&amp;"','yyyymmdd'),TO_DATE('"&amp;REGLAS!I675&amp;"','yyyymmdd'),'"&amp;REGLAS!J675&amp;"');")</f>
        <v>INSERT INTO INYCEXT.INYC_CONF_INF_REGLAS (COD_INFORME,TABLA,NOMBRE,REGLA,F_INICIO,F_FIN,DESCRIPCION) VALUES (19.1,'INYC_ASI_RESUMEN','SM - Importe Asistencias','SM-O-COM-Asistencia-Importe',TO_DATE('20220101','yyyymmdd'),TO_DATE('22000101','yyyymmdd'),'Version 20220323');</v>
      </c>
      <c r="B674" t="str">
        <f>IF(REGLAS!J675="OBSOLETO","","INSERT INTO INYCEXT.INYC_CONF_INF_REGLAS@tc_link (COD_INFORME,TABLA,NOMBRE,REGLA,F_INICIO,F_FIN,DESCRIPCION) VALUES ("&amp;REGLAS!B675&amp;",'"&amp;REGLAS!C675&amp;"','"&amp;REGLAS!D675&amp;"','"&amp;REGLAS!G675&amp;"',TO_DATE('"&amp;REGLAS!H675&amp;"','yyyymmdd'),TO_DATE('"&amp;REGLAS!I675&amp;"','yyyymmdd'),'"&amp;REGLAS!J675&amp;"');")</f>
        <v>INSERT INTO INYCEXT.INYC_CONF_INF_REGLAS@tc_link (COD_INFORME,TABLA,NOMBRE,REGLA,F_INICIO,F_FIN,DESCRIPCION) VALUES (19.1,'INYC_ASI_RESUMEN','SM - Importe Asistencias','SM-O-COM-Asistencia-Importe',TO_DATE('20220101','yyyymmdd'),TO_DATE('22000101','yyyymmdd'),'Version 20220323');</v>
      </c>
    </row>
    <row r="675" spans="1:2" x14ac:dyDescent="0.25">
      <c r="A675" t="str">
        <f>IF(REGLAS!J676="OBSOLETO","","INSERT INTO INYCEXT.INYC_CONF_INF_REGLAS (COD_INFORME,TABLA,NOMBRE,REGLA,F_INICIO,F_FIN,DESCRIPCION) VALUES ("&amp;REGLAS!B676&amp;",'"&amp;REGLAS!C676&amp;"','"&amp;REGLAS!D676&amp;"','"&amp;REGLAS!G676&amp;"',TO_DATE('"&amp;REGLAS!H676&amp;"','yyyymmdd'),TO_DATE('"&amp;REGLAS!I676&amp;"','yyyymmdd'),'"&amp;REGLAS!J676&amp;"');")</f>
        <v>INSERT INTO INYCEXT.INYC_CONF_INF_REGLAS (COD_INFORME,TABLA,NOMBRE,REGLA,F_INICIO,F_FIN,DESCRIPCION) VALUES (19.1,'INYC_ASI_RESUMEN','SM - Prima Agente Total Productos Mensual','SM-O-GEN-Agente-Prima-998-TotalMes',TO_DATE('20220101','yyyymmdd'),TO_DATE('22000101','yyyymmdd'),'Version 20220323');</v>
      </c>
      <c r="B675" t="str">
        <f>IF(REGLAS!J676="OBSOLETO","","INSERT INTO INYCEXT.INYC_CONF_INF_REGLAS@tc_link (COD_INFORME,TABLA,NOMBRE,REGLA,F_INICIO,F_FIN,DESCRIPCION) VALUES ("&amp;REGLAS!B676&amp;",'"&amp;REGLAS!C676&amp;"','"&amp;REGLAS!D676&amp;"','"&amp;REGLAS!G676&amp;"',TO_DATE('"&amp;REGLAS!H676&amp;"','yyyymmdd'),TO_DATE('"&amp;REGLAS!I676&amp;"','yyyymmdd'),'"&amp;REGLAS!J676&amp;"');")</f>
        <v>INSERT INTO INYCEXT.INYC_CONF_INF_REGLAS@tc_link (COD_INFORME,TABLA,NOMBRE,REGLA,F_INICIO,F_FIN,DESCRIPCION) VALUES (19.1,'INYC_ASI_RESUMEN','SM - Prima Agente Total Productos Mensual','SM-O-GEN-Agente-Prima-998-TotalMes',TO_DATE('20220101','yyyymmdd'),TO_DATE('22000101','yyyymmdd'),'Version 20220323');</v>
      </c>
    </row>
    <row r="676" spans="1:2" x14ac:dyDescent="0.25">
      <c r="A676" t="str">
        <f>IF(REGLAS!J677="OBSOLETO","","INSERT INTO INYCEXT.INYC_CONF_INF_REGLAS (COD_INFORME,TABLA,NOMBRE,REGLA,F_INICIO,F_FIN,DESCRIPCION) VALUES ("&amp;REGLAS!B677&amp;",'"&amp;REGLAS!C677&amp;"','"&amp;REGLAS!D677&amp;"','"&amp;REGLAS!G677&amp;"',TO_DATE('"&amp;REGLAS!H677&amp;"','yyyymmdd'),TO_DATE('"&amp;REGLAS!I677&amp;"','yyyymmdd'),'"&amp;REGLAS!J677&amp;"');")</f>
        <v>INSERT INTO INYCEXT.INYC_CONF_INF_REGLAS (COD_INFORME,TABLA,NOMBRE,REGLA,F_INICIO,F_FIN,DESCRIPCION) VALUES (19.1,'INYC_ASI_RESUMEN','SM - Nº Pólizas Corregidas Agente Total Productos con Resto Mensual','SM-O-ARA-NumeroPolizasCorregidas-998-Total-ConResto',TO_DATE('20220101','yyyymmdd'),TO_DATE('22000101','yyyymmdd'),'Version 20220323');</v>
      </c>
      <c r="B676" t="str">
        <f>IF(REGLAS!J677="OBSOLETO","","INSERT INTO INYCEXT.INYC_CONF_INF_REGLAS@tc_link (COD_INFORME,TABLA,NOMBRE,REGLA,F_INICIO,F_FIN,DESCRIPCION) VALUES ("&amp;REGLAS!B677&amp;",'"&amp;REGLAS!C677&amp;"','"&amp;REGLAS!D677&amp;"','"&amp;REGLAS!G677&amp;"',TO_DATE('"&amp;REGLAS!H677&amp;"','yyyymmdd'),TO_DATE('"&amp;REGLAS!I677&amp;"','yyyymmdd'),'"&amp;REGLAS!J677&amp;"');")</f>
        <v>INSERT INTO INYCEXT.INYC_CONF_INF_REGLAS@tc_link (COD_INFORME,TABLA,NOMBRE,REGLA,F_INICIO,F_FIN,DESCRIPCION) VALUES (19.1,'INYC_ASI_RESUMEN','SM - Nº Pólizas Corregidas Agente Total Productos con Resto Mensual','SM-O-ARA-NumeroPolizasCorregidas-998-Total-ConResto',TO_DATE('20220101','yyyymmdd'),TO_DATE('22000101','yyyymmdd'),'Version 20220323');</v>
      </c>
    </row>
    <row r="677" spans="1:2" x14ac:dyDescent="0.25">
      <c r="A677" t="str">
        <f>IF(REGLAS!J678="OBSOLETO","","INSERT INTO INYCEXT.INYC_CONF_INF_REGLAS (COD_INFORME,TABLA,NOMBRE,REGLA,F_INICIO,F_FIN,DESCRIPCION) VALUES ("&amp;REGLAS!B678&amp;",'"&amp;REGLAS!C678&amp;"','"&amp;REGLAS!D678&amp;"','"&amp;REGLAS!G678&amp;"',TO_DATE('"&amp;REGLAS!H678&amp;"','yyyymmdd'),TO_DATE('"&amp;REGLAS!I678&amp;"','yyyymmdd'),'"&amp;REGLAS!J678&amp;"');")</f>
        <v>INSERT INTO INYCEXT.INYC_CONF_INF_REGLAS (COD_INFORME,TABLA,NOMBRE,REGLA,F_INICIO,F_FIN,DESCRIPCION) VALUES (19.1,'INYC_ASI_RESUMEN','SM - Importe Pago Rappel Asistencia','SM-O-ARA-ImportePago',TO_DATE('20140101','yyyymmdd'),TO_DATE('22000101','yyyymmdd'),'');</v>
      </c>
      <c r="B677" t="str">
        <f>IF(REGLAS!J678="OBSOLETO","","INSERT INTO INYCEXT.INYC_CONF_INF_REGLAS@tc_link (COD_INFORME,TABLA,NOMBRE,REGLA,F_INICIO,F_FIN,DESCRIPCION) VALUES ("&amp;REGLAS!B678&amp;",'"&amp;REGLAS!C678&amp;"','"&amp;REGLAS!D678&amp;"','"&amp;REGLAS!G678&amp;"',TO_DATE('"&amp;REGLAS!H678&amp;"','yyyymmdd'),TO_DATE('"&amp;REGLAS!I678&amp;"','yyyymmdd'),'"&amp;REGLAS!J678&amp;"');")</f>
        <v>INSERT INTO INYCEXT.INYC_CONF_INF_REGLAS@tc_link (COD_INFORME,TABLA,NOMBRE,REGLA,F_INICIO,F_FIN,DESCRIPCION) VALUES (19.1,'INYC_ASI_RESUMEN','SM - Importe Pago Rappel Asistencia','SM-O-ARA-ImportePago',TO_DATE('20140101','yyyymmdd'),TO_DATE('22000101','yyyymmdd'),'');</v>
      </c>
    </row>
    <row r="678" spans="1:2" x14ac:dyDescent="0.25">
      <c r="A678" t="str">
        <f>IF(REGLAS!J679="OBSOLETO","","INSERT INTO INYCEXT.INYC_CONF_INF_REGLAS (COD_INFORME,TABLA,NOMBRE,REGLA,F_INICIO,F_FIN,DESCRIPCION) VALUES ("&amp;REGLAS!B679&amp;",'"&amp;REGLAS!C679&amp;"','"&amp;REGLAS!D679&amp;"','"&amp;REGLAS!G679&amp;"',TO_DATE('"&amp;REGLAS!H679&amp;"','yyyymmdd'),TO_DATE('"&amp;REGLAS!I679&amp;"','yyyymmdd'),'"&amp;REGLAS!J679&amp;"');")</f>
        <v>INSERT INTO INYCEXT.INYC_CONF_INF_REGLAS (COD_INFORME,TABLA,NOMBRE,REGLA,F_INICIO,F_FIN,DESCRIPCION) VALUES (19.1,'INYC_ASI_RESUMEN','SM - Importe Final Rappel Asistencia','SM-O-ARA-ImporteFinal',TO_DATE('20140101','yyyymmdd'),TO_DATE('22000101','yyyymmdd'),'');</v>
      </c>
      <c r="B678" t="str">
        <f>IF(REGLAS!J679="OBSOLETO","","INSERT INTO INYCEXT.INYC_CONF_INF_REGLAS@tc_link (COD_INFORME,TABLA,NOMBRE,REGLA,F_INICIO,F_FIN,DESCRIPCION) VALUES ("&amp;REGLAS!B679&amp;",'"&amp;REGLAS!C679&amp;"','"&amp;REGLAS!D679&amp;"','"&amp;REGLAS!G679&amp;"',TO_DATE('"&amp;REGLAS!H679&amp;"','yyyymmdd'),TO_DATE('"&amp;REGLAS!I679&amp;"','yyyymmdd'),'"&amp;REGLAS!J679&amp;"');")</f>
        <v>INSERT INTO INYCEXT.INYC_CONF_INF_REGLAS@tc_link (COD_INFORME,TABLA,NOMBRE,REGLA,F_INICIO,F_FIN,DESCRIPCION) VALUES (19.1,'INYC_ASI_RESUMEN','SM - Importe Final Rappel Asistencia','SM-O-ARA-ImporteFinal',TO_DATE('20140101','yyyymmdd'),TO_DATE('22000101','yyyymmdd'),'');</v>
      </c>
    </row>
    <row r="679" spans="1:2" x14ac:dyDescent="0.25">
      <c r="A679" t="str">
        <f>IF(REGLAS!J680="OBSOLETO","","INSERT INTO INYCEXT.INYC_CONF_INF_REGLAS (COD_INFORME,TABLA,NOMBRE,REGLA,F_INICIO,F_FIN,DESCRIPCION) VALUES ("&amp;REGLAS!B680&amp;",'"&amp;REGLAS!C680&amp;"','"&amp;REGLAS!D680&amp;"','"&amp;REGLAS!G680&amp;"',TO_DATE('"&amp;REGLAS!H680&amp;"','yyyymmdd'),TO_DATE('"&amp;REGLAS!I680&amp;"','yyyymmdd'),'"&amp;REGLAS!J680&amp;"');")</f>
        <v>INSERT INTO INYCEXT.INYC_CONF_INF_REGLAS (COD_INFORME,TABLA,NOMBRE,REGLA,F_INICIO,F_FIN,DESCRIPCION) VALUES (19.1,'INYC_ASI_RESUMEN','SM - Importe Mínimo Asistencia','SM-O-ARA-TotalPagoSubvencion',TO_DATE('20140101','yyyymmdd'),TO_DATE('22000101','yyyymmdd'),'');</v>
      </c>
      <c r="B679" t="str">
        <f>IF(REGLAS!J680="OBSOLETO","","INSERT INTO INYCEXT.INYC_CONF_INF_REGLAS@tc_link (COD_INFORME,TABLA,NOMBRE,REGLA,F_INICIO,F_FIN,DESCRIPCION) VALUES ("&amp;REGLAS!B680&amp;",'"&amp;REGLAS!C680&amp;"','"&amp;REGLAS!D680&amp;"','"&amp;REGLAS!G680&amp;"',TO_DATE('"&amp;REGLAS!H680&amp;"','yyyymmdd'),TO_DATE('"&amp;REGLAS!I680&amp;"','yyyymmdd'),'"&amp;REGLAS!J680&amp;"');")</f>
        <v>INSERT INTO INYCEXT.INYC_CONF_INF_REGLAS@tc_link (COD_INFORME,TABLA,NOMBRE,REGLA,F_INICIO,F_FIN,DESCRIPCION) VALUES (19.1,'INYC_ASI_RESUMEN','SM - Importe Mínimo Asistencia','SM-O-ARA-TotalPagoSubvencion',TO_DATE('20140101','yyyymmdd'),TO_DATE('22000101','yyyymmdd'),'');</v>
      </c>
    </row>
    <row r="680" spans="1:2" x14ac:dyDescent="0.25">
      <c r="A680" t="str">
        <f>IF(REGLAS!J681="OBSOLETO","","INSERT INTO INYCEXT.INYC_CONF_INF_REGLAS (COD_INFORME,TABLA,NOMBRE,REGLA,F_INICIO,F_FIN,DESCRIPCION) VALUES ("&amp;REGLAS!B681&amp;",'"&amp;REGLAS!C681&amp;"','"&amp;REGLAS!D681&amp;"','"&amp;REGLAS!G681&amp;"',TO_DATE('"&amp;REGLAS!H681&amp;"','yyyymmdd'),TO_DATE('"&amp;REGLAS!I681&amp;"','yyyymmdd'),'"&amp;REGLAS!J681&amp;"');")</f>
        <v>INSERT INTO INYCEXT.INYC_CONF_INF_REGLAS (COD_INFORME,TABLA,NOMBRE,REGLA,F_INICIO,F_FIN,DESCRIPCION) VALUES (19.1,'INYC_ASI_RESUMEN','SM - Importe Objetivo Reg. Trimestral Asistencia','SM-O-ARA-ImportePagoTrim',TO_DATE('20140101','yyyymmdd'),TO_DATE('22000101','yyyymmdd'),'');</v>
      </c>
      <c r="B680" t="str">
        <f>IF(REGLAS!J681="OBSOLETO","","INSERT INTO INYCEXT.INYC_CONF_INF_REGLAS@tc_link (COD_INFORME,TABLA,NOMBRE,REGLA,F_INICIO,F_FIN,DESCRIPCION) VALUES ("&amp;REGLAS!B681&amp;",'"&amp;REGLAS!C681&amp;"','"&amp;REGLAS!D681&amp;"','"&amp;REGLAS!G681&amp;"',TO_DATE('"&amp;REGLAS!H681&amp;"','yyyymmdd'),TO_DATE('"&amp;REGLAS!I681&amp;"','yyyymmdd'),'"&amp;REGLAS!J681&amp;"');")</f>
        <v>INSERT INTO INYCEXT.INYC_CONF_INF_REGLAS@tc_link (COD_INFORME,TABLA,NOMBRE,REGLA,F_INICIO,F_FIN,DESCRIPCION) VALUES (19.1,'INYC_ASI_RESUMEN','SM - Importe Objetivo Reg. Trimestral Asistencia','SM-O-ARA-ImportePagoTrim',TO_DATE('20140101','yyyymmdd'),TO_DATE('22000101','yyyymmdd'),'');</v>
      </c>
    </row>
    <row r="681" spans="1:2" x14ac:dyDescent="0.25">
      <c r="A681" t="str">
        <f>IF(REGLAS!J682="OBSOLETO","","INSERT INTO INYCEXT.INYC_CONF_INF_REGLAS (COD_INFORME,TABLA,NOMBRE,REGLA,F_INICIO,F_FIN,DESCRIPCION) VALUES ("&amp;REGLAS!B682&amp;",'"&amp;REGLAS!C682&amp;"','"&amp;REGLAS!D682&amp;"','"&amp;REGLAS!G682&amp;"',TO_DATE('"&amp;REGLAS!H682&amp;"','yyyymmdd'),TO_DATE('"&amp;REGLAS!I682&amp;"','yyyymmdd'),'"&amp;REGLAS!J682&amp;"');")</f>
        <v>INSERT INTO INYCEXT.INYC_CONF_INF_REGLAS (COD_INFORME,TABLA,NOMBRE,REGLA,F_INICIO,F_FIN,DESCRIPCION) VALUES (19.1,'INYC_ASI_RESUMEN','SM - Importe Compensación Trimestral Asistencia','SM-O-ARA-ImportePagoTrim-Final',TO_DATE('20140101','yyyymmdd'),TO_DATE('22000101','yyyymmdd'),'');</v>
      </c>
      <c r="B681" t="str">
        <f>IF(REGLAS!J682="OBSOLETO","","INSERT INTO INYCEXT.INYC_CONF_INF_REGLAS@tc_link (COD_INFORME,TABLA,NOMBRE,REGLA,F_INICIO,F_FIN,DESCRIPCION) VALUES ("&amp;REGLAS!B682&amp;",'"&amp;REGLAS!C682&amp;"','"&amp;REGLAS!D682&amp;"','"&amp;REGLAS!G682&amp;"',TO_DATE('"&amp;REGLAS!H682&amp;"','yyyymmdd'),TO_DATE('"&amp;REGLAS!I682&amp;"','yyyymmdd'),'"&amp;REGLAS!J682&amp;"');")</f>
        <v>INSERT INTO INYCEXT.INYC_CONF_INF_REGLAS@tc_link (COD_INFORME,TABLA,NOMBRE,REGLA,F_INICIO,F_FIN,DESCRIPCION) VALUES (19.1,'INYC_ASI_RESUMEN','SM - Importe Compensación Trimestral Asistencia','SM-O-ARA-ImportePagoTrim-Final',TO_DATE('20140101','yyyymmdd'),TO_DATE('22000101','yyyymmdd'),'');</v>
      </c>
    </row>
    <row r="682" spans="1:2" x14ac:dyDescent="0.25">
      <c r="A682" t="str">
        <f>IF(REGLAS!J683="OBSOLETO","","INSERT INTO INYCEXT.INYC_CONF_INF_REGLAS (COD_INFORME,TABLA,NOMBRE,REGLA,F_INICIO,F_FIN,DESCRIPCION) VALUES ("&amp;REGLAS!B683&amp;",'"&amp;REGLAS!C683&amp;"','"&amp;REGLAS!D683&amp;"','"&amp;REGLAS!G683&amp;"',TO_DATE('"&amp;REGLAS!H683&amp;"','yyyymmdd'),TO_DATE('"&amp;REGLAS!I683&amp;"','yyyymmdd'),'"&amp;REGLAS!J683&amp;"');")</f>
        <v>INSERT INTO INYCEXT.INYC_CONF_INF_REGLAS (COD_INFORME,TABLA,NOMBRE,REGLA,F_INICIO,F_FIN,DESCRIPCION) VALUES (19.1,'INYC_ASI_RESUMEN','SM - Importe Final Superrappel Asistencia','SM-O-ASR-ImporteFinal',TO_DATE('20140101','yyyymmdd'),TO_DATE('22000101','yyyymmdd'),'');</v>
      </c>
      <c r="B682" t="str">
        <f>IF(REGLAS!J683="OBSOLETO","","INSERT INTO INYCEXT.INYC_CONF_INF_REGLAS@tc_link (COD_INFORME,TABLA,NOMBRE,REGLA,F_INICIO,F_FIN,DESCRIPCION) VALUES ("&amp;REGLAS!B683&amp;",'"&amp;REGLAS!C683&amp;"','"&amp;REGLAS!D683&amp;"','"&amp;REGLAS!G683&amp;"',TO_DATE('"&amp;REGLAS!H683&amp;"','yyyymmdd'),TO_DATE('"&amp;REGLAS!I683&amp;"','yyyymmdd'),'"&amp;REGLAS!J683&amp;"');")</f>
        <v>INSERT INTO INYCEXT.INYC_CONF_INF_REGLAS@tc_link (COD_INFORME,TABLA,NOMBRE,REGLA,F_INICIO,F_FIN,DESCRIPCION) VALUES (19.1,'INYC_ASI_RESUMEN','SM - Importe Final Superrappel Asistencia','SM-O-ASR-ImporteFinal',TO_DATE('20140101','yyyymmdd'),TO_DATE('22000101','yyyymmdd'),'');</v>
      </c>
    </row>
    <row r="683" spans="1:2" x14ac:dyDescent="0.25">
      <c r="A683" t="str">
        <f>IF(REGLAS!J684="OBSOLETO","","INSERT INTO INYCEXT.INYC_CONF_INF_REGLAS (COD_INFORME,TABLA,NOMBRE,REGLA,F_INICIO,F_FIN,DESCRIPCION) VALUES ("&amp;REGLAS!B684&amp;",'"&amp;REGLAS!C684&amp;"','"&amp;REGLAS!D684&amp;"','"&amp;REGLAS!G684&amp;"',TO_DATE('"&amp;REGLAS!H684&amp;"','yyyymmdd'),TO_DATE('"&amp;REGLAS!I684&amp;"','yyyymmdd'),'"&amp;REGLAS!J684&amp;"');")</f>
        <v/>
      </c>
      <c r="B683" t="str">
        <f>IF(REGLAS!J684="OBSOLETO","","INSERT INTO INYCEXT.INYC_CONF_INF_REGLAS@tc_link (COD_INFORME,TABLA,NOMBRE,REGLA,F_INICIO,F_FIN,DESCRIPCION) VALUES ("&amp;REGLAS!B684&amp;",'"&amp;REGLAS!C684&amp;"','"&amp;REGLAS!D684&amp;"','"&amp;REGLAS!G684&amp;"',TO_DATE('"&amp;REGLAS!H684&amp;"','yyyymmdd'),TO_DATE('"&amp;REGLAS!I684&amp;"','yyyymmdd'),'"&amp;REGLAS!J684&amp;"');")</f>
        <v/>
      </c>
    </row>
    <row r="684" spans="1:2" x14ac:dyDescent="0.25">
      <c r="A684" t="str">
        <f>IF(REGLAS!J685="OBSOLETO","","INSERT INTO INYCEXT.INYC_CONF_INF_REGLAS (COD_INFORME,TABLA,NOMBRE,REGLA,F_INICIO,F_FIN,DESCRIPCION) VALUES ("&amp;REGLAS!B685&amp;",'"&amp;REGLAS!C685&amp;"','"&amp;REGLAS!D685&amp;"','"&amp;REGLAS!G685&amp;"',TO_DATE('"&amp;REGLAS!H685&amp;"','yyyymmdd'),TO_DATE('"&amp;REGLAS!I685&amp;"','yyyymmdd'),'"&amp;REGLAS!J685&amp;"');")</f>
        <v>INSERT INTO INYCEXT.INYC_CONF_INF_REGLAS (COD_INFORME,TABLA,NOMBRE,REGLA,F_INICIO,F_FIN,DESCRIPCION) VALUES (19.1,'INYC_ASI_RESUMEN','SM - Resto Mes Anterior Rappel','SM-O-ARA-RestoMesAnterior',TO_DATE('20140101','yyyymmdd'),TO_DATE('22000101','yyyymmdd'),'');</v>
      </c>
      <c r="B684" t="str">
        <f>IF(REGLAS!J685="OBSOLETO","","INSERT INTO INYCEXT.INYC_CONF_INF_REGLAS@tc_link (COD_INFORME,TABLA,NOMBRE,REGLA,F_INICIO,F_FIN,DESCRIPCION) VALUES ("&amp;REGLAS!B685&amp;",'"&amp;REGLAS!C685&amp;"','"&amp;REGLAS!D685&amp;"','"&amp;REGLAS!G685&amp;"',TO_DATE('"&amp;REGLAS!H685&amp;"','yyyymmdd'),TO_DATE('"&amp;REGLAS!I685&amp;"','yyyymmdd'),'"&amp;REGLAS!J685&amp;"');")</f>
        <v>INSERT INTO INYCEXT.INYC_CONF_INF_REGLAS@tc_link (COD_INFORME,TABLA,NOMBRE,REGLA,F_INICIO,F_FIN,DESCRIPCION) VALUES (19.1,'INYC_ASI_RESUMEN','SM - Resto Mes Anterior Rappel','SM-O-ARA-RestoMesAnterior',TO_DATE('20140101','yyyymmdd'),TO_DATE('22000101','yyyymmdd'),'');</v>
      </c>
    </row>
    <row r="685" spans="1:2" x14ac:dyDescent="0.25">
      <c r="A685" t="str">
        <f>IF(REGLAS!J686="OBSOLETO","","INSERT INTO INYCEXT.INYC_CONF_INF_REGLAS (COD_INFORME,TABLA,NOMBRE,REGLA,F_INICIO,F_FIN,DESCRIPCION) VALUES ("&amp;REGLAS!B686&amp;",'"&amp;REGLAS!C686&amp;"','"&amp;REGLAS!D686&amp;"','"&amp;REGLAS!G686&amp;"',TO_DATE('"&amp;REGLAS!H686&amp;"','yyyymmdd'),TO_DATE('"&amp;REGLAS!I686&amp;"','yyyymmdd'),'"&amp;REGLAS!J686&amp;"');")</f>
        <v>INSERT INTO INYCEXT.INYC_CONF_INF_REGLAS (COD_INFORME,TABLA,NOMBRE,REGLA,F_INICIO,F_FIN,DESCRIPCION) VALUES (19.1,'INYC_ASI_RESUMEN','SM - Resto Mes Siguiente Rappel','SM-O-RPP-Agente-NumeroPolizas-998-Total-Mes-Resto',TO_DATE('20140101','yyyymmdd'),TO_DATE('22000101','yyyymmdd'),'');</v>
      </c>
      <c r="B685" t="str">
        <f>IF(REGLAS!J686="OBSOLETO","","INSERT INTO INYCEXT.INYC_CONF_INF_REGLAS@tc_link (COD_INFORME,TABLA,NOMBRE,REGLA,F_INICIO,F_FIN,DESCRIPCION) VALUES ("&amp;REGLAS!B686&amp;",'"&amp;REGLAS!C686&amp;"','"&amp;REGLAS!D686&amp;"','"&amp;REGLAS!G686&amp;"',TO_DATE('"&amp;REGLAS!H686&amp;"','yyyymmdd'),TO_DATE('"&amp;REGLAS!I686&amp;"','yyyymmdd'),'"&amp;REGLAS!J686&amp;"');")</f>
        <v>INSERT INTO INYCEXT.INYC_CONF_INF_REGLAS@tc_link (COD_INFORME,TABLA,NOMBRE,REGLA,F_INICIO,F_FIN,DESCRIPCION) VALUES (19.1,'INYC_ASI_RESUMEN','SM - Resto Mes Siguiente Rappel','SM-O-RPP-Agente-NumeroPolizas-998-Total-Mes-Resto',TO_DATE('20140101','yyyymmdd'),TO_DATE('22000101','yyyymmdd'),'');</v>
      </c>
    </row>
    <row r="686" spans="1:2" x14ac:dyDescent="0.25">
      <c r="A686" t="str">
        <f>IF(REGLAS!J687="OBSOLETO","","INSERT INTO INYCEXT.INYC_CONF_INF_REGLAS (COD_INFORME,TABLA,NOMBRE,REGLA,F_INICIO,F_FIN,DESCRIPCION) VALUES ("&amp;REGLAS!B687&amp;",'"&amp;REGLAS!C687&amp;"','"&amp;REGLAS!D687&amp;"','"&amp;REGLAS!G687&amp;"',TO_DATE('"&amp;REGLAS!H687&amp;"','yyyymmdd'),TO_DATE('"&amp;REGLAS!I687&amp;"','yyyymmdd'),'"&amp;REGLAS!J687&amp;"');")</f>
        <v>INSERT INTO INYCEXT.INYC_CONF_INF_REGLAS (COD_INFORME,TABLA,NOMBRE,REGLA,F_INICIO,F_FIN,DESCRIPCION) VALUES (19.1,'INYC_ASI_RESUMEN','SM - Bolsa Estabilidad Comodin Asegurados','SM-O-ARA-BolsaFinanciacion-Estado-Comodin-Asegurados',TO_DATE('20220101','yyyymmdd'),TO_DATE('22000101','yyyymmdd'),'Version 20220419');</v>
      </c>
      <c r="B686" t="str">
        <f>IF(REGLAS!J687="OBSOLETO","","INSERT INTO INYCEXT.INYC_CONF_INF_REGLAS@tc_link (COD_INFORME,TABLA,NOMBRE,REGLA,F_INICIO,F_FIN,DESCRIPCION) VALUES ("&amp;REGLAS!B687&amp;",'"&amp;REGLAS!C687&amp;"','"&amp;REGLAS!D687&amp;"','"&amp;REGLAS!G687&amp;"',TO_DATE('"&amp;REGLAS!H687&amp;"','yyyymmdd'),TO_DATE('"&amp;REGLAS!I687&amp;"','yyyymmdd'),'"&amp;REGLAS!J687&amp;"');")</f>
        <v>INSERT INTO INYCEXT.INYC_CONF_INF_REGLAS@tc_link (COD_INFORME,TABLA,NOMBRE,REGLA,F_INICIO,F_FIN,DESCRIPCION) VALUES (19.1,'INYC_ASI_RESUMEN','SM - Bolsa Estabilidad Comodin Asegurados','SM-O-ARA-BolsaFinanciacion-Estado-Comodin-Asegurados',TO_DATE('20220101','yyyymmdd'),TO_DATE('22000101','yyyymmdd'),'Version 20220419');</v>
      </c>
    </row>
    <row r="687" spans="1:2" x14ac:dyDescent="0.25">
      <c r="A687" t="str">
        <f>IF(REGLAS!J688="OBSOLETO","","INSERT INTO INYCEXT.INYC_CONF_INF_REGLAS (COD_INFORME,TABLA,NOMBRE,REGLA,F_INICIO,F_FIN,DESCRIPCION) VALUES ("&amp;REGLAS!B688&amp;",'"&amp;REGLAS!C688&amp;"','"&amp;REGLAS!D688&amp;"','"&amp;REGLAS!G688&amp;"',TO_DATE('"&amp;REGLAS!H688&amp;"','yyyymmdd'),TO_DATE('"&amp;REGLAS!I688&amp;"','yyyymmdd'),'"&amp;REGLAS!J688&amp;"');")</f>
        <v>INSERT INTO INYCEXT.INYC_CONF_INF_REGLAS (COD_INFORME,TABLA,NOMBRE,REGLA,F_INICIO,F_FIN,DESCRIPCION) VALUES (19.1,'INYC_ASI_RESUMEN','SM - Bolsa Estabilidad Devolucion Asegurados','SM-O-ARA-BolsaFinanciacion-Devolucion-Asegurados',TO_DATE('20220101','yyyymmdd'),TO_DATE('22000101','yyyymmdd'),'Version 20220419');</v>
      </c>
      <c r="B687" t="str">
        <f>IF(REGLAS!J688="OBSOLETO","","INSERT INTO INYCEXT.INYC_CONF_INF_REGLAS@tc_link (COD_INFORME,TABLA,NOMBRE,REGLA,F_INICIO,F_FIN,DESCRIPCION) VALUES ("&amp;REGLAS!B688&amp;",'"&amp;REGLAS!C688&amp;"','"&amp;REGLAS!D688&amp;"','"&amp;REGLAS!G688&amp;"',TO_DATE('"&amp;REGLAS!H688&amp;"','yyyymmdd'),TO_DATE('"&amp;REGLAS!I688&amp;"','yyyymmdd'),'"&amp;REGLAS!J688&amp;"');")</f>
        <v>INSERT INTO INYCEXT.INYC_CONF_INF_REGLAS@tc_link (COD_INFORME,TABLA,NOMBRE,REGLA,F_INICIO,F_FIN,DESCRIPCION) VALUES (19.1,'INYC_ASI_RESUMEN','SM - Bolsa Estabilidad Devolucion Asegurados','SM-O-ARA-BolsaFinanciacion-Devolucion-Asegurados',TO_DATE('20220101','yyyymmdd'),TO_DATE('22000101','yyyymmdd'),'Version 20220419');</v>
      </c>
    </row>
    <row r="688" spans="1:2" x14ac:dyDescent="0.25">
      <c r="A688" t="str">
        <f>IF(REGLAS!J689="OBSOLETO","","INSERT INTO INYCEXT.INYC_CONF_INF_REGLAS (COD_INFORME,TABLA,NOMBRE,REGLA,F_INICIO,F_FIN,DESCRIPCION) VALUES ("&amp;REGLAS!B689&amp;",'"&amp;REGLAS!C689&amp;"','"&amp;REGLAS!D689&amp;"','"&amp;REGLAS!G689&amp;"',TO_DATE('"&amp;REGLAS!H689&amp;"','yyyymmdd'),TO_DATE('"&amp;REGLAS!I689&amp;"','yyyymmdd'),'"&amp;REGLAS!J689&amp;"');")</f>
        <v>INSERT INTO INYCEXT.INYC_CONF_INF_REGLAS (COD_INFORME,TABLA,NOMBRE,REGLA,F_INICIO,F_FIN,DESCRIPCION) VALUES (19.2,'INYC_ASI_DETALLE','DC - Polizas','DC-O-GEN-Agente-NumeroPolizas-998',TO_DATE('20140101','yyyymmdd'),TO_DATE('22000101','yyyymmdd'),'');</v>
      </c>
      <c r="B688" t="str">
        <f>IF(REGLAS!J689="OBSOLETO","","INSERT INTO INYCEXT.INYC_CONF_INF_REGLAS@tc_link (COD_INFORME,TABLA,NOMBRE,REGLA,F_INICIO,F_FIN,DESCRIPCION) VALUES ("&amp;REGLAS!B689&amp;",'"&amp;REGLAS!C689&amp;"','"&amp;REGLAS!D689&amp;"','"&amp;REGLAS!G689&amp;"',TO_DATE('"&amp;REGLAS!H689&amp;"','yyyymmdd'),TO_DATE('"&amp;REGLAS!I689&amp;"','yyyymmdd'),'"&amp;REGLAS!J689&amp;"');")</f>
        <v>INSERT INTO INYCEXT.INYC_CONF_INF_REGLAS@tc_link (COD_INFORME,TABLA,NOMBRE,REGLA,F_INICIO,F_FIN,DESCRIPCION) VALUES (19.2,'INYC_ASI_DETALLE','DC - Polizas','DC-O-GEN-Agente-NumeroPolizas-998',TO_DATE('20140101','yyyymmdd'),TO_DATE('22000101','yyyymmdd'),'');</v>
      </c>
    </row>
    <row r="689" spans="1:2" x14ac:dyDescent="0.25">
      <c r="A689" t="str">
        <f>IF(REGLAS!J690="OBSOLETO","","INSERT INTO INYCEXT.INYC_CONF_INF_REGLAS (COD_INFORME,TABLA,NOMBRE,REGLA,F_INICIO,F_FIN,DESCRIPCION) VALUES ("&amp;REGLAS!B690&amp;",'"&amp;REGLAS!C690&amp;"','"&amp;REGLAS!D690&amp;"','"&amp;REGLAS!G690&amp;"',TO_DATE('"&amp;REGLAS!H690&amp;"','yyyymmdd'),TO_DATE('"&amp;REGLAS!I690&amp;"','yyyymmdd'),'"&amp;REGLAS!J690&amp;"');")</f>
        <v>INSERT INTO INYCEXT.INYC_CONF_INF_REGLAS (COD_INFORME,TABLA,NOMBRE,REGLA,F_INICIO,F_FIN,DESCRIPCION) VALUES (19.2,'INYC_ASI_DETALLE','DC - Renovaciones','DC-O-GEN-Agente-NumeroPolizas-998-Renov',TO_DATE('20140101','yyyymmdd'),TO_DATE('22000101','yyyymmdd'),'');</v>
      </c>
      <c r="B689" t="str">
        <f>IF(REGLAS!J690="OBSOLETO","","INSERT INTO INYCEXT.INYC_CONF_INF_REGLAS@tc_link (COD_INFORME,TABLA,NOMBRE,REGLA,F_INICIO,F_FIN,DESCRIPCION) VALUES ("&amp;REGLAS!B690&amp;",'"&amp;REGLAS!C690&amp;"','"&amp;REGLAS!D690&amp;"','"&amp;REGLAS!G690&amp;"',TO_DATE('"&amp;REGLAS!H690&amp;"','yyyymmdd'),TO_DATE('"&amp;REGLAS!I690&amp;"','yyyymmdd'),'"&amp;REGLAS!J690&amp;"');")</f>
        <v>INSERT INTO INYCEXT.INYC_CONF_INF_REGLAS@tc_link (COD_INFORME,TABLA,NOMBRE,REGLA,F_INICIO,F_FIN,DESCRIPCION) VALUES (19.2,'INYC_ASI_DETALLE','DC - Renovaciones','DC-O-GEN-Agente-NumeroPolizas-998-Renov',TO_DATE('20140101','yyyymmdd'),TO_DATE('22000101','yyyymmdd'),'');</v>
      </c>
    </row>
    <row r="690" spans="1:2" x14ac:dyDescent="0.25">
      <c r="A690" t="str">
        <f>IF(REGLAS!J691="OBSOLETO","","INSERT INTO INYCEXT.INYC_CONF_INF_REGLAS (COD_INFORME,TABLA,NOMBRE,REGLA,F_INICIO,F_FIN,DESCRIPCION) VALUES ("&amp;REGLAS!B691&amp;",'"&amp;REGLAS!C691&amp;"','"&amp;REGLAS!D691&amp;"','"&amp;REGLAS!G691&amp;"',TO_DATE('"&amp;REGLAS!H691&amp;"','yyyymmdd'),TO_DATE('"&amp;REGLAS!I691&amp;"','yyyymmdd'),'"&amp;REGLAS!J691&amp;"');")</f>
        <v>INSERT INTO INYCEXT.INYC_CONF_INF_REGLAS (COD_INFORME,TABLA,NOMBRE,REGLA,F_INICIO,F_FIN,DESCRIPCION) VALUES (19.2,'INYC_ASI_DETALLE','DC - Recuperaciones','DC-O-GEN-Agente-NumeroPolizas-998-Recup',TO_DATE('20140101','yyyymmdd'),TO_DATE('22000101','yyyymmdd'),'');</v>
      </c>
      <c r="B690" t="str">
        <f>IF(REGLAS!J691="OBSOLETO","","INSERT INTO INYCEXT.INYC_CONF_INF_REGLAS@tc_link (COD_INFORME,TABLA,NOMBRE,REGLA,F_INICIO,F_FIN,DESCRIPCION) VALUES ("&amp;REGLAS!B691&amp;",'"&amp;REGLAS!C691&amp;"','"&amp;REGLAS!D691&amp;"','"&amp;REGLAS!G691&amp;"',TO_DATE('"&amp;REGLAS!H691&amp;"','yyyymmdd'),TO_DATE('"&amp;REGLAS!I691&amp;"','yyyymmdd'),'"&amp;REGLAS!J691&amp;"');")</f>
        <v>INSERT INTO INYCEXT.INYC_CONF_INF_REGLAS@tc_link (COD_INFORME,TABLA,NOMBRE,REGLA,F_INICIO,F_FIN,DESCRIPCION) VALUES (19.2,'INYC_ASI_DETALLE','DC - Recuperaciones','DC-O-GEN-Agente-NumeroPolizas-998-Recup',TO_DATE('20140101','yyyymmdd'),TO_DATE('22000101','yyyymmdd'),'');</v>
      </c>
    </row>
    <row r="691" spans="1:2" x14ac:dyDescent="0.25">
      <c r="A691" t="str">
        <f>IF(REGLAS!J692="OBSOLETO","","INSERT INTO INYCEXT.INYC_CONF_INF_REGLAS (COD_INFORME,TABLA,NOMBRE,REGLA,F_INICIO,F_FIN,DESCRIPCION) VALUES ("&amp;REGLAS!B692&amp;",'"&amp;REGLAS!C692&amp;"','"&amp;REGLAS!D692&amp;"','"&amp;REGLAS!G692&amp;"',TO_DATE('"&amp;REGLAS!H692&amp;"','yyyymmdd'),TO_DATE('"&amp;REGLAS!I692&amp;"','yyyymmdd'),'"&amp;REGLAS!J692&amp;"');")</f>
        <v>INSERT INTO INYCEXT.INYC_CONF_INF_REGLAS (COD_INFORME,TABLA,NOMBRE,REGLA,F_INICIO,F_FIN,DESCRIPCION) VALUES (19.2,'INYC_ASI_DETALLE','DC - Nº Asegurados Agente','DC-O-GEN-Agente-NumAsegurados',TO_DATE('20180101','yyyymmdd'),TO_DATE('22000101','yyyymmdd'),'Version 20180213');</v>
      </c>
      <c r="B691" t="str">
        <f>IF(REGLAS!J692="OBSOLETO","","INSERT INTO INYCEXT.INYC_CONF_INF_REGLAS@tc_link (COD_INFORME,TABLA,NOMBRE,REGLA,F_INICIO,F_FIN,DESCRIPCION) VALUES ("&amp;REGLAS!B692&amp;",'"&amp;REGLAS!C692&amp;"','"&amp;REGLAS!D692&amp;"','"&amp;REGLAS!G692&amp;"',TO_DATE('"&amp;REGLAS!H692&amp;"','yyyymmdd'),TO_DATE('"&amp;REGLAS!I692&amp;"','yyyymmdd'),'"&amp;REGLAS!J692&amp;"');")</f>
        <v>INSERT INTO INYCEXT.INYC_CONF_INF_REGLAS@tc_link (COD_INFORME,TABLA,NOMBRE,REGLA,F_INICIO,F_FIN,DESCRIPCION) VALUES (19.2,'INYC_ASI_DETALLE','DC - Nº Asegurados Agente','DC-O-GEN-Agente-NumAsegurados',TO_DATE('20180101','yyyymmdd'),TO_DATE('22000101','yyyymmdd'),'Version 20180213');</v>
      </c>
    </row>
    <row r="692" spans="1:2" x14ac:dyDescent="0.25">
      <c r="A692" t="str">
        <f>IF(REGLAS!J693="OBSOLETO","","INSERT INTO INYCEXT.INYC_CONF_INF_REGLAS (COD_INFORME,TABLA,NOMBRE,REGLA,F_INICIO,F_FIN,DESCRIPCION) VALUES ("&amp;REGLAS!B693&amp;",'"&amp;REGLAS!C693&amp;"','"&amp;REGLAS!D693&amp;"','"&amp;REGLAS!G693&amp;"',TO_DATE('"&amp;REGLAS!H693&amp;"','yyyymmdd'),TO_DATE('"&amp;REGLAS!I693&amp;"','yyyymmdd'),'"&amp;REGLAS!J693&amp;"');")</f>
        <v>INSERT INTO INYCEXT.INYC_CONF_INF_REGLAS (COD_INFORME,TABLA,NOMBRE,REGLA,F_INICIO,F_FIN,DESCRIPCION) VALUES (20.1,'INYC_ASI_E_RESUMEN','PM - Nº Asistencias','PM-E-COM-NumeroAsistencias',TO_DATE('20140101','yyyymmdd'),TO_DATE('22000101','yyyymmdd'),'');</v>
      </c>
      <c r="B692" t="str">
        <f>IF(REGLAS!J693="OBSOLETO","","INSERT INTO INYCEXT.INYC_CONF_INF_REGLAS@tc_link (COD_INFORME,TABLA,NOMBRE,REGLA,F_INICIO,F_FIN,DESCRIPCION) VALUES ("&amp;REGLAS!B693&amp;",'"&amp;REGLAS!C693&amp;"','"&amp;REGLAS!D693&amp;"','"&amp;REGLAS!G693&amp;"',TO_DATE('"&amp;REGLAS!H693&amp;"','yyyymmdd'),TO_DATE('"&amp;REGLAS!I693&amp;"','yyyymmdd'),'"&amp;REGLAS!J693&amp;"');")</f>
        <v>INSERT INTO INYCEXT.INYC_CONF_INF_REGLAS@tc_link (COD_INFORME,TABLA,NOMBRE,REGLA,F_INICIO,F_FIN,DESCRIPCION) VALUES (20.1,'INYC_ASI_E_RESUMEN','PM - Nº Asistencias','PM-E-COM-NumeroAsistencias',TO_DATE('20140101','yyyymmdd'),TO_DATE('22000101','yyyymmdd'),'');</v>
      </c>
    </row>
    <row r="693" spans="1:2" x14ac:dyDescent="0.25">
      <c r="A693" t="str">
        <f>IF(REGLAS!J694="OBSOLETO","","INSERT INTO INYCEXT.INYC_CONF_INF_REGLAS (COD_INFORME,TABLA,NOMBRE,REGLA,F_INICIO,F_FIN,DESCRIPCION) VALUES ("&amp;REGLAS!B694&amp;",'"&amp;REGLAS!C694&amp;"','"&amp;REGLAS!D694&amp;"','"&amp;REGLAS!G694&amp;"',TO_DATE('"&amp;REGLAS!H694&amp;"','yyyymmdd'),TO_DATE('"&amp;REGLAS!I694&amp;"','yyyymmdd'),'"&amp;REGLAS!J694&amp;"');")</f>
        <v>INSERT INTO INYCEXT.INYC_CONF_INF_REGLAS (COD_INFORME,TABLA,NOMBRE,REGLA,F_INICIO,F_FIN,DESCRIPCION) VALUES (20.1,'INYC_ASI_E_RESUMEN','SM - Nº Pólizas antes de Botes','SM-E-RS1-Agente-NumeroPolizas-TotalMes-SinBotes',TO_DATE('20140101','yyyymmdd'),TO_DATE('22000101','yyyymmdd'),'');</v>
      </c>
      <c r="B693" t="str">
        <f>IF(REGLAS!J694="OBSOLETO","","INSERT INTO INYCEXT.INYC_CONF_INF_REGLAS@tc_link (COD_INFORME,TABLA,NOMBRE,REGLA,F_INICIO,F_FIN,DESCRIPCION) VALUES ("&amp;REGLAS!B694&amp;",'"&amp;REGLAS!C694&amp;"','"&amp;REGLAS!D694&amp;"','"&amp;REGLAS!G694&amp;"',TO_DATE('"&amp;REGLAS!H694&amp;"','yyyymmdd'),TO_DATE('"&amp;REGLAS!I694&amp;"','yyyymmdd'),'"&amp;REGLAS!J694&amp;"');")</f>
        <v>INSERT INTO INYCEXT.INYC_CONF_INF_REGLAS@tc_link (COD_INFORME,TABLA,NOMBRE,REGLA,F_INICIO,F_FIN,DESCRIPCION) VALUES (20.1,'INYC_ASI_E_RESUMEN','SM - Nº Pólizas antes de Botes','SM-E-RS1-Agente-NumeroPolizas-TotalMes-SinBotes',TO_DATE('20140101','yyyymmdd'),TO_DATE('22000101','yyyymmdd'),'');</v>
      </c>
    </row>
    <row r="694" spans="1:2" x14ac:dyDescent="0.25">
      <c r="A694" t="str">
        <f>IF(REGLAS!J695="OBSOLETO","","INSERT INTO INYCEXT.INYC_CONF_INF_REGLAS (COD_INFORME,TABLA,NOMBRE,REGLA,F_INICIO,F_FIN,DESCRIPCION) VALUES ("&amp;REGLAS!B695&amp;",'"&amp;REGLAS!C695&amp;"','"&amp;REGLAS!D695&amp;"','"&amp;REGLAS!G695&amp;"',TO_DATE('"&amp;REGLAS!H695&amp;"','yyyymmdd'),TO_DATE('"&amp;REGLAS!I695&amp;"','yyyymmdd'),'"&amp;REGLAS!J695&amp;"');")</f>
        <v>INSERT INTO INYCEXT.INYC_CONF_INF_REGLAS (COD_INFORME,TABLA,NOMBRE,REGLA,F_INICIO,F_FIN,DESCRIPCION) VALUES (20.1,'INYC_ASI_E_RESUMEN','PM - Importe Asistencias','PM-E-COM-Asistencia-Importe',TO_DATE('20140101','yyyymmdd'),TO_DATE('22000101','yyyymmdd'),'');</v>
      </c>
      <c r="B694" t="str">
        <f>IF(REGLAS!J695="OBSOLETO","","INSERT INTO INYCEXT.INYC_CONF_INF_REGLAS@tc_link (COD_INFORME,TABLA,NOMBRE,REGLA,F_INICIO,F_FIN,DESCRIPCION) VALUES ("&amp;REGLAS!B695&amp;",'"&amp;REGLAS!C695&amp;"','"&amp;REGLAS!D695&amp;"','"&amp;REGLAS!G695&amp;"',TO_DATE('"&amp;REGLAS!H695&amp;"','yyyymmdd'),TO_DATE('"&amp;REGLAS!I695&amp;"','yyyymmdd'),'"&amp;REGLAS!J695&amp;"');")</f>
        <v>INSERT INTO INYCEXT.INYC_CONF_INF_REGLAS@tc_link (COD_INFORME,TABLA,NOMBRE,REGLA,F_INICIO,F_FIN,DESCRIPCION) VALUES (20.1,'INYC_ASI_E_RESUMEN','PM - Importe Asistencias','PM-E-COM-Asistencia-Importe',TO_DATE('20140101','yyyymmdd'),TO_DATE('22000101','yyyymmdd'),'');</v>
      </c>
    </row>
    <row r="695" spans="1:2" x14ac:dyDescent="0.25">
      <c r="A695" t="str">
        <f>IF(REGLAS!J696="OBSOLETO","","INSERT INTO INYCEXT.INYC_CONF_INF_REGLAS (COD_INFORME,TABLA,NOMBRE,REGLA,F_INICIO,F_FIN,DESCRIPCION) VALUES ("&amp;REGLAS!B696&amp;",'"&amp;REGLAS!C696&amp;"','"&amp;REGLAS!D696&amp;"','"&amp;REGLAS!G696&amp;"',TO_DATE('"&amp;REGLAS!H696&amp;"','yyyymmdd'),TO_DATE('"&amp;REGLAS!I696&amp;"','yyyymmdd'),'"&amp;REGLAS!J696&amp;"');")</f>
        <v>INSERT INTO INYCEXT.INYC_CONF_INF_REGLAS (COD_INFORME,TABLA,NOMBRE,REGLA,F_INICIO,F_FIN,DESCRIPCION) VALUES (20.1,'INYC_ASI_E_RESUMEN','SM - Importe Pago Rappel Asistencia','SM-E-ARA-ImportePago',TO_DATE('20140101','yyyymmdd'),TO_DATE('22000101','yyyymmdd'),'');</v>
      </c>
      <c r="B695" t="str">
        <f>IF(REGLAS!J696="OBSOLETO","","INSERT INTO INYCEXT.INYC_CONF_INF_REGLAS@tc_link (COD_INFORME,TABLA,NOMBRE,REGLA,F_INICIO,F_FIN,DESCRIPCION) VALUES ("&amp;REGLAS!B696&amp;",'"&amp;REGLAS!C696&amp;"','"&amp;REGLAS!D696&amp;"','"&amp;REGLAS!G696&amp;"',TO_DATE('"&amp;REGLAS!H696&amp;"','yyyymmdd'),TO_DATE('"&amp;REGLAS!I696&amp;"','yyyymmdd'),'"&amp;REGLAS!J696&amp;"');")</f>
        <v>INSERT INTO INYCEXT.INYC_CONF_INF_REGLAS@tc_link (COD_INFORME,TABLA,NOMBRE,REGLA,F_INICIO,F_FIN,DESCRIPCION) VALUES (20.1,'INYC_ASI_E_RESUMEN','SM - Importe Pago Rappel Asistencia','SM-E-ARA-ImportePago',TO_DATE('20140101','yyyymmdd'),TO_DATE('22000101','yyyymmdd'),'');</v>
      </c>
    </row>
    <row r="696" spans="1:2" x14ac:dyDescent="0.25">
      <c r="A696" t="str">
        <f>IF(REGLAS!J697="OBSOLETO","","INSERT INTO INYCEXT.INYC_CONF_INF_REGLAS (COD_INFORME,TABLA,NOMBRE,REGLA,F_INICIO,F_FIN,DESCRIPCION) VALUES ("&amp;REGLAS!B697&amp;",'"&amp;REGLAS!C697&amp;"','"&amp;REGLAS!D697&amp;"','"&amp;REGLAS!G697&amp;"',TO_DATE('"&amp;REGLAS!H697&amp;"','yyyymmdd'),TO_DATE('"&amp;REGLAS!I697&amp;"','yyyymmdd'),'"&amp;REGLAS!J697&amp;"');")</f>
        <v>INSERT INTO INYCEXT.INYC_CONF_INF_REGLAS (COD_INFORME,TABLA,NOMBRE,REGLA,F_INICIO,F_FIN,DESCRIPCION) VALUES (20.1,'INYC_ASI_E_RESUMEN','SM - Importe Final Rappel Asistencia','SM-E-ARA-ImporteFinal',TO_DATE('20140101','yyyymmdd'),TO_DATE('22000101','yyyymmdd'),'');</v>
      </c>
      <c r="B696" t="str">
        <f>IF(REGLAS!J697="OBSOLETO","","INSERT INTO INYCEXT.INYC_CONF_INF_REGLAS@tc_link (COD_INFORME,TABLA,NOMBRE,REGLA,F_INICIO,F_FIN,DESCRIPCION) VALUES ("&amp;REGLAS!B697&amp;",'"&amp;REGLAS!C697&amp;"','"&amp;REGLAS!D697&amp;"','"&amp;REGLAS!G697&amp;"',TO_DATE('"&amp;REGLAS!H697&amp;"','yyyymmdd'),TO_DATE('"&amp;REGLAS!I697&amp;"','yyyymmdd'),'"&amp;REGLAS!J697&amp;"');")</f>
        <v>INSERT INTO INYCEXT.INYC_CONF_INF_REGLAS@tc_link (COD_INFORME,TABLA,NOMBRE,REGLA,F_INICIO,F_FIN,DESCRIPCION) VALUES (20.1,'INYC_ASI_E_RESUMEN','SM - Importe Final Rappel Asistencia','SM-E-ARA-ImporteFinal',TO_DATE('20140101','yyyymmdd'),TO_DATE('22000101','yyyymmdd'),'');</v>
      </c>
    </row>
    <row r="697" spans="1:2" x14ac:dyDescent="0.25">
      <c r="A697" t="str">
        <f>IF(REGLAS!J698="OBSOLETO","","INSERT INTO INYCEXT.INYC_CONF_INF_REGLAS (COD_INFORME,TABLA,NOMBRE,REGLA,F_INICIO,F_FIN,DESCRIPCION) VALUES ("&amp;REGLAS!B698&amp;",'"&amp;REGLAS!C698&amp;"','"&amp;REGLAS!D698&amp;"','"&amp;REGLAS!G698&amp;"',TO_DATE('"&amp;REGLAS!H698&amp;"','yyyymmdd'),TO_DATE('"&amp;REGLAS!I698&amp;"','yyyymmdd'),'"&amp;REGLAS!J698&amp;"');")</f>
        <v>INSERT INTO INYCEXT.INYC_CONF_INF_REGLAS (COD_INFORME,TABLA,NOMBRE,REGLA,F_INICIO,F_FIN,DESCRIPCION) VALUES (20.1,'INYC_ASI_E_RESUMEN','SM - Importe Final Superrappel Asistencia','SM-E-ASR-ImporteFinal',TO_DATE('20140101','yyyymmdd'),TO_DATE('22000101','yyyymmdd'),'');</v>
      </c>
      <c r="B697" t="str">
        <f>IF(REGLAS!J698="OBSOLETO","","INSERT INTO INYCEXT.INYC_CONF_INF_REGLAS@tc_link (COD_INFORME,TABLA,NOMBRE,REGLA,F_INICIO,F_FIN,DESCRIPCION) VALUES ("&amp;REGLAS!B698&amp;",'"&amp;REGLAS!C698&amp;"','"&amp;REGLAS!D698&amp;"','"&amp;REGLAS!G698&amp;"',TO_DATE('"&amp;REGLAS!H698&amp;"','yyyymmdd'),TO_DATE('"&amp;REGLAS!I698&amp;"','yyyymmdd'),'"&amp;REGLAS!J698&amp;"');")</f>
        <v>INSERT INTO INYCEXT.INYC_CONF_INF_REGLAS@tc_link (COD_INFORME,TABLA,NOMBRE,REGLA,F_INICIO,F_FIN,DESCRIPCION) VALUES (20.1,'INYC_ASI_E_RESUMEN','SM - Importe Final Superrappel Asistencia','SM-E-ASR-ImporteFinal',TO_DATE('20140101','yyyymmdd'),TO_DATE('22000101','yyyymmdd'),'');</v>
      </c>
    </row>
    <row r="698" spans="1:2" x14ac:dyDescent="0.25">
      <c r="A698" t="str">
        <f>IF(REGLAS!J699="OBSOLETO","","INSERT INTO INYCEXT.INYC_CONF_INF_REGLAS (COD_INFORME,TABLA,NOMBRE,REGLA,F_INICIO,F_FIN,DESCRIPCION) VALUES ("&amp;REGLAS!B699&amp;",'"&amp;REGLAS!C699&amp;"','"&amp;REGLAS!D699&amp;"','"&amp;REGLAS!G699&amp;"',TO_DATE('"&amp;REGLAS!H699&amp;"','yyyymmdd'),TO_DATE('"&amp;REGLAS!I699&amp;"','yyyymmdd'),'"&amp;REGLAS!J699&amp;"');")</f>
        <v/>
      </c>
      <c r="B698" t="str">
        <f>IF(REGLAS!J699="OBSOLETO","","INSERT INTO INYCEXT.INYC_CONF_INF_REGLAS@tc_link (COD_INFORME,TABLA,NOMBRE,REGLA,F_INICIO,F_FIN,DESCRIPCION) VALUES ("&amp;REGLAS!B699&amp;",'"&amp;REGLAS!C699&amp;"','"&amp;REGLAS!D699&amp;"','"&amp;REGLAS!G699&amp;"',TO_DATE('"&amp;REGLAS!H699&amp;"','yyyymmdd'),TO_DATE('"&amp;REGLAS!I699&amp;"','yyyymmdd'),'"&amp;REGLAS!J699&amp;"');")</f>
        <v/>
      </c>
    </row>
    <row r="699" spans="1:2" x14ac:dyDescent="0.25">
      <c r="A699" t="str">
        <f>IF(REGLAS!J700="OBSOLETO","","INSERT INTO INYCEXT.INYC_CONF_INF_REGLAS (COD_INFORME,TABLA,NOMBRE,REGLA,F_INICIO,F_FIN,DESCRIPCION) VALUES ("&amp;REGLAS!B700&amp;",'"&amp;REGLAS!C700&amp;"','"&amp;REGLAS!D700&amp;"','"&amp;REGLAS!G700&amp;"',TO_DATE('"&amp;REGLAS!H700&amp;"','yyyymmdd'),TO_DATE('"&amp;REGLAS!I700&amp;"','yyyymmdd'),'"&amp;REGLAS!J700&amp;"');")</f>
        <v>INSERT INTO INYCEXT.INYC_CONF_INF_REGLAS (COD_INFORME,TABLA,NOMBRE,REGLA,F_INICIO,F_FIN,DESCRIPCION) VALUES (20.1,'INYC_ASI_E_RESUMEN','SM - Resto Mes Anterior Rappel','SM-E-ARA-RestoMesAnterior',TO_DATE('20140101','yyyymmdd'),TO_DATE('22000101','yyyymmdd'),'');</v>
      </c>
      <c r="B699" t="str">
        <f>IF(REGLAS!J700="OBSOLETO","","INSERT INTO INYCEXT.INYC_CONF_INF_REGLAS@tc_link (COD_INFORME,TABLA,NOMBRE,REGLA,F_INICIO,F_FIN,DESCRIPCION) VALUES ("&amp;REGLAS!B700&amp;",'"&amp;REGLAS!C700&amp;"','"&amp;REGLAS!D700&amp;"','"&amp;REGLAS!G700&amp;"',TO_DATE('"&amp;REGLAS!H700&amp;"','yyyymmdd'),TO_DATE('"&amp;REGLAS!I700&amp;"','yyyymmdd'),'"&amp;REGLAS!J700&amp;"');")</f>
        <v>INSERT INTO INYCEXT.INYC_CONF_INF_REGLAS@tc_link (COD_INFORME,TABLA,NOMBRE,REGLA,F_INICIO,F_FIN,DESCRIPCION) VALUES (20.1,'INYC_ASI_E_RESUMEN','SM - Resto Mes Anterior Rappel','SM-E-ARA-RestoMesAnterior',TO_DATE('20140101','yyyymmdd'),TO_DATE('22000101','yyyymmdd'),'');</v>
      </c>
    </row>
    <row r="700" spans="1:2" x14ac:dyDescent="0.25">
      <c r="A700" t="str">
        <f>IF(REGLAS!J701="OBSOLETO","","INSERT INTO INYCEXT.INYC_CONF_INF_REGLAS (COD_INFORME,TABLA,NOMBRE,REGLA,F_INICIO,F_FIN,DESCRIPCION) VALUES ("&amp;REGLAS!B701&amp;",'"&amp;REGLAS!C701&amp;"','"&amp;REGLAS!D701&amp;"','"&amp;REGLAS!G701&amp;"',TO_DATE('"&amp;REGLAS!H701&amp;"','yyyymmdd'),TO_DATE('"&amp;REGLAS!I701&amp;"','yyyymmdd'),'"&amp;REGLAS!J701&amp;"');")</f>
        <v>INSERT INTO INYCEXT.INYC_CONF_INF_REGLAS (COD_INFORME,TABLA,NOMBRE,REGLA,F_INICIO,F_FIN,DESCRIPCION) VALUES (20.1,'INYC_ASI_E_RESUMEN','SM - Resto Mes Anterior SuperRappel','SM-E-ASR-RestoMesAnterior',TO_DATE('20140101','yyyymmdd'),TO_DATE('22000101','yyyymmdd'),'');</v>
      </c>
      <c r="B700" t="str">
        <f>IF(REGLAS!J701="OBSOLETO","","INSERT INTO INYCEXT.INYC_CONF_INF_REGLAS@tc_link (COD_INFORME,TABLA,NOMBRE,REGLA,F_INICIO,F_FIN,DESCRIPCION) VALUES ("&amp;REGLAS!B701&amp;",'"&amp;REGLAS!C701&amp;"','"&amp;REGLAS!D701&amp;"','"&amp;REGLAS!G701&amp;"',TO_DATE('"&amp;REGLAS!H701&amp;"','yyyymmdd'),TO_DATE('"&amp;REGLAS!I701&amp;"','yyyymmdd'),'"&amp;REGLAS!J701&amp;"');")</f>
        <v>INSERT INTO INYCEXT.INYC_CONF_INF_REGLAS@tc_link (COD_INFORME,TABLA,NOMBRE,REGLA,F_INICIO,F_FIN,DESCRIPCION) VALUES (20.1,'INYC_ASI_E_RESUMEN','SM - Resto Mes Anterior SuperRappel','SM-E-ASR-RestoMesAnterior',TO_DATE('20140101','yyyymmdd'),TO_DATE('22000101','yyyymmdd'),'');</v>
      </c>
    </row>
    <row r="701" spans="1:2" x14ac:dyDescent="0.25">
      <c r="A701" t="str">
        <f>IF(REGLAS!J702="OBSOLETO","","INSERT INTO INYCEXT.INYC_CONF_INF_REGLAS (COD_INFORME,TABLA,NOMBRE,REGLA,F_INICIO,F_FIN,DESCRIPCION) VALUES ("&amp;REGLAS!B702&amp;",'"&amp;REGLAS!C702&amp;"','"&amp;REGLAS!D702&amp;"','"&amp;REGLAS!G702&amp;"',TO_DATE('"&amp;REGLAS!H702&amp;"','yyyymmdd'),TO_DATE('"&amp;REGLAS!I702&amp;"','yyyymmdd'),'"&amp;REGLAS!J702&amp;"');")</f>
        <v>INSERT INTO INYCEXT.INYC_CONF_INF_REGLAS (COD_INFORME,TABLA,NOMBRE,REGLA,F_INICIO,F_FIN,DESCRIPCION) VALUES (20.1,'INYC_ASI_E_RESUMEN','SM - Resto Mes Siguiente Rappel','SM-E-ARA-ImportePago-Resto',TO_DATE('20140101','yyyymmdd'),TO_DATE('22000101','yyyymmdd'),'');</v>
      </c>
      <c r="B701" t="str">
        <f>IF(REGLAS!J702="OBSOLETO","","INSERT INTO INYCEXT.INYC_CONF_INF_REGLAS@tc_link (COD_INFORME,TABLA,NOMBRE,REGLA,F_INICIO,F_FIN,DESCRIPCION) VALUES ("&amp;REGLAS!B702&amp;",'"&amp;REGLAS!C702&amp;"','"&amp;REGLAS!D702&amp;"','"&amp;REGLAS!G702&amp;"',TO_DATE('"&amp;REGLAS!H702&amp;"','yyyymmdd'),TO_DATE('"&amp;REGLAS!I702&amp;"','yyyymmdd'),'"&amp;REGLAS!J702&amp;"');")</f>
        <v>INSERT INTO INYCEXT.INYC_CONF_INF_REGLAS@tc_link (COD_INFORME,TABLA,NOMBRE,REGLA,F_INICIO,F_FIN,DESCRIPCION) VALUES (20.1,'INYC_ASI_E_RESUMEN','SM - Resto Mes Siguiente Rappel','SM-E-ARA-ImportePago-Resto',TO_DATE('20140101','yyyymmdd'),TO_DATE('22000101','yyyymmdd'),'');</v>
      </c>
    </row>
    <row r="702" spans="1:2" x14ac:dyDescent="0.25">
      <c r="A702" t="str">
        <f>IF(REGLAS!J703="OBSOLETO","","INSERT INTO INYCEXT.INYC_CONF_INF_REGLAS (COD_INFORME,TABLA,NOMBRE,REGLA,F_INICIO,F_FIN,DESCRIPCION) VALUES ("&amp;REGLAS!B703&amp;",'"&amp;REGLAS!C703&amp;"','"&amp;REGLAS!D703&amp;"','"&amp;REGLAS!G703&amp;"',TO_DATE('"&amp;REGLAS!H703&amp;"','yyyymmdd'),TO_DATE('"&amp;REGLAS!I703&amp;"','yyyymmdd'),'"&amp;REGLAS!J703&amp;"');")</f>
        <v>INSERT INTO INYCEXT.INYC_CONF_INF_REGLAS (COD_INFORME,TABLA,NOMBRE,REGLA,F_INICIO,F_FIN,DESCRIPCION) VALUES (20.1,'INYC_ASI_E_RESUMEN','SM - Resto Mes Siguiente SuperRappel','SM-E-ASR-ImporteFinal-Resto',TO_DATE('20140101','yyyymmdd'),TO_DATE('22000101','yyyymmdd'),'');</v>
      </c>
      <c r="B702" t="str">
        <f>IF(REGLAS!J703="OBSOLETO","","INSERT INTO INYCEXT.INYC_CONF_INF_REGLAS@tc_link (COD_INFORME,TABLA,NOMBRE,REGLA,F_INICIO,F_FIN,DESCRIPCION) VALUES ("&amp;REGLAS!B703&amp;",'"&amp;REGLAS!C703&amp;"','"&amp;REGLAS!D703&amp;"','"&amp;REGLAS!G703&amp;"',TO_DATE('"&amp;REGLAS!H703&amp;"','yyyymmdd'),TO_DATE('"&amp;REGLAS!I703&amp;"','yyyymmdd'),'"&amp;REGLAS!J703&amp;"');")</f>
        <v>INSERT INTO INYCEXT.INYC_CONF_INF_REGLAS@tc_link (COD_INFORME,TABLA,NOMBRE,REGLA,F_INICIO,F_FIN,DESCRIPCION) VALUES (20.1,'INYC_ASI_E_RESUMEN','SM - Resto Mes Siguiente SuperRappel','SM-E-ASR-ImporteFinal-Resto',TO_DATE('20140101','yyyymmdd'),TO_DATE('22000101','yyyymmdd'),'');</v>
      </c>
    </row>
    <row r="703" spans="1:2" x14ac:dyDescent="0.25">
      <c r="A703" t="str">
        <f>IF(REGLAS!J704="OBSOLETO","","INSERT INTO INYCEXT.INYC_CONF_INF_REGLAS (COD_INFORME,TABLA,NOMBRE,REGLA,F_INICIO,F_FIN,DESCRIPCION) VALUES ("&amp;REGLAS!B704&amp;",'"&amp;REGLAS!C704&amp;"','"&amp;REGLAS!D704&amp;"','"&amp;REGLAS!G704&amp;"',TO_DATE('"&amp;REGLAS!H704&amp;"','yyyymmdd'),TO_DATE('"&amp;REGLAS!I704&amp;"','yyyymmdd'),'"&amp;REGLAS!J704&amp;"');")</f>
        <v>INSERT INTO INYCEXT.INYC_CONF_INF_REGLAS (COD_INFORME,TABLA,NOMBRE,REGLA,F_INICIO,F_FIN,DESCRIPCION) VALUES (20.2,'INYC_ASI_E_DETALLE','DC - Importe Asistencias','DC-O-COM-ServiciosAsistencia-Importe',TO_DATE('20140101','yyyymmdd'),TO_DATE('22000101','yyyymmdd'),'');</v>
      </c>
      <c r="B703" t="str">
        <f>IF(REGLAS!J704="OBSOLETO","","INSERT INTO INYCEXT.INYC_CONF_INF_REGLAS@tc_link (COD_INFORME,TABLA,NOMBRE,REGLA,F_INICIO,F_FIN,DESCRIPCION) VALUES ("&amp;REGLAS!B704&amp;",'"&amp;REGLAS!C704&amp;"','"&amp;REGLAS!D704&amp;"','"&amp;REGLAS!G704&amp;"',TO_DATE('"&amp;REGLAS!H704&amp;"','yyyymmdd'),TO_DATE('"&amp;REGLAS!I704&amp;"','yyyymmdd'),'"&amp;REGLAS!J704&amp;"');")</f>
        <v>INSERT INTO INYCEXT.INYC_CONF_INF_REGLAS@tc_link (COD_INFORME,TABLA,NOMBRE,REGLA,F_INICIO,F_FIN,DESCRIPCION) VALUES (20.2,'INYC_ASI_E_DETALLE','DC - Importe Asistencias','DC-O-COM-ServiciosAsistencia-Importe',TO_DATE('20140101','yyyymmdd'),TO_DATE('22000101','yyyymmdd'),'');</v>
      </c>
    </row>
    <row r="704" spans="1:2" x14ac:dyDescent="0.25">
      <c r="A704" t="str">
        <f>IF(REGLAS!J705="OBSOLETO","","INSERT INTO INYCEXT.INYC_CONF_INF_REGLAS (COD_INFORME,TABLA,NOMBRE,REGLA,F_INICIO,F_FIN,DESCRIPCION) VALUES ("&amp;REGLAS!B705&amp;",'"&amp;REGLAS!C705&amp;"','"&amp;REGLAS!D705&amp;"','"&amp;REGLAS!G705&amp;"',TO_DATE('"&amp;REGLAS!H705&amp;"','yyyymmdd'),TO_DATE('"&amp;REGLAS!I705&amp;"','yyyymmdd'),'"&amp;REGLAS!J705&amp;"');")</f>
        <v>INSERT INTO INYCEXT.INYC_CONF_INF_REGLAS (COD_INFORME,TABLA,NOMBRE,REGLA,F_INICIO,F_FIN,DESCRIPCION) VALUES (20.2,'INYC_ASI_E_DETALLE','DC - Polizas','DC-E-GEN-Agente-NumeroPolizas-998',TO_DATE('20140101','yyyymmdd'),TO_DATE('22000101','yyyymmdd'),'');</v>
      </c>
      <c r="B704" t="str">
        <f>IF(REGLAS!J705="OBSOLETO","","INSERT INTO INYCEXT.INYC_CONF_INF_REGLAS@tc_link (COD_INFORME,TABLA,NOMBRE,REGLA,F_INICIO,F_FIN,DESCRIPCION) VALUES ("&amp;REGLAS!B705&amp;",'"&amp;REGLAS!C705&amp;"','"&amp;REGLAS!D705&amp;"','"&amp;REGLAS!G705&amp;"',TO_DATE('"&amp;REGLAS!H705&amp;"','yyyymmdd'),TO_DATE('"&amp;REGLAS!I705&amp;"','yyyymmdd'),'"&amp;REGLAS!J705&amp;"');")</f>
        <v>INSERT INTO INYCEXT.INYC_CONF_INF_REGLAS@tc_link (COD_INFORME,TABLA,NOMBRE,REGLA,F_INICIO,F_FIN,DESCRIPCION) VALUES (20.2,'INYC_ASI_E_DETALLE','DC - Polizas','DC-E-GEN-Agente-NumeroPolizas-998',TO_DATE('20140101','yyyymmdd'),TO_DATE('22000101','yyyymmdd'),'');</v>
      </c>
    </row>
    <row r="705" spans="1:2" x14ac:dyDescent="0.25">
      <c r="A705" t="str">
        <f>IF(REGLAS!J706="OBSOLETO","","INSERT INTO INYCEXT.INYC_CONF_INF_REGLAS (COD_INFORME,TABLA,NOMBRE,REGLA,F_INICIO,F_FIN,DESCRIPCION) VALUES ("&amp;REGLAS!B706&amp;",'"&amp;REGLAS!C706&amp;"','"&amp;REGLAS!D706&amp;"','"&amp;REGLAS!G706&amp;"',TO_DATE('"&amp;REGLAS!H706&amp;"','yyyymmdd'),TO_DATE('"&amp;REGLAS!I706&amp;"','yyyymmdd'),'"&amp;REGLAS!J706&amp;"');")</f>
        <v>INSERT INTO INYCEXT.INYC_CONF_INF_REGLAS (COD_INFORME,TABLA,NOMBRE,REGLA,F_INICIO,F_FIN,DESCRIPCION) VALUES (20.2,'INYC_ASI_E_DETALLE','DC - Nº Asegurados Agente','DC-E-GEN-Agente-NumAsegurados',TO_DATE('20180101','yyyymmdd'),TO_DATE('22000101','yyyymmdd'),'Version 20180213');</v>
      </c>
      <c r="B705" t="str">
        <f>IF(REGLAS!J706="OBSOLETO","","INSERT INTO INYCEXT.INYC_CONF_INF_REGLAS@tc_link (COD_INFORME,TABLA,NOMBRE,REGLA,F_INICIO,F_FIN,DESCRIPCION) VALUES ("&amp;REGLAS!B706&amp;",'"&amp;REGLAS!C706&amp;"','"&amp;REGLAS!D706&amp;"','"&amp;REGLAS!G706&amp;"',TO_DATE('"&amp;REGLAS!H706&amp;"','yyyymmdd'),TO_DATE('"&amp;REGLAS!I706&amp;"','yyyymmdd'),'"&amp;REGLAS!J706&amp;"');")</f>
        <v>INSERT INTO INYCEXT.INYC_CONF_INF_REGLAS@tc_link (COD_INFORME,TABLA,NOMBRE,REGLA,F_INICIO,F_FIN,DESCRIPCION) VALUES (20.2,'INYC_ASI_E_DETALLE','DC - Nº Asegurados Agente','DC-E-GEN-Agente-NumAsegurados',TO_DATE('20180101','yyyymmdd'),TO_DATE('22000101','yyyymmdd'),'Version 20180213');</v>
      </c>
    </row>
    <row r="706" spans="1:2" x14ac:dyDescent="0.25">
      <c r="A706" t="str">
        <f>IF(REGLAS!J707="OBSOLETO","","INSERT INTO INYCEXT.INYC_CONF_INF_REGLAS (COD_INFORME,TABLA,NOMBRE,REGLA,F_INICIO,F_FIN,DESCRIPCION) VALUES ("&amp;REGLAS!B707&amp;",'"&amp;REGLAS!C707&amp;"','"&amp;REGLAS!D707&amp;"','"&amp;REGLAS!G707&amp;"',TO_DATE('"&amp;REGLAS!H707&amp;"','yyyymmdd'),TO_DATE('"&amp;REGLAS!I707&amp;"','yyyymmdd'),'"&amp;REGLAS!J707&amp;"');")</f>
        <v>INSERT INTO INYCEXT.INYC_CONF_INF_REGLAS (COD_INFORME,TABLA,NOMBRE,REGLA,F_INICIO,F_FIN,DESCRIPCION) VALUES (21.1,'INYC_RACH_RESUMEN','I - Pago Mensual Inspectores','I-O-RACH-Inspector-PagoMensual',TO_DATE('20140101','yyyymmdd'),TO_DATE('22000101','yyyymmdd'),'');</v>
      </c>
      <c r="B706" t="str">
        <f>IF(REGLAS!J707="OBSOLETO","","INSERT INTO INYCEXT.INYC_CONF_INF_REGLAS@tc_link (COD_INFORME,TABLA,NOMBRE,REGLA,F_INICIO,F_FIN,DESCRIPCION) VALUES ("&amp;REGLAS!B707&amp;",'"&amp;REGLAS!C707&amp;"','"&amp;REGLAS!D707&amp;"','"&amp;REGLAS!G707&amp;"',TO_DATE('"&amp;REGLAS!H707&amp;"','yyyymmdd'),TO_DATE('"&amp;REGLAS!I707&amp;"','yyyymmdd'),'"&amp;REGLAS!J707&amp;"');")</f>
        <v>INSERT INTO INYCEXT.INYC_CONF_INF_REGLAS@tc_link (COD_INFORME,TABLA,NOMBRE,REGLA,F_INICIO,F_FIN,DESCRIPCION) VALUES (21.1,'INYC_RACH_RESUMEN','I - Pago Mensual Inspectores','I-O-RACH-Inspector-PagoMensual',TO_DATE('20140101','yyyymmdd'),TO_DATE('22000101','yyyymmdd'),'');</v>
      </c>
    </row>
    <row r="707" spans="1:2" x14ac:dyDescent="0.25">
      <c r="A707" t="str">
        <f>IF(REGLAS!J708="OBSOLETO","","INSERT INTO INYCEXT.INYC_CONF_INF_REGLAS (COD_INFORME,TABLA,NOMBRE,REGLA,F_INICIO,F_FIN,DESCRIPCION) VALUES ("&amp;REGLAS!B708&amp;",'"&amp;REGLAS!C708&amp;"','"&amp;REGLAS!D708&amp;"','"&amp;REGLAS!G708&amp;"',TO_DATE('"&amp;REGLAS!H708&amp;"','yyyymmdd'),TO_DATE('"&amp;REGLAS!I708&amp;"','yyyymmdd'),'"&amp;REGLAS!J708&amp;"');")</f>
        <v>INSERT INTO INYCEXT.INYC_CONF_INF_REGLAS (COD_INFORME,TABLA,NOMBRE,REGLA,F_INICIO,F_FIN,DESCRIPCION) VALUES (21.1,'INYC_RACH_RESUMEN','I - Pago Mensual Agentes','I-O-RACH-Agente-PagoMensual',TO_DATE('20140101','yyyymmdd'),TO_DATE('22000101','yyyymmdd'),'');</v>
      </c>
      <c r="B707" t="str">
        <f>IF(REGLAS!J708="OBSOLETO","","INSERT INTO INYCEXT.INYC_CONF_INF_REGLAS@tc_link (COD_INFORME,TABLA,NOMBRE,REGLA,F_INICIO,F_FIN,DESCRIPCION) VALUES ("&amp;REGLAS!B708&amp;",'"&amp;REGLAS!C708&amp;"','"&amp;REGLAS!D708&amp;"','"&amp;REGLAS!G708&amp;"',TO_DATE('"&amp;REGLAS!H708&amp;"','yyyymmdd'),TO_DATE('"&amp;REGLAS!I708&amp;"','yyyymmdd'),'"&amp;REGLAS!J708&amp;"');")</f>
        <v>INSERT INTO INYCEXT.INYC_CONF_INF_REGLAS@tc_link (COD_INFORME,TABLA,NOMBRE,REGLA,F_INICIO,F_FIN,DESCRIPCION) VALUES (21.1,'INYC_RACH_RESUMEN','I - Pago Mensual Agentes','I-O-RACH-Agente-PagoMensual',TO_DATE('20140101','yyyymmdd'),TO_DATE('22000101','yyyymmdd'),'');</v>
      </c>
    </row>
    <row r="708" spans="1:2" x14ac:dyDescent="0.25">
      <c r="A708" t="str">
        <f>IF(REGLAS!J709="OBSOLETO","","INSERT INTO INYCEXT.INYC_CONF_INF_REGLAS (COD_INFORME,TABLA,NOMBRE,REGLA,F_INICIO,F_FIN,DESCRIPCION) VALUES ("&amp;REGLAS!B709&amp;",'"&amp;REGLAS!C709&amp;"','"&amp;REGLAS!D709&amp;"','"&amp;REGLAS!G709&amp;"',TO_DATE('"&amp;REGLAS!H709&amp;"','yyyymmdd'),TO_DATE('"&amp;REGLAS!I709&amp;"','yyyymmdd'),'"&amp;REGLAS!J709&amp;"');")</f>
        <v>INSERT INTO INYCEXT.INYC_CONF_INF_REGLAS (COD_INFORME,TABLA,NOMBRE,REGLA,F_INICIO,F_FIN,DESCRIPCION) VALUES (21.1,'INYC_RACH_RESUMEN','I - Pago Mensual Agentes con Grupo','I-O-RACH-AgenteGrupo-PagoMensual',TO_DATE('20140101','yyyymmdd'),TO_DATE('22000101','yyyymmdd'),'');</v>
      </c>
      <c r="B708" t="str">
        <f>IF(REGLAS!J709="OBSOLETO","","INSERT INTO INYCEXT.INYC_CONF_INF_REGLAS@tc_link (COD_INFORME,TABLA,NOMBRE,REGLA,F_INICIO,F_FIN,DESCRIPCION) VALUES ("&amp;REGLAS!B709&amp;",'"&amp;REGLAS!C709&amp;"','"&amp;REGLAS!D709&amp;"','"&amp;REGLAS!G709&amp;"',TO_DATE('"&amp;REGLAS!H709&amp;"','yyyymmdd'),TO_DATE('"&amp;REGLAS!I709&amp;"','yyyymmdd'),'"&amp;REGLAS!J709&amp;"');")</f>
        <v>INSERT INTO INYCEXT.INYC_CONF_INF_REGLAS@tc_link (COD_INFORME,TABLA,NOMBRE,REGLA,F_INICIO,F_FIN,DESCRIPCION) VALUES (21.1,'INYC_RACH_RESUMEN','I - Pago Mensual Agentes con Grupo','I-O-RACH-AgenteGrupo-PagoMensual',TO_DATE('20140101','yyyymmdd'),TO_DATE('22000101','yyyymmdd'),'');</v>
      </c>
    </row>
    <row r="709" spans="1:2" x14ac:dyDescent="0.25">
      <c r="A709" t="str">
        <f>IF(REGLAS!J710="OBSOLETO","","INSERT INTO INYCEXT.INYC_CONF_INF_REGLAS (COD_INFORME,TABLA,NOMBRE,REGLA,F_INICIO,F_FIN,DESCRIPCION) VALUES ("&amp;REGLAS!B710&amp;",'"&amp;REGLAS!C710&amp;"','"&amp;REGLAS!D710&amp;"','"&amp;REGLAS!G710&amp;"',TO_DATE('"&amp;REGLAS!H710&amp;"','yyyymmdd'),TO_DATE('"&amp;REGLAS!I710&amp;"','yyyymmdd'),'"&amp;REGLAS!J710&amp;"');")</f>
        <v>INSERT INTO INYCEXT.INYC_CONF_INF_REGLAS (COD_INFORME,TABLA,NOMBRE,REGLA,F_INICIO,F_FIN,DESCRIPCION) VALUES (21.1,'INYC_RACH_RESUMEN','I - Pago Premio Inspectores','I-O-RACH-Inspector-PagoPremio',TO_DATE('20140101','yyyymmdd'),TO_DATE('22000101','yyyymmdd'),'');</v>
      </c>
      <c r="B709" t="str">
        <f>IF(REGLAS!J710="OBSOLETO","","INSERT INTO INYCEXT.INYC_CONF_INF_REGLAS@tc_link (COD_INFORME,TABLA,NOMBRE,REGLA,F_INICIO,F_FIN,DESCRIPCION) VALUES ("&amp;REGLAS!B710&amp;",'"&amp;REGLAS!C710&amp;"','"&amp;REGLAS!D710&amp;"','"&amp;REGLAS!G710&amp;"',TO_DATE('"&amp;REGLAS!H710&amp;"','yyyymmdd'),TO_DATE('"&amp;REGLAS!I710&amp;"','yyyymmdd'),'"&amp;REGLAS!J710&amp;"');")</f>
        <v>INSERT INTO INYCEXT.INYC_CONF_INF_REGLAS@tc_link (COD_INFORME,TABLA,NOMBRE,REGLA,F_INICIO,F_FIN,DESCRIPCION) VALUES (21.1,'INYC_RACH_RESUMEN','I - Pago Premio Inspectores','I-O-RACH-Inspector-PagoPremio',TO_DATE('20140101','yyyymmdd'),TO_DATE('22000101','yyyymmdd'),'');</v>
      </c>
    </row>
    <row r="710" spans="1:2" x14ac:dyDescent="0.25">
      <c r="A710" t="str">
        <f>IF(REGLAS!J711="OBSOLETO","","INSERT INTO INYCEXT.INYC_CONF_INF_REGLAS (COD_INFORME,TABLA,NOMBRE,REGLA,F_INICIO,F_FIN,DESCRIPCION) VALUES ("&amp;REGLAS!B711&amp;",'"&amp;REGLAS!C711&amp;"','"&amp;REGLAS!D711&amp;"','"&amp;REGLAS!G711&amp;"',TO_DATE('"&amp;REGLAS!H711&amp;"','yyyymmdd'),TO_DATE('"&amp;REGLAS!I711&amp;"','yyyymmdd'),'"&amp;REGLAS!J711&amp;"');")</f>
        <v>INSERT INTO INYCEXT.INYC_CONF_INF_REGLAS (COD_INFORME,TABLA,NOMBRE,REGLA,F_INICIO,F_FIN,DESCRIPCION) VALUES (21.1,'INYC_RACH_RESUMEN','I - Pago Premio Agentes','I-O-RACH-Agente-PagoPremio',TO_DATE('20140101','yyyymmdd'),TO_DATE('22000101','yyyymmdd'),'');</v>
      </c>
      <c r="B710" t="str">
        <f>IF(REGLAS!J711="OBSOLETO","","INSERT INTO INYCEXT.INYC_CONF_INF_REGLAS@tc_link (COD_INFORME,TABLA,NOMBRE,REGLA,F_INICIO,F_FIN,DESCRIPCION) VALUES ("&amp;REGLAS!B711&amp;",'"&amp;REGLAS!C711&amp;"','"&amp;REGLAS!D711&amp;"','"&amp;REGLAS!G711&amp;"',TO_DATE('"&amp;REGLAS!H711&amp;"','yyyymmdd'),TO_DATE('"&amp;REGLAS!I711&amp;"','yyyymmdd'),'"&amp;REGLAS!J711&amp;"');")</f>
        <v>INSERT INTO INYCEXT.INYC_CONF_INF_REGLAS@tc_link (COD_INFORME,TABLA,NOMBRE,REGLA,F_INICIO,F_FIN,DESCRIPCION) VALUES (21.1,'INYC_RACH_RESUMEN','I - Pago Premio Agentes','I-O-RACH-Agente-PagoPremio',TO_DATE('20140101','yyyymmdd'),TO_DATE('22000101','yyyymmdd'),'');</v>
      </c>
    </row>
    <row r="711" spans="1:2" x14ac:dyDescent="0.25">
      <c r="A711" t="str">
        <f>IF(REGLAS!J712="OBSOLETO","","INSERT INTO INYCEXT.INYC_CONF_INF_REGLAS (COD_INFORME,TABLA,NOMBRE,REGLA,F_INICIO,F_FIN,DESCRIPCION) VALUES ("&amp;REGLAS!B712&amp;",'"&amp;REGLAS!C712&amp;"','"&amp;REGLAS!D712&amp;"','"&amp;REGLAS!G712&amp;"',TO_DATE('"&amp;REGLAS!H712&amp;"','yyyymmdd'),TO_DATE('"&amp;REGLAS!I712&amp;"','yyyymmdd'),'"&amp;REGLAS!J712&amp;"');")</f>
        <v>INSERT INTO INYCEXT.INYC_CONF_INF_REGLAS (COD_INFORME,TABLA,NOMBRE,REGLA,F_INICIO,F_FIN,DESCRIPCION) VALUES (21.1,'INYC_RACH_RESUMEN','I - Pago Premio Agentes con Grupo','I-O-RACH-AgenteGrupo-PagoPremio',TO_DATE('20140101','yyyymmdd'),TO_DATE('22000101','yyyymmdd'),'');</v>
      </c>
      <c r="B711" t="str">
        <f>IF(REGLAS!J712="OBSOLETO","","INSERT INTO INYCEXT.INYC_CONF_INF_REGLAS@tc_link (COD_INFORME,TABLA,NOMBRE,REGLA,F_INICIO,F_FIN,DESCRIPCION) VALUES ("&amp;REGLAS!B712&amp;",'"&amp;REGLAS!C712&amp;"','"&amp;REGLAS!D712&amp;"','"&amp;REGLAS!G712&amp;"',TO_DATE('"&amp;REGLAS!H712&amp;"','yyyymmdd'),TO_DATE('"&amp;REGLAS!I712&amp;"','yyyymmdd'),'"&amp;REGLAS!J712&amp;"');")</f>
        <v>INSERT INTO INYCEXT.INYC_CONF_INF_REGLAS@tc_link (COD_INFORME,TABLA,NOMBRE,REGLA,F_INICIO,F_FIN,DESCRIPCION) VALUES (21.1,'INYC_RACH_RESUMEN','I - Pago Premio Agentes con Grupo','I-O-RACH-AgenteGrupo-PagoPremio',TO_DATE('20140101','yyyymmdd'),TO_DATE('22000101','yyyymmdd'),'');</v>
      </c>
    </row>
    <row r="712" spans="1:2" x14ac:dyDescent="0.25">
      <c r="A712" t="str">
        <f>IF(REGLAS!J713="OBSOLETO","","INSERT INTO INYCEXT.INYC_CONF_INF_REGLAS (COD_INFORME,TABLA,NOMBRE,REGLA,F_INICIO,F_FIN,DESCRIPCION) VALUES ("&amp;REGLAS!B713&amp;",'"&amp;REGLAS!C713&amp;"','"&amp;REGLAS!D713&amp;"','"&amp;REGLAS!G713&amp;"',TO_DATE('"&amp;REGLAS!H713&amp;"','yyyymmdd'),TO_DATE('"&amp;REGLAS!I713&amp;"','yyyymmdd'),'"&amp;REGLAS!J713&amp;"');")</f>
        <v>INSERT INTO INYCEXT.INYC_CONF_INF_REGLAS (COD_INFORME,TABLA,NOMBRE,REGLA,F_INICIO,F_FIN,DESCRIPCION) VALUES (22.1,'INYC_MIN_RESUMEN','S4/S5','I-GEN-MIN-S4S5-Pago',TO_DATE('20140101','yyyymmdd'),TO_DATE('22000101','yyyymmdd'),'');</v>
      </c>
      <c r="B712" t="str">
        <f>IF(REGLAS!J713="OBSOLETO","","INSERT INTO INYCEXT.INYC_CONF_INF_REGLAS@tc_link (COD_INFORME,TABLA,NOMBRE,REGLA,F_INICIO,F_FIN,DESCRIPCION) VALUES ("&amp;REGLAS!B713&amp;",'"&amp;REGLAS!C713&amp;"','"&amp;REGLAS!D713&amp;"','"&amp;REGLAS!G713&amp;"',TO_DATE('"&amp;REGLAS!H713&amp;"','yyyymmdd'),TO_DATE('"&amp;REGLAS!I713&amp;"','yyyymmdd'),'"&amp;REGLAS!J713&amp;"');")</f>
        <v>INSERT INTO INYCEXT.INYC_CONF_INF_REGLAS@tc_link (COD_INFORME,TABLA,NOMBRE,REGLA,F_INICIO,F_FIN,DESCRIPCION) VALUES (22.1,'INYC_MIN_RESUMEN','S4/S5','I-GEN-MIN-S4S5-Pago',TO_DATE('20140101','yyyymmdd'),TO_DATE('22000101','yyyymmdd'),'');</v>
      </c>
    </row>
    <row r="713" spans="1:2" x14ac:dyDescent="0.25">
      <c r="A713" t="str">
        <f>IF(REGLAS!J714="OBSOLETO","","INSERT INTO INYCEXT.INYC_CONF_INF_REGLAS (COD_INFORME,TABLA,NOMBRE,REGLA,F_INICIO,F_FIN,DESCRIPCION) VALUES ("&amp;REGLAS!B714&amp;",'"&amp;REGLAS!C714&amp;"','"&amp;REGLAS!D714&amp;"','"&amp;REGLAS!G714&amp;"',TO_DATE('"&amp;REGLAS!H714&amp;"','yyyymmdd'),TO_DATE('"&amp;REGLAS!I714&amp;"','yyyymmdd'),'"&amp;REGLAS!J714&amp;"');")</f>
        <v>INSERT INTO INYCEXT.INYC_CONF_INF_REGLAS (COD_INFORME,TABLA,NOMBRE,REGLA,F_INICIO,F_FIN,DESCRIPCION) VALUES (22.1,'INYC_MIN_RESUMEN','S5','I-GEN-MIN-S5-Pago',TO_DATE('20140101','yyyymmdd'),TO_DATE('22000101','yyyymmdd'),'');</v>
      </c>
      <c r="B713" t="str">
        <f>IF(REGLAS!J714="OBSOLETO","","INSERT INTO INYCEXT.INYC_CONF_INF_REGLAS@tc_link (COD_INFORME,TABLA,NOMBRE,REGLA,F_INICIO,F_FIN,DESCRIPCION) VALUES ("&amp;REGLAS!B714&amp;",'"&amp;REGLAS!C714&amp;"','"&amp;REGLAS!D714&amp;"','"&amp;REGLAS!G714&amp;"',TO_DATE('"&amp;REGLAS!H714&amp;"','yyyymmdd'),TO_DATE('"&amp;REGLAS!I714&amp;"','yyyymmdd'),'"&amp;REGLAS!J714&amp;"');")</f>
        <v>INSERT INTO INYCEXT.INYC_CONF_INF_REGLAS@tc_link (COD_INFORME,TABLA,NOMBRE,REGLA,F_INICIO,F_FIN,DESCRIPCION) VALUES (22.1,'INYC_MIN_RESUMEN','S5','I-GEN-MIN-S5-Pago',TO_DATE('20140101','yyyymmdd'),TO_DATE('22000101','yyyymmdd'),'');</v>
      </c>
    </row>
    <row r="714" spans="1:2" x14ac:dyDescent="0.25">
      <c r="A714" t="str">
        <f>IF(REGLAS!J715="OBSOLETO","","INSERT INTO INYCEXT.INYC_CONF_INF_REGLAS (COD_INFORME,TABLA,NOMBRE,REGLA,F_INICIO,F_FIN,DESCRIPCION) VALUES ("&amp;REGLAS!B715&amp;",'"&amp;REGLAS!C715&amp;"','"&amp;REGLAS!D715&amp;"','"&amp;REGLAS!G715&amp;"',TO_DATE('"&amp;REGLAS!H715&amp;"','yyyymmdd'),TO_DATE('"&amp;REGLAS!I715&amp;"','yyyymmdd'),'"&amp;REGLAS!J715&amp;"');")</f>
        <v>INSERT INTO INYCEXT.INYC_CONF_INF_REGLAS (COD_INFORME,TABLA,NOMBRE,REGLA,F_INICIO,F_FIN,DESCRIPCION) VALUES (22.1,'INYC_MIN_RESUMEN','Rappel','I-GEN-MIN-Rappel-Pago',TO_DATE('20140101','yyyymmdd'),TO_DATE('22000101','yyyymmdd'),'');</v>
      </c>
      <c r="B714" t="str">
        <f>IF(REGLAS!J715="OBSOLETO","","INSERT INTO INYCEXT.INYC_CONF_INF_REGLAS@tc_link (COD_INFORME,TABLA,NOMBRE,REGLA,F_INICIO,F_FIN,DESCRIPCION) VALUES ("&amp;REGLAS!B715&amp;",'"&amp;REGLAS!C715&amp;"','"&amp;REGLAS!D715&amp;"','"&amp;REGLAS!G715&amp;"',TO_DATE('"&amp;REGLAS!H715&amp;"','yyyymmdd'),TO_DATE('"&amp;REGLAS!I715&amp;"','yyyymmdd'),'"&amp;REGLAS!J715&amp;"');")</f>
        <v>INSERT INTO INYCEXT.INYC_CONF_INF_REGLAS@tc_link (COD_INFORME,TABLA,NOMBRE,REGLA,F_INICIO,F_FIN,DESCRIPCION) VALUES (22.1,'INYC_MIN_RESUMEN','Rappel','I-GEN-MIN-Rappel-Pago',TO_DATE('20140101','yyyymmdd'),TO_DATE('22000101','yyyymmdd'),'');</v>
      </c>
    </row>
    <row r="715" spans="1:2" x14ac:dyDescent="0.25">
      <c r="A715" t="str">
        <f>IF(REGLAS!J716="OBSOLETO","","INSERT INTO INYCEXT.INYC_CONF_INF_REGLAS (COD_INFORME,TABLA,NOMBRE,REGLA,F_INICIO,F_FIN,DESCRIPCION) VALUES ("&amp;REGLAS!B716&amp;",'"&amp;REGLAS!C716&amp;"','"&amp;REGLAS!D716&amp;"','"&amp;REGLAS!G716&amp;"',TO_DATE('"&amp;REGLAS!H716&amp;"','yyyymmdd'),TO_DATE('"&amp;REGLAS!I716&amp;"','yyyymmdd'),'"&amp;REGLAS!J716&amp;"');")</f>
        <v>INSERT INTO INYCEXT.INYC_CONF_INF_REGLAS (COD_INFORME,TABLA,NOMBRE,REGLA,F_INICIO,F_FIN,DESCRIPCION) VALUES (22.1,'INYC_MIN_RESUMEN','SM - Importe Agente Total Comisiones','SM-O-GEN-Agente-Total-Comisiones',TO_DATE('20140101','yyyymmdd'),TO_DATE('22000101','yyyymmdd'),'');</v>
      </c>
      <c r="B715" t="str">
        <f>IF(REGLAS!J716="OBSOLETO","","INSERT INTO INYCEXT.INYC_CONF_INF_REGLAS@tc_link (COD_INFORME,TABLA,NOMBRE,REGLA,F_INICIO,F_FIN,DESCRIPCION) VALUES ("&amp;REGLAS!B716&amp;",'"&amp;REGLAS!C716&amp;"','"&amp;REGLAS!D716&amp;"','"&amp;REGLAS!G716&amp;"',TO_DATE('"&amp;REGLAS!H716&amp;"','yyyymmdd'),TO_DATE('"&amp;REGLAS!I716&amp;"','yyyymmdd'),'"&amp;REGLAS!J716&amp;"');")</f>
        <v>INSERT INTO INYCEXT.INYC_CONF_INF_REGLAS@tc_link (COD_INFORME,TABLA,NOMBRE,REGLA,F_INICIO,F_FIN,DESCRIPCION) VALUES (22.1,'INYC_MIN_RESUMEN','SM - Importe Agente Total Comisiones','SM-O-GEN-Agente-Total-Comisiones',TO_DATE('20140101','yyyymmdd'),TO_DATE('22000101','yyyymmdd'),'');</v>
      </c>
    </row>
    <row r="716" spans="1:2" x14ac:dyDescent="0.25">
      <c r="A716" t="str">
        <f>IF(REGLAS!J717="OBSOLETO","","INSERT INTO INYCEXT.INYC_CONF_INF_REGLAS (COD_INFORME,TABLA,NOMBRE,REGLA,F_INICIO,F_FIN,DESCRIPCION) VALUES ("&amp;REGLAS!B717&amp;",'"&amp;REGLAS!C717&amp;"','"&amp;REGLAS!D717&amp;"','"&amp;REGLAS!G717&amp;"',TO_DATE('"&amp;REGLAS!H717&amp;"','yyyymmdd'),TO_DATE('"&amp;REGLAS!I717&amp;"','yyyymmdd'),'"&amp;REGLAS!J717&amp;"');")</f>
        <v>INSERT INTO INYCEXT.INYC_CONF_INF_REGLAS (COD_INFORME,TABLA,NOMBRE,REGLA,F_INICIO,F_FIN,DESCRIPCION) VALUES (22.1,'INYC_MIN_RESUMEN','Restas','SM-E-GEN-Agente-Total-Comisiones',TO_DATE('20140101','yyyymmdd'),TO_DATE('22000101','yyyymmdd'),'');</v>
      </c>
      <c r="B716" t="str">
        <f>IF(REGLAS!J717="OBSOLETO","","INSERT INTO INYCEXT.INYC_CONF_INF_REGLAS@tc_link (COD_INFORME,TABLA,NOMBRE,REGLA,F_INICIO,F_FIN,DESCRIPCION) VALUES ("&amp;REGLAS!B717&amp;",'"&amp;REGLAS!C717&amp;"','"&amp;REGLAS!D717&amp;"','"&amp;REGLAS!G717&amp;"',TO_DATE('"&amp;REGLAS!H717&amp;"','yyyymmdd'),TO_DATE('"&amp;REGLAS!I717&amp;"','yyyymmdd'),'"&amp;REGLAS!J717&amp;"');")</f>
        <v>INSERT INTO INYCEXT.INYC_CONF_INF_REGLAS@tc_link (COD_INFORME,TABLA,NOMBRE,REGLA,F_INICIO,F_FIN,DESCRIPCION) VALUES (22.1,'INYC_MIN_RESUMEN','Restas','SM-E-GEN-Agente-Total-Comisiones',TO_DATE('20140101','yyyymmdd'),TO_DATE('22000101','yyyymmdd'),'');</v>
      </c>
    </row>
    <row r="717" spans="1:2" x14ac:dyDescent="0.25">
      <c r="A717" t="str">
        <f>IF(REGLAS!J718="OBSOLETO","","INSERT INTO INYCEXT.INYC_CONF_INF_REGLAS (COD_INFORME,TABLA,NOMBRE,REGLA,F_INICIO,F_FIN,DESCRIPCION) VALUES ("&amp;REGLAS!B718&amp;",'"&amp;REGLAS!C718&amp;"','"&amp;REGLAS!D718&amp;"','"&amp;REGLAS!G718&amp;"',TO_DATE('"&amp;REGLAS!H718&amp;"','yyyymmdd'),TO_DATE('"&amp;REGLAS!I718&amp;"','yyyymmdd'),'"&amp;REGLAS!J718&amp;"');")</f>
        <v>INSERT INTO INYCEXT.INYC_CONF_INF_REGLAS (COD_INFORME,TABLA,NOMBRE,REGLA,F_INICIO,F_FIN,DESCRIPCION) VALUES (22.1,'INYC_MIN_RESUMEN','Restas','I-O-DIF-Inspector-ImporteMensual-004-y-NoPrioritarios-RRTT',TO_DATE('20140101','yyyymmdd'),TO_DATE('22000101','yyyymmdd'),'');</v>
      </c>
      <c r="B717" t="str">
        <f>IF(REGLAS!J718="OBSOLETO","","INSERT INTO INYCEXT.INYC_CONF_INF_REGLAS@tc_link (COD_INFORME,TABLA,NOMBRE,REGLA,F_INICIO,F_FIN,DESCRIPCION) VALUES ("&amp;REGLAS!B718&amp;",'"&amp;REGLAS!C718&amp;"','"&amp;REGLAS!D718&amp;"','"&amp;REGLAS!G718&amp;"',TO_DATE('"&amp;REGLAS!H718&amp;"','yyyymmdd'),TO_DATE('"&amp;REGLAS!I718&amp;"','yyyymmdd'),'"&amp;REGLAS!J718&amp;"');")</f>
        <v>INSERT INTO INYCEXT.INYC_CONF_INF_REGLAS@tc_link (COD_INFORME,TABLA,NOMBRE,REGLA,F_INICIO,F_FIN,DESCRIPCION) VALUES (22.1,'INYC_MIN_RESUMEN','Restas','I-O-DIF-Inspector-ImporteMensual-004-y-NoPrioritarios-RRTT',TO_DATE('20140101','yyyymmdd'),TO_DATE('22000101','yyyymmdd'),'');</v>
      </c>
    </row>
    <row r="718" spans="1:2" x14ac:dyDescent="0.25">
      <c r="A718" t="str">
        <f>IF(REGLAS!J719="OBSOLETO","","INSERT INTO INYCEXT.INYC_CONF_INF_REGLAS (COD_INFORME,TABLA,NOMBRE,REGLA,F_INICIO,F_FIN,DESCRIPCION) VALUES ("&amp;REGLAS!B719&amp;",'"&amp;REGLAS!C719&amp;"','"&amp;REGLAS!D719&amp;"','"&amp;REGLAS!G719&amp;"',TO_DATE('"&amp;REGLAS!H719&amp;"','yyyymmdd'),TO_DATE('"&amp;REGLAS!I719&amp;"','yyyymmdd'),'"&amp;REGLAS!J719&amp;"');")</f>
        <v>INSERT INTO INYCEXT.INYC_CONF_INF_REGLAS (COD_INFORME,TABLA,NOMBRE,REGLA,F_INICIO,F_FIN,DESCRIPCION) VALUES (22.1,'INYC_MIN_RESUMEN','Restas','I-O-DIF-Inspector-ImporteMensual-Prioritarios-Sin-VidaAhorro-RRTT',TO_DATE('20140101','yyyymmdd'),TO_DATE('22000101','yyyymmdd'),'');</v>
      </c>
      <c r="B718" t="str">
        <f>IF(REGLAS!J719="OBSOLETO","","INSERT INTO INYCEXT.INYC_CONF_INF_REGLAS@tc_link (COD_INFORME,TABLA,NOMBRE,REGLA,F_INICIO,F_FIN,DESCRIPCION) VALUES ("&amp;REGLAS!B719&amp;",'"&amp;REGLAS!C719&amp;"','"&amp;REGLAS!D719&amp;"','"&amp;REGLAS!G719&amp;"',TO_DATE('"&amp;REGLAS!H719&amp;"','yyyymmdd'),TO_DATE('"&amp;REGLAS!I719&amp;"','yyyymmdd'),'"&amp;REGLAS!J719&amp;"');")</f>
        <v>INSERT INTO INYCEXT.INYC_CONF_INF_REGLAS@tc_link (COD_INFORME,TABLA,NOMBRE,REGLA,F_INICIO,F_FIN,DESCRIPCION) VALUES (22.1,'INYC_MIN_RESUMEN','Restas','I-O-DIF-Inspector-ImporteMensual-Prioritarios-Sin-VidaAhorro-RRTT',TO_DATE('20140101','yyyymmdd'),TO_DATE('22000101','yyyymmdd'),'');</v>
      </c>
    </row>
    <row r="719" spans="1:2" x14ac:dyDescent="0.25">
      <c r="A719" t="str">
        <f>IF(REGLAS!J720="OBSOLETO","","INSERT INTO INYCEXT.INYC_CONF_INF_REGLAS (COD_INFORME,TABLA,NOMBRE,REGLA,F_INICIO,F_FIN,DESCRIPCION) VALUES ("&amp;REGLAS!B720&amp;",'"&amp;REGLAS!C720&amp;"','"&amp;REGLAS!D720&amp;"','"&amp;REGLAS!G720&amp;"',TO_DATE('"&amp;REGLAS!H720&amp;"','yyyymmdd'),TO_DATE('"&amp;REGLAS!I720&amp;"','yyyymmdd'),'"&amp;REGLAS!J720&amp;"');")</f>
        <v>INSERT INTO INYCEXT.INYC_CONF_INF_REGLAS (COD_INFORME,TABLA,NOMBRE,REGLA,F_INICIO,F_FIN,DESCRIPCION) VALUES (22.1,'INYC_MIN_RESUMEN','Restas','I-O-DIF-Inspector-ImporteMensual-004-y-NoPrioritarios-RRGG',TO_DATE('20140101','yyyymmdd'),TO_DATE('22000101','yyyymmdd'),'');</v>
      </c>
      <c r="B719" t="str">
        <f>IF(REGLAS!J720="OBSOLETO","","INSERT INTO INYCEXT.INYC_CONF_INF_REGLAS@tc_link (COD_INFORME,TABLA,NOMBRE,REGLA,F_INICIO,F_FIN,DESCRIPCION) VALUES ("&amp;REGLAS!B720&amp;",'"&amp;REGLAS!C720&amp;"','"&amp;REGLAS!D720&amp;"','"&amp;REGLAS!G720&amp;"',TO_DATE('"&amp;REGLAS!H720&amp;"','yyyymmdd'),TO_DATE('"&amp;REGLAS!I720&amp;"','yyyymmdd'),'"&amp;REGLAS!J720&amp;"');")</f>
        <v>INSERT INTO INYCEXT.INYC_CONF_INF_REGLAS@tc_link (COD_INFORME,TABLA,NOMBRE,REGLA,F_INICIO,F_FIN,DESCRIPCION) VALUES (22.1,'INYC_MIN_RESUMEN','Restas','I-O-DIF-Inspector-ImporteMensual-004-y-NoPrioritarios-RRGG',TO_DATE('20140101','yyyymmdd'),TO_DATE('22000101','yyyymmdd'),'');</v>
      </c>
    </row>
    <row r="720" spans="1:2" x14ac:dyDescent="0.25">
      <c r="A720" t="str">
        <f>IF(REGLAS!J721="OBSOLETO","","INSERT INTO INYCEXT.INYC_CONF_INF_REGLAS (COD_INFORME,TABLA,NOMBRE,REGLA,F_INICIO,F_FIN,DESCRIPCION) VALUES ("&amp;REGLAS!B721&amp;",'"&amp;REGLAS!C721&amp;"','"&amp;REGLAS!D721&amp;"','"&amp;REGLAS!G721&amp;"',TO_DATE('"&amp;REGLAS!H721&amp;"','yyyymmdd'),TO_DATE('"&amp;REGLAS!I721&amp;"','yyyymmdd'),'"&amp;REGLAS!J721&amp;"');")</f>
        <v>INSERT INTO INYCEXT.INYC_CONF_INF_REGLAS (COD_INFORME,TABLA,NOMBRE,REGLA,F_INICIO,F_FIN,DESCRIPCION) VALUES (22.1,'INYC_MIN_RESUMEN','Restas','I-O-DIF-Inspector-ImporteMensual-Prioritarios-Sin-VidaAhorro-RRGG',TO_DATE('20140101','yyyymmdd'),TO_DATE('22000101','yyyymmdd'),'');</v>
      </c>
      <c r="B720" t="str">
        <f>IF(REGLAS!J721="OBSOLETO","","INSERT INTO INYCEXT.INYC_CONF_INF_REGLAS@tc_link (COD_INFORME,TABLA,NOMBRE,REGLA,F_INICIO,F_FIN,DESCRIPCION) VALUES ("&amp;REGLAS!B721&amp;",'"&amp;REGLAS!C721&amp;"','"&amp;REGLAS!D721&amp;"','"&amp;REGLAS!G721&amp;"',TO_DATE('"&amp;REGLAS!H721&amp;"','yyyymmdd'),TO_DATE('"&amp;REGLAS!I721&amp;"','yyyymmdd'),'"&amp;REGLAS!J721&amp;"');")</f>
        <v>INSERT INTO INYCEXT.INYC_CONF_INF_REGLAS@tc_link (COD_INFORME,TABLA,NOMBRE,REGLA,F_INICIO,F_FIN,DESCRIPCION) VALUES (22.1,'INYC_MIN_RESUMEN','Restas','I-O-DIF-Inspector-ImporteMensual-Prioritarios-Sin-VidaAhorro-RRGG',TO_DATE('20140101','yyyymmdd'),TO_DATE('22000101','yyyymmdd'),'');</v>
      </c>
    </row>
    <row r="721" spans="1:2" x14ac:dyDescent="0.25">
      <c r="A721" t="str">
        <f>IF(REGLAS!J722="OBSOLETO","","INSERT INTO INYCEXT.INYC_CONF_INF_REGLAS (COD_INFORME,TABLA,NOMBRE,REGLA,F_INICIO,F_FIN,DESCRIPCION) VALUES ("&amp;REGLAS!B722&amp;",'"&amp;REGLAS!C722&amp;"','"&amp;REGLAS!D722&amp;"','"&amp;REGLAS!G722&amp;"',TO_DATE('"&amp;REGLAS!H722&amp;"','yyyymmdd'),TO_DATE('"&amp;REGLAS!I722&amp;"','yyyymmdd'),'"&amp;REGLAS!J722&amp;"');")</f>
        <v>INSERT INTO INYCEXT.INYC_CONF_INF_REGLAS (COD_INFORME,TABLA,NOMBRE,REGLA,F_INICIO,F_FIN,DESCRIPCION) VALUES (22.1,'INYC_MIN_RESUMEN','Restas','I-E-DIF-Inspector-PagoMensual-RRTT',TO_DATE('20140101','yyyymmdd'),TO_DATE('22000101','yyyymmdd'),'');</v>
      </c>
      <c r="B721" t="str">
        <f>IF(REGLAS!J722="OBSOLETO","","INSERT INTO INYCEXT.INYC_CONF_INF_REGLAS@tc_link (COD_INFORME,TABLA,NOMBRE,REGLA,F_INICIO,F_FIN,DESCRIPCION) VALUES ("&amp;REGLAS!B722&amp;",'"&amp;REGLAS!C722&amp;"','"&amp;REGLAS!D722&amp;"','"&amp;REGLAS!G722&amp;"',TO_DATE('"&amp;REGLAS!H722&amp;"','yyyymmdd'),TO_DATE('"&amp;REGLAS!I722&amp;"','yyyymmdd'),'"&amp;REGLAS!J722&amp;"');")</f>
        <v>INSERT INTO INYCEXT.INYC_CONF_INF_REGLAS@tc_link (COD_INFORME,TABLA,NOMBRE,REGLA,F_INICIO,F_FIN,DESCRIPCION) VALUES (22.1,'INYC_MIN_RESUMEN','Restas','I-E-DIF-Inspector-PagoMensual-RRTT',TO_DATE('20140101','yyyymmdd'),TO_DATE('22000101','yyyymmdd'),'');</v>
      </c>
    </row>
    <row r="722" spans="1:2" x14ac:dyDescent="0.25">
      <c r="A722" t="str">
        <f>IF(REGLAS!J723="OBSOLETO","","INSERT INTO INYCEXT.INYC_CONF_INF_REGLAS (COD_INFORME,TABLA,NOMBRE,REGLA,F_INICIO,F_FIN,DESCRIPCION) VALUES ("&amp;REGLAS!B723&amp;",'"&amp;REGLAS!C723&amp;"','"&amp;REGLAS!D723&amp;"','"&amp;REGLAS!G723&amp;"',TO_DATE('"&amp;REGLAS!H723&amp;"','yyyymmdd'),TO_DATE('"&amp;REGLAS!I723&amp;"','yyyymmdd'),'"&amp;REGLAS!J723&amp;"');")</f>
        <v>INSERT INTO INYCEXT.INYC_CONF_INF_REGLAS (COD_INFORME,TABLA,NOMBRE,REGLA,F_INICIO,F_FIN,DESCRIPCION) VALUES (22.1,'INYC_MIN_RESUMEN','Restas','I-E-DIF-Inspector-PagoMensual-RRGG',TO_DATE('20140101','yyyymmdd'),TO_DATE('22000101','yyyymmdd'),'');</v>
      </c>
      <c r="B722" t="str">
        <f>IF(REGLAS!J723="OBSOLETO","","INSERT INTO INYCEXT.INYC_CONF_INF_REGLAS@tc_link (COD_INFORME,TABLA,NOMBRE,REGLA,F_INICIO,F_FIN,DESCRIPCION) VALUES ("&amp;REGLAS!B723&amp;",'"&amp;REGLAS!C723&amp;"','"&amp;REGLAS!D723&amp;"','"&amp;REGLAS!G723&amp;"',TO_DATE('"&amp;REGLAS!H723&amp;"','yyyymmdd'),TO_DATE('"&amp;REGLAS!I723&amp;"','yyyymmdd'),'"&amp;REGLAS!J723&amp;"');")</f>
        <v>INSERT INTO INYCEXT.INYC_CONF_INF_REGLAS@tc_link (COD_INFORME,TABLA,NOMBRE,REGLA,F_INICIO,F_FIN,DESCRIPCION) VALUES (22.1,'INYC_MIN_RESUMEN','Restas','I-E-DIF-Inspector-PagoMensual-RRGG',TO_DATE('20140101','yyyymmdd'),TO_DATE('22000101','yyyymmdd'),'');</v>
      </c>
    </row>
    <row r="723" spans="1:2" x14ac:dyDescent="0.25">
      <c r="A723" t="str">
        <f>IF(REGLAS!J724="OBSOLETO","","INSERT INTO INYCEXT.INYC_CONF_INF_REGLAS (COD_INFORME,TABLA,NOMBRE,REGLA,F_INICIO,F_FIN,DESCRIPCION) VALUES ("&amp;REGLAS!B724&amp;",'"&amp;REGLAS!C724&amp;"','"&amp;REGLAS!D724&amp;"','"&amp;REGLAS!G724&amp;"',TO_DATE('"&amp;REGLAS!H724&amp;"','yyyymmdd'),TO_DATE('"&amp;REGLAS!I724&amp;"','yyyymmdd'),'"&amp;REGLAS!J724&amp;"');")</f>
        <v>INSERT INTO INYCEXT.INYC_CONF_INF_REGLAS (COD_INFORME,TABLA,NOMBRE,REGLA,F_INICIO,F_FIN,DESCRIPCION) VALUES (22.1,'INYC_MIN_RESUMEN','Restas','I-O-AN1-Inspector-Pago-Anulaciones',TO_DATE('20140101','yyyymmdd'),TO_DATE('22000101','yyyymmdd'),'');</v>
      </c>
      <c r="B723" t="str">
        <f>IF(REGLAS!J724="OBSOLETO","","INSERT INTO INYCEXT.INYC_CONF_INF_REGLAS@tc_link (COD_INFORME,TABLA,NOMBRE,REGLA,F_INICIO,F_FIN,DESCRIPCION) VALUES ("&amp;REGLAS!B724&amp;",'"&amp;REGLAS!C724&amp;"','"&amp;REGLAS!D724&amp;"','"&amp;REGLAS!G724&amp;"',TO_DATE('"&amp;REGLAS!H724&amp;"','yyyymmdd'),TO_DATE('"&amp;REGLAS!I724&amp;"','yyyymmdd'),'"&amp;REGLAS!J724&amp;"');")</f>
        <v>INSERT INTO INYCEXT.INYC_CONF_INF_REGLAS@tc_link (COD_INFORME,TABLA,NOMBRE,REGLA,F_INICIO,F_FIN,DESCRIPCION) VALUES (22.1,'INYC_MIN_RESUMEN','Restas','I-O-AN1-Inspector-Pago-Anulaciones',TO_DATE('20140101','yyyymmdd'),TO_DATE('22000101','yyyymmdd'),'');</v>
      </c>
    </row>
    <row r="724" spans="1:2" x14ac:dyDescent="0.25">
      <c r="A724" t="str">
        <f>IF(REGLAS!J725="OBSOLETO","","INSERT INTO INYCEXT.INYC_CONF_INF_REGLAS (COD_INFORME,TABLA,NOMBRE,REGLA,F_INICIO,F_FIN,DESCRIPCION) VALUES ("&amp;REGLAS!B725&amp;",'"&amp;REGLAS!C725&amp;"','"&amp;REGLAS!D725&amp;"','"&amp;REGLAS!G725&amp;"',TO_DATE('"&amp;REGLAS!H725&amp;"','yyyymmdd'),TO_DATE('"&amp;REGLAS!I725&amp;"','yyyymmdd'),'"&amp;REGLAS!J725&amp;"');")</f>
        <v>INSERT INTO INYCEXT.INYC_CONF_INF_REGLAS (COD_INFORME,TABLA,NOMBRE,REGLA,F_INICIO,F_FIN,DESCRIPCION) VALUES (22.1,'INYC_MIN_RESUMEN','Restas','I-RPP-Inspector-ImporteMensual',TO_DATE('20140101','yyyymmdd'),TO_DATE('22000101','yyyymmdd'),'');</v>
      </c>
      <c r="B724" t="str">
        <f>IF(REGLAS!J725="OBSOLETO","","INSERT INTO INYCEXT.INYC_CONF_INF_REGLAS@tc_link (COD_INFORME,TABLA,NOMBRE,REGLA,F_INICIO,F_FIN,DESCRIPCION) VALUES ("&amp;REGLAS!B725&amp;",'"&amp;REGLAS!C725&amp;"','"&amp;REGLAS!D725&amp;"','"&amp;REGLAS!G725&amp;"',TO_DATE('"&amp;REGLAS!H725&amp;"','yyyymmdd'),TO_DATE('"&amp;REGLAS!I725&amp;"','yyyymmdd'),'"&amp;REGLAS!J725&amp;"');")</f>
        <v>INSERT INTO INYCEXT.INYC_CONF_INF_REGLAS@tc_link (COD_INFORME,TABLA,NOMBRE,REGLA,F_INICIO,F_FIN,DESCRIPCION) VALUES (22.1,'INYC_MIN_RESUMEN','Restas','I-RPP-Inspector-ImporteMensual',TO_DATE('20140101','yyyymmdd'),TO_DATE('22000101','yyyymmdd'),'');</v>
      </c>
    </row>
    <row r="725" spans="1:2" x14ac:dyDescent="0.25">
      <c r="A725" t="str">
        <f>IF(REGLAS!J726="OBSOLETO","","INSERT INTO INYCEXT.INYC_CONF_INF_REGLAS (COD_INFORME,TABLA,NOMBRE,REGLA,F_INICIO,F_FIN,DESCRIPCION) VALUES ("&amp;REGLAS!B726&amp;",'"&amp;REGLAS!C726&amp;"','"&amp;REGLAS!D726&amp;"','"&amp;REGLAS!G726&amp;"',TO_DATE('"&amp;REGLAS!H726&amp;"','yyyymmdd'),TO_DATE('"&amp;REGLAS!I726&amp;"','yyyymmdd'),'"&amp;REGLAS!J726&amp;"');")</f>
        <v>INSERT INTO INYCEXT.INYC_CONF_INF_REGLAS (COD_INFORME,TABLA,NOMBRE,REGLA,F_INICIO,F_FIN,DESCRIPCION) VALUES (22.1,'INYC_MIN_RESUMEN','Restas','I-RPP-Inspector-ImporteRegTrimestral',TO_DATE('20140101','yyyymmdd'),TO_DATE('22000101','yyyymmdd'),'');</v>
      </c>
      <c r="B725" t="str">
        <f>IF(REGLAS!J726="OBSOLETO","","INSERT INTO INYCEXT.INYC_CONF_INF_REGLAS@tc_link (COD_INFORME,TABLA,NOMBRE,REGLA,F_INICIO,F_FIN,DESCRIPCION) VALUES ("&amp;REGLAS!B726&amp;",'"&amp;REGLAS!C726&amp;"','"&amp;REGLAS!D726&amp;"','"&amp;REGLAS!G726&amp;"',TO_DATE('"&amp;REGLAS!H726&amp;"','yyyymmdd'),TO_DATE('"&amp;REGLAS!I726&amp;"','yyyymmdd'),'"&amp;REGLAS!J726&amp;"');")</f>
        <v>INSERT INTO INYCEXT.INYC_CONF_INF_REGLAS@tc_link (COD_INFORME,TABLA,NOMBRE,REGLA,F_INICIO,F_FIN,DESCRIPCION) VALUES (22.1,'INYC_MIN_RESUMEN','Restas','I-RPP-Inspector-ImporteRegTrimestral',TO_DATE('20140101','yyyymmdd'),TO_DATE('22000101','yyyymmdd'),'');</v>
      </c>
    </row>
    <row r="726" spans="1:2" x14ac:dyDescent="0.25">
      <c r="A726" t="str">
        <f>IF(REGLAS!J727="OBSOLETO","","INSERT INTO INYCEXT.INYC_CONF_INF_REGLAS (COD_INFORME,TABLA,NOMBRE,REGLA,F_INICIO,F_FIN,DESCRIPCION) VALUES ("&amp;REGLAS!B727&amp;",'"&amp;REGLAS!C727&amp;"','"&amp;REGLAS!D727&amp;"','"&amp;REGLAS!G727&amp;"',TO_DATE('"&amp;REGLAS!H727&amp;"','yyyymmdd'),TO_DATE('"&amp;REGLAS!I727&amp;"','yyyymmdd'),'"&amp;REGLAS!J727&amp;"');")</f>
        <v>INSERT INTO INYCEXT.INYC_CONF_INF_REGLAS (COD_INFORME,TABLA,NOMBRE,REGLA,F_INICIO,F_FIN,DESCRIPCION) VALUES (22.1,'INYC_MIN_RESUMEN','Restas','I-RPP-Inspector-ImporteRegAnual',TO_DATE('20140101','yyyymmdd'),TO_DATE('22000101','yyyymmdd'),'');</v>
      </c>
      <c r="B726" t="str">
        <f>IF(REGLAS!J727="OBSOLETO","","INSERT INTO INYCEXT.INYC_CONF_INF_REGLAS@tc_link (COD_INFORME,TABLA,NOMBRE,REGLA,F_INICIO,F_FIN,DESCRIPCION) VALUES ("&amp;REGLAS!B727&amp;",'"&amp;REGLAS!C727&amp;"','"&amp;REGLAS!D727&amp;"','"&amp;REGLAS!G727&amp;"',TO_DATE('"&amp;REGLAS!H727&amp;"','yyyymmdd'),TO_DATE('"&amp;REGLAS!I727&amp;"','yyyymmdd'),'"&amp;REGLAS!J727&amp;"');")</f>
        <v>INSERT INTO INYCEXT.INYC_CONF_INF_REGLAS@tc_link (COD_INFORME,TABLA,NOMBRE,REGLA,F_INICIO,F_FIN,DESCRIPCION) VALUES (22.1,'INYC_MIN_RESUMEN','Restas','I-RPP-Inspector-ImporteRegAnual',TO_DATE('20140101','yyyymmdd'),TO_DATE('22000101','yyyymmdd'),'');</v>
      </c>
    </row>
    <row r="727" spans="1:2" x14ac:dyDescent="0.25">
      <c r="A727" t="str">
        <f>IF(REGLAS!J728="OBSOLETO","","INSERT INTO INYCEXT.INYC_CONF_INF_REGLAS (COD_INFORME,TABLA,NOMBRE,REGLA,F_INICIO,F_FIN,DESCRIPCION) VALUES ("&amp;REGLAS!B728&amp;",'"&amp;REGLAS!C728&amp;"','"&amp;REGLAS!D728&amp;"','"&amp;REGLAS!G728&amp;"',TO_DATE('"&amp;REGLAS!H728&amp;"','yyyymmdd'),TO_DATE('"&amp;REGLAS!I728&amp;"','yyyymmdd'),'"&amp;REGLAS!J728&amp;"');")</f>
        <v>INSERT INTO INYCEXT.INYC_CONF_INF_REGLAS (COD_INFORME,TABLA,NOMBRE,REGLA,F_INICIO,F_FIN,DESCRIPCION) VALUES (22.1,'INYC_MIN_RESUMEN','Restas','I-O-REA-Inspector-Pago',TO_DATE('20140101','yyyymmdd'),TO_DATE('22000101','yyyymmdd'),'');</v>
      </c>
      <c r="B727" t="str">
        <f>IF(REGLAS!J728="OBSOLETO","","INSERT INTO INYCEXT.INYC_CONF_INF_REGLAS@tc_link (COD_INFORME,TABLA,NOMBRE,REGLA,F_INICIO,F_FIN,DESCRIPCION) VALUES ("&amp;REGLAS!B728&amp;",'"&amp;REGLAS!C728&amp;"','"&amp;REGLAS!D728&amp;"','"&amp;REGLAS!G728&amp;"',TO_DATE('"&amp;REGLAS!H728&amp;"','yyyymmdd'),TO_DATE('"&amp;REGLAS!I728&amp;"','yyyymmdd'),'"&amp;REGLAS!J728&amp;"');")</f>
        <v>INSERT INTO INYCEXT.INYC_CONF_INF_REGLAS@tc_link (COD_INFORME,TABLA,NOMBRE,REGLA,F_INICIO,F_FIN,DESCRIPCION) VALUES (22.1,'INYC_MIN_RESUMEN','Restas','I-O-REA-Inspector-Pago',TO_DATE('20140101','yyyymmdd'),TO_DATE('22000101','yyyymmdd'),'');</v>
      </c>
    </row>
    <row r="728" spans="1:2" x14ac:dyDescent="0.25">
      <c r="A728" t="str">
        <f>IF(REGLAS!J729="OBSOLETO","","INSERT INTO INYCEXT.INYC_CONF_INF_REGLAS (COD_INFORME,TABLA,NOMBRE,REGLA,F_INICIO,F_FIN,DESCRIPCION) VALUES ("&amp;REGLAS!B729&amp;",'"&amp;REGLAS!C729&amp;"','"&amp;REGLAS!D729&amp;"','"&amp;REGLAS!G729&amp;"',TO_DATE('"&amp;REGLAS!H729&amp;"','yyyymmdd'),TO_DATE('"&amp;REGLAS!I729&amp;"','yyyymmdd'),'"&amp;REGLAS!J729&amp;"');")</f>
        <v>INSERT INTO INYCEXT.INYC_CONF_INF_REGLAS (COD_INFORME,TABLA,NOMBRE,REGLA,F_INICIO,F_FIN,DESCRIPCION) VALUES (22.1,'INYC_MIN_RESUMEN','Restas','I-O-RECOA-Inspector-PagoTrimestral',TO_DATE('20140101','yyyymmdd'),TO_DATE('22000101','yyyymmdd'),'');</v>
      </c>
      <c r="B728" t="str">
        <f>IF(REGLAS!J729="OBSOLETO","","INSERT INTO INYCEXT.INYC_CONF_INF_REGLAS@tc_link (COD_INFORME,TABLA,NOMBRE,REGLA,F_INICIO,F_FIN,DESCRIPCION) VALUES ("&amp;REGLAS!B729&amp;",'"&amp;REGLAS!C729&amp;"','"&amp;REGLAS!D729&amp;"','"&amp;REGLAS!G729&amp;"',TO_DATE('"&amp;REGLAS!H729&amp;"','yyyymmdd'),TO_DATE('"&amp;REGLAS!I729&amp;"','yyyymmdd'),'"&amp;REGLAS!J729&amp;"');")</f>
        <v>INSERT INTO INYCEXT.INYC_CONF_INF_REGLAS@tc_link (COD_INFORME,TABLA,NOMBRE,REGLA,F_INICIO,F_FIN,DESCRIPCION) VALUES (22.1,'INYC_MIN_RESUMEN','Restas','I-O-RECOA-Inspector-PagoTrimestral',TO_DATE('20140101','yyyymmdd'),TO_DATE('22000101','yyyymmdd'),'');</v>
      </c>
    </row>
    <row r="729" spans="1:2" x14ac:dyDescent="0.25">
      <c r="A729" t="str">
        <f>IF(REGLAS!J730="OBSOLETO","","INSERT INTO INYCEXT.INYC_CONF_INF_REGLAS (COD_INFORME,TABLA,NOMBRE,REGLA,F_INICIO,F_FIN,DESCRIPCION) VALUES ("&amp;REGLAS!B730&amp;",'"&amp;REGLAS!C730&amp;"','"&amp;REGLAS!D730&amp;"','"&amp;REGLAS!G730&amp;"',TO_DATE('"&amp;REGLAS!H730&amp;"','yyyymmdd'),TO_DATE('"&amp;REGLAS!I730&amp;"','yyyymmdd'),'"&amp;REGLAS!J730&amp;"');")</f>
        <v>INSERT INTO INYCEXT.INYC_CONF_INF_REGLAS (COD_INFORME,TABLA,NOMBRE,REGLA,F_INICIO,F_FIN,DESCRIPCION) VALUES (22.1,'INYC_MIN_RESUMEN','Restas','I-O-PP-Inspector-Extorno',TO_DATE('20140101','yyyymmdd'),TO_DATE('22000101','yyyymmdd'),'');</v>
      </c>
      <c r="B729" t="str">
        <f>IF(REGLAS!J730="OBSOLETO","","INSERT INTO INYCEXT.INYC_CONF_INF_REGLAS@tc_link (COD_INFORME,TABLA,NOMBRE,REGLA,F_INICIO,F_FIN,DESCRIPCION) VALUES ("&amp;REGLAS!B730&amp;",'"&amp;REGLAS!C730&amp;"','"&amp;REGLAS!D730&amp;"','"&amp;REGLAS!G730&amp;"',TO_DATE('"&amp;REGLAS!H730&amp;"','yyyymmdd'),TO_DATE('"&amp;REGLAS!I730&amp;"','yyyymmdd'),'"&amp;REGLAS!J730&amp;"');")</f>
        <v>INSERT INTO INYCEXT.INYC_CONF_INF_REGLAS@tc_link (COD_INFORME,TABLA,NOMBRE,REGLA,F_INICIO,F_FIN,DESCRIPCION) VALUES (22.1,'INYC_MIN_RESUMEN','Restas','I-O-PP-Inspector-Extorno',TO_DATE('20140101','yyyymmdd'),TO_DATE('22000101','yyyymmdd'),'');</v>
      </c>
    </row>
    <row r="730" spans="1:2" x14ac:dyDescent="0.25">
      <c r="A730" t="str">
        <f>IF(REGLAS!J731="OBSOLETO","","INSERT INTO INYCEXT.INYC_CONF_INF_REGLAS (COD_INFORME,TABLA,NOMBRE,REGLA,F_INICIO,F_FIN,DESCRIPCION) VALUES ("&amp;REGLAS!B731&amp;",'"&amp;REGLAS!C731&amp;"','"&amp;REGLAS!D731&amp;"','"&amp;REGLAS!G731&amp;"',TO_DATE('"&amp;REGLAS!H731&amp;"','yyyymmdd'),TO_DATE('"&amp;REGLAS!I731&amp;"','yyyymmdd'),'"&amp;REGLAS!J731&amp;"');")</f>
        <v>INSERT INTO INYCEXT.INYC_CONF_INF_REGLAS (COD_INFORME,TABLA,NOMBRE,REGLA,F_INICIO,F_FIN,DESCRIPCION) VALUES (22.1,'INYC_MIN_RESUMEN','Restas','I-O-COMU-Inspector-Pago',TO_DATE('20140101','yyyymmdd'),TO_DATE('22000101','yyyymmdd'),'');</v>
      </c>
      <c r="B730" t="str">
        <f>IF(REGLAS!J731="OBSOLETO","","INSERT INTO INYCEXT.INYC_CONF_INF_REGLAS@tc_link (COD_INFORME,TABLA,NOMBRE,REGLA,F_INICIO,F_FIN,DESCRIPCION) VALUES ("&amp;REGLAS!B731&amp;",'"&amp;REGLAS!C731&amp;"','"&amp;REGLAS!D731&amp;"','"&amp;REGLAS!G731&amp;"',TO_DATE('"&amp;REGLAS!H731&amp;"','yyyymmdd'),TO_DATE('"&amp;REGLAS!I731&amp;"','yyyymmdd'),'"&amp;REGLAS!J731&amp;"');")</f>
        <v>INSERT INTO INYCEXT.INYC_CONF_INF_REGLAS@tc_link (COD_INFORME,TABLA,NOMBRE,REGLA,F_INICIO,F_FIN,DESCRIPCION) VALUES (22.1,'INYC_MIN_RESUMEN','Restas','I-O-COMU-Inspector-Pago',TO_DATE('20140101','yyyymmdd'),TO_DATE('22000101','yyyymmdd'),'');</v>
      </c>
    </row>
    <row r="731" spans="1:2" x14ac:dyDescent="0.25">
      <c r="A731" t="str">
        <f>IF(REGLAS!J732="OBSOLETO","","INSERT INTO INYCEXT.INYC_CONF_INF_REGLAS (COD_INFORME,TABLA,NOMBRE,REGLA,F_INICIO,F_FIN,DESCRIPCION) VALUES ("&amp;REGLAS!B732&amp;",'"&amp;REGLAS!C732&amp;"','"&amp;REGLAS!D732&amp;"','"&amp;REGLAS!G732&amp;"',TO_DATE('"&amp;REGLAS!H732&amp;"','yyyymmdd'),TO_DATE('"&amp;REGLAS!I732&amp;"','yyyymmdd'),'"&amp;REGLAS!J732&amp;"');")</f>
        <v>INSERT INTO INYCEXT.INYC_CONF_INF_REGLAS (COD_INFORME,TABLA,NOMBRE,REGLA,F_INICIO,F_FIN,DESCRIPCION) VALUES (22.1,'INYC_MIN_RESUMEN','Restas','I-O-REH-Inspector-PagoMensual',TO_DATE('20140101','yyyymmdd'),TO_DATE('22000101','yyyymmdd'),'');</v>
      </c>
      <c r="B731" t="str">
        <f>IF(REGLAS!J732="OBSOLETO","","INSERT INTO INYCEXT.INYC_CONF_INF_REGLAS@tc_link (COD_INFORME,TABLA,NOMBRE,REGLA,F_INICIO,F_FIN,DESCRIPCION) VALUES ("&amp;REGLAS!B732&amp;",'"&amp;REGLAS!C732&amp;"','"&amp;REGLAS!D732&amp;"','"&amp;REGLAS!G732&amp;"',TO_DATE('"&amp;REGLAS!H732&amp;"','yyyymmdd'),TO_DATE('"&amp;REGLAS!I732&amp;"','yyyymmdd'),'"&amp;REGLAS!J732&amp;"');")</f>
        <v>INSERT INTO INYCEXT.INYC_CONF_INF_REGLAS@tc_link (COD_INFORME,TABLA,NOMBRE,REGLA,F_INICIO,F_FIN,DESCRIPCION) VALUES (22.1,'INYC_MIN_RESUMEN','Restas','I-O-REH-Inspector-PagoMensual',TO_DATE('20140101','yyyymmdd'),TO_DATE('22000101','yyyymmdd'),'');</v>
      </c>
    </row>
    <row r="732" spans="1:2" x14ac:dyDescent="0.25">
      <c r="A732" t="str">
        <f>IF(REGLAS!J733="OBSOLETO","","INSERT INTO INYCEXT.INYC_CONF_INF_REGLAS (COD_INFORME,TABLA,NOMBRE,REGLA,F_INICIO,F_FIN,DESCRIPCION) VALUES ("&amp;REGLAS!B733&amp;",'"&amp;REGLAS!C733&amp;"','"&amp;REGLAS!D733&amp;"','"&amp;REGLAS!G733&amp;"',TO_DATE('"&amp;REGLAS!H733&amp;"','yyyymmdd'),TO_DATE('"&amp;REGLAS!I733&amp;"','yyyymmdd'),'"&amp;REGLAS!J733&amp;"');")</f>
        <v>INSERT INTO INYCEXT.INYC_CONF_INF_REGLAS (COD_INFORME,TABLA,NOMBRE,REGLA,F_INICIO,F_FIN,DESCRIPCION) VALUES (22.1,'INYC_MIN_RESUMEN','Restas','I-O-REP-Inspector-PagoMensual',TO_DATE('20140101','yyyymmdd'),TO_DATE('22000101','yyyymmdd'),'');</v>
      </c>
      <c r="B732" t="str">
        <f>IF(REGLAS!J733="OBSOLETO","","INSERT INTO INYCEXT.INYC_CONF_INF_REGLAS@tc_link (COD_INFORME,TABLA,NOMBRE,REGLA,F_INICIO,F_FIN,DESCRIPCION) VALUES ("&amp;REGLAS!B733&amp;",'"&amp;REGLAS!C733&amp;"','"&amp;REGLAS!D733&amp;"','"&amp;REGLAS!G733&amp;"',TO_DATE('"&amp;REGLAS!H733&amp;"','yyyymmdd'),TO_DATE('"&amp;REGLAS!I733&amp;"','yyyymmdd'),'"&amp;REGLAS!J733&amp;"');")</f>
        <v>INSERT INTO INYCEXT.INYC_CONF_INF_REGLAS@tc_link (COD_INFORME,TABLA,NOMBRE,REGLA,F_INICIO,F_FIN,DESCRIPCION) VALUES (22.1,'INYC_MIN_RESUMEN','Restas','I-O-REP-Inspector-PagoMensual',TO_DATE('20140101','yyyymmdd'),TO_DATE('22000101','yyyymmdd'),'');</v>
      </c>
    </row>
    <row r="733" spans="1:2" x14ac:dyDescent="0.25">
      <c r="A733" t="str">
        <f>IF(REGLAS!J734="OBSOLETO","","INSERT INTO INYCEXT.INYC_CONF_INF_REGLAS (COD_INFORME,TABLA,NOMBRE,REGLA,F_INICIO,F_FIN,DESCRIPCION) VALUES ("&amp;REGLAS!B734&amp;",'"&amp;REGLAS!C734&amp;"','"&amp;REGLAS!D734&amp;"','"&amp;REGLAS!G734&amp;"',TO_DATE('"&amp;REGLAS!H734&amp;"','yyyymmdd'),TO_DATE('"&amp;REGLAS!I734&amp;"','yyyymmdd'),'"&amp;REGLAS!J734&amp;"');")</f>
        <v>INSERT INTO INYCEXT.INYC_CONF_INF_REGLAS (COD_INFORME,TABLA,NOMBRE,REGLA,F_INICIO,F_FIN,DESCRIPCION) VALUES (22.1,'INYC_MIN_RESUMEN','Restas','I-O-RACH-Inspector-PagoMensual',TO_DATE('20140101','yyyymmdd'),TO_DATE('22000101','yyyymmdd'),'');</v>
      </c>
      <c r="B733" t="str">
        <f>IF(REGLAS!J734="OBSOLETO","","INSERT INTO INYCEXT.INYC_CONF_INF_REGLAS@tc_link (COD_INFORME,TABLA,NOMBRE,REGLA,F_INICIO,F_FIN,DESCRIPCION) VALUES ("&amp;REGLAS!B734&amp;",'"&amp;REGLAS!C734&amp;"','"&amp;REGLAS!D734&amp;"','"&amp;REGLAS!G734&amp;"',TO_DATE('"&amp;REGLAS!H734&amp;"','yyyymmdd'),TO_DATE('"&amp;REGLAS!I734&amp;"','yyyymmdd'),'"&amp;REGLAS!J734&amp;"');")</f>
        <v>INSERT INTO INYCEXT.INYC_CONF_INF_REGLAS@tc_link (COD_INFORME,TABLA,NOMBRE,REGLA,F_INICIO,F_FIN,DESCRIPCION) VALUES (22.1,'INYC_MIN_RESUMEN','Restas','I-O-RACH-Inspector-PagoMensual',TO_DATE('20140101','yyyymmdd'),TO_DATE('22000101','yyyymmdd'),'');</v>
      </c>
    </row>
    <row r="734" spans="1:2" x14ac:dyDescent="0.25">
      <c r="A734" t="str">
        <f>IF(REGLAS!J735="OBSOLETO","","INSERT INTO INYCEXT.INYC_CONF_INF_REGLAS (COD_INFORME,TABLA,NOMBRE,REGLA,F_INICIO,F_FIN,DESCRIPCION) VALUES ("&amp;REGLAS!B735&amp;",'"&amp;REGLAS!C735&amp;"','"&amp;REGLAS!D735&amp;"','"&amp;REGLAS!G735&amp;"',TO_DATE('"&amp;REGLAS!H735&amp;"','yyyymmdd'),TO_DATE('"&amp;REGLAS!I735&amp;"','yyyymmdd'),'"&amp;REGLAS!J735&amp;"');")</f>
        <v>INSERT INTO INYCEXT.INYC_CONF_INF_REGLAS (COD_INFORME,TABLA,NOMBRE,REGLA,F_INICIO,F_FIN,DESCRIPCION) VALUES (22.1,'INYC_MIN_RESUMEN','Restas','I-O-RACH-Inspector-PagoPremio',TO_DATE('20140101','yyyymmdd'),TO_DATE('22000101','yyyymmdd'),'');</v>
      </c>
      <c r="B734" t="str">
        <f>IF(REGLAS!J735="OBSOLETO","","INSERT INTO INYCEXT.INYC_CONF_INF_REGLAS@tc_link (COD_INFORME,TABLA,NOMBRE,REGLA,F_INICIO,F_FIN,DESCRIPCION) VALUES ("&amp;REGLAS!B735&amp;",'"&amp;REGLAS!C735&amp;"','"&amp;REGLAS!D735&amp;"','"&amp;REGLAS!G735&amp;"',TO_DATE('"&amp;REGLAS!H735&amp;"','yyyymmdd'),TO_DATE('"&amp;REGLAS!I735&amp;"','yyyymmdd'),'"&amp;REGLAS!J735&amp;"');")</f>
        <v>INSERT INTO INYCEXT.INYC_CONF_INF_REGLAS@tc_link (COD_INFORME,TABLA,NOMBRE,REGLA,F_INICIO,F_FIN,DESCRIPCION) VALUES (22.1,'INYC_MIN_RESUMEN','Restas','I-O-RACH-Inspector-PagoPremio',TO_DATE('20140101','yyyymmdd'),TO_DATE('22000101','yyyymmdd'),'');</v>
      </c>
    </row>
    <row r="735" spans="1:2" x14ac:dyDescent="0.25">
      <c r="A735" t="str">
        <f>IF(REGLAS!J736="OBSOLETO","","INSERT INTO INYCEXT.INYC_CONF_INF_REGLAS (COD_INFORME,TABLA,NOMBRE,REGLA,F_INICIO,F_FIN,DESCRIPCION) VALUES ("&amp;REGLAS!B736&amp;",'"&amp;REGLAS!C736&amp;"','"&amp;REGLAS!D736&amp;"','"&amp;REGLAS!G736&amp;"',TO_DATE('"&amp;REGLAS!H736&amp;"','yyyymmdd'),TO_DATE('"&amp;REGLAS!I736&amp;"','yyyymmdd'),'"&amp;REGLAS!J736&amp;"');")</f>
        <v>INSERT INTO INYCEXT.INYC_CONF_INF_REGLAS (COD_INFORME,TABLA,NOMBRE,REGLA,F_INICIO,F_FIN,DESCRIPCION) VALUES (22.1,'INYC_MIN_RESUMEN','Restas','I-O-AN2-Inspecotr-BLOQUE1-Pago-Anulaciones',TO_DATE('20140101','yyyymmdd'),TO_DATE('22000101','yyyymmdd'),'');</v>
      </c>
      <c r="B735" t="str">
        <f>IF(REGLAS!J736="OBSOLETO","","INSERT INTO INYCEXT.INYC_CONF_INF_REGLAS@tc_link (COD_INFORME,TABLA,NOMBRE,REGLA,F_INICIO,F_FIN,DESCRIPCION) VALUES ("&amp;REGLAS!B736&amp;",'"&amp;REGLAS!C736&amp;"','"&amp;REGLAS!D736&amp;"','"&amp;REGLAS!G736&amp;"',TO_DATE('"&amp;REGLAS!H736&amp;"','yyyymmdd'),TO_DATE('"&amp;REGLAS!I736&amp;"','yyyymmdd'),'"&amp;REGLAS!J736&amp;"');")</f>
        <v>INSERT INTO INYCEXT.INYC_CONF_INF_REGLAS@tc_link (COD_INFORME,TABLA,NOMBRE,REGLA,F_INICIO,F_FIN,DESCRIPCION) VALUES (22.1,'INYC_MIN_RESUMEN','Restas','I-O-AN2-Inspecotr-BLOQUE1-Pago-Anulaciones',TO_DATE('20140101','yyyymmdd'),TO_DATE('22000101','yyyymmdd'),'');</v>
      </c>
    </row>
    <row r="736" spans="1:2" x14ac:dyDescent="0.25">
      <c r="A736" t="str">
        <f>IF(REGLAS!J737="OBSOLETO","","INSERT INTO INYCEXT.INYC_CONF_INF_REGLAS (COD_INFORME,TABLA,NOMBRE,REGLA,F_INICIO,F_FIN,DESCRIPCION) VALUES ("&amp;REGLAS!B737&amp;",'"&amp;REGLAS!C737&amp;"','"&amp;REGLAS!D737&amp;"','"&amp;REGLAS!G737&amp;"',TO_DATE('"&amp;REGLAS!H737&amp;"','yyyymmdd'),TO_DATE('"&amp;REGLAS!I737&amp;"','yyyymmdd'),'"&amp;REGLAS!J737&amp;"');")</f>
        <v>INSERT INTO INYCEXT.INYC_CONF_INF_REGLAS (COD_INFORME,TABLA,NOMBRE,REGLA,F_INICIO,F_FIN,DESCRIPCION) VALUES (22.1,'INYC_MIN_RESUMEN','Restas','I-O-AN2-Inspecotr-BLOQUE2-Pago-Anulaciones',TO_DATE('20140101','yyyymmdd'),TO_DATE('22000101','yyyymmdd'),'');</v>
      </c>
      <c r="B736" t="str">
        <f>IF(REGLAS!J737="OBSOLETO","","INSERT INTO INYCEXT.INYC_CONF_INF_REGLAS@tc_link (COD_INFORME,TABLA,NOMBRE,REGLA,F_INICIO,F_FIN,DESCRIPCION) VALUES ("&amp;REGLAS!B737&amp;",'"&amp;REGLAS!C737&amp;"','"&amp;REGLAS!D737&amp;"','"&amp;REGLAS!G737&amp;"',TO_DATE('"&amp;REGLAS!H737&amp;"','yyyymmdd'),TO_DATE('"&amp;REGLAS!I737&amp;"','yyyymmdd'),'"&amp;REGLAS!J737&amp;"');")</f>
        <v>INSERT INTO INYCEXT.INYC_CONF_INF_REGLAS@tc_link (COD_INFORME,TABLA,NOMBRE,REGLA,F_INICIO,F_FIN,DESCRIPCION) VALUES (22.1,'INYC_MIN_RESUMEN','Restas','I-O-AN2-Inspecotr-BLOQUE2-Pago-Anulaciones',TO_DATE('20140101','yyyymmdd'),TO_DATE('22000101','yyyymmdd'),'');</v>
      </c>
    </row>
    <row r="737" spans="1:2" x14ac:dyDescent="0.25">
      <c r="A737" t="str">
        <f>IF(REGLAS!J738="OBSOLETO","","INSERT INTO INYCEXT.INYC_CONF_INF_REGLAS (COD_INFORME,TABLA,NOMBRE,REGLA,F_INICIO,F_FIN,DESCRIPCION) VALUES ("&amp;REGLAS!B738&amp;",'"&amp;REGLAS!C738&amp;"','"&amp;REGLAS!D738&amp;"','"&amp;REGLAS!G738&amp;"',TO_DATE('"&amp;REGLAS!H738&amp;"','yyyymmdd'),TO_DATE('"&amp;REGLAS!I738&amp;"','yyyymmdd'),'"&amp;REGLAS!J738&amp;"');")</f>
        <v/>
      </c>
      <c r="B737" t="str">
        <f>IF(REGLAS!J738="OBSOLETO","","INSERT INTO INYCEXT.INYC_CONF_INF_REGLAS@tc_link (COD_INFORME,TABLA,NOMBRE,REGLA,F_INICIO,F_FIN,DESCRIPCION) VALUES ("&amp;REGLAS!B738&amp;",'"&amp;REGLAS!C738&amp;"','"&amp;REGLAS!D738&amp;"','"&amp;REGLAS!G738&amp;"',TO_DATE('"&amp;REGLAS!H738&amp;"','yyyymmdd'),TO_DATE('"&amp;REGLAS!I738&amp;"','yyyymmdd'),'"&amp;REGLAS!J738&amp;"');")</f>
        <v/>
      </c>
    </row>
    <row r="738" spans="1:2" x14ac:dyDescent="0.25">
      <c r="A738" t="str">
        <f>IF(REGLAS!J739="OBSOLETO","","INSERT INTO INYCEXT.INYC_CONF_INF_REGLAS (COD_INFORME,TABLA,NOMBRE,REGLA,F_INICIO,F_FIN,DESCRIPCION) VALUES ("&amp;REGLAS!B739&amp;",'"&amp;REGLAS!C739&amp;"','"&amp;REGLAS!D739&amp;"','"&amp;REGLAS!G739&amp;"',TO_DATE('"&amp;REGLAS!H739&amp;"','yyyymmdd'),TO_DATE('"&amp;REGLAS!I739&amp;"','yyyymmdd'),'"&amp;REGLAS!J739&amp;"');")</f>
        <v/>
      </c>
      <c r="B738" t="str">
        <f>IF(REGLAS!J739="OBSOLETO","","INSERT INTO INYCEXT.INYC_CONF_INF_REGLAS@tc_link (COD_INFORME,TABLA,NOMBRE,REGLA,F_INICIO,F_FIN,DESCRIPCION) VALUES ("&amp;REGLAS!B739&amp;",'"&amp;REGLAS!C739&amp;"','"&amp;REGLAS!D739&amp;"','"&amp;REGLAS!G739&amp;"',TO_DATE('"&amp;REGLAS!H739&amp;"','yyyymmdd'),TO_DATE('"&amp;REGLAS!I739&amp;"','yyyymmdd'),'"&amp;REGLAS!J739&amp;"');")</f>
        <v/>
      </c>
    </row>
    <row r="739" spans="1:2" x14ac:dyDescent="0.25">
      <c r="A739" t="str">
        <f>IF(REGLAS!J740="OBSOLETO","","INSERT INTO INYCEXT.INYC_CONF_INF_REGLAS (COD_INFORME,TABLA,NOMBRE,REGLA,F_INICIO,F_FIN,DESCRIPCION) VALUES ("&amp;REGLAS!B740&amp;",'"&amp;REGLAS!C740&amp;"','"&amp;REGLAS!D740&amp;"','"&amp;REGLAS!G740&amp;"',TO_DATE('"&amp;REGLAS!H740&amp;"','yyyymmdd'),TO_DATE('"&amp;REGLAS!I740&amp;"','yyyymmdd'),'"&amp;REGLAS!J740&amp;"');")</f>
        <v/>
      </c>
      <c r="B739" t="str">
        <f>IF(REGLAS!J740="OBSOLETO","","INSERT INTO INYCEXT.INYC_CONF_INF_REGLAS@tc_link (COD_INFORME,TABLA,NOMBRE,REGLA,F_INICIO,F_FIN,DESCRIPCION) VALUES ("&amp;REGLAS!B740&amp;",'"&amp;REGLAS!C740&amp;"','"&amp;REGLAS!D740&amp;"','"&amp;REGLAS!G740&amp;"',TO_DATE('"&amp;REGLAS!H740&amp;"','yyyymmdd'),TO_DATE('"&amp;REGLAS!I740&amp;"','yyyymmdd'),'"&amp;REGLAS!J740&amp;"');")</f>
        <v/>
      </c>
    </row>
    <row r="740" spans="1:2" x14ac:dyDescent="0.25">
      <c r="A740" t="str">
        <f>IF(REGLAS!J741="OBSOLETO","","INSERT INTO INYCEXT.INYC_CONF_INF_REGLAS (COD_INFORME,TABLA,NOMBRE,REGLA,F_INICIO,F_FIN,DESCRIPCION) VALUES ("&amp;REGLAS!B741&amp;",'"&amp;REGLAS!C741&amp;"','"&amp;REGLAS!D741&amp;"','"&amp;REGLAS!G741&amp;"',TO_DATE('"&amp;REGLAS!H741&amp;"','yyyymmdd'),TO_DATE('"&amp;REGLAS!I741&amp;"','yyyymmdd'),'"&amp;REGLAS!J741&amp;"');")</f>
        <v/>
      </c>
      <c r="B740" t="str">
        <f>IF(REGLAS!J741="OBSOLETO","","INSERT INTO INYCEXT.INYC_CONF_INF_REGLAS@tc_link (COD_INFORME,TABLA,NOMBRE,REGLA,F_INICIO,F_FIN,DESCRIPCION) VALUES ("&amp;REGLAS!B741&amp;",'"&amp;REGLAS!C741&amp;"','"&amp;REGLAS!D741&amp;"','"&amp;REGLAS!G741&amp;"',TO_DATE('"&amp;REGLAS!H741&amp;"','yyyymmdd'),TO_DATE('"&amp;REGLAS!I741&amp;"','yyyymmdd'),'"&amp;REGLAS!J741&amp;"');")</f>
        <v/>
      </c>
    </row>
    <row r="741" spans="1:2" x14ac:dyDescent="0.25">
      <c r="A741" t="str">
        <f>IF(REGLAS!J742="OBSOLETO","","INSERT INTO INYCEXT.INYC_CONF_INF_REGLAS (COD_INFORME,TABLA,NOMBRE,REGLA,F_INICIO,F_FIN,DESCRIPCION) VALUES ("&amp;REGLAS!B742&amp;",'"&amp;REGLAS!C742&amp;"','"&amp;REGLAS!D742&amp;"','"&amp;REGLAS!G742&amp;"',TO_DATE('"&amp;REGLAS!H742&amp;"','yyyymmdd'),TO_DATE('"&amp;REGLAS!I742&amp;"','yyyymmdd'),'"&amp;REGLAS!J742&amp;"');")</f>
        <v/>
      </c>
      <c r="B741" t="str">
        <f>IF(REGLAS!J742="OBSOLETO","","INSERT INTO INYCEXT.INYC_CONF_INF_REGLAS@tc_link (COD_INFORME,TABLA,NOMBRE,REGLA,F_INICIO,F_FIN,DESCRIPCION) VALUES ("&amp;REGLAS!B742&amp;",'"&amp;REGLAS!C742&amp;"','"&amp;REGLAS!D742&amp;"','"&amp;REGLAS!G742&amp;"',TO_DATE('"&amp;REGLAS!H742&amp;"','yyyymmdd'),TO_DATE('"&amp;REGLAS!I742&amp;"','yyyymmdd'),'"&amp;REGLAS!J742&amp;"');")</f>
        <v/>
      </c>
    </row>
    <row r="742" spans="1:2" x14ac:dyDescent="0.25">
      <c r="A742" t="str">
        <f>IF(REGLAS!J743="OBSOLETO","","INSERT INTO INYCEXT.INYC_CONF_INF_REGLAS (COD_INFORME,TABLA,NOMBRE,REGLA,F_INICIO,F_FIN,DESCRIPCION) VALUES ("&amp;REGLAS!B743&amp;",'"&amp;REGLAS!C743&amp;"','"&amp;REGLAS!D743&amp;"','"&amp;REGLAS!G743&amp;"',TO_DATE('"&amp;REGLAS!H743&amp;"','yyyymmdd'),TO_DATE('"&amp;REGLAS!I743&amp;"','yyyymmdd'),'"&amp;REGLAS!J743&amp;"');")</f>
        <v/>
      </c>
      <c r="B742" t="str">
        <f>IF(REGLAS!J743="OBSOLETO","","INSERT INTO INYCEXT.INYC_CONF_INF_REGLAS@tc_link (COD_INFORME,TABLA,NOMBRE,REGLA,F_INICIO,F_FIN,DESCRIPCION) VALUES ("&amp;REGLAS!B743&amp;",'"&amp;REGLAS!C743&amp;"','"&amp;REGLAS!D743&amp;"','"&amp;REGLAS!G743&amp;"',TO_DATE('"&amp;REGLAS!H743&amp;"','yyyymmdd'),TO_DATE('"&amp;REGLAS!I743&amp;"','yyyymmdd'),'"&amp;REGLAS!J743&amp;"');")</f>
        <v/>
      </c>
    </row>
    <row r="743" spans="1:2" x14ac:dyDescent="0.25">
      <c r="A743" t="str">
        <f>IF(REGLAS!J744="OBSOLETO","","INSERT INTO INYCEXT.INYC_CONF_INF_REGLAS (COD_INFORME,TABLA,NOMBRE,REGLA,F_INICIO,F_FIN,DESCRIPCION) VALUES ("&amp;REGLAS!B744&amp;",'"&amp;REGLAS!C744&amp;"','"&amp;REGLAS!D744&amp;"','"&amp;REGLAS!G744&amp;"',TO_DATE('"&amp;REGLAS!H744&amp;"','yyyymmdd'),TO_DATE('"&amp;REGLAS!I744&amp;"','yyyymmdd'),'"&amp;REGLAS!J744&amp;"');")</f>
        <v/>
      </c>
      <c r="B743" t="str">
        <f>IF(REGLAS!J744="OBSOLETO","","INSERT INTO INYCEXT.INYC_CONF_INF_REGLAS@tc_link (COD_INFORME,TABLA,NOMBRE,REGLA,F_INICIO,F_FIN,DESCRIPCION) VALUES ("&amp;REGLAS!B744&amp;",'"&amp;REGLAS!C744&amp;"','"&amp;REGLAS!D744&amp;"','"&amp;REGLAS!G744&amp;"',TO_DATE('"&amp;REGLAS!H744&amp;"','yyyymmdd'),TO_DATE('"&amp;REGLAS!I744&amp;"','yyyymmdd'),'"&amp;REGLAS!J744&amp;"');")</f>
        <v/>
      </c>
    </row>
    <row r="744" spans="1:2" x14ac:dyDescent="0.25">
      <c r="A744" t="str">
        <f>IF(REGLAS!J745="OBSOLETO","","INSERT INTO INYCEXT.INYC_CONF_INF_REGLAS (COD_INFORME,TABLA,NOMBRE,REGLA,F_INICIO,F_FIN,DESCRIPCION) VALUES ("&amp;REGLAS!B745&amp;",'"&amp;REGLAS!C745&amp;"','"&amp;REGLAS!D745&amp;"','"&amp;REGLAS!G745&amp;"',TO_DATE('"&amp;REGLAS!H745&amp;"','yyyymmdd'),TO_DATE('"&amp;REGLAS!I745&amp;"','yyyymmdd'),'"&amp;REGLAS!J745&amp;"');")</f>
        <v/>
      </c>
      <c r="B744" t="str">
        <f>IF(REGLAS!J745="OBSOLETO","","INSERT INTO INYCEXT.INYC_CONF_INF_REGLAS@tc_link (COD_INFORME,TABLA,NOMBRE,REGLA,F_INICIO,F_FIN,DESCRIPCION) VALUES ("&amp;REGLAS!B745&amp;",'"&amp;REGLAS!C745&amp;"','"&amp;REGLAS!D745&amp;"','"&amp;REGLAS!G745&amp;"',TO_DATE('"&amp;REGLAS!H745&amp;"','yyyymmdd'),TO_DATE('"&amp;REGLAS!I745&amp;"','yyyymmdd'),'"&amp;REGLAS!J745&amp;"');")</f>
        <v/>
      </c>
    </row>
    <row r="745" spans="1:2" x14ac:dyDescent="0.25">
      <c r="A745" t="str">
        <f>IF(REGLAS!J746="OBSOLETO","","INSERT INTO INYCEXT.INYC_CONF_INF_REGLAS (COD_INFORME,TABLA,NOMBRE,REGLA,F_INICIO,F_FIN,DESCRIPCION) VALUES ("&amp;REGLAS!B746&amp;",'"&amp;REGLAS!C746&amp;"','"&amp;REGLAS!D746&amp;"','"&amp;REGLAS!G746&amp;"',TO_DATE('"&amp;REGLAS!H746&amp;"','yyyymmdd'),TO_DATE('"&amp;REGLAS!I746&amp;"','yyyymmdd'),'"&amp;REGLAS!J746&amp;"');")</f>
        <v/>
      </c>
      <c r="B745" t="str">
        <f>IF(REGLAS!J746="OBSOLETO","","INSERT INTO INYCEXT.INYC_CONF_INF_REGLAS@tc_link (COD_INFORME,TABLA,NOMBRE,REGLA,F_INICIO,F_FIN,DESCRIPCION) VALUES ("&amp;REGLAS!B746&amp;",'"&amp;REGLAS!C746&amp;"','"&amp;REGLAS!D746&amp;"','"&amp;REGLAS!G746&amp;"',TO_DATE('"&amp;REGLAS!H746&amp;"','yyyymmdd'),TO_DATE('"&amp;REGLAS!I746&amp;"','yyyymmdd'),'"&amp;REGLAS!J746&amp;"');")</f>
        <v/>
      </c>
    </row>
    <row r="746" spans="1:2" x14ac:dyDescent="0.25">
      <c r="A746" t="str">
        <f>IF(REGLAS!J747="OBSOLETO","","INSERT INTO INYCEXT.INYC_CONF_INF_REGLAS (COD_INFORME,TABLA,NOMBRE,REGLA,F_INICIO,F_FIN,DESCRIPCION) VALUES ("&amp;REGLAS!B747&amp;",'"&amp;REGLAS!C747&amp;"','"&amp;REGLAS!D747&amp;"','"&amp;REGLAS!G747&amp;"',TO_DATE('"&amp;REGLAS!H747&amp;"','yyyymmdd'),TO_DATE('"&amp;REGLAS!I747&amp;"','yyyymmdd'),'"&amp;REGLAS!J747&amp;"');")</f>
        <v/>
      </c>
      <c r="B746" t="str">
        <f>IF(REGLAS!J747="OBSOLETO","","INSERT INTO INYCEXT.INYC_CONF_INF_REGLAS@tc_link (COD_INFORME,TABLA,NOMBRE,REGLA,F_INICIO,F_FIN,DESCRIPCION) VALUES ("&amp;REGLAS!B747&amp;",'"&amp;REGLAS!C747&amp;"','"&amp;REGLAS!D747&amp;"','"&amp;REGLAS!G747&amp;"',TO_DATE('"&amp;REGLAS!H747&amp;"','yyyymmdd'),TO_DATE('"&amp;REGLAS!I747&amp;"','yyyymmdd'),'"&amp;REGLAS!J747&amp;"');")</f>
        <v/>
      </c>
    </row>
    <row r="747" spans="1:2" x14ac:dyDescent="0.25">
      <c r="A747" t="str">
        <f>IF(REGLAS!J748="OBSOLETO","","INSERT INTO INYCEXT.INYC_CONF_INF_REGLAS (COD_INFORME,TABLA,NOMBRE,REGLA,F_INICIO,F_FIN,DESCRIPCION) VALUES ("&amp;REGLAS!B748&amp;",'"&amp;REGLAS!C748&amp;"','"&amp;REGLAS!D748&amp;"','"&amp;REGLAS!G748&amp;"',TO_DATE('"&amp;REGLAS!H748&amp;"','yyyymmdd'),TO_DATE('"&amp;REGLAS!I748&amp;"','yyyymmdd'),'"&amp;REGLAS!J748&amp;"');")</f>
        <v/>
      </c>
      <c r="B747" t="str">
        <f>IF(REGLAS!J748="OBSOLETO","","INSERT INTO INYCEXT.INYC_CONF_INF_REGLAS@tc_link (COD_INFORME,TABLA,NOMBRE,REGLA,F_INICIO,F_FIN,DESCRIPCION) VALUES ("&amp;REGLAS!B748&amp;",'"&amp;REGLAS!C748&amp;"','"&amp;REGLAS!D748&amp;"','"&amp;REGLAS!G748&amp;"',TO_DATE('"&amp;REGLAS!H748&amp;"','yyyymmdd'),TO_DATE('"&amp;REGLAS!I748&amp;"','yyyymmdd'),'"&amp;REGLAS!J748&amp;"');")</f>
        <v/>
      </c>
    </row>
    <row r="748" spans="1:2" x14ac:dyDescent="0.25">
      <c r="A748" t="str">
        <f>IF(REGLAS!J749="OBSOLETO","","INSERT INTO INYCEXT.INYC_CONF_INF_REGLAS (COD_INFORME,TABLA,NOMBRE,REGLA,F_INICIO,F_FIN,DESCRIPCION) VALUES ("&amp;REGLAS!B749&amp;",'"&amp;REGLAS!C749&amp;"','"&amp;REGLAS!D749&amp;"','"&amp;REGLAS!G749&amp;"',TO_DATE('"&amp;REGLAS!H749&amp;"','yyyymmdd'),TO_DATE('"&amp;REGLAS!I749&amp;"','yyyymmdd'),'"&amp;REGLAS!J749&amp;"');")</f>
        <v/>
      </c>
      <c r="B748" t="str">
        <f>IF(REGLAS!J749="OBSOLETO","","INSERT INTO INYCEXT.INYC_CONF_INF_REGLAS@tc_link (COD_INFORME,TABLA,NOMBRE,REGLA,F_INICIO,F_FIN,DESCRIPCION) VALUES ("&amp;REGLAS!B749&amp;",'"&amp;REGLAS!C749&amp;"','"&amp;REGLAS!D749&amp;"','"&amp;REGLAS!G749&amp;"',TO_DATE('"&amp;REGLAS!H749&amp;"','yyyymmdd'),TO_DATE('"&amp;REGLAS!I749&amp;"','yyyymmdd'),'"&amp;REGLAS!J749&amp;"');")</f>
        <v/>
      </c>
    </row>
    <row r="749" spans="1:2" x14ac:dyDescent="0.25">
      <c r="A749" t="str">
        <f>IF(REGLAS!J750="OBSOLETO","","INSERT INTO INYCEXT.INYC_CONF_INF_REGLAS (COD_INFORME,TABLA,NOMBRE,REGLA,F_INICIO,F_FIN,DESCRIPCION) VALUES ("&amp;REGLAS!B750&amp;",'"&amp;REGLAS!C750&amp;"','"&amp;REGLAS!D750&amp;"','"&amp;REGLAS!G750&amp;"',TO_DATE('"&amp;REGLAS!H750&amp;"','yyyymmdd'),TO_DATE('"&amp;REGLAS!I750&amp;"','yyyymmdd'),'"&amp;REGLAS!J750&amp;"');")</f>
        <v/>
      </c>
      <c r="B749" t="str">
        <f>IF(REGLAS!J750="OBSOLETO","","INSERT INTO INYCEXT.INYC_CONF_INF_REGLAS@tc_link (COD_INFORME,TABLA,NOMBRE,REGLA,F_INICIO,F_FIN,DESCRIPCION) VALUES ("&amp;REGLAS!B750&amp;",'"&amp;REGLAS!C750&amp;"','"&amp;REGLAS!D750&amp;"','"&amp;REGLAS!G750&amp;"',TO_DATE('"&amp;REGLAS!H750&amp;"','yyyymmdd'),TO_DATE('"&amp;REGLAS!I750&amp;"','yyyymmdd'),'"&amp;REGLAS!J750&amp;"');")</f>
        <v/>
      </c>
    </row>
    <row r="750" spans="1:2" x14ac:dyDescent="0.25">
      <c r="A750" t="str">
        <f>IF(REGLAS!J751="OBSOLETO","","INSERT INTO INYCEXT.INYC_CONF_INF_REGLAS (COD_INFORME,TABLA,NOMBRE,REGLA,F_INICIO,F_FIN,DESCRIPCION) VALUES ("&amp;REGLAS!B751&amp;",'"&amp;REGLAS!C751&amp;"','"&amp;REGLAS!D751&amp;"','"&amp;REGLAS!G751&amp;"',TO_DATE('"&amp;REGLAS!H751&amp;"','yyyymmdd'),TO_DATE('"&amp;REGLAS!I751&amp;"','yyyymmdd'),'"&amp;REGLAS!J751&amp;"');")</f>
        <v/>
      </c>
      <c r="B750" t="str">
        <f>IF(REGLAS!J751="OBSOLETO","","INSERT INTO INYCEXT.INYC_CONF_INF_REGLAS@tc_link (COD_INFORME,TABLA,NOMBRE,REGLA,F_INICIO,F_FIN,DESCRIPCION) VALUES ("&amp;REGLAS!B751&amp;",'"&amp;REGLAS!C751&amp;"','"&amp;REGLAS!D751&amp;"','"&amp;REGLAS!G751&amp;"',TO_DATE('"&amp;REGLAS!H751&amp;"','yyyymmdd'),TO_DATE('"&amp;REGLAS!I751&amp;"','yyyymmdd'),'"&amp;REGLAS!J751&amp;"');")</f>
        <v/>
      </c>
    </row>
    <row r="751" spans="1:2" x14ac:dyDescent="0.25">
      <c r="A751" t="str">
        <f>IF(REGLAS!J752="OBSOLETO","","INSERT INTO INYCEXT.INYC_CONF_INF_REGLAS (COD_INFORME,TABLA,NOMBRE,REGLA,F_INICIO,F_FIN,DESCRIPCION) VALUES ("&amp;REGLAS!B752&amp;",'"&amp;REGLAS!C752&amp;"','"&amp;REGLAS!D752&amp;"','"&amp;REGLAS!G752&amp;"',TO_DATE('"&amp;REGLAS!H752&amp;"','yyyymmdd'),TO_DATE('"&amp;REGLAS!I752&amp;"','yyyymmdd'),'"&amp;REGLAS!J752&amp;"');")</f>
        <v>INSERT INTO INYCEXT.INYC_CONF_INF_REGLAS (COD_INFORME,TABLA,NOMBRE,REGLA,F_INICIO,F_FIN,DESCRIPCION) VALUES (23.1,'INYC_REA_RESUMEN','SM - Nº Pólizas Inspector Total Productos Anual','SM-O-GEN-Inspector-NumeroPolizas-998-TotalAnual',TO_DATE('20140101','yyyymmdd'),TO_DATE('20180101','yyyymmdd'),'Version 20180618');</v>
      </c>
      <c r="B751" t="str">
        <f>IF(REGLAS!J752="OBSOLETO","","INSERT INTO INYCEXT.INYC_CONF_INF_REGLAS@tc_link (COD_INFORME,TABLA,NOMBRE,REGLA,F_INICIO,F_FIN,DESCRIPCION) VALUES ("&amp;REGLAS!B752&amp;",'"&amp;REGLAS!C752&amp;"','"&amp;REGLAS!D752&amp;"','"&amp;REGLAS!G752&amp;"',TO_DATE('"&amp;REGLAS!H752&amp;"','yyyymmdd'),TO_DATE('"&amp;REGLAS!I752&amp;"','yyyymmdd'),'"&amp;REGLAS!J752&amp;"');")</f>
        <v>INSERT INTO INYCEXT.INYC_CONF_INF_REGLAS@tc_link (COD_INFORME,TABLA,NOMBRE,REGLA,F_INICIO,F_FIN,DESCRIPCION) VALUES (23.1,'INYC_REA_RESUMEN','SM - Nº Pólizas Inspector Total Productos Anual','SM-O-GEN-Inspector-NumeroPolizas-998-TotalAnual',TO_DATE('20140101','yyyymmdd'),TO_DATE('20180101','yyyymmdd'),'Version 20180618');</v>
      </c>
    </row>
    <row r="752" spans="1:2" x14ac:dyDescent="0.25">
      <c r="A752" t="str">
        <f>IF(REGLAS!J753="OBSOLETO","","INSERT INTO INYCEXT.INYC_CONF_INF_REGLAS (COD_INFORME,TABLA,NOMBRE,REGLA,F_INICIO,F_FIN,DESCRIPCION) VALUES ("&amp;REGLAS!B753&amp;",'"&amp;REGLAS!C753&amp;"','"&amp;REGLAS!D753&amp;"','"&amp;REGLAS!G753&amp;"',TO_DATE('"&amp;REGLAS!H753&amp;"','yyyymmdd'),TO_DATE('"&amp;REGLAS!I753&amp;"','yyyymmdd'),'"&amp;REGLAS!J753&amp;"');")</f>
        <v>INSERT INTO INYCEXT.INYC_CONF_INF_REGLAS (COD_INFORME,TABLA,NOMBRE,REGLA,F_INICIO,F_FIN,DESCRIPCION) VALUES (23.1,'INYC_REA_RESUMEN','SM - Nº Pólizas Corregidas Inspector Total Productos Anual','SM-O-GEN-Inspector-NumeroPolizasCorregidas-998-TotalAnual',TO_DATE('20180101','yyyymmdd'),TO_DATE('22000101','yyyymmdd'),'Version 20180618');</v>
      </c>
      <c r="B752" t="str">
        <f>IF(REGLAS!J753="OBSOLETO","","INSERT INTO INYCEXT.INYC_CONF_INF_REGLAS@tc_link (COD_INFORME,TABLA,NOMBRE,REGLA,F_INICIO,F_FIN,DESCRIPCION) VALUES ("&amp;REGLAS!B753&amp;",'"&amp;REGLAS!C753&amp;"','"&amp;REGLAS!D753&amp;"','"&amp;REGLAS!G753&amp;"',TO_DATE('"&amp;REGLAS!H753&amp;"','yyyymmdd'),TO_DATE('"&amp;REGLAS!I753&amp;"','yyyymmdd'),'"&amp;REGLAS!J753&amp;"');")</f>
        <v>INSERT INTO INYCEXT.INYC_CONF_INF_REGLAS@tc_link (COD_INFORME,TABLA,NOMBRE,REGLA,F_INICIO,F_FIN,DESCRIPCION) VALUES (23.1,'INYC_REA_RESUMEN','SM - Nº Pólizas Corregidas Inspector Total Productos Anual','SM-O-GEN-Inspector-NumeroPolizasCorregidas-998-TotalAnual',TO_DATE('20180101','yyyymmdd'),TO_DATE('22000101','yyyymmdd'),'Version 20180618');</v>
      </c>
    </row>
    <row r="753" spans="1:2" x14ac:dyDescent="0.25">
      <c r="A753" t="str">
        <f>IF(REGLAS!J754="OBSOLETO","","INSERT INTO INYCEXT.INYC_CONF_INF_REGLAS (COD_INFORME,TABLA,NOMBRE,REGLA,F_INICIO,F_FIN,DESCRIPCION) VALUES ("&amp;REGLAS!B754&amp;",'"&amp;REGLAS!C754&amp;"','"&amp;REGLAS!D754&amp;"','"&amp;REGLAS!G754&amp;"',TO_DATE('"&amp;REGLAS!H754&amp;"','yyyymmdd'),TO_DATE('"&amp;REGLAS!I754&amp;"','yyyymmdd'),'"&amp;REGLAS!J754&amp;"');")</f>
        <v>INSERT INTO INYCEXT.INYC_CONF_INF_REGLAS (COD_INFORME,TABLA,NOMBRE,REGLA,F_INICIO,F_FIN,DESCRIPCION) VALUES (23.1,'INYC_REA_RESUMEN','SM - Nº Pólizas Corregidas Inspector Prioritarias Anual','SM-O-GEN-Inspector-NumeroPolizasCorregidas-997-TotalAnual',TO_DATE('20180101','yyyymmdd'),TO_DATE('20180601','yyyymmdd'),'Version 20180618');</v>
      </c>
      <c r="B753" t="str">
        <f>IF(REGLAS!J754="OBSOLETO","","INSERT INTO INYCEXT.INYC_CONF_INF_REGLAS@tc_link (COD_INFORME,TABLA,NOMBRE,REGLA,F_INICIO,F_FIN,DESCRIPCION) VALUES ("&amp;REGLAS!B754&amp;",'"&amp;REGLAS!C754&amp;"','"&amp;REGLAS!D754&amp;"','"&amp;REGLAS!G754&amp;"',TO_DATE('"&amp;REGLAS!H754&amp;"','yyyymmdd'),TO_DATE('"&amp;REGLAS!I754&amp;"','yyyymmdd'),'"&amp;REGLAS!J754&amp;"');")</f>
        <v>INSERT INTO INYCEXT.INYC_CONF_INF_REGLAS@tc_link (COD_INFORME,TABLA,NOMBRE,REGLA,F_INICIO,F_FIN,DESCRIPCION) VALUES (23.1,'INYC_REA_RESUMEN','SM - Nº Pólizas Corregidas Inspector Prioritarias Anual','SM-O-GEN-Inspector-NumeroPolizasCorregidas-997-TotalAnual',TO_DATE('20180101','yyyymmdd'),TO_DATE('20180601','yyyymmdd'),'Version 20180618');</v>
      </c>
    </row>
    <row r="754" spans="1:2" x14ac:dyDescent="0.25">
      <c r="A754" t="str">
        <f>IF(REGLAS!J755="OBSOLETO","","INSERT INTO INYCEXT.INYC_CONF_INF_REGLAS (COD_INFORME,TABLA,NOMBRE,REGLA,F_INICIO,F_FIN,DESCRIPCION) VALUES ("&amp;REGLAS!B755&amp;",'"&amp;REGLAS!C755&amp;"','"&amp;REGLAS!D755&amp;"','"&amp;REGLAS!G755&amp;"',TO_DATE('"&amp;REGLAS!H755&amp;"','yyyymmdd'),TO_DATE('"&amp;REGLAS!I755&amp;"','yyyymmdd'),'"&amp;REGLAS!J755&amp;"');")</f>
        <v>INSERT INTO INYCEXT.INYC_CONF_INF_REGLAS (COD_INFORME,TABLA,NOMBRE,REGLA,F_INICIO,F_FIN,DESCRIPCION) VALUES (23.1,'INYC_REA_RESUMEN','SM - Nº Pólizas Corregidas Inspector Prioritarias Anual','SM-O-GEN-Inspector-NumeroPolizasCorregidas-997-TotalAnual',TO_DATE('20190101','yyyymmdd'),TO_DATE('22000101','yyyymmdd'),'Version 20191220');</v>
      </c>
      <c r="B754" t="str">
        <f>IF(REGLAS!J755="OBSOLETO","","INSERT INTO INYCEXT.INYC_CONF_INF_REGLAS@tc_link (COD_INFORME,TABLA,NOMBRE,REGLA,F_INICIO,F_FIN,DESCRIPCION) VALUES ("&amp;REGLAS!B755&amp;",'"&amp;REGLAS!C755&amp;"','"&amp;REGLAS!D755&amp;"','"&amp;REGLAS!G755&amp;"',TO_DATE('"&amp;REGLAS!H755&amp;"','yyyymmdd'),TO_DATE('"&amp;REGLAS!I755&amp;"','yyyymmdd'),'"&amp;REGLAS!J755&amp;"');")</f>
        <v>INSERT INTO INYCEXT.INYC_CONF_INF_REGLAS@tc_link (COD_INFORME,TABLA,NOMBRE,REGLA,F_INICIO,F_FIN,DESCRIPCION) VALUES (23.1,'INYC_REA_RESUMEN','SM - Nº Pólizas Corregidas Inspector Prioritarias Anual','SM-O-GEN-Inspector-NumeroPolizasCorregidas-997-TotalAnual',TO_DATE('20190101','yyyymmdd'),TO_DATE('22000101','yyyymmdd'),'Version 20191220');</v>
      </c>
    </row>
    <row r="755" spans="1:2" x14ac:dyDescent="0.25">
      <c r="A755" t="str">
        <f>IF(REGLAS!J756="OBSOLETO","","INSERT INTO INYCEXT.INYC_CONF_INF_REGLAS (COD_INFORME,TABLA,NOMBRE,REGLA,F_INICIO,F_FIN,DESCRIPCION) VALUES ("&amp;REGLAS!B756&amp;",'"&amp;REGLAS!C756&amp;"','"&amp;REGLAS!D756&amp;"','"&amp;REGLAS!G756&amp;"',TO_DATE('"&amp;REGLAS!H756&amp;"','yyyymmdd'),TO_DATE('"&amp;REGLAS!I756&amp;"','yyyymmdd'),'"&amp;REGLAS!J756&amp;"');")</f>
        <v>INSERT INTO INYCEXT.INYC_CONF_INF_REGLAS (COD_INFORME,TABLA,NOMBRE,REGLA,F_INICIO,F_FIN,DESCRIPCION) VALUES (23.1,'INYC_REA_RESUMEN','SM - Nº Pólizas Corregidas Inspector Prioritarias (excl PU y conv/colec) Anual','SM-O-REA-Inspector-Polizas-997-excl',TO_DATE('20180101','yyyymmdd'),TO_DATE('22000101','yyyymmdd'),'Version 20180618');</v>
      </c>
      <c r="B755" t="str">
        <f>IF(REGLAS!J756="OBSOLETO","","INSERT INTO INYCEXT.INYC_CONF_INF_REGLAS@tc_link (COD_INFORME,TABLA,NOMBRE,REGLA,F_INICIO,F_FIN,DESCRIPCION) VALUES ("&amp;REGLAS!B756&amp;",'"&amp;REGLAS!C756&amp;"','"&amp;REGLAS!D756&amp;"','"&amp;REGLAS!G756&amp;"',TO_DATE('"&amp;REGLAS!H756&amp;"','yyyymmdd'),TO_DATE('"&amp;REGLAS!I756&amp;"','yyyymmdd'),'"&amp;REGLAS!J756&amp;"');")</f>
        <v>INSERT INTO INYCEXT.INYC_CONF_INF_REGLAS@tc_link (COD_INFORME,TABLA,NOMBRE,REGLA,F_INICIO,F_FIN,DESCRIPCION) VALUES (23.1,'INYC_REA_RESUMEN','SM - Nº Pólizas Corregidas Inspector Prioritarias (excl PU y conv/colec) Anual','SM-O-REA-Inspector-Polizas-997-excl',TO_DATE('20180101','yyyymmdd'),TO_DATE('22000101','yyyymmdd'),'Version 20180618');</v>
      </c>
    </row>
    <row r="756" spans="1:2" x14ac:dyDescent="0.25">
      <c r="A756" t="str">
        <f>IF(REGLAS!J757="OBSOLETO","","INSERT INTO INYCEXT.INYC_CONF_INF_REGLAS (COD_INFORME,TABLA,NOMBRE,REGLA,F_INICIO,F_FIN,DESCRIPCION) VALUES ("&amp;REGLAS!B757&amp;",'"&amp;REGLAS!C757&amp;"','"&amp;REGLAS!D757&amp;"','"&amp;REGLAS!G757&amp;"',TO_DATE('"&amp;REGLAS!H757&amp;"','yyyymmdd'),TO_DATE('"&amp;REGLAS!I757&amp;"','yyyymmdd'),'"&amp;REGLAS!J757&amp;"');")</f>
        <v>INSERT INTO INYCEXT.INYC_CONF_INF_REGLAS (COD_INFORME,TABLA,NOMBRE,REGLA,F_INICIO,F_FIN,DESCRIPCION) VALUES (23.1,'INYC_REA_RESUMEN','SM - Nº Pólizas Corregidas Inspector Prioritarias (excl PU y conv/colec) Anual','SM-O-REA-Inspector-NumeroPolizasCorregidas-997-excl-Anual',TO_DATE('20201201','yyyymmdd'),TO_DATE('22000101','yyyymmdd'),'Version 20201229');</v>
      </c>
      <c r="B756" t="str">
        <f>IF(REGLAS!J757="OBSOLETO","","INSERT INTO INYCEXT.INYC_CONF_INF_REGLAS@tc_link (COD_INFORME,TABLA,NOMBRE,REGLA,F_INICIO,F_FIN,DESCRIPCION) VALUES ("&amp;REGLAS!B757&amp;",'"&amp;REGLAS!C757&amp;"','"&amp;REGLAS!D757&amp;"','"&amp;REGLAS!G757&amp;"',TO_DATE('"&amp;REGLAS!H757&amp;"','yyyymmdd'),TO_DATE('"&amp;REGLAS!I757&amp;"','yyyymmdd'),'"&amp;REGLAS!J757&amp;"');")</f>
        <v>INSERT INTO INYCEXT.INYC_CONF_INF_REGLAS@tc_link (COD_INFORME,TABLA,NOMBRE,REGLA,F_INICIO,F_FIN,DESCRIPCION) VALUES (23.1,'INYC_REA_RESUMEN','SM - Nº Pólizas Corregidas Inspector Prioritarias (excl PU y conv/colec) Anual','SM-O-REA-Inspector-NumeroPolizasCorregidas-997-excl-Anual',TO_DATE('20201201','yyyymmdd'),TO_DATE('22000101','yyyymmdd'),'Version 20201229');</v>
      </c>
    </row>
    <row r="757" spans="1:2" x14ac:dyDescent="0.25">
      <c r="A757" t="str">
        <f>IF(REGLAS!J758="OBSOLETO","","INSERT INTO INYCEXT.INYC_CONF_INF_REGLAS (COD_INFORME,TABLA,NOMBRE,REGLA,F_INICIO,F_FIN,DESCRIPCION) VALUES ("&amp;REGLAS!B758&amp;",'"&amp;REGLAS!C758&amp;"','"&amp;REGLAS!D758&amp;"','"&amp;REGLAS!G758&amp;"',TO_DATE('"&amp;REGLAS!H758&amp;"','yyyymmdd'),TO_DATE('"&amp;REGLAS!I758&amp;"','yyyymmdd'),'"&amp;REGLAS!J758&amp;"');")</f>
        <v>INSERT INTO INYCEXT.INYC_CONF_INF_REGLAS (COD_INFORME,TABLA,NOMBRE,REGLA,F_INICIO,F_FIN,DESCRIPCION) VALUES (23.1,'INYC_REA_RESUMEN','SM - Nº Pólizas RRPP (excl PU y conv/colec) Anual','SM-O-GEN-Inspector-NumeroPolizas-991-TotalAnual',TO_DATE('20140101','yyyymmdd'),TO_DATE('20170101','yyyymmdd'),'Version 20180618');</v>
      </c>
      <c r="B757" t="str">
        <f>IF(REGLAS!J758="OBSOLETO","","INSERT INTO INYCEXT.INYC_CONF_INF_REGLAS@tc_link (COD_INFORME,TABLA,NOMBRE,REGLA,F_INICIO,F_FIN,DESCRIPCION) VALUES ("&amp;REGLAS!B758&amp;",'"&amp;REGLAS!C758&amp;"','"&amp;REGLAS!D758&amp;"','"&amp;REGLAS!G758&amp;"',TO_DATE('"&amp;REGLAS!H758&amp;"','yyyymmdd'),TO_DATE('"&amp;REGLAS!I758&amp;"','yyyymmdd'),'"&amp;REGLAS!J758&amp;"');")</f>
        <v>INSERT INTO INYCEXT.INYC_CONF_INF_REGLAS@tc_link (COD_INFORME,TABLA,NOMBRE,REGLA,F_INICIO,F_FIN,DESCRIPCION) VALUES (23.1,'INYC_REA_RESUMEN','SM - Nº Pólizas RRPP (excl PU y conv/colec) Anual','SM-O-GEN-Inspector-NumeroPolizas-991-TotalAnual',TO_DATE('20140101','yyyymmdd'),TO_DATE('20170101','yyyymmdd'),'Version 20180618');</v>
      </c>
    </row>
    <row r="758" spans="1:2" x14ac:dyDescent="0.25">
      <c r="A758" t="str">
        <f>IF(REGLAS!J759="OBSOLETO","","INSERT INTO INYCEXT.INYC_CONF_INF_REGLAS (COD_INFORME,TABLA,NOMBRE,REGLA,F_INICIO,F_FIN,DESCRIPCION) VALUES ("&amp;REGLAS!B759&amp;",'"&amp;REGLAS!C759&amp;"','"&amp;REGLAS!D759&amp;"','"&amp;REGLAS!G759&amp;"',TO_DATE('"&amp;REGLAS!H759&amp;"','yyyymmdd'),TO_DATE('"&amp;REGLAS!I759&amp;"','yyyymmdd'),'"&amp;REGLAS!J759&amp;"');")</f>
        <v>INSERT INTO INYCEXT.INYC_CONF_INF_REGLAS (COD_INFORME,TABLA,NOMBRE,REGLA,F_INICIO,F_FIN,DESCRIPCION) VALUES (23.1,'INYC_REA_RESUMEN','SM - Nº Pólizas Inspector RRPP (excl PU y conv/colec) Anual','SM-O-GEN-Inspector-NumeroPolizas-906-TotalAnual',TO_DATE('20170101','yyyymmdd'),TO_DATE('20180101','yyyymmdd'),'Version 20180618');</v>
      </c>
      <c r="B758" t="str">
        <f>IF(REGLAS!J759="OBSOLETO","","INSERT INTO INYCEXT.INYC_CONF_INF_REGLAS@tc_link (COD_INFORME,TABLA,NOMBRE,REGLA,F_INICIO,F_FIN,DESCRIPCION) VALUES ("&amp;REGLAS!B759&amp;",'"&amp;REGLAS!C759&amp;"','"&amp;REGLAS!D759&amp;"','"&amp;REGLAS!G759&amp;"',TO_DATE('"&amp;REGLAS!H759&amp;"','yyyymmdd'),TO_DATE('"&amp;REGLAS!I759&amp;"','yyyymmdd'),'"&amp;REGLAS!J759&amp;"');")</f>
        <v>INSERT INTO INYCEXT.INYC_CONF_INF_REGLAS@tc_link (COD_INFORME,TABLA,NOMBRE,REGLA,F_INICIO,F_FIN,DESCRIPCION) VALUES (23.1,'INYC_REA_RESUMEN','SM - Nº Pólizas Inspector RRPP (excl PU y conv/colec) Anual','SM-O-GEN-Inspector-NumeroPolizas-906-TotalAnual',TO_DATE('20170101','yyyymmdd'),TO_DATE('20180101','yyyymmdd'),'Version 20180618');</v>
      </c>
    </row>
    <row r="759" spans="1:2" x14ac:dyDescent="0.25">
      <c r="A759" t="str">
        <f>IF(REGLAS!J760="OBSOLETO","","INSERT INTO INYCEXT.INYC_CONF_INF_REGLAS (COD_INFORME,TABLA,NOMBRE,REGLA,F_INICIO,F_FIN,DESCRIPCION) VALUES ("&amp;REGLAS!B760&amp;",'"&amp;REGLAS!C760&amp;"','"&amp;REGLAS!D760&amp;"','"&amp;REGLAS!G760&amp;"',TO_DATE('"&amp;REGLAS!H760&amp;"','yyyymmdd'),TO_DATE('"&amp;REGLAS!I760&amp;"','yyyymmdd'),'"&amp;REGLAS!J760&amp;"');")</f>
        <v>INSERT INTO INYCEXT.INYC_CONF_INF_REGLAS (COD_INFORME,TABLA,NOMBRE,REGLA,F_INICIO,F_FIN,DESCRIPCION) VALUES (23.1,'INYC_REA_RESUMEN','SM - Nº Pólizas Inspector Hogar Anual','SM-O-GEN-Inspector-NumeroPolizas-002-TotalAnual',TO_DATE('20140101','yyyymmdd'),TO_DATE('20180101','yyyymmdd'),'Version 20180618');</v>
      </c>
      <c r="B759" t="str">
        <f>IF(REGLAS!J760="OBSOLETO","","INSERT INTO INYCEXT.INYC_CONF_INF_REGLAS@tc_link (COD_INFORME,TABLA,NOMBRE,REGLA,F_INICIO,F_FIN,DESCRIPCION) VALUES ("&amp;REGLAS!B760&amp;",'"&amp;REGLAS!C760&amp;"','"&amp;REGLAS!D760&amp;"','"&amp;REGLAS!G760&amp;"',TO_DATE('"&amp;REGLAS!H760&amp;"','yyyymmdd'),TO_DATE('"&amp;REGLAS!I760&amp;"','yyyymmdd'),'"&amp;REGLAS!J760&amp;"');")</f>
        <v>INSERT INTO INYCEXT.INYC_CONF_INF_REGLAS@tc_link (COD_INFORME,TABLA,NOMBRE,REGLA,F_INICIO,F_FIN,DESCRIPCION) VALUES (23.1,'INYC_REA_RESUMEN','SM - Nº Pólizas Inspector Hogar Anual','SM-O-GEN-Inspector-NumeroPolizas-002-TotalAnual',TO_DATE('20140101','yyyymmdd'),TO_DATE('20180101','yyyymmdd'),'Version 20180618');</v>
      </c>
    </row>
    <row r="760" spans="1:2" x14ac:dyDescent="0.25">
      <c r="A760" t="str">
        <f>IF(REGLAS!J761="OBSOLETO","","INSERT INTO INYCEXT.INYC_CONF_INF_REGLAS (COD_INFORME,TABLA,NOMBRE,REGLA,F_INICIO,F_FIN,DESCRIPCION) VALUES ("&amp;REGLAS!B761&amp;",'"&amp;REGLAS!C761&amp;"','"&amp;REGLAS!D761&amp;"','"&amp;REGLAS!G761&amp;"',TO_DATE('"&amp;REGLAS!H761&amp;"','yyyymmdd'),TO_DATE('"&amp;REGLAS!I761&amp;"','yyyymmdd'),'"&amp;REGLAS!J761&amp;"');")</f>
        <v>INSERT INTO INYCEXT.INYC_CONF_INF_REGLAS (COD_INFORME,TABLA,NOMBRE,REGLA,F_INICIO,F_FIN,DESCRIPCION) VALUES (23.1,'INYC_REA_RESUMEN','SM - Nº Pólizas Inspector RRTT Anual','SM-O-GEN-Inspector-NumeroPolizas-001-TotalAnual',TO_DATE('20140101','yyyymmdd'),TO_DATE('20180101','yyyymmdd'),'Version 20180618');</v>
      </c>
      <c r="B760" t="str">
        <f>IF(REGLAS!J761="OBSOLETO","","INSERT INTO INYCEXT.INYC_CONF_INF_REGLAS@tc_link (COD_INFORME,TABLA,NOMBRE,REGLA,F_INICIO,F_FIN,DESCRIPCION) VALUES ("&amp;REGLAS!B761&amp;",'"&amp;REGLAS!C761&amp;"','"&amp;REGLAS!D761&amp;"','"&amp;REGLAS!G761&amp;"',TO_DATE('"&amp;REGLAS!H761&amp;"','yyyymmdd'),TO_DATE('"&amp;REGLAS!I761&amp;"','yyyymmdd'),'"&amp;REGLAS!J761&amp;"');")</f>
        <v>INSERT INTO INYCEXT.INYC_CONF_INF_REGLAS@tc_link (COD_INFORME,TABLA,NOMBRE,REGLA,F_INICIO,F_FIN,DESCRIPCION) VALUES (23.1,'INYC_REA_RESUMEN','SM - Nº Pólizas Inspector RRTT Anual','SM-O-GEN-Inspector-NumeroPolizas-001-TotalAnual',TO_DATE('20140101','yyyymmdd'),TO_DATE('20180101','yyyymmdd'),'Version 20180618');</v>
      </c>
    </row>
    <row r="761" spans="1:2" x14ac:dyDescent="0.25">
      <c r="A761" t="str">
        <f>IF(REGLAS!J762="OBSOLETO","","INSERT INTO INYCEXT.INYC_CONF_INF_REGLAS (COD_INFORME,TABLA,NOMBRE,REGLA,F_INICIO,F_FIN,DESCRIPCION) VALUES ("&amp;REGLAS!B762&amp;",'"&amp;REGLAS!C762&amp;"','"&amp;REGLAS!D762&amp;"','"&amp;REGLAS!G762&amp;"',TO_DATE('"&amp;REGLAS!H762&amp;"','yyyymmdd'),TO_DATE('"&amp;REGLAS!I762&amp;"','yyyymmdd'),'"&amp;REGLAS!J762&amp;"');")</f>
        <v>INSERT INTO INYCEXT.INYC_CONF_INF_REGLAS (COD_INFORME,TABLA,NOMBRE,REGLA,F_INICIO,F_FIN,DESCRIPCION) VALUES (23.1,'INYC_REA_RESUMEN','SM - Nº Pólizas Inspector Comunidades Anual','SM-O-GEN-Inspector-NumeroPolizas-008-TotalAnual',TO_DATE('20140101','yyyymmdd'),TO_DATE('20180101','yyyymmdd'),'Version 20180618');</v>
      </c>
      <c r="B761" t="str">
        <f>IF(REGLAS!J762="OBSOLETO","","INSERT INTO INYCEXT.INYC_CONF_INF_REGLAS@tc_link (COD_INFORME,TABLA,NOMBRE,REGLA,F_INICIO,F_FIN,DESCRIPCION) VALUES ("&amp;REGLAS!B762&amp;",'"&amp;REGLAS!C762&amp;"','"&amp;REGLAS!D762&amp;"','"&amp;REGLAS!G762&amp;"',TO_DATE('"&amp;REGLAS!H762&amp;"','yyyymmdd'),TO_DATE('"&amp;REGLAS!I762&amp;"','yyyymmdd'),'"&amp;REGLAS!J762&amp;"');")</f>
        <v>INSERT INTO INYCEXT.INYC_CONF_INF_REGLAS@tc_link (COD_INFORME,TABLA,NOMBRE,REGLA,F_INICIO,F_FIN,DESCRIPCION) VALUES (23.1,'INYC_REA_RESUMEN','SM - Nº Pólizas Inspector Comunidades Anual','SM-O-GEN-Inspector-NumeroPolizas-008-TotalAnual',TO_DATE('20140101','yyyymmdd'),TO_DATE('20180101','yyyymmdd'),'Version 20180618');</v>
      </c>
    </row>
    <row r="762" spans="1:2" x14ac:dyDescent="0.25">
      <c r="A762" t="str">
        <f>IF(REGLAS!J763="OBSOLETO","","INSERT INTO INYCEXT.INYC_CONF_INF_REGLAS (COD_INFORME,TABLA,NOMBRE,REGLA,F_INICIO,F_FIN,DESCRIPCION) VALUES ("&amp;REGLAS!B763&amp;",'"&amp;REGLAS!C763&amp;"','"&amp;REGLAS!D763&amp;"','"&amp;REGLAS!G763&amp;"',TO_DATE('"&amp;REGLAS!H763&amp;"','yyyymmdd'),TO_DATE('"&amp;REGLAS!I763&amp;"','yyyymmdd'),'"&amp;REGLAS!J763&amp;"');")</f>
        <v>INSERT INTO INYCEXT.INYC_CONF_INF_REGLAS (COD_INFORME,TABLA,NOMBRE,REGLA,F_INICIO,F_FIN,DESCRIPCION) VALUES (23.1,'INYC_REA_RESUMEN','SM - Prima Corregida Inspector Total Productos Anual','SM-O-GEN-Inspector-PrimaCorregida-998-TotalAnual',TO_DATE('20140101','yyyymmdd'),TO_DATE('22000101','yyyymmdd'),'');</v>
      </c>
      <c r="B762" t="str">
        <f>IF(REGLAS!J763="OBSOLETO","","INSERT INTO INYCEXT.INYC_CONF_INF_REGLAS@tc_link (COD_INFORME,TABLA,NOMBRE,REGLA,F_INICIO,F_FIN,DESCRIPCION) VALUES ("&amp;REGLAS!B763&amp;",'"&amp;REGLAS!C763&amp;"','"&amp;REGLAS!D763&amp;"','"&amp;REGLAS!G763&amp;"',TO_DATE('"&amp;REGLAS!H763&amp;"','yyyymmdd'),TO_DATE('"&amp;REGLAS!I763&amp;"','yyyymmdd'),'"&amp;REGLAS!J763&amp;"');")</f>
        <v>INSERT INTO INYCEXT.INYC_CONF_INF_REGLAS@tc_link (COD_INFORME,TABLA,NOMBRE,REGLA,F_INICIO,F_FIN,DESCRIPCION) VALUES (23.1,'INYC_REA_RESUMEN','SM - Prima Corregida Inspector Total Productos Anual','SM-O-GEN-Inspector-PrimaCorregida-998-TotalAnual',TO_DATE('20140101','yyyymmdd'),TO_DATE('22000101','yyyymmdd'),'');</v>
      </c>
    </row>
    <row r="763" spans="1:2" x14ac:dyDescent="0.25">
      <c r="A763" t="str">
        <f>IF(REGLAS!J764="OBSOLETO","","INSERT INTO INYCEXT.INYC_CONF_INF_REGLAS (COD_INFORME,TABLA,NOMBRE,REGLA,F_INICIO,F_FIN,DESCRIPCION) VALUES ("&amp;REGLAS!B764&amp;",'"&amp;REGLAS!C764&amp;"','"&amp;REGLAS!D764&amp;"','"&amp;REGLAS!G764&amp;"',TO_DATE('"&amp;REGLAS!H764&amp;"','yyyymmdd'),TO_DATE('"&amp;REGLAS!I764&amp;"','yyyymmdd'),'"&amp;REGLAS!J764&amp;"');")</f>
        <v>INSERT INTO INYCEXT.INYC_CONF_INF_REGLAS (COD_INFORME,TABLA,NOMBRE,REGLA,F_INICIO,F_FIN,DESCRIPCION) VALUES (23.1,'INYC_REA_RESUMEN','SM - Prima Corregida Inspector Total con Incentivo Anual','SM-O-GEN-Inspector-PrimaCorregida-998-TotalAnual-Incr',TO_DATE('20190101','yyyymmdd'),TO_DATE('22000101','yyyymmdd'),'Version 20191220');</v>
      </c>
      <c r="B763" t="str">
        <f>IF(REGLAS!J764="OBSOLETO","","INSERT INTO INYCEXT.INYC_CONF_INF_REGLAS@tc_link (COD_INFORME,TABLA,NOMBRE,REGLA,F_INICIO,F_FIN,DESCRIPCION) VALUES ("&amp;REGLAS!B764&amp;",'"&amp;REGLAS!C764&amp;"','"&amp;REGLAS!D764&amp;"','"&amp;REGLAS!G764&amp;"',TO_DATE('"&amp;REGLAS!H764&amp;"','yyyymmdd'),TO_DATE('"&amp;REGLAS!I764&amp;"','yyyymmdd'),'"&amp;REGLAS!J764&amp;"');")</f>
        <v>INSERT INTO INYCEXT.INYC_CONF_INF_REGLAS@tc_link (COD_INFORME,TABLA,NOMBRE,REGLA,F_INICIO,F_FIN,DESCRIPCION) VALUES (23.1,'INYC_REA_RESUMEN','SM - Prima Corregida Inspector Total con Incentivo Anual','SM-O-GEN-Inspector-PrimaCorregida-998-TotalAnual-Incr',TO_DATE('20190101','yyyymmdd'),TO_DATE('22000101','yyyymmdd'),'Version 20191220');</v>
      </c>
    </row>
    <row r="764" spans="1:2" x14ac:dyDescent="0.25">
      <c r="A764" t="str">
        <f>IF(REGLAS!J765="OBSOLETO","","INSERT INTO INYCEXT.INYC_CONF_INF_REGLAS (COD_INFORME,TABLA,NOMBRE,REGLA,F_INICIO,F_FIN,DESCRIPCION) VALUES ("&amp;REGLAS!B765&amp;",'"&amp;REGLAS!C765&amp;"','"&amp;REGLAS!D765&amp;"','"&amp;REGLAS!G765&amp;"',TO_DATE('"&amp;REGLAS!H765&amp;"','yyyymmdd'),TO_DATE('"&amp;REGLAS!I765&amp;"','yyyymmdd'),'"&amp;REGLAS!J765&amp;"');")</f>
        <v>INSERT INTO INYCEXT.INYC_CONF_INF_REGLAS (COD_INFORME,TABLA,NOMBRE,REGLA,F_INICIO,F_FIN,DESCRIPCION) VALUES (23.1,'INYC_REA_RESUMEN','SM - Importe Pago Semestral','SM-O-REA-Inspector-Pago',TO_DATE('20140101','yyyymmdd'),TO_DATE('22000101','yyyymmdd'),'');</v>
      </c>
      <c r="B764" t="str">
        <f>IF(REGLAS!J765="OBSOLETO","","INSERT INTO INYCEXT.INYC_CONF_INF_REGLAS@tc_link (COD_INFORME,TABLA,NOMBRE,REGLA,F_INICIO,F_FIN,DESCRIPCION) VALUES ("&amp;REGLAS!B765&amp;",'"&amp;REGLAS!C765&amp;"','"&amp;REGLAS!D765&amp;"','"&amp;REGLAS!G765&amp;"',TO_DATE('"&amp;REGLAS!H765&amp;"','yyyymmdd'),TO_DATE('"&amp;REGLAS!I765&amp;"','yyyymmdd'),'"&amp;REGLAS!J765&amp;"');")</f>
        <v>INSERT INTO INYCEXT.INYC_CONF_INF_REGLAS@tc_link (COD_INFORME,TABLA,NOMBRE,REGLA,F_INICIO,F_FIN,DESCRIPCION) VALUES (23.1,'INYC_REA_RESUMEN','SM - Importe Pago Semestral','SM-O-REA-Inspector-Pago',TO_DATE('20140101','yyyymmdd'),TO_DATE('22000101','yyyymmdd'),'');</v>
      </c>
    </row>
    <row r="765" spans="1:2" x14ac:dyDescent="0.25">
      <c r="A765" t="str">
        <f>IF(REGLAS!J766="OBSOLETO","","INSERT INTO INYCEXT.INYC_CONF_INF_REGLAS (COD_INFORME,TABLA,NOMBRE,REGLA,F_INICIO,F_FIN,DESCRIPCION) VALUES ("&amp;REGLAS!B766&amp;",'"&amp;REGLAS!C766&amp;"','"&amp;REGLAS!D766&amp;"','"&amp;REGLAS!G766&amp;"',TO_DATE('"&amp;REGLAS!H766&amp;"','yyyymmdd'),TO_DATE('"&amp;REGLAS!I766&amp;"','yyyymmdd'),'"&amp;REGLAS!J766&amp;"');")</f>
        <v>INSERT INTO INYCEXT.INYC_CONF_INF_REGLAS (COD_INFORME,TABLA,NOMBRE,REGLA,F_INICIO,F_FIN,DESCRIPCION) VALUES (23.1,'INYC_REA_RESUMEN','SM - Importe Pago Semestral sin Penalización','SM-O-REA-Inspector-PagoSinPenalizacion',TO_DATE('20140101','yyyymmdd'),TO_DATE('20190101','yyyymmdd'),'Version 20191220');</v>
      </c>
      <c r="B765" t="str">
        <f>IF(REGLAS!J766="OBSOLETO","","INSERT INTO INYCEXT.INYC_CONF_INF_REGLAS@tc_link (COD_INFORME,TABLA,NOMBRE,REGLA,F_INICIO,F_FIN,DESCRIPCION) VALUES ("&amp;REGLAS!B766&amp;",'"&amp;REGLAS!C766&amp;"','"&amp;REGLAS!D766&amp;"','"&amp;REGLAS!G766&amp;"',TO_DATE('"&amp;REGLAS!H766&amp;"','yyyymmdd'),TO_DATE('"&amp;REGLAS!I766&amp;"','yyyymmdd'),'"&amp;REGLAS!J766&amp;"');")</f>
        <v>INSERT INTO INYCEXT.INYC_CONF_INF_REGLAS@tc_link (COD_INFORME,TABLA,NOMBRE,REGLA,F_INICIO,F_FIN,DESCRIPCION) VALUES (23.1,'INYC_REA_RESUMEN','SM - Importe Pago Semestral sin Penalización','SM-O-REA-Inspector-PagoSinPenalizacion',TO_DATE('20140101','yyyymmdd'),TO_DATE('20190101','yyyymmdd'),'Version 20191220');</v>
      </c>
    </row>
    <row r="766" spans="1:2" x14ac:dyDescent="0.25">
      <c r="A766" t="str">
        <f>IF(REGLAS!J767="OBSOLETO","","INSERT INTO INYCEXT.INYC_CONF_INF_REGLAS (COD_INFORME,TABLA,NOMBRE,REGLA,F_INICIO,F_FIN,DESCRIPCION) VALUES ("&amp;REGLAS!B767&amp;",'"&amp;REGLAS!C767&amp;"','"&amp;REGLAS!D767&amp;"','"&amp;REGLAS!G767&amp;"',TO_DATE('"&amp;REGLAS!H767&amp;"','yyyymmdd'),TO_DATE('"&amp;REGLAS!I767&amp;"','yyyymmdd'),'"&amp;REGLAS!J767&amp;"');")</f>
        <v>INSERT INTO INYCEXT.INYC_CONF_INF_REGLAS (COD_INFORME,TABLA,NOMBRE,REGLA,F_INICIO,F_FIN,DESCRIPCION) VALUES (23.1,'INYC_REA_RESUMEN','SM - Importe Anual','SM-O-REA-Inspector-Importe',TO_DATE('20190101','yyyymmdd'),TO_DATE('22000101','yyyymmdd'),'Version 20191220');</v>
      </c>
      <c r="B766" t="str">
        <f>IF(REGLAS!J767="OBSOLETO","","INSERT INTO INYCEXT.INYC_CONF_INF_REGLAS@tc_link (COD_INFORME,TABLA,NOMBRE,REGLA,F_INICIO,F_FIN,DESCRIPCION) VALUES ("&amp;REGLAS!B767&amp;",'"&amp;REGLAS!C767&amp;"','"&amp;REGLAS!D767&amp;"','"&amp;REGLAS!G767&amp;"',TO_DATE('"&amp;REGLAS!H767&amp;"','yyyymmdd'),TO_DATE('"&amp;REGLAS!I767&amp;"','yyyymmdd'),'"&amp;REGLAS!J767&amp;"');")</f>
        <v>INSERT INTO INYCEXT.INYC_CONF_INF_REGLAS@tc_link (COD_INFORME,TABLA,NOMBRE,REGLA,F_INICIO,F_FIN,DESCRIPCION) VALUES (23.1,'INYC_REA_RESUMEN','SM - Importe Anual','SM-O-REA-Inspector-Importe',TO_DATE('20190101','yyyymmdd'),TO_DATE('22000101','yyyymmdd'),'Version 20191220');</v>
      </c>
    </row>
    <row r="767" spans="1:2" x14ac:dyDescent="0.25">
      <c r="A767" t="str">
        <f>IF(REGLAS!J768="OBSOLETO","","INSERT INTO INYCEXT.INYC_CONF_INF_REGLAS (COD_INFORME,TABLA,NOMBRE,REGLA,F_INICIO,F_FIN,DESCRIPCION) VALUES ("&amp;REGLAS!B768&amp;",'"&amp;REGLAS!C768&amp;"','"&amp;REGLAS!D768&amp;"','"&amp;REGLAS!G768&amp;"',TO_DATE('"&amp;REGLAS!H768&amp;"','yyyymmdd'),TO_DATE('"&amp;REGLAS!I768&amp;"','yyyymmdd'),'"&amp;REGLAS!J768&amp;"');")</f>
        <v>INSERT INTO INYCEXT.INYC_CONF_INF_REGLAS (COD_INFORME,TABLA,NOMBRE,REGLA,F_INICIO,F_FIN,DESCRIPCION) VALUES (23.1,'INYC_REA_RESUMEN','SM - Objetivos Captacion Agentes','SM-O-COLC-Inspector-Objetivos-Captacion-Agentes',TO_DATE('20140101','yyyymmdd'),TO_DATE('20180101','yyyymmdd'),'Version 20180618');</v>
      </c>
      <c r="B767" t="str">
        <f>IF(REGLAS!J768="OBSOLETO","","INSERT INTO INYCEXT.INYC_CONF_INF_REGLAS@tc_link (COD_INFORME,TABLA,NOMBRE,REGLA,F_INICIO,F_FIN,DESCRIPCION) VALUES ("&amp;REGLAS!B768&amp;",'"&amp;REGLAS!C768&amp;"','"&amp;REGLAS!D768&amp;"','"&amp;REGLAS!G768&amp;"',TO_DATE('"&amp;REGLAS!H768&amp;"','yyyymmdd'),TO_DATE('"&amp;REGLAS!I768&amp;"','yyyymmdd'),'"&amp;REGLAS!J768&amp;"');")</f>
        <v>INSERT INTO INYCEXT.INYC_CONF_INF_REGLAS@tc_link (COD_INFORME,TABLA,NOMBRE,REGLA,F_INICIO,F_FIN,DESCRIPCION) VALUES (23.1,'INYC_REA_RESUMEN','SM - Objetivos Captacion Agentes','SM-O-COLC-Inspector-Objetivos-Captacion-Agentes',TO_DATE('20140101','yyyymmdd'),TO_DATE('20180101','yyyymmdd'),'Version 20180618');</v>
      </c>
    </row>
    <row r="768" spans="1:2" x14ac:dyDescent="0.25">
      <c r="A768" t="str">
        <f>IF(REGLAS!J769="OBSOLETO","","INSERT INTO INYCEXT.INYC_CONF_INF_REGLAS (COD_INFORME,TABLA,NOMBRE,REGLA,F_INICIO,F_FIN,DESCRIPCION) VALUES ("&amp;REGLAS!B769&amp;",'"&amp;REGLAS!C769&amp;"','"&amp;REGLAS!D769&amp;"','"&amp;REGLAS!G769&amp;"',TO_DATE('"&amp;REGLAS!H769&amp;"','yyyymmdd'),TO_DATE('"&amp;REGLAS!I769&amp;"','yyyymmdd'),'"&amp;REGLAS!J769&amp;"');")</f>
        <v>INSERT INTO INYCEXT.INYC_CONF_INF_REGLAS (COD_INFORME,TABLA,NOMBRE,REGLA,F_INICIO,F_FIN,DESCRIPCION) VALUES (23.1,'INYC_REA_RESUMEN','SM - Objetivos Captacion Pólizas','SM-O-COLC-Inspector-Objetivos-Captacion-Agentes-Polizas-998',TO_DATE('20140101','yyyymmdd'),TO_DATE('20180101','yyyymmdd'),'Version 20180618');</v>
      </c>
      <c r="B768" t="str">
        <f>IF(REGLAS!J769="OBSOLETO","","INSERT INTO INYCEXT.INYC_CONF_INF_REGLAS@tc_link (COD_INFORME,TABLA,NOMBRE,REGLA,F_INICIO,F_FIN,DESCRIPCION) VALUES ("&amp;REGLAS!B769&amp;",'"&amp;REGLAS!C769&amp;"','"&amp;REGLAS!D769&amp;"','"&amp;REGLAS!G769&amp;"',TO_DATE('"&amp;REGLAS!H769&amp;"','yyyymmdd'),TO_DATE('"&amp;REGLAS!I769&amp;"','yyyymmdd'),'"&amp;REGLAS!J769&amp;"');")</f>
        <v>INSERT INTO INYCEXT.INYC_CONF_INF_REGLAS@tc_link (COD_INFORME,TABLA,NOMBRE,REGLA,F_INICIO,F_FIN,DESCRIPCION) VALUES (23.1,'INYC_REA_RESUMEN','SM - Objetivos Captacion Pólizas','SM-O-COLC-Inspector-Objetivos-Captacion-Agentes-Polizas-998',TO_DATE('20140101','yyyymmdd'),TO_DATE('20180101','yyyymmdd'),'Version 20180618');</v>
      </c>
    </row>
    <row r="769" spans="1:2" x14ac:dyDescent="0.25">
      <c r="A769" t="str">
        <f>IF(REGLAS!J770="OBSOLETO","","INSERT INTO INYCEXT.INYC_CONF_INF_REGLAS (COD_INFORME,TABLA,NOMBRE,REGLA,F_INICIO,F_FIN,DESCRIPCION) VALUES ("&amp;REGLAS!B770&amp;",'"&amp;REGLAS!C770&amp;"','"&amp;REGLAS!D770&amp;"','"&amp;REGLAS!G770&amp;"',TO_DATE('"&amp;REGLAS!H770&amp;"','yyyymmdd'),TO_DATE('"&amp;REGLAS!I770&amp;"','yyyymmdd'),'"&amp;REGLAS!J770&amp;"');")</f>
        <v>INSERT INTO INYCEXT.INYC_CONF_INF_REGLAS (COD_INFORME,TABLA,NOMBRE,REGLA,F_INICIO,F_FIN,DESCRIPCION) VALUES (23.1,'INYC_REA_RESUMEN','SM - Objetivos Captacion Primas','SM-O-COLC-Inspector-Objetivos-Captacion-Agentes-PrimaNeta-998',TO_DATE('20140101','yyyymmdd'),TO_DATE('20180101','yyyymmdd'),'Version 20180618');</v>
      </c>
      <c r="B769" t="str">
        <f>IF(REGLAS!J770="OBSOLETO","","INSERT INTO INYCEXT.INYC_CONF_INF_REGLAS@tc_link (COD_INFORME,TABLA,NOMBRE,REGLA,F_INICIO,F_FIN,DESCRIPCION) VALUES ("&amp;REGLAS!B770&amp;",'"&amp;REGLAS!C770&amp;"','"&amp;REGLAS!D770&amp;"','"&amp;REGLAS!G770&amp;"',TO_DATE('"&amp;REGLAS!H770&amp;"','yyyymmdd'),TO_DATE('"&amp;REGLAS!I770&amp;"','yyyymmdd'),'"&amp;REGLAS!J770&amp;"');")</f>
        <v>INSERT INTO INYCEXT.INYC_CONF_INF_REGLAS@tc_link (COD_INFORME,TABLA,NOMBRE,REGLA,F_INICIO,F_FIN,DESCRIPCION) VALUES (23.1,'INYC_REA_RESUMEN','SM - Objetivos Captacion Primas','SM-O-COLC-Inspector-Objetivos-Captacion-Agentes-PrimaNeta-998',TO_DATE('20140101','yyyymmdd'),TO_DATE('20180101','yyyymmdd'),'Version 20180618');</v>
      </c>
    </row>
    <row r="770" spans="1:2" x14ac:dyDescent="0.25">
      <c r="A770" t="str">
        <f>IF(REGLAS!J771="OBSOLETO","","INSERT INTO INYCEXT.INYC_CONF_INF_REGLAS (COD_INFORME,TABLA,NOMBRE,REGLA,F_INICIO,F_FIN,DESCRIPCION) VALUES ("&amp;REGLAS!B771&amp;",'"&amp;REGLAS!C771&amp;"','"&amp;REGLAS!D771&amp;"','"&amp;REGLAS!G771&amp;"',TO_DATE('"&amp;REGLAS!H771&amp;"','yyyymmdd'),TO_DATE('"&amp;REGLAS!I771&amp;"','yyyymmdd'),'"&amp;REGLAS!J771&amp;"');")</f>
        <v>INSERT INTO INYCEXT.INYC_CONF_INF_REGLAS (COD_INFORME,TABLA,NOMBRE,REGLA,F_INICIO,F_FIN,DESCRIPCION) VALUES (23.1,'INYC_REA_RESUMEN','SM - Objetivos Captacion Penalización','SM-O-COLC-Inspector-Objetivos-Captacion-Penalizacion',TO_DATE('20140101','yyyymmdd'),TO_DATE('20180101','yyyymmdd'),'Version 20180618');</v>
      </c>
      <c r="B770" t="str">
        <f>IF(REGLAS!J771="OBSOLETO","","INSERT INTO INYCEXT.INYC_CONF_INF_REGLAS@tc_link (COD_INFORME,TABLA,NOMBRE,REGLA,F_INICIO,F_FIN,DESCRIPCION) VALUES ("&amp;REGLAS!B771&amp;",'"&amp;REGLAS!C771&amp;"','"&amp;REGLAS!D771&amp;"','"&amp;REGLAS!G771&amp;"',TO_DATE('"&amp;REGLAS!H771&amp;"','yyyymmdd'),TO_DATE('"&amp;REGLAS!I771&amp;"','yyyymmdd'),'"&amp;REGLAS!J771&amp;"');")</f>
        <v>INSERT INTO INYCEXT.INYC_CONF_INF_REGLAS@tc_link (COD_INFORME,TABLA,NOMBRE,REGLA,F_INICIO,F_FIN,DESCRIPCION) VALUES (23.1,'INYC_REA_RESUMEN','SM - Objetivos Captacion Penalización','SM-O-COLC-Inspector-Objetivos-Captacion-Penalizacion',TO_DATE('20140101','yyyymmdd'),TO_DATE('20180101','yyyymmdd'),'Version 20180618');</v>
      </c>
    </row>
    <row r="771" spans="1:2" x14ac:dyDescent="0.25">
      <c r="A771" t="str">
        <f>IF(REGLAS!J772="OBSOLETO","","INSERT INTO INYCEXT.INYC_CONF_INF_REGLAS (COD_INFORME,TABLA,NOMBRE,REGLA,F_INICIO,F_FIN,DESCRIPCION) VALUES ("&amp;REGLAS!B772&amp;",'"&amp;REGLAS!C772&amp;"','"&amp;REGLAS!D772&amp;"','"&amp;REGLAS!G772&amp;"',TO_DATE('"&amp;REGLAS!H772&amp;"','yyyymmdd'),TO_DATE('"&amp;REGLAS!I772&amp;"','yyyymmdd'),'"&amp;REGLAS!J772&amp;"');")</f>
        <v>INSERT INTO INYCEXT.INYC_CONF_INF_REGLAS (COD_INFORME,TABLA,NOMBRE,REGLA,F_INICIO,F_FIN,DESCRIPCION) VALUES (23.1,'INYC_REA_RESUMEN','SM - Total Agentes Captados Anual','SM-O-COLC-Inspector-Quota-AgentesCaptados',TO_DATE('20140101','yyyymmdd'),TO_DATE('20180101','yyyymmdd'),'Version 20180618');</v>
      </c>
      <c r="B771" t="str">
        <f>IF(REGLAS!J772="OBSOLETO","","INSERT INTO INYCEXT.INYC_CONF_INF_REGLAS@tc_link (COD_INFORME,TABLA,NOMBRE,REGLA,F_INICIO,F_FIN,DESCRIPCION) VALUES ("&amp;REGLAS!B772&amp;",'"&amp;REGLAS!C772&amp;"','"&amp;REGLAS!D772&amp;"','"&amp;REGLAS!G772&amp;"',TO_DATE('"&amp;REGLAS!H772&amp;"','yyyymmdd'),TO_DATE('"&amp;REGLAS!I772&amp;"','yyyymmdd'),'"&amp;REGLAS!J772&amp;"');")</f>
        <v>INSERT INTO INYCEXT.INYC_CONF_INF_REGLAS@tc_link (COD_INFORME,TABLA,NOMBRE,REGLA,F_INICIO,F_FIN,DESCRIPCION) VALUES (23.1,'INYC_REA_RESUMEN','SM - Total Agentes Captados Anual','SM-O-COLC-Inspector-Quota-AgentesCaptados',TO_DATE('20140101','yyyymmdd'),TO_DATE('20180101','yyyymmdd'),'Version 20180618');</v>
      </c>
    </row>
    <row r="772" spans="1:2" x14ac:dyDescent="0.25">
      <c r="A772" t="str">
        <f>IF(REGLAS!J773="OBSOLETO","","INSERT INTO INYCEXT.INYC_CONF_INF_REGLAS (COD_INFORME,TABLA,NOMBRE,REGLA,F_INICIO,F_FIN,DESCRIPCION) VALUES ("&amp;REGLAS!B773&amp;",'"&amp;REGLAS!C773&amp;"','"&amp;REGLAS!D773&amp;"','"&amp;REGLAS!G773&amp;"',TO_DATE('"&amp;REGLAS!H773&amp;"','yyyymmdd'),TO_DATE('"&amp;REGLAS!I773&amp;"','yyyymmdd'),'"&amp;REGLAS!J773&amp;"');")</f>
        <v>INSERT INTO INYCEXT.INYC_CONF_INF_REGLAS (COD_INFORME,TABLA,NOMBRE,REGLA,F_INICIO,F_FIN,DESCRIPCION) VALUES (23.1,'INYC_REA_RESUMEN','SM - Total Pólizas Agentes Captados Anual','SM-O-COLC-Inspector-NumeroPolizas-998-AgentesCaptados-TotalAnual',TO_DATE('20140101','yyyymmdd'),TO_DATE('20180101','yyyymmdd'),'Version 20180618');</v>
      </c>
      <c r="B772" t="str">
        <f>IF(REGLAS!J773="OBSOLETO","","INSERT INTO INYCEXT.INYC_CONF_INF_REGLAS@tc_link (COD_INFORME,TABLA,NOMBRE,REGLA,F_INICIO,F_FIN,DESCRIPCION) VALUES ("&amp;REGLAS!B773&amp;",'"&amp;REGLAS!C773&amp;"','"&amp;REGLAS!D773&amp;"','"&amp;REGLAS!G773&amp;"',TO_DATE('"&amp;REGLAS!H773&amp;"','yyyymmdd'),TO_DATE('"&amp;REGLAS!I773&amp;"','yyyymmdd'),'"&amp;REGLAS!J773&amp;"');")</f>
        <v>INSERT INTO INYCEXT.INYC_CONF_INF_REGLAS@tc_link (COD_INFORME,TABLA,NOMBRE,REGLA,F_INICIO,F_FIN,DESCRIPCION) VALUES (23.1,'INYC_REA_RESUMEN','SM - Total Pólizas Agentes Captados Anual','SM-O-COLC-Inspector-NumeroPolizas-998-AgentesCaptados-TotalAnual',TO_DATE('20140101','yyyymmdd'),TO_DATE('20180101','yyyymmdd'),'Version 20180618');</v>
      </c>
    </row>
    <row r="773" spans="1:2" x14ac:dyDescent="0.25">
      <c r="A773" t="str">
        <f>IF(REGLAS!J774="OBSOLETO","","INSERT INTO INYCEXT.INYC_CONF_INF_REGLAS (COD_INFORME,TABLA,NOMBRE,REGLA,F_INICIO,F_FIN,DESCRIPCION) VALUES ("&amp;REGLAS!B774&amp;",'"&amp;REGLAS!C774&amp;"','"&amp;REGLAS!D774&amp;"','"&amp;REGLAS!G774&amp;"',TO_DATE('"&amp;REGLAS!H774&amp;"','yyyymmdd'),TO_DATE('"&amp;REGLAS!I774&amp;"','yyyymmdd'),'"&amp;REGLAS!J774&amp;"');")</f>
        <v>INSERT INTO INYCEXT.INYC_CONF_INF_REGLAS (COD_INFORME,TABLA,NOMBRE,REGLA,F_INICIO,F_FIN,DESCRIPCION) VALUES (23.1,'INYC_REA_RESUMEN','SM - Total Primas Agentes Captados Anual','SM-O-COLC-Inspector-PrimaNeta-998-AgentesCaptados-TotalAnual',TO_DATE('20140101','yyyymmdd'),TO_DATE('20180101','yyyymmdd'),'Version 20180618');</v>
      </c>
      <c r="B773" t="str">
        <f>IF(REGLAS!J774="OBSOLETO","","INSERT INTO INYCEXT.INYC_CONF_INF_REGLAS@tc_link (COD_INFORME,TABLA,NOMBRE,REGLA,F_INICIO,F_FIN,DESCRIPCION) VALUES ("&amp;REGLAS!B774&amp;",'"&amp;REGLAS!C774&amp;"','"&amp;REGLAS!D774&amp;"','"&amp;REGLAS!G774&amp;"',TO_DATE('"&amp;REGLAS!H774&amp;"','yyyymmdd'),TO_DATE('"&amp;REGLAS!I774&amp;"','yyyymmdd'),'"&amp;REGLAS!J774&amp;"');")</f>
        <v>INSERT INTO INYCEXT.INYC_CONF_INF_REGLAS@tc_link (COD_INFORME,TABLA,NOMBRE,REGLA,F_INICIO,F_FIN,DESCRIPCION) VALUES (23.1,'INYC_REA_RESUMEN','SM - Total Primas Agentes Captados Anual','SM-O-COLC-Inspector-PrimaNeta-998-AgentesCaptados-TotalAnual',TO_DATE('20140101','yyyymmdd'),TO_DATE('20180101','yyyymmdd'),'Version 20180618');</v>
      </c>
    </row>
    <row r="774" spans="1:2" x14ac:dyDescent="0.25">
      <c r="A774" t="str">
        <f>IF(REGLAS!J775="OBSOLETO","","INSERT INTO INYCEXT.INYC_CONF_INF_REGLAS (COD_INFORME,TABLA,NOMBRE,REGLA,F_INICIO,F_FIN,DESCRIPCION) VALUES ("&amp;REGLAS!B775&amp;",'"&amp;REGLAS!C775&amp;"','"&amp;REGLAS!D775&amp;"','"&amp;REGLAS!G775&amp;"',TO_DATE('"&amp;REGLAS!H775&amp;"','yyyymmdd'),TO_DATE('"&amp;REGLAS!I775&amp;"','yyyymmdd'),'"&amp;REGLAS!J775&amp;"');")</f>
        <v>INSERT INTO INYCEXT.INYC_CONF_INF_REGLAS (COD_INFORME,TABLA,NOMBRE,REGLA,F_INICIO,F_FIN,DESCRIPCION) VALUES (24.1,'INYC_RIP_RESUMEN','SM - Total Pólizas Año Anterior','SM-O-RIP-Agente-NumeroPolizasAnterior',TO_DATE('20170101','yyyymmdd'),TO_DATE('22000101','yyyymmdd'),'');</v>
      </c>
      <c r="B774" t="str">
        <f>IF(REGLAS!J775="OBSOLETO","","INSERT INTO INYCEXT.INYC_CONF_INF_REGLAS@tc_link (COD_INFORME,TABLA,NOMBRE,REGLA,F_INICIO,F_FIN,DESCRIPCION) VALUES ("&amp;REGLAS!B775&amp;",'"&amp;REGLAS!C775&amp;"','"&amp;REGLAS!D775&amp;"','"&amp;REGLAS!G775&amp;"',TO_DATE('"&amp;REGLAS!H775&amp;"','yyyymmdd'),TO_DATE('"&amp;REGLAS!I775&amp;"','yyyymmdd'),'"&amp;REGLAS!J775&amp;"');")</f>
        <v>INSERT INTO INYCEXT.INYC_CONF_INF_REGLAS@tc_link (COD_INFORME,TABLA,NOMBRE,REGLA,F_INICIO,F_FIN,DESCRIPCION) VALUES (24.1,'INYC_RIP_RESUMEN','SM - Total Pólizas Año Anterior','SM-O-RIP-Agente-NumeroPolizasAnterior',TO_DATE('20170101','yyyymmdd'),TO_DATE('22000101','yyyymmdd'),'');</v>
      </c>
    </row>
    <row r="775" spans="1:2" x14ac:dyDescent="0.25">
      <c r="A775" t="str">
        <f>IF(REGLAS!J776="OBSOLETO","","INSERT INTO INYCEXT.INYC_CONF_INF_REGLAS (COD_INFORME,TABLA,NOMBRE,REGLA,F_INICIO,F_FIN,DESCRIPCION) VALUES ("&amp;REGLAS!B776&amp;",'"&amp;REGLAS!C776&amp;"','"&amp;REGLAS!D776&amp;"','"&amp;REGLAS!G776&amp;"',TO_DATE('"&amp;REGLAS!H776&amp;"','yyyymmdd'),TO_DATE('"&amp;REGLAS!I776&amp;"','yyyymmdd'),'"&amp;REGLAS!J776&amp;"');")</f>
        <v>INSERT INTO INYCEXT.INYC_CONF_INF_REGLAS (COD_INFORME,TABLA,NOMBRE,REGLA,F_INICIO,F_FIN,DESCRIPCION) VALUES (24.1,'INYC_RIP_RESUMEN','SM - Pólizas Acumuladas Trimestre Anterior','SM-O-RIP-Agente-NumeroPolizas-TotalAnual-Reporting',TO_DATE('20140101','yyyymmdd'),TO_DATE('22000101','yyyymmdd'),'');</v>
      </c>
      <c r="B775" t="str">
        <f>IF(REGLAS!J776="OBSOLETO","","INSERT INTO INYCEXT.INYC_CONF_INF_REGLAS@tc_link (COD_INFORME,TABLA,NOMBRE,REGLA,F_INICIO,F_FIN,DESCRIPCION) VALUES ("&amp;REGLAS!B776&amp;",'"&amp;REGLAS!C776&amp;"','"&amp;REGLAS!D776&amp;"','"&amp;REGLAS!G776&amp;"',TO_DATE('"&amp;REGLAS!H776&amp;"','yyyymmdd'),TO_DATE('"&amp;REGLAS!I776&amp;"','yyyymmdd'),'"&amp;REGLAS!J776&amp;"');")</f>
        <v>INSERT INTO INYCEXT.INYC_CONF_INF_REGLAS@tc_link (COD_INFORME,TABLA,NOMBRE,REGLA,F_INICIO,F_FIN,DESCRIPCION) VALUES (24.1,'INYC_RIP_RESUMEN','SM - Pólizas Acumuladas Trimestre Anterior','SM-O-RIP-Agente-NumeroPolizas-TotalAnual-Reporting',TO_DATE('20140101','yyyymmdd'),TO_DATE('22000101','yyyymmdd'),'');</v>
      </c>
    </row>
    <row r="776" spans="1:2" x14ac:dyDescent="0.25">
      <c r="A776" t="str">
        <f>IF(REGLAS!J777="OBSOLETO","","INSERT INTO INYCEXT.INYC_CONF_INF_REGLAS (COD_INFORME,TABLA,NOMBRE,REGLA,F_INICIO,F_FIN,DESCRIPCION) VALUES ("&amp;REGLAS!B777&amp;",'"&amp;REGLAS!C777&amp;"','"&amp;REGLAS!D777&amp;"','"&amp;REGLAS!G777&amp;"',TO_DATE('"&amp;REGLAS!H777&amp;"','yyyymmdd'),TO_DATE('"&amp;REGLAS!I777&amp;"','yyyymmdd'),'"&amp;REGLAS!J777&amp;"');")</f>
        <v>INSERT INTO INYCEXT.INYC_CONF_INF_REGLAS (COD_INFORME,TABLA,NOMBRE,REGLA,F_INICIO,F_FIN,DESCRIPCION) VALUES (24.1,'INYC_RIP_RESUMEN','SM - Pólizas Acumuladas Trimestre Actual','SM-O-RIP-Agente-NumeroPolizas-TotalAnual',TO_DATE('20140101','yyyymmdd'),TO_DATE('22000101','yyyymmdd'),'');</v>
      </c>
      <c r="B776" t="str">
        <f>IF(REGLAS!J777="OBSOLETO","","INSERT INTO INYCEXT.INYC_CONF_INF_REGLAS@tc_link (COD_INFORME,TABLA,NOMBRE,REGLA,F_INICIO,F_FIN,DESCRIPCION) VALUES ("&amp;REGLAS!B777&amp;",'"&amp;REGLAS!C777&amp;"','"&amp;REGLAS!D777&amp;"','"&amp;REGLAS!G777&amp;"',TO_DATE('"&amp;REGLAS!H777&amp;"','yyyymmdd'),TO_DATE('"&amp;REGLAS!I777&amp;"','yyyymmdd'),'"&amp;REGLAS!J777&amp;"');")</f>
        <v>INSERT INTO INYCEXT.INYC_CONF_INF_REGLAS@tc_link (COD_INFORME,TABLA,NOMBRE,REGLA,F_INICIO,F_FIN,DESCRIPCION) VALUES (24.1,'INYC_RIP_RESUMEN','SM - Pólizas Acumuladas Trimestre Actual','SM-O-RIP-Agente-NumeroPolizas-TotalAnual',TO_DATE('20140101','yyyymmdd'),TO_DATE('22000101','yyyymmdd'),'');</v>
      </c>
    </row>
    <row r="777" spans="1:2" x14ac:dyDescent="0.25">
      <c r="A777" t="str">
        <f>IF(REGLAS!J778="OBSOLETO","","INSERT INTO INYCEXT.INYC_CONF_INF_REGLAS (COD_INFORME,TABLA,NOMBRE,REGLA,F_INICIO,F_FIN,DESCRIPCION) VALUES ("&amp;REGLAS!B778&amp;",'"&amp;REGLAS!C778&amp;"','"&amp;REGLAS!D778&amp;"','"&amp;REGLAS!G778&amp;"',TO_DATE('"&amp;REGLAS!H778&amp;"','yyyymmdd'),TO_DATE('"&amp;REGLAS!I778&amp;"','yyyymmdd'),'"&amp;REGLAS!J778&amp;"');")</f>
        <v>INSERT INTO INYCEXT.INYC_CONF_INF_REGLAS (COD_INFORME,TABLA,NOMBRE,REGLA,F_INICIO,F_FIN,DESCRIPCION) VALUES (24.1,'INYC_RIP_RESUMEN','SM - Incremento Pólizas','SM-O-RIP-Agente-NumeroPolizas-Incremento',TO_DATE('20140101','yyyymmdd'),TO_DATE('22000101','yyyymmdd'),'');</v>
      </c>
      <c r="B777" t="str">
        <f>IF(REGLAS!J778="OBSOLETO","","INSERT INTO INYCEXT.INYC_CONF_INF_REGLAS@tc_link (COD_INFORME,TABLA,NOMBRE,REGLA,F_INICIO,F_FIN,DESCRIPCION) VALUES ("&amp;REGLAS!B778&amp;",'"&amp;REGLAS!C778&amp;"','"&amp;REGLAS!D778&amp;"','"&amp;REGLAS!G778&amp;"',TO_DATE('"&amp;REGLAS!H778&amp;"','yyyymmdd'),TO_DATE('"&amp;REGLAS!I778&amp;"','yyyymmdd'),'"&amp;REGLAS!J778&amp;"');")</f>
        <v>INSERT INTO INYCEXT.INYC_CONF_INF_REGLAS@tc_link (COD_INFORME,TABLA,NOMBRE,REGLA,F_INICIO,F_FIN,DESCRIPCION) VALUES (24.1,'INYC_RIP_RESUMEN','SM - Incremento Pólizas','SM-O-RIP-Agente-NumeroPolizas-Incremento',TO_DATE('20140101','yyyymmdd'),TO_DATE('22000101','yyyymmdd'),'');</v>
      </c>
    </row>
    <row r="778" spans="1:2" x14ac:dyDescent="0.25">
      <c r="A778" t="str">
        <f>IF(REGLAS!J779="OBSOLETO","","INSERT INTO INYCEXT.INYC_CONF_INF_REGLAS (COD_INFORME,TABLA,NOMBRE,REGLA,F_INICIO,F_FIN,DESCRIPCION) VALUES ("&amp;REGLAS!B779&amp;",'"&amp;REGLAS!C779&amp;"','"&amp;REGLAS!D779&amp;"','"&amp;REGLAS!G779&amp;"',TO_DATE('"&amp;REGLAS!H779&amp;"','yyyymmdd'),TO_DATE('"&amp;REGLAS!I779&amp;"','yyyymmdd'),'"&amp;REGLAS!J779&amp;"');")</f>
        <v>INSERT INTO INYCEXT.INYC_CONF_INF_REGLAS (COD_INFORME,TABLA,NOMBRE,REGLA,F_INICIO,F_FIN,DESCRIPCION) VALUES (24.1,'INYC_RIP_RESUMEN','SM - Pólizas Hogar Acumuladas Trimestre Anterior','SM-O-RIP-Agente-NumeroPolizas-002-TotalAnual-Reporting',TO_DATE('20140101','yyyymmdd'),TO_DATE('22000101','yyyymmdd'),'');</v>
      </c>
      <c r="B778" t="str">
        <f>IF(REGLAS!J779="OBSOLETO","","INSERT INTO INYCEXT.INYC_CONF_INF_REGLAS@tc_link (COD_INFORME,TABLA,NOMBRE,REGLA,F_INICIO,F_FIN,DESCRIPCION) VALUES ("&amp;REGLAS!B779&amp;",'"&amp;REGLAS!C779&amp;"','"&amp;REGLAS!D779&amp;"','"&amp;REGLAS!G779&amp;"',TO_DATE('"&amp;REGLAS!H779&amp;"','yyyymmdd'),TO_DATE('"&amp;REGLAS!I779&amp;"','yyyymmdd'),'"&amp;REGLAS!J779&amp;"');")</f>
        <v>INSERT INTO INYCEXT.INYC_CONF_INF_REGLAS@tc_link (COD_INFORME,TABLA,NOMBRE,REGLA,F_INICIO,F_FIN,DESCRIPCION) VALUES (24.1,'INYC_RIP_RESUMEN','SM - Pólizas Hogar Acumuladas Trimestre Anterior','SM-O-RIP-Agente-NumeroPolizas-002-TotalAnual-Reporting',TO_DATE('20140101','yyyymmdd'),TO_DATE('22000101','yyyymmdd'),'');</v>
      </c>
    </row>
    <row r="779" spans="1:2" x14ac:dyDescent="0.25">
      <c r="A779" t="str">
        <f>IF(REGLAS!J780="OBSOLETO","","INSERT INTO INYCEXT.INYC_CONF_INF_REGLAS (COD_INFORME,TABLA,NOMBRE,REGLA,F_INICIO,F_FIN,DESCRIPCION) VALUES ("&amp;REGLAS!B780&amp;",'"&amp;REGLAS!C780&amp;"','"&amp;REGLAS!D780&amp;"','"&amp;REGLAS!G780&amp;"',TO_DATE('"&amp;REGLAS!H780&amp;"','yyyymmdd'),TO_DATE('"&amp;REGLAS!I780&amp;"','yyyymmdd'),'"&amp;REGLAS!J780&amp;"');")</f>
        <v>INSERT INTO INYCEXT.INYC_CONF_INF_REGLAS (COD_INFORME,TABLA,NOMBRE,REGLA,F_INICIO,F_FIN,DESCRIPCION) VALUES (24.1,'INYC_RIP_RESUMEN','SM - Pólizas Hogar Acumuladas Trimestre Actual','SM-O-RIP-Agente-NumeroPolizas-002-TotalAnual',TO_DATE('20140101','yyyymmdd'),TO_DATE('22000101','yyyymmdd'),'');</v>
      </c>
      <c r="B779" t="str">
        <f>IF(REGLAS!J780="OBSOLETO","","INSERT INTO INYCEXT.INYC_CONF_INF_REGLAS@tc_link (COD_INFORME,TABLA,NOMBRE,REGLA,F_INICIO,F_FIN,DESCRIPCION) VALUES ("&amp;REGLAS!B780&amp;",'"&amp;REGLAS!C780&amp;"','"&amp;REGLAS!D780&amp;"','"&amp;REGLAS!G780&amp;"',TO_DATE('"&amp;REGLAS!H780&amp;"','yyyymmdd'),TO_DATE('"&amp;REGLAS!I780&amp;"','yyyymmdd'),'"&amp;REGLAS!J780&amp;"');")</f>
        <v>INSERT INTO INYCEXT.INYC_CONF_INF_REGLAS@tc_link (COD_INFORME,TABLA,NOMBRE,REGLA,F_INICIO,F_FIN,DESCRIPCION) VALUES (24.1,'INYC_RIP_RESUMEN','SM - Pólizas Hogar Acumuladas Trimestre Actual','SM-O-RIP-Agente-NumeroPolizas-002-TotalAnual',TO_DATE('20140101','yyyymmdd'),TO_DATE('22000101','yyyymmdd'),'');</v>
      </c>
    </row>
    <row r="780" spans="1:2" x14ac:dyDescent="0.25">
      <c r="A780" t="str">
        <f>IF(REGLAS!J781="OBSOLETO","","INSERT INTO INYCEXT.INYC_CONF_INF_REGLAS (COD_INFORME,TABLA,NOMBRE,REGLA,F_INICIO,F_FIN,DESCRIPCION) VALUES ("&amp;REGLAS!B781&amp;",'"&amp;REGLAS!C781&amp;"','"&amp;REGLAS!D781&amp;"','"&amp;REGLAS!G781&amp;"',TO_DATE('"&amp;REGLAS!H781&amp;"','yyyymmdd'),TO_DATE('"&amp;REGLAS!I781&amp;"','yyyymmdd'),'"&amp;REGLAS!J781&amp;"');")</f>
        <v>INSERT INTO INYCEXT.INYC_CONF_INF_REGLAS (COD_INFORME,TABLA,NOMBRE,REGLA,F_INICIO,F_FIN,DESCRIPCION) VALUES (24.1,'INYC_RIP_RESUMEN','SM - Prima Acumuladas Trimestre Anterior','SM-O-RIP-Agente-Prima-TotalAnual-Reporting',TO_DATE('20140101','yyyymmdd'),TO_DATE('22000101','yyyymmdd'),'');</v>
      </c>
      <c r="B780" t="str">
        <f>IF(REGLAS!J781="OBSOLETO","","INSERT INTO INYCEXT.INYC_CONF_INF_REGLAS@tc_link (COD_INFORME,TABLA,NOMBRE,REGLA,F_INICIO,F_FIN,DESCRIPCION) VALUES ("&amp;REGLAS!B781&amp;",'"&amp;REGLAS!C781&amp;"','"&amp;REGLAS!D781&amp;"','"&amp;REGLAS!G781&amp;"',TO_DATE('"&amp;REGLAS!H781&amp;"','yyyymmdd'),TO_DATE('"&amp;REGLAS!I781&amp;"','yyyymmdd'),'"&amp;REGLAS!J781&amp;"');")</f>
        <v>INSERT INTO INYCEXT.INYC_CONF_INF_REGLAS@tc_link (COD_INFORME,TABLA,NOMBRE,REGLA,F_INICIO,F_FIN,DESCRIPCION) VALUES (24.1,'INYC_RIP_RESUMEN','SM - Prima Acumuladas Trimestre Anterior','SM-O-RIP-Agente-Prima-TotalAnual-Reporting',TO_DATE('20140101','yyyymmdd'),TO_DATE('22000101','yyyymmdd'),'');</v>
      </c>
    </row>
    <row r="781" spans="1:2" x14ac:dyDescent="0.25">
      <c r="A781" t="str">
        <f>IF(REGLAS!J782="OBSOLETO","","INSERT INTO INYCEXT.INYC_CONF_INF_REGLAS (COD_INFORME,TABLA,NOMBRE,REGLA,F_INICIO,F_FIN,DESCRIPCION) VALUES ("&amp;REGLAS!B782&amp;",'"&amp;REGLAS!C782&amp;"','"&amp;REGLAS!D782&amp;"','"&amp;REGLAS!G782&amp;"',TO_DATE('"&amp;REGLAS!H782&amp;"','yyyymmdd'),TO_DATE('"&amp;REGLAS!I782&amp;"','yyyymmdd'),'"&amp;REGLAS!J782&amp;"');")</f>
        <v>INSERT INTO INYCEXT.INYC_CONF_INF_REGLAS (COD_INFORME,TABLA,NOMBRE,REGLA,F_INICIO,F_FIN,DESCRIPCION) VALUES (24.1,'INYC_RIP_RESUMEN','SM - Prima Acumuladas Trimestre Actual','SM-O-RIP-Agente-Prima-TotalAnual',TO_DATE('20140101','yyyymmdd'),TO_DATE('22000101','yyyymmdd'),'');</v>
      </c>
      <c r="B781" t="str">
        <f>IF(REGLAS!J782="OBSOLETO","","INSERT INTO INYCEXT.INYC_CONF_INF_REGLAS@tc_link (COD_INFORME,TABLA,NOMBRE,REGLA,F_INICIO,F_FIN,DESCRIPCION) VALUES ("&amp;REGLAS!B782&amp;",'"&amp;REGLAS!C782&amp;"','"&amp;REGLAS!D782&amp;"','"&amp;REGLAS!G782&amp;"',TO_DATE('"&amp;REGLAS!H782&amp;"','yyyymmdd'),TO_DATE('"&amp;REGLAS!I782&amp;"','yyyymmdd'),'"&amp;REGLAS!J782&amp;"');")</f>
        <v>INSERT INTO INYCEXT.INYC_CONF_INF_REGLAS@tc_link (COD_INFORME,TABLA,NOMBRE,REGLA,F_INICIO,F_FIN,DESCRIPCION) VALUES (24.1,'INYC_RIP_RESUMEN','SM - Prima Acumuladas Trimestre Actual','SM-O-RIP-Agente-Prima-TotalAnual',TO_DATE('20140101','yyyymmdd'),TO_DATE('22000101','yyyymmdd'),'');</v>
      </c>
    </row>
    <row r="782" spans="1:2" x14ac:dyDescent="0.25">
      <c r="A782" t="str">
        <f>IF(REGLAS!J783="OBSOLETO","","INSERT INTO INYCEXT.INYC_CONF_INF_REGLAS (COD_INFORME,TABLA,NOMBRE,REGLA,F_INICIO,F_FIN,DESCRIPCION) VALUES ("&amp;REGLAS!B783&amp;",'"&amp;REGLAS!C783&amp;"','"&amp;REGLAS!D783&amp;"','"&amp;REGLAS!G783&amp;"',TO_DATE('"&amp;REGLAS!H783&amp;"','yyyymmdd'),TO_DATE('"&amp;REGLAS!I783&amp;"','yyyymmdd'),'"&amp;REGLAS!J783&amp;"');")</f>
        <v>INSERT INTO INYCEXT.INYC_CONF_INF_REGLAS (COD_INFORME,TABLA,NOMBRE,REGLA,F_INICIO,F_FIN,DESCRIPCION) VALUES (24.1,'INYC_RIP_RESUMEN','SM - Objetivo Incremento Pólizas','SM-O-RIP-Agente-NumeroPolizas-Incremento-Objetivo',TO_DATE('20170101','yyyymmdd'),TO_DATE('22000101','yyyymmdd'),'');</v>
      </c>
      <c r="B782" t="str">
        <f>IF(REGLAS!J783="OBSOLETO","","INSERT INTO INYCEXT.INYC_CONF_INF_REGLAS@tc_link (COD_INFORME,TABLA,NOMBRE,REGLA,F_INICIO,F_FIN,DESCRIPCION) VALUES ("&amp;REGLAS!B783&amp;",'"&amp;REGLAS!C783&amp;"','"&amp;REGLAS!D783&amp;"','"&amp;REGLAS!G783&amp;"',TO_DATE('"&amp;REGLAS!H783&amp;"','yyyymmdd'),TO_DATE('"&amp;REGLAS!I783&amp;"','yyyymmdd'),'"&amp;REGLAS!J783&amp;"');")</f>
        <v>INSERT INTO INYCEXT.INYC_CONF_INF_REGLAS@tc_link (COD_INFORME,TABLA,NOMBRE,REGLA,F_INICIO,F_FIN,DESCRIPCION) VALUES (24.1,'INYC_RIP_RESUMEN','SM - Objetivo Incremento Pólizas','SM-O-RIP-Agente-NumeroPolizas-Incremento-Objetivo',TO_DATE('20170101','yyyymmdd'),TO_DATE('22000101','yyyymmdd'),'');</v>
      </c>
    </row>
    <row r="783" spans="1:2" x14ac:dyDescent="0.25">
      <c r="A783" t="str">
        <f>IF(REGLAS!J784="OBSOLETO","","INSERT INTO INYCEXT.INYC_CONF_INF_REGLAS (COD_INFORME,TABLA,NOMBRE,REGLA,F_INICIO,F_FIN,DESCRIPCION) VALUES ("&amp;REGLAS!B784&amp;",'"&amp;REGLAS!C784&amp;"','"&amp;REGLAS!D784&amp;"','"&amp;REGLAS!G784&amp;"',TO_DATE('"&amp;REGLAS!H784&amp;"','yyyymmdd'),TO_DATE('"&amp;REGLAS!I784&amp;"','yyyymmdd'),'"&amp;REGLAS!J784&amp;"');")</f>
        <v>INSERT INTO INYCEXT.INYC_CONF_INF_REGLAS (COD_INFORME,TABLA,NOMBRE,REGLA,F_INICIO,F_FIN,DESCRIPCION) VALUES (24.1,'INYC_RIP_RESUMEN','SM - Anulaciones Acumuladas Trimestre Actual','SM-O-RIP-Agente-Anulaciones-TotalAnual',TO_DATE('20140101','yyyymmdd'),TO_DATE('22000101','yyyymmdd'),'');</v>
      </c>
      <c r="B783" t="str">
        <f>IF(REGLAS!J784="OBSOLETO","","INSERT INTO INYCEXT.INYC_CONF_INF_REGLAS@tc_link (COD_INFORME,TABLA,NOMBRE,REGLA,F_INICIO,F_FIN,DESCRIPCION) VALUES ("&amp;REGLAS!B784&amp;",'"&amp;REGLAS!C784&amp;"','"&amp;REGLAS!D784&amp;"','"&amp;REGLAS!G784&amp;"',TO_DATE('"&amp;REGLAS!H784&amp;"','yyyymmdd'),TO_DATE('"&amp;REGLAS!I784&amp;"','yyyymmdd'),'"&amp;REGLAS!J784&amp;"');")</f>
        <v>INSERT INTO INYCEXT.INYC_CONF_INF_REGLAS@tc_link (COD_INFORME,TABLA,NOMBRE,REGLA,F_INICIO,F_FIN,DESCRIPCION) VALUES (24.1,'INYC_RIP_RESUMEN','SM - Anulaciones Acumuladas Trimestre Actual','SM-O-RIP-Agente-Anulaciones-TotalAnual',TO_DATE('20140101','yyyymmdd'),TO_DATE('22000101','yyyymmdd'),'');</v>
      </c>
    </row>
    <row r="784" spans="1:2" x14ac:dyDescent="0.25">
      <c r="A784" t="str">
        <f>IF(REGLAS!J785="OBSOLETO","","INSERT INTO INYCEXT.INYC_CONF_INF_REGLAS (COD_INFORME,TABLA,NOMBRE,REGLA,F_INICIO,F_FIN,DESCRIPCION) VALUES ("&amp;REGLAS!B785&amp;",'"&amp;REGLAS!C785&amp;"','"&amp;REGLAS!D785&amp;"','"&amp;REGLAS!G785&amp;"',TO_DATE('"&amp;REGLAS!H785&amp;"','yyyymmdd'),TO_DATE('"&amp;REGLAS!I785&amp;"','yyyymmdd'),'"&amp;REGLAS!J785&amp;"');")</f>
        <v>INSERT INTO INYCEXT.INYC_CONF_INF_REGLAS (COD_INFORME,TABLA,NOMBRE,REGLA,F_INICIO,F_FIN,DESCRIPCION) VALUES (24.1,'INYC_RIP_RESUMEN','SM - % Anulaciones','SM-O-RIP-Agente-Porcentaje-Anulaciones',TO_DATE('20140101','yyyymmdd'),TO_DATE('22000101','yyyymmdd'),'');</v>
      </c>
      <c r="B784" t="str">
        <f>IF(REGLAS!J785="OBSOLETO","","INSERT INTO INYCEXT.INYC_CONF_INF_REGLAS@tc_link (COD_INFORME,TABLA,NOMBRE,REGLA,F_INICIO,F_FIN,DESCRIPCION) VALUES ("&amp;REGLAS!B785&amp;",'"&amp;REGLAS!C785&amp;"','"&amp;REGLAS!D785&amp;"','"&amp;REGLAS!G785&amp;"',TO_DATE('"&amp;REGLAS!H785&amp;"','yyyymmdd'),TO_DATE('"&amp;REGLAS!I785&amp;"','yyyymmdd'),'"&amp;REGLAS!J785&amp;"');")</f>
        <v>INSERT INTO INYCEXT.INYC_CONF_INF_REGLAS@tc_link (COD_INFORME,TABLA,NOMBRE,REGLA,F_INICIO,F_FIN,DESCRIPCION) VALUES (24.1,'INYC_RIP_RESUMEN','SM - % Anulaciones','SM-O-RIP-Agente-Porcentaje-Anulaciones',TO_DATE('20140101','yyyymmdd'),TO_DATE('22000101','yyyymmdd'),'');</v>
      </c>
    </row>
    <row r="785" spans="1:2" x14ac:dyDescent="0.25">
      <c r="A785" t="str">
        <f>IF(REGLAS!J786="OBSOLETO","","INSERT INTO INYCEXT.INYC_CONF_INF_REGLAS (COD_INFORME,TABLA,NOMBRE,REGLA,F_INICIO,F_FIN,DESCRIPCION) VALUES ("&amp;REGLAS!B786&amp;",'"&amp;REGLAS!C786&amp;"','"&amp;REGLAS!D786&amp;"','"&amp;REGLAS!G786&amp;"',TO_DATE('"&amp;REGLAS!H786&amp;"','yyyymmdd'),TO_DATE('"&amp;REGLAS!I786&amp;"','yyyymmdd'),'"&amp;REGLAS!J786&amp;"');")</f>
        <v>INSERT INTO INYCEXT.INYC_CONF_INF_REGLAS (COD_INFORME,TABLA,NOMBRE,REGLA,F_INICIO,F_FIN,DESCRIPCION) VALUES (24.1,'INYC_RIP_RESUMEN','SM - Pago Trimestral','SM-O-RIP-Agente-Pago',TO_DATE('20140101','yyyymmdd'),TO_DATE('22000101','yyyymmdd'),'');</v>
      </c>
      <c r="B785" t="str">
        <f>IF(REGLAS!J786="OBSOLETO","","INSERT INTO INYCEXT.INYC_CONF_INF_REGLAS@tc_link (COD_INFORME,TABLA,NOMBRE,REGLA,F_INICIO,F_FIN,DESCRIPCION) VALUES ("&amp;REGLAS!B786&amp;",'"&amp;REGLAS!C786&amp;"','"&amp;REGLAS!D786&amp;"','"&amp;REGLAS!G786&amp;"',TO_DATE('"&amp;REGLAS!H786&amp;"','yyyymmdd'),TO_DATE('"&amp;REGLAS!I786&amp;"','yyyymmdd'),'"&amp;REGLAS!J786&amp;"');")</f>
        <v>INSERT INTO INYCEXT.INYC_CONF_INF_REGLAS@tc_link (COD_INFORME,TABLA,NOMBRE,REGLA,F_INICIO,F_FIN,DESCRIPCION) VALUES (24.1,'INYC_RIP_RESUMEN','SM - Pago Trimestral','SM-O-RIP-Agente-Pago',TO_DATE('20140101','yyyymmdd'),TO_DATE('22000101','yyyymmdd'),'');</v>
      </c>
    </row>
    <row r="786" spans="1:2" x14ac:dyDescent="0.25">
      <c r="A786" t="str">
        <f>IF(REGLAS!J787="OBSOLETO","","INSERT INTO INYCEXT.INYC_CONF_INF_REGLAS (COD_INFORME,TABLA,NOMBRE,REGLA,F_INICIO,F_FIN,DESCRIPCION) VALUES ("&amp;REGLAS!B787&amp;",'"&amp;REGLAS!C787&amp;"','"&amp;REGLAS!D787&amp;"','"&amp;REGLAS!G787&amp;"',TO_DATE('"&amp;REGLAS!H787&amp;"','yyyymmdd'),TO_DATE('"&amp;REGLAS!I787&amp;"','yyyymmdd'),'"&amp;REGLAS!J787&amp;"');")</f>
        <v>INSERT INTO INYCEXT.INYC_CONF_INF_REGLAS (COD_INFORME,TABLA,NOMBRE,REGLA,F_INICIO,F_FIN,DESCRIPCION) VALUES (24.1,'INYC_RIP_RESUMEN','SM - Acumulados Pólizas 2017 Q1','SM-O-RIP-Agente-NumeroPolizas-TotalAnual-2017Q1',TO_DATE('20180101','yyyymmdd'),TO_DATE('20190101','yyyymmdd'),'Version 20180220');</v>
      </c>
      <c r="B786" t="str">
        <f>IF(REGLAS!J787="OBSOLETO","","INSERT INTO INYCEXT.INYC_CONF_INF_REGLAS@tc_link (COD_INFORME,TABLA,NOMBRE,REGLA,F_INICIO,F_FIN,DESCRIPCION) VALUES ("&amp;REGLAS!B787&amp;",'"&amp;REGLAS!C787&amp;"','"&amp;REGLAS!D787&amp;"','"&amp;REGLAS!G787&amp;"',TO_DATE('"&amp;REGLAS!H787&amp;"','yyyymmdd'),TO_DATE('"&amp;REGLAS!I787&amp;"','yyyymmdd'),'"&amp;REGLAS!J787&amp;"');")</f>
        <v>INSERT INTO INYCEXT.INYC_CONF_INF_REGLAS@tc_link (COD_INFORME,TABLA,NOMBRE,REGLA,F_INICIO,F_FIN,DESCRIPCION) VALUES (24.1,'INYC_RIP_RESUMEN','SM - Acumulados Pólizas 2017 Q1','SM-O-RIP-Agente-NumeroPolizas-TotalAnual-2017Q1',TO_DATE('20180101','yyyymmdd'),TO_DATE('20190101','yyyymmdd'),'Version 20180220');</v>
      </c>
    </row>
    <row r="787" spans="1:2" x14ac:dyDescent="0.25">
      <c r="A787" t="str">
        <f>IF(REGLAS!J788="OBSOLETO","","INSERT INTO INYCEXT.INYC_CONF_INF_REGLAS (COD_INFORME,TABLA,NOMBRE,REGLA,F_INICIO,F_FIN,DESCRIPCION) VALUES ("&amp;REGLAS!B788&amp;",'"&amp;REGLAS!C788&amp;"','"&amp;REGLAS!D788&amp;"','"&amp;REGLAS!G788&amp;"',TO_DATE('"&amp;REGLAS!H788&amp;"','yyyymmdd'),TO_DATE('"&amp;REGLAS!I788&amp;"','yyyymmdd'),'"&amp;REGLAS!J788&amp;"');")</f>
        <v>INSERT INTO INYCEXT.INYC_CONF_INF_REGLAS (COD_INFORME,TABLA,NOMBRE,REGLA,F_INICIO,F_FIN,DESCRIPCION) VALUES (24.1,'INYC_RIP_RESUMEN','SM - Acumulados Pólizas 2017 Q2','SM-O-RIP-Agente-NumeroPolizas-TotalAnual-2017Q2',TO_DATE('20180101','yyyymmdd'),TO_DATE('20190101','yyyymmdd'),'Version 20180220');</v>
      </c>
      <c r="B787" t="str">
        <f>IF(REGLAS!J788="OBSOLETO","","INSERT INTO INYCEXT.INYC_CONF_INF_REGLAS@tc_link (COD_INFORME,TABLA,NOMBRE,REGLA,F_INICIO,F_FIN,DESCRIPCION) VALUES ("&amp;REGLAS!B788&amp;",'"&amp;REGLAS!C788&amp;"','"&amp;REGLAS!D788&amp;"','"&amp;REGLAS!G788&amp;"',TO_DATE('"&amp;REGLAS!H788&amp;"','yyyymmdd'),TO_DATE('"&amp;REGLAS!I788&amp;"','yyyymmdd'),'"&amp;REGLAS!J788&amp;"');")</f>
        <v>INSERT INTO INYCEXT.INYC_CONF_INF_REGLAS@tc_link (COD_INFORME,TABLA,NOMBRE,REGLA,F_INICIO,F_FIN,DESCRIPCION) VALUES (24.1,'INYC_RIP_RESUMEN','SM - Acumulados Pólizas 2017 Q2','SM-O-RIP-Agente-NumeroPolizas-TotalAnual-2017Q2',TO_DATE('20180101','yyyymmdd'),TO_DATE('20190101','yyyymmdd'),'Version 20180220');</v>
      </c>
    </row>
    <row r="788" spans="1:2" x14ac:dyDescent="0.25">
      <c r="A788" t="str">
        <f>IF(REGLAS!J789="OBSOLETO","","INSERT INTO INYCEXT.INYC_CONF_INF_REGLAS (COD_INFORME,TABLA,NOMBRE,REGLA,F_INICIO,F_FIN,DESCRIPCION) VALUES ("&amp;REGLAS!B789&amp;",'"&amp;REGLAS!C789&amp;"','"&amp;REGLAS!D789&amp;"','"&amp;REGLAS!G789&amp;"',TO_DATE('"&amp;REGLAS!H789&amp;"','yyyymmdd'),TO_DATE('"&amp;REGLAS!I789&amp;"','yyyymmdd'),'"&amp;REGLAS!J789&amp;"');")</f>
        <v>INSERT INTO INYCEXT.INYC_CONF_INF_REGLAS (COD_INFORME,TABLA,NOMBRE,REGLA,F_INICIO,F_FIN,DESCRIPCION) VALUES (24.1,'INYC_RIP_RESUMEN','SM - Acumulados Pólizas 2017 Q3','SM-O-RIP-Agente-NumeroPolizas-TotalAnual-2017Q3',TO_DATE('20180101','yyyymmdd'),TO_DATE('20190101','yyyymmdd'),'Version 20180220');</v>
      </c>
      <c r="B788" t="str">
        <f>IF(REGLAS!J789="OBSOLETO","","INSERT INTO INYCEXT.INYC_CONF_INF_REGLAS@tc_link (COD_INFORME,TABLA,NOMBRE,REGLA,F_INICIO,F_FIN,DESCRIPCION) VALUES ("&amp;REGLAS!B789&amp;",'"&amp;REGLAS!C789&amp;"','"&amp;REGLAS!D789&amp;"','"&amp;REGLAS!G789&amp;"',TO_DATE('"&amp;REGLAS!H789&amp;"','yyyymmdd'),TO_DATE('"&amp;REGLAS!I789&amp;"','yyyymmdd'),'"&amp;REGLAS!J789&amp;"');")</f>
        <v>INSERT INTO INYCEXT.INYC_CONF_INF_REGLAS@tc_link (COD_INFORME,TABLA,NOMBRE,REGLA,F_INICIO,F_FIN,DESCRIPCION) VALUES (24.1,'INYC_RIP_RESUMEN','SM - Acumulados Pólizas 2017 Q3','SM-O-RIP-Agente-NumeroPolizas-TotalAnual-2017Q3',TO_DATE('20180101','yyyymmdd'),TO_DATE('20190101','yyyymmdd'),'Version 20180220');</v>
      </c>
    </row>
    <row r="789" spans="1:2" x14ac:dyDescent="0.25">
      <c r="A789" t="str">
        <f>IF(REGLAS!J790="OBSOLETO","","INSERT INTO INYCEXT.INYC_CONF_INF_REGLAS (COD_INFORME,TABLA,NOMBRE,REGLA,F_INICIO,F_FIN,DESCRIPCION) VALUES ("&amp;REGLAS!B790&amp;",'"&amp;REGLAS!C790&amp;"','"&amp;REGLAS!D790&amp;"','"&amp;REGLAS!G790&amp;"',TO_DATE('"&amp;REGLAS!H790&amp;"','yyyymmdd'),TO_DATE('"&amp;REGLAS!I790&amp;"','yyyymmdd'),'"&amp;REGLAS!J790&amp;"');")</f>
        <v>INSERT INTO INYCEXT.INYC_CONF_INF_REGLAS (COD_INFORME,TABLA,NOMBRE,REGLA,F_INICIO,F_FIN,DESCRIPCION) VALUES (24.1,'INYC_RIP_RESUMEN','SM - Acumulados Pólizas 2017 Q4','SM-O-RIP-Agente-NumeroPolizas-TotalAnual-2017Q4',TO_DATE('20180101','yyyymmdd'),TO_DATE('20190101','yyyymmdd'),'Version 20180220');</v>
      </c>
      <c r="B789" t="str">
        <f>IF(REGLAS!J790="OBSOLETO","","INSERT INTO INYCEXT.INYC_CONF_INF_REGLAS@tc_link (COD_INFORME,TABLA,NOMBRE,REGLA,F_INICIO,F_FIN,DESCRIPCION) VALUES ("&amp;REGLAS!B790&amp;",'"&amp;REGLAS!C790&amp;"','"&amp;REGLAS!D790&amp;"','"&amp;REGLAS!G790&amp;"',TO_DATE('"&amp;REGLAS!H790&amp;"','yyyymmdd'),TO_DATE('"&amp;REGLAS!I790&amp;"','yyyymmdd'),'"&amp;REGLAS!J790&amp;"');")</f>
        <v>INSERT INTO INYCEXT.INYC_CONF_INF_REGLAS@tc_link (COD_INFORME,TABLA,NOMBRE,REGLA,F_INICIO,F_FIN,DESCRIPCION) VALUES (24.1,'INYC_RIP_RESUMEN','SM - Acumulados Pólizas 2017 Q4','SM-O-RIP-Agente-NumeroPolizas-TotalAnual-2017Q4',TO_DATE('20180101','yyyymmdd'),TO_DATE('20190101','yyyymmdd'),'Version 20180220');</v>
      </c>
    </row>
    <row r="790" spans="1:2" x14ac:dyDescent="0.25">
      <c r="A790" t="str">
        <f>IF(REGLAS!J791="OBSOLETO","","INSERT INTO INYCEXT.INYC_CONF_INF_REGLAS (COD_INFORME,TABLA,NOMBRE,REGLA,F_INICIO,F_FIN,DESCRIPCION) VALUES ("&amp;REGLAS!B791&amp;",'"&amp;REGLAS!C791&amp;"','"&amp;REGLAS!D791&amp;"','"&amp;REGLAS!G791&amp;"',TO_DATE('"&amp;REGLAS!H791&amp;"','yyyymmdd'),TO_DATE('"&amp;REGLAS!I791&amp;"','yyyymmdd'),'"&amp;REGLAS!J791&amp;"');")</f>
        <v>INSERT INTO INYCEXT.INYC_CONF_INF_REGLAS (COD_INFORME,TABLA,NOMBRE,REGLA,F_INICIO,F_FIN,DESCRIPCION) VALUES (24.1,'INYC_RIP_RESUMEN','SM - Acumulados Pólizas Cartera 2017 Q1','SM-O-RIP-Agente-NumeroPolizas-002-TotalAnual-2017Q1',TO_DATE('20180101','yyyymmdd'),TO_DATE('20190101','yyyymmdd'),'Version 20180220');</v>
      </c>
      <c r="B790" t="str">
        <f>IF(REGLAS!J791="OBSOLETO","","INSERT INTO INYCEXT.INYC_CONF_INF_REGLAS@tc_link (COD_INFORME,TABLA,NOMBRE,REGLA,F_INICIO,F_FIN,DESCRIPCION) VALUES ("&amp;REGLAS!B791&amp;",'"&amp;REGLAS!C791&amp;"','"&amp;REGLAS!D791&amp;"','"&amp;REGLAS!G791&amp;"',TO_DATE('"&amp;REGLAS!H791&amp;"','yyyymmdd'),TO_DATE('"&amp;REGLAS!I791&amp;"','yyyymmdd'),'"&amp;REGLAS!J791&amp;"');")</f>
        <v>INSERT INTO INYCEXT.INYC_CONF_INF_REGLAS@tc_link (COD_INFORME,TABLA,NOMBRE,REGLA,F_INICIO,F_FIN,DESCRIPCION) VALUES (24.1,'INYC_RIP_RESUMEN','SM - Acumulados Pólizas Cartera 2017 Q1','SM-O-RIP-Agente-NumeroPolizas-002-TotalAnual-2017Q1',TO_DATE('20180101','yyyymmdd'),TO_DATE('20190101','yyyymmdd'),'Version 20180220');</v>
      </c>
    </row>
    <row r="791" spans="1:2" x14ac:dyDescent="0.25">
      <c r="A791" t="str">
        <f>IF(REGLAS!J792="OBSOLETO","","INSERT INTO INYCEXT.INYC_CONF_INF_REGLAS (COD_INFORME,TABLA,NOMBRE,REGLA,F_INICIO,F_FIN,DESCRIPCION) VALUES ("&amp;REGLAS!B792&amp;",'"&amp;REGLAS!C792&amp;"','"&amp;REGLAS!D792&amp;"','"&amp;REGLAS!G792&amp;"',TO_DATE('"&amp;REGLAS!H792&amp;"','yyyymmdd'),TO_DATE('"&amp;REGLAS!I792&amp;"','yyyymmdd'),'"&amp;REGLAS!J792&amp;"');")</f>
        <v>INSERT INTO INYCEXT.INYC_CONF_INF_REGLAS (COD_INFORME,TABLA,NOMBRE,REGLA,F_INICIO,F_FIN,DESCRIPCION) VALUES (24.1,'INYC_RIP_RESUMEN','SM - Acumulados Pólizas Cartera 2017 Q2','SM-O-RIP-Agente-NumeroPolizas-002-TotalAnual-2017Q2',TO_DATE('20180101','yyyymmdd'),TO_DATE('20190101','yyyymmdd'),'Version 20180220');</v>
      </c>
      <c r="B791" t="str">
        <f>IF(REGLAS!J792="OBSOLETO","","INSERT INTO INYCEXT.INYC_CONF_INF_REGLAS@tc_link (COD_INFORME,TABLA,NOMBRE,REGLA,F_INICIO,F_FIN,DESCRIPCION) VALUES ("&amp;REGLAS!B792&amp;",'"&amp;REGLAS!C792&amp;"','"&amp;REGLAS!D792&amp;"','"&amp;REGLAS!G792&amp;"',TO_DATE('"&amp;REGLAS!H792&amp;"','yyyymmdd'),TO_DATE('"&amp;REGLAS!I792&amp;"','yyyymmdd'),'"&amp;REGLAS!J792&amp;"');")</f>
        <v>INSERT INTO INYCEXT.INYC_CONF_INF_REGLAS@tc_link (COD_INFORME,TABLA,NOMBRE,REGLA,F_INICIO,F_FIN,DESCRIPCION) VALUES (24.1,'INYC_RIP_RESUMEN','SM - Acumulados Pólizas Cartera 2017 Q2','SM-O-RIP-Agente-NumeroPolizas-002-TotalAnual-2017Q2',TO_DATE('20180101','yyyymmdd'),TO_DATE('20190101','yyyymmdd'),'Version 20180220');</v>
      </c>
    </row>
    <row r="792" spans="1:2" x14ac:dyDescent="0.25">
      <c r="A792" t="str">
        <f>IF(REGLAS!J793="OBSOLETO","","INSERT INTO INYCEXT.INYC_CONF_INF_REGLAS (COD_INFORME,TABLA,NOMBRE,REGLA,F_INICIO,F_FIN,DESCRIPCION) VALUES ("&amp;REGLAS!B793&amp;",'"&amp;REGLAS!C793&amp;"','"&amp;REGLAS!D793&amp;"','"&amp;REGLAS!G793&amp;"',TO_DATE('"&amp;REGLAS!H793&amp;"','yyyymmdd'),TO_DATE('"&amp;REGLAS!I793&amp;"','yyyymmdd'),'"&amp;REGLAS!J793&amp;"');")</f>
        <v>INSERT INTO INYCEXT.INYC_CONF_INF_REGLAS (COD_INFORME,TABLA,NOMBRE,REGLA,F_INICIO,F_FIN,DESCRIPCION) VALUES (24.1,'INYC_RIP_RESUMEN','SM - Acumulados Pólizas Cartera 2017 Q3','SM-O-RIP-Agente-NumeroPolizas-002-TotalAnual-2017Q3',TO_DATE('20180101','yyyymmdd'),TO_DATE('20190101','yyyymmdd'),'Version 20180220');</v>
      </c>
      <c r="B792" t="str">
        <f>IF(REGLAS!J793="OBSOLETO","","INSERT INTO INYCEXT.INYC_CONF_INF_REGLAS@tc_link (COD_INFORME,TABLA,NOMBRE,REGLA,F_INICIO,F_FIN,DESCRIPCION) VALUES ("&amp;REGLAS!B793&amp;",'"&amp;REGLAS!C793&amp;"','"&amp;REGLAS!D793&amp;"','"&amp;REGLAS!G793&amp;"',TO_DATE('"&amp;REGLAS!H793&amp;"','yyyymmdd'),TO_DATE('"&amp;REGLAS!I793&amp;"','yyyymmdd'),'"&amp;REGLAS!J793&amp;"');")</f>
        <v>INSERT INTO INYCEXT.INYC_CONF_INF_REGLAS@tc_link (COD_INFORME,TABLA,NOMBRE,REGLA,F_INICIO,F_FIN,DESCRIPCION) VALUES (24.1,'INYC_RIP_RESUMEN','SM - Acumulados Pólizas Cartera 2017 Q3','SM-O-RIP-Agente-NumeroPolizas-002-TotalAnual-2017Q3',TO_DATE('20180101','yyyymmdd'),TO_DATE('20190101','yyyymmdd'),'Version 20180220');</v>
      </c>
    </row>
    <row r="793" spans="1:2" x14ac:dyDescent="0.25">
      <c r="A793" t="str">
        <f>IF(REGLAS!J794="OBSOLETO","","INSERT INTO INYCEXT.INYC_CONF_INF_REGLAS (COD_INFORME,TABLA,NOMBRE,REGLA,F_INICIO,F_FIN,DESCRIPCION) VALUES ("&amp;REGLAS!B794&amp;",'"&amp;REGLAS!C794&amp;"','"&amp;REGLAS!D794&amp;"','"&amp;REGLAS!G794&amp;"',TO_DATE('"&amp;REGLAS!H794&amp;"','yyyymmdd'),TO_DATE('"&amp;REGLAS!I794&amp;"','yyyymmdd'),'"&amp;REGLAS!J794&amp;"');")</f>
        <v>INSERT INTO INYCEXT.INYC_CONF_INF_REGLAS (COD_INFORME,TABLA,NOMBRE,REGLA,F_INICIO,F_FIN,DESCRIPCION) VALUES (24.1,'INYC_RIP_RESUMEN','SM - Acumulados Pólizas Cartera 2017 Q4','SM-O-RIP-Agente-NumeroPolizas-002-TotalAnual-2017Q4',TO_DATE('20180101','yyyymmdd'),TO_DATE('20190101','yyyymmdd'),'Version 20180220');</v>
      </c>
      <c r="B793" t="str">
        <f>IF(REGLAS!J794="OBSOLETO","","INSERT INTO INYCEXT.INYC_CONF_INF_REGLAS@tc_link (COD_INFORME,TABLA,NOMBRE,REGLA,F_INICIO,F_FIN,DESCRIPCION) VALUES ("&amp;REGLAS!B794&amp;",'"&amp;REGLAS!C794&amp;"','"&amp;REGLAS!D794&amp;"','"&amp;REGLAS!G794&amp;"',TO_DATE('"&amp;REGLAS!H794&amp;"','yyyymmdd'),TO_DATE('"&amp;REGLAS!I794&amp;"','yyyymmdd'),'"&amp;REGLAS!J794&amp;"');")</f>
        <v>INSERT INTO INYCEXT.INYC_CONF_INF_REGLAS@tc_link (COD_INFORME,TABLA,NOMBRE,REGLA,F_INICIO,F_FIN,DESCRIPCION) VALUES (24.1,'INYC_RIP_RESUMEN','SM - Acumulados Pólizas Cartera 2017 Q4','SM-O-RIP-Agente-NumeroPolizas-002-TotalAnual-2017Q4',TO_DATE('20180101','yyyymmdd'),TO_DATE('20190101','yyyymmdd'),'Version 20180220');</v>
      </c>
    </row>
    <row r="794" spans="1:2" x14ac:dyDescent="0.25">
      <c r="A794" t="str">
        <f>IF(REGLAS!J795="OBSOLETO","","INSERT INTO INYCEXT.INYC_CONF_INF_REGLAS (COD_INFORME,TABLA,NOMBRE,REGLA,F_INICIO,F_FIN,DESCRIPCION) VALUES ("&amp;REGLAS!B795&amp;",'"&amp;REGLAS!C795&amp;"','"&amp;REGLAS!D795&amp;"','"&amp;REGLAS!G795&amp;"',TO_DATE('"&amp;REGLAS!H795&amp;"','yyyymmdd'),TO_DATE('"&amp;REGLAS!I795&amp;"','yyyymmdd'),'"&amp;REGLAS!J795&amp;"');")</f>
        <v>INSERT INTO INYCEXT.INYC_CONF_INF_REGLAS (COD_INFORME,TABLA,NOMBRE,REGLA,F_INICIO,F_FIN,DESCRIPCION) VALUES (24.1,'INYC_RIP_RESUMEN','SM - Acumulados Primas 2017 Q1','SM-O-RIP-Agente-Prima-TotalAnual-2017Q1',TO_DATE('20180101','yyyymmdd'),TO_DATE('20190101','yyyymmdd'),'Version 20180220');</v>
      </c>
      <c r="B794" t="str">
        <f>IF(REGLAS!J795="OBSOLETO","","INSERT INTO INYCEXT.INYC_CONF_INF_REGLAS@tc_link (COD_INFORME,TABLA,NOMBRE,REGLA,F_INICIO,F_FIN,DESCRIPCION) VALUES ("&amp;REGLAS!B795&amp;",'"&amp;REGLAS!C795&amp;"','"&amp;REGLAS!D795&amp;"','"&amp;REGLAS!G795&amp;"',TO_DATE('"&amp;REGLAS!H795&amp;"','yyyymmdd'),TO_DATE('"&amp;REGLAS!I795&amp;"','yyyymmdd'),'"&amp;REGLAS!J795&amp;"');")</f>
        <v>INSERT INTO INYCEXT.INYC_CONF_INF_REGLAS@tc_link (COD_INFORME,TABLA,NOMBRE,REGLA,F_INICIO,F_FIN,DESCRIPCION) VALUES (24.1,'INYC_RIP_RESUMEN','SM - Acumulados Primas 2017 Q1','SM-O-RIP-Agente-Prima-TotalAnual-2017Q1',TO_DATE('20180101','yyyymmdd'),TO_DATE('20190101','yyyymmdd'),'Version 20180220');</v>
      </c>
    </row>
    <row r="795" spans="1:2" x14ac:dyDescent="0.25">
      <c r="A795" t="str">
        <f>IF(REGLAS!J796="OBSOLETO","","INSERT INTO INYCEXT.INYC_CONF_INF_REGLAS (COD_INFORME,TABLA,NOMBRE,REGLA,F_INICIO,F_FIN,DESCRIPCION) VALUES ("&amp;REGLAS!B796&amp;",'"&amp;REGLAS!C796&amp;"','"&amp;REGLAS!D796&amp;"','"&amp;REGLAS!G796&amp;"',TO_DATE('"&amp;REGLAS!H796&amp;"','yyyymmdd'),TO_DATE('"&amp;REGLAS!I796&amp;"','yyyymmdd'),'"&amp;REGLAS!J796&amp;"');")</f>
        <v>INSERT INTO INYCEXT.INYC_CONF_INF_REGLAS (COD_INFORME,TABLA,NOMBRE,REGLA,F_INICIO,F_FIN,DESCRIPCION) VALUES (24.1,'INYC_RIP_RESUMEN','SM - Acumulados Primas 2017 Q2','SM-O-RIP-Agente-Prima-TotalAnual-2017Q2',TO_DATE('20180101','yyyymmdd'),TO_DATE('20190101','yyyymmdd'),'Version 20180220');</v>
      </c>
      <c r="B795" t="str">
        <f>IF(REGLAS!J796="OBSOLETO","","INSERT INTO INYCEXT.INYC_CONF_INF_REGLAS@tc_link (COD_INFORME,TABLA,NOMBRE,REGLA,F_INICIO,F_FIN,DESCRIPCION) VALUES ("&amp;REGLAS!B796&amp;",'"&amp;REGLAS!C796&amp;"','"&amp;REGLAS!D796&amp;"','"&amp;REGLAS!G796&amp;"',TO_DATE('"&amp;REGLAS!H796&amp;"','yyyymmdd'),TO_DATE('"&amp;REGLAS!I796&amp;"','yyyymmdd'),'"&amp;REGLAS!J796&amp;"');")</f>
        <v>INSERT INTO INYCEXT.INYC_CONF_INF_REGLAS@tc_link (COD_INFORME,TABLA,NOMBRE,REGLA,F_INICIO,F_FIN,DESCRIPCION) VALUES (24.1,'INYC_RIP_RESUMEN','SM - Acumulados Primas 2017 Q2','SM-O-RIP-Agente-Prima-TotalAnual-2017Q2',TO_DATE('20180101','yyyymmdd'),TO_DATE('20190101','yyyymmdd'),'Version 20180220');</v>
      </c>
    </row>
    <row r="796" spans="1:2" x14ac:dyDescent="0.25">
      <c r="A796" t="str">
        <f>IF(REGLAS!J797="OBSOLETO","","INSERT INTO INYCEXT.INYC_CONF_INF_REGLAS (COD_INFORME,TABLA,NOMBRE,REGLA,F_INICIO,F_FIN,DESCRIPCION) VALUES ("&amp;REGLAS!B797&amp;",'"&amp;REGLAS!C797&amp;"','"&amp;REGLAS!D797&amp;"','"&amp;REGLAS!G797&amp;"',TO_DATE('"&amp;REGLAS!H797&amp;"','yyyymmdd'),TO_DATE('"&amp;REGLAS!I797&amp;"','yyyymmdd'),'"&amp;REGLAS!J797&amp;"');")</f>
        <v>INSERT INTO INYCEXT.INYC_CONF_INF_REGLAS (COD_INFORME,TABLA,NOMBRE,REGLA,F_INICIO,F_FIN,DESCRIPCION) VALUES (24.1,'INYC_RIP_RESUMEN','SM - Acumulados Primas 2017 Q3','SM-O-RIP-Agente-Prima-TotalAnual-2017Q3',TO_DATE('20180101','yyyymmdd'),TO_DATE('20190101','yyyymmdd'),'Version 20180220');</v>
      </c>
      <c r="B796" t="str">
        <f>IF(REGLAS!J797="OBSOLETO","","INSERT INTO INYCEXT.INYC_CONF_INF_REGLAS@tc_link (COD_INFORME,TABLA,NOMBRE,REGLA,F_INICIO,F_FIN,DESCRIPCION) VALUES ("&amp;REGLAS!B797&amp;",'"&amp;REGLAS!C797&amp;"','"&amp;REGLAS!D797&amp;"','"&amp;REGLAS!G797&amp;"',TO_DATE('"&amp;REGLAS!H797&amp;"','yyyymmdd'),TO_DATE('"&amp;REGLAS!I797&amp;"','yyyymmdd'),'"&amp;REGLAS!J797&amp;"');")</f>
        <v>INSERT INTO INYCEXT.INYC_CONF_INF_REGLAS@tc_link (COD_INFORME,TABLA,NOMBRE,REGLA,F_INICIO,F_FIN,DESCRIPCION) VALUES (24.1,'INYC_RIP_RESUMEN','SM - Acumulados Primas 2017 Q3','SM-O-RIP-Agente-Prima-TotalAnual-2017Q3',TO_DATE('20180101','yyyymmdd'),TO_DATE('20190101','yyyymmdd'),'Version 20180220');</v>
      </c>
    </row>
    <row r="797" spans="1:2" x14ac:dyDescent="0.25">
      <c r="A797" t="str">
        <f>IF(REGLAS!J798="OBSOLETO","","INSERT INTO INYCEXT.INYC_CONF_INF_REGLAS (COD_INFORME,TABLA,NOMBRE,REGLA,F_INICIO,F_FIN,DESCRIPCION) VALUES ("&amp;REGLAS!B798&amp;",'"&amp;REGLAS!C798&amp;"','"&amp;REGLAS!D798&amp;"','"&amp;REGLAS!G798&amp;"',TO_DATE('"&amp;REGLAS!H798&amp;"','yyyymmdd'),TO_DATE('"&amp;REGLAS!I798&amp;"','yyyymmdd'),'"&amp;REGLAS!J798&amp;"');")</f>
        <v>INSERT INTO INYCEXT.INYC_CONF_INF_REGLAS (COD_INFORME,TABLA,NOMBRE,REGLA,F_INICIO,F_FIN,DESCRIPCION) VALUES (24.1,'INYC_RIP_RESUMEN','SM - Acumulados Primas 2017 Q4','SM-O-RIP-Agente-Prima-TotalAnual-2017Q4',TO_DATE('20180101','yyyymmdd'),TO_DATE('20190101','yyyymmdd'),'Version 20180220');</v>
      </c>
      <c r="B797" t="str">
        <f>IF(REGLAS!J798="OBSOLETO","","INSERT INTO INYCEXT.INYC_CONF_INF_REGLAS@tc_link (COD_INFORME,TABLA,NOMBRE,REGLA,F_INICIO,F_FIN,DESCRIPCION) VALUES ("&amp;REGLAS!B798&amp;",'"&amp;REGLAS!C798&amp;"','"&amp;REGLAS!D798&amp;"','"&amp;REGLAS!G798&amp;"',TO_DATE('"&amp;REGLAS!H798&amp;"','yyyymmdd'),TO_DATE('"&amp;REGLAS!I798&amp;"','yyyymmdd'),'"&amp;REGLAS!J798&amp;"');")</f>
        <v>INSERT INTO INYCEXT.INYC_CONF_INF_REGLAS@tc_link (COD_INFORME,TABLA,NOMBRE,REGLA,F_INICIO,F_FIN,DESCRIPCION) VALUES (24.1,'INYC_RIP_RESUMEN','SM - Acumulados Primas 2017 Q4','SM-O-RIP-Agente-Prima-TotalAnual-2017Q4',TO_DATE('20180101','yyyymmdd'),TO_DATE('20190101','yyyymmdd'),'Version 20180220');</v>
      </c>
    </row>
    <row r="798" spans="1:2" x14ac:dyDescent="0.25">
      <c r="A798" t="str">
        <f>IF(REGLAS!J799="OBSOLETO","","INSERT INTO INYCEXT.INYC_CONF_INF_REGLAS (COD_INFORME,TABLA,NOMBRE,REGLA,F_INICIO,F_FIN,DESCRIPCION) VALUES ("&amp;REGLAS!B799&amp;",'"&amp;REGLAS!C799&amp;"','"&amp;REGLAS!D799&amp;"','"&amp;REGLAS!G799&amp;"',TO_DATE('"&amp;REGLAS!H799&amp;"','yyyymmdd'),TO_DATE('"&amp;REGLAS!I799&amp;"','yyyymmdd'),'"&amp;REGLAS!J799&amp;"');")</f>
        <v/>
      </c>
      <c r="B798" t="str">
        <f>IF(REGLAS!J799="OBSOLETO","","INSERT INTO INYCEXT.INYC_CONF_INF_REGLAS@tc_link (COD_INFORME,TABLA,NOMBRE,REGLA,F_INICIO,F_FIN,DESCRIPCION) VALUES ("&amp;REGLAS!B799&amp;",'"&amp;REGLAS!C799&amp;"','"&amp;REGLAS!D799&amp;"','"&amp;REGLAS!G799&amp;"',TO_DATE('"&amp;REGLAS!H799&amp;"','yyyymmdd'),TO_DATE('"&amp;REGLAS!I799&amp;"','yyyymmdd'),'"&amp;REGLAS!J799&amp;"');")</f>
        <v/>
      </c>
    </row>
    <row r="799" spans="1:2" x14ac:dyDescent="0.25">
      <c r="A799" t="str">
        <f>IF(REGLAS!J800="OBSOLETO","","INSERT INTO INYCEXT.INYC_CONF_INF_REGLAS (COD_INFORME,TABLA,NOMBRE,REGLA,F_INICIO,F_FIN,DESCRIPCION) VALUES ("&amp;REGLAS!B800&amp;",'"&amp;REGLAS!C800&amp;"','"&amp;REGLAS!D800&amp;"','"&amp;REGLAS!G800&amp;"',TO_DATE('"&amp;REGLAS!H800&amp;"','yyyymmdd'),TO_DATE('"&amp;REGLAS!I800&amp;"','yyyymmdd'),'"&amp;REGLAS!J800&amp;"');")</f>
        <v/>
      </c>
      <c r="B799" t="str">
        <f>IF(REGLAS!J800="OBSOLETO","","INSERT INTO INYCEXT.INYC_CONF_INF_REGLAS@tc_link (COD_INFORME,TABLA,NOMBRE,REGLA,F_INICIO,F_FIN,DESCRIPCION) VALUES ("&amp;REGLAS!B800&amp;",'"&amp;REGLAS!C800&amp;"','"&amp;REGLAS!D800&amp;"','"&amp;REGLAS!G800&amp;"',TO_DATE('"&amp;REGLAS!H800&amp;"','yyyymmdd'),TO_DATE('"&amp;REGLAS!I800&amp;"','yyyymmdd'),'"&amp;REGLAS!J800&amp;"');")</f>
        <v/>
      </c>
    </row>
    <row r="800" spans="1:2" x14ac:dyDescent="0.25">
      <c r="A800" t="str">
        <f>IF(REGLAS!J801="OBSOLETO","","INSERT INTO INYCEXT.INYC_CONF_INF_REGLAS (COD_INFORME,TABLA,NOMBRE,REGLA,F_INICIO,F_FIN,DESCRIPCION) VALUES ("&amp;REGLAS!B801&amp;",'"&amp;REGLAS!C801&amp;"','"&amp;REGLAS!D801&amp;"','"&amp;REGLAS!G801&amp;"',TO_DATE('"&amp;REGLAS!H801&amp;"','yyyymmdd'),TO_DATE('"&amp;REGLAS!I801&amp;"','yyyymmdd'),'"&amp;REGLAS!J801&amp;"');")</f>
        <v/>
      </c>
      <c r="B800" t="str">
        <f>IF(REGLAS!J801="OBSOLETO","","INSERT INTO INYCEXT.INYC_CONF_INF_REGLAS@tc_link (COD_INFORME,TABLA,NOMBRE,REGLA,F_INICIO,F_FIN,DESCRIPCION) VALUES ("&amp;REGLAS!B801&amp;",'"&amp;REGLAS!C801&amp;"','"&amp;REGLAS!D801&amp;"','"&amp;REGLAS!G801&amp;"',TO_DATE('"&amp;REGLAS!H801&amp;"','yyyymmdd'),TO_DATE('"&amp;REGLAS!I801&amp;"','yyyymmdd'),'"&amp;REGLAS!J801&amp;"');")</f>
        <v/>
      </c>
    </row>
    <row r="801" spans="1:2" x14ac:dyDescent="0.25">
      <c r="A801" t="str">
        <f>IF(REGLAS!J802="OBSOLETO","","INSERT INTO INYCEXT.INYC_CONF_INF_REGLAS (COD_INFORME,TABLA,NOMBRE,REGLA,F_INICIO,F_FIN,DESCRIPCION) VALUES ("&amp;REGLAS!B802&amp;",'"&amp;REGLAS!C802&amp;"','"&amp;REGLAS!D802&amp;"','"&amp;REGLAS!G802&amp;"',TO_DATE('"&amp;REGLAS!H802&amp;"','yyyymmdd'),TO_DATE('"&amp;REGLAS!I802&amp;"','yyyymmdd'),'"&amp;REGLAS!J802&amp;"');")</f>
        <v/>
      </c>
      <c r="B801" t="str">
        <f>IF(REGLAS!J802="OBSOLETO","","INSERT INTO INYCEXT.INYC_CONF_INF_REGLAS@tc_link (COD_INFORME,TABLA,NOMBRE,REGLA,F_INICIO,F_FIN,DESCRIPCION) VALUES ("&amp;REGLAS!B802&amp;",'"&amp;REGLAS!C802&amp;"','"&amp;REGLAS!D802&amp;"','"&amp;REGLAS!G802&amp;"',TO_DATE('"&amp;REGLAS!H802&amp;"','yyyymmdd'),TO_DATE('"&amp;REGLAS!I802&amp;"','yyyymmdd'),'"&amp;REGLAS!J802&amp;"');")</f>
        <v/>
      </c>
    </row>
    <row r="802" spans="1:2" x14ac:dyDescent="0.25">
      <c r="A802" t="str">
        <f>IF(REGLAS!J803="OBSOLETO","","INSERT INTO INYCEXT.INYC_CONF_INF_REGLAS (COD_INFORME,TABLA,NOMBRE,REGLA,F_INICIO,F_FIN,DESCRIPCION) VALUES ("&amp;REGLAS!B803&amp;",'"&amp;REGLAS!C803&amp;"','"&amp;REGLAS!D803&amp;"','"&amp;REGLAS!G803&amp;"',TO_DATE('"&amp;REGLAS!H803&amp;"','yyyymmdd'),TO_DATE('"&amp;REGLAS!I803&amp;"','yyyymmdd'),'"&amp;REGLAS!J803&amp;"');")</f>
        <v/>
      </c>
      <c r="B802" t="str">
        <f>IF(REGLAS!J803="OBSOLETO","","INSERT INTO INYCEXT.INYC_CONF_INF_REGLAS@tc_link (COD_INFORME,TABLA,NOMBRE,REGLA,F_INICIO,F_FIN,DESCRIPCION) VALUES ("&amp;REGLAS!B803&amp;",'"&amp;REGLAS!C803&amp;"','"&amp;REGLAS!D803&amp;"','"&amp;REGLAS!G803&amp;"',TO_DATE('"&amp;REGLAS!H803&amp;"','yyyymmdd'),TO_DATE('"&amp;REGLAS!I803&amp;"','yyyymmdd'),'"&amp;REGLAS!J803&amp;"');")</f>
        <v/>
      </c>
    </row>
    <row r="803" spans="1:2" x14ac:dyDescent="0.25">
      <c r="A803" t="str">
        <f>IF(REGLAS!J804="OBSOLETO","","INSERT INTO INYCEXT.INYC_CONF_INF_REGLAS (COD_INFORME,TABLA,NOMBRE,REGLA,F_INICIO,F_FIN,DESCRIPCION) VALUES ("&amp;REGLAS!B804&amp;",'"&amp;REGLAS!C804&amp;"','"&amp;REGLAS!D804&amp;"','"&amp;REGLAS!G804&amp;"',TO_DATE('"&amp;REGLAS!H804&amp;"','yyyymmdd'),TO_DATE('"&amp;REGLAS!I804&amp;"','yyyymmdd'),'"&amp;REGLAS!J804&amp;"');")</f>
        <v/>
      </c>
      <c r="B803" t="str">
        <f>IF(REGLAS!J804="OBSOLETO","","INSERT INTO INYCEXT.INYC_CONF_INF_REGLAS@tc_link (COD_INFORME,TABLA,NOMBRE,REGLA,F_INICIO,F_FIN,DESCRIPCION) VALUES ("&amp;REGLAS!B804&amp;",'"&amp;REGLAS!C804&amp;"','"&amp;REGLAS!D804&amp;"','"&amp;REGLAS!G804&amp;"',TO_DATE('"&amp;REGLAS!H804&amp;"','yyyymmdd'),TO_DATE('"&amp;REGLAS!I804&amp;"','yyyymmdd'),'"&amp;REGLAS!J804&amp;"');")</f>
        <v/>
      </c>
    </row>
    <row r="804" spans="1:2" x14ac:dyDescent="0.25">
      <c r="A804" t="str">
        <f>IF(REGLAS!J805="OBSOLETO","","INSERT INTO INYCEXT.INYC_CONF_INF_REGLAS (COD_INFORME,TABLA,NOMBRE,REGLA,F_INICIO,F_FIN,DESCRIPCION) VALUES ("&amp;REGLAS!B805&amp;",'"&amp;REGLAS!C805&amp;"','"&amp;REGLAS!D805&amp;"','"&amp;REGLAS!G805&amp;"',TO_DATE('"&amp;REGLAS!H805&amp;"','yyyymmdd'),TO_DATE('"&amp;REGLAS!I805&amp;"','yyyymmdd'),'"&amp;REGLAS!J805&amp;"');")</f>
        <v>INSERT INTO INYCEXT.INYC_CONF_INF_REGLAS (COD_INFORME,TABLA,NOMBRE,REGLA,F_INICIO,F_FIN,DESCRIPCION) VALUES (26.1,'INYC_RECOA_RESUMEN','Pago Trimestral','SM-O-RECOA-Inspector-Pago-HOGAR',TO_DATE('20140101','yyyymmdd'),TO_DATE('22000101','yyyymmdd'),'Version 20180119');</v>
      </c>
      <c r="B804" t="str">
        <f>IF(REGLAS!J805="OBSOLETO","","INSERT INTO INYCEXT.INYC_CONF_INF_REGLAS@tc_link (COD_INFORME,TABLA,NOMBRE,REGLA,F_INICIO,F_FIN,DESCRIPCION) VALUES ("&amp;REGLAS!B805&amp;",'"&amp;REGLAS!C805&amp;"','"&amp;REGLAS!D805&amp;"','"&amp;REGLAS!G805&amp;"',TO_DATE('"&amp;REGLAS!H805&amp;"','yyyymmdd'),TO_DATE('"&amp;REGLAS!I805&amp;"','yyyymmdd'),'"&amp;REGLAS!J805&amp;"');")</f>
        <v>INSERT INTO INYCEXT.INYC_CONF_INF_REGLAS@tc_link (COD_INFORME,TABLA,NOMBRE,REGLA,F_INICIO,F_FIN,DESCRIPCION) VALUES (26.1,'INYC_RECOA_RESUMEN','Pago Trimestral','SM-O-RECOA-Inspector-Pago-HOGAR',TO_DATE('20140101','yyyymmdd'),TO_DATE('22000101','yyyymmdd'),'Version 20180119');</v>
      </c>
    </row>
    <row r="805" spans="1:2" x14ac:dyDescent="0.25">
      <c r="A805" t="str">
        <f>IF(REGLAS!J806="OBSOLETO","","INSERT INTO INYCEXT.INYC_CONF_INF_REGLAS (COD_INFORME,TABLA,NOMBRE,REGLA,F_INICIO,F_FIN,DESCRIPCION) VALUES ("&amp;REGLAS!B806&amp;",'"&amp;REGLAS!C806&amp;"','"&amp;REGLAS!D806&amp;"','"&amp;REGLAS!G806&amp;"',TO_DATE('"&amp;REGLAS!H806&amp;"','yyyymmdd'),TO_DATE('"&amp;REGLAS!I806&amp;"','yyyymmdd'),'"&amp;REGLAS!J806&amp;"');")</f>
        <v>INSERT INTO INYCEXT.INYC_CONF_INF_REGLAS (COD_INFORME,TABLA,NOMBRE,REGLA,F_INICIO,F_FIN,DESCRIPCION) VALUES (26.1,'INYC_RECOA_RESUMEN','Pago Trimestral','SM-O-RECOA-Inspector-Pago-RRTT',TO_DATE('20140101','yyyymmdd'),TO_DATE('22000101','yyyymmdd'),'Version 20180119');</v>
      </c>
      <c r="B805" t="str">
        <f>IF(REGLAS!J806="OBSOLETO","","INSERT INTO INYCEXT.INYC_CONF_INF_REGLAS@tc_link (COD_INFORME,TABLA,NOMBRE,REGLA,F_INICIO,F_FIN,DESCRIPCION) VALUES ("&amp;REGLAS!B806&amp;",'"&amp;REGLAS!C806&amp;"','"&amp;REGLAS!D806&amp;"','"&amp;REGLAS!G806&amp;"',TO_DATE('"&amp;REGLAS!H806&amp;"','yyyymmdd'),TO_DATE('"&amp;REGLAS!I806&amp;"','yyyymmdd'),'"&amp;REGLAS!J806&amp;"');")</f>
        <v>INSERT INTO INYCEXT.INYC_CONF_INF_REGLAS@tc_link (COD_INFORME,TABLA,NOMBRE,REGLA,F_INICIO,F_FIN,DESCRIPCION) VALUES (26.1,'INYC_RECOA_RESUMEN','Pago Trimestral','SM-O-RECOA-Inspector-Pago-RRTT',TO_DATE('20140101','yyyymmdd'),TO_DATE('22000101','yyyymmdd'),'Version 20180119');</v>
      </c>
    </row>
    <row r="806" spans="1:2" x14ac:dyDescent="0.25">
      <c r="A806" t="str">
        <f>IF(REGLAS!J807="OBSOLETO","","INSERT INTO INYCEXT.INYC_CONF_INF_REGLAS (COD_INFORME,TABLA,NOMBRE,REGLA,F_INICIO,F_FIN,DESCRIPCION) VALUES ("&amp;REGLAS!B807&amp;",'"&amp;REGLAS!C807&amp;"','"&amp;REGLAS!D807&amp;"','"&amp;REGLAS!G807&amp;"',TO_DATE('"&amp;REGLAS!H807&amp;"','yyyymmdd'),TO_DATE('"&amp;REGLAS!I807&amp;"','yyyymmdd'),'"&amp;REGLAS!J807&amp;"');")</f>
        <v>INSERT INTO INYCEXT.INYC_CONF_INF_REGLAS (COD_INFORME,TABLA,NOMBRE,REGLA,F_INICIO,F_FIN,DESCRIPCION) VALUES (26.1,'INYC_RECOA_RESUMEN','Pago Trimestral','SM-O-RECOA-Inspector-Pago-AHORRO',TO_DATE('20140101','yyyymmdd'),TO_DATE('22000101','yyyymmdd'),'Version 20180119');</v>
      </c>
      <c r="B806" t="str">
        <f>IF(REGLAS!J807="OBSOLETO","","INSERT INTO INYCEXT.INYC_CONF_INF_REGLAS@tc_link (COD_INFORME,TABLA,NOMBRE,REGLA,F_INICIO,F_FIN,DESCRIPCION) VALUES ("&amp;REGLAS!B807&amp;",'"&amp;REGLAS!C807&amp;"','"&amp;REGLAS!D807&amp;"','"&amp;REGLAS!G807&amp;"',TO_DATE('"&amp;REGLAS!H807&amp;"','yyyymmdd'),TO_DATE('"&amp;REGLAS!I807&amp;"','yyyymmdd'),'"&amp;REGLAS!J807&amp;"');")</f>
        <v>INSERT INTO INYCEXT.INYC_CONF_INF_REGLAS@tc_link (COD_INFORME,TABLA,NOMBRE,REGLA,F_INICIO,F_FIN,DESCRIPCION) VALUES (26.1,'INYC_RECOA_RESUMEN','Pago Trimestral','SM-O-RECOA-Inspector-Pago-AHORRO',TO_DATE('20140101','yyyymmdd'),TO_DATE('22000101','yyyymmdd'),'Version 20180119');</v>
      </c>
    </row>
    <row r="807" spans="1:2" x14ac:dyDescent="0.25">
      <c r="A807" t="str">
        <f>IF(REGLAS!J808="OBSOLETO","","INSERT INTO INYCEXT.INYC_CONF_INF_REGLAS (COD_INFORME,TABLA,NOMBRE,REGLA,F_INICIO,F_FIN,DESCRIPCION) VALUES ("&amp;REGLAS!B808&amp;",'"&amp;REGLAS!C808&amp;"','"&amp;REGLAS!D808&amp;"','"&amp;REGLAS!G808&amp;"',TO_DATE('"&amp;REGLAS!H808&amp;"','yyyymmdd'),TO_DATE('"&amp;REGLAS!I808&amp;"','yyyymmdd'),'"&amp;REGLAS!J808&amp;"');")</f>
        <v>INSERT INTO INYCEXT.INYC_CONF_INF_REGLAS (COD_INFORME,TABLA,NOMBRE,REGLA,F_INICIO,F_FIN,DESCRIPCION) VALUES (26.1,'INYC_RECOA_RESUMEN','Porcentajes','SM-O-RECOA-Inspector-Porcentaje-PendOfi-Hogar-Actual',TO_DATE('20140101','yyyymmdd'),TO_DATE('22000101','yyyymmdd'),'Version 20180119');</v>
      </c>
      <c r="B807" t="str">
        <f>IF(REGLAS!J808="OBSOLETO","","INSERT INTO INYCEXT.INYC_CONF_INF_REGLAS@tc_link (COD_INFORME,TABLA,NOMBRE,REGLA,F_INICIO,F_FIN,DESCRIPCION) VALUES ("&amp;REGLAS!B808&amp;",'"&amp;REGLAS!C808&amp;"','"&amp;REGLAS!D808&amp;"','"&amp;REGLAS!G808&amp;"',TO_DATE('"&amp;REGLAS!H808&amp;"','yyyymmdd'),TO_DATE('"&amp;REGLAS!I808&amp;"','yyyymmdd'),'"&amp;REGLAS!J808&amp;"');")</f>
        <v>INSERT INTO INYCEXT.INYC_CONF_INF_REGLAS@tc_link (COD_INFORME,TABLA,NOMBRE,REGLA,F_INICIO,F_FIN,DESCRIPCION) VALUES (26.1,'INYC_RECOA_RESUMEN','Porcentajes','SM-O-RECOA-Inspector-Porcentaje-PendOfi-Hogar-Actual',TO_DATE('20140101','yyyymmdd'),TO_DATE('22000101','yyyymmdd'),'Version 20180119');</v>
      </c>
    </row>
    <row r="808" spans="1:2" x14ac:dyDescent="0.25">
      <c r="A808" t="str">
        <f>IF(REGLAS!J809="OBSOLETO","","INSERT INTO INYCEXT.INYC_CONF_INF_REGLAS (COD_INFORME,TABLA,NOMBRE,REGLA,F_INICIO,F_FIN,DESCRIPCION) VALUES ("&amp;REGLAS!B809&amp;",'"&amp;REGLAS!C809&amp;"','"&amp;REGLAS!D809&amp;"','"&amp;REGLAS!G809&amp;"',TO_DATE('"&amp;REGLAS!H809&amp;"','yyyymmdd'),TO_DATE('"&amp;REGLAS!I809&amp;"','yyyymmdd'),'"&amp;REGLAS!J809&amp;"');")</f>
        <v>INSERT INTO INYCEXT.INYC_CONF_INF_REGLAS (COD_INFORME,TABLA,NOMBRE,REGLA,F_INICIO,F_FIN,DESCRIPCION) VALUES (26.1,'INYC_RECOA_RESUMEN','Porcentajes','SM-O-RECOA-Inspector-Porcentaje-PendOfi-Hogar-Anterior',TO_DATE('20140101','yyyymmdd'),TO_DATE('22000101','yyyymmdd'),'Version 20180119');</v>
      </c>
      <c r="B808" t="str">
        <f>IF(REGLAS!J809="OBSOLETO","","INSERT INTO INYCEXT.INYC_CONF_INF_REGLAS@tc_link (COD_INFORME,TABLA,NOMBRE,REGLA,F_INICIO,F_FIN,DESCRIPCION) VALUES ("&amp;REGLAS!B809&amp;",'"&amp;REGLAS!C809&amp;"','"&amp;REGLAS!D809&amp;"','"&amp;REGLAS!G809&amp;"',TO_DATE('"&amp;REGLAS!H809&amp;"','yyyymmdd'),TO_DATE('"&amp;REGLAS!I809&amp;"','yyyymmdd'),'"&amp;REGLAS!J809&amp;"');")</f>
        <v>INSERT INTO INYCEXT.INYC_CONF_INF_REGLAS@tc_link (COD_INFORME,TABLA,NOMBRE,REGLA,F_INICIO,F_FIN,DESCRIPCION) VALUES (26.1,'INYC_RECOA_RESUMEN','Porcentajes','SM-O-RECOA-Inspector-Porcentaje-PendOfi-Hogar-Anterior',TO_DATE('20140101','yyyymmdd'),TO_DATE('22000101','yyyymmdd'),'Version 20180119');</v>
      </c>
    </row>
    <row r="809" spans="1:2" x14ac:dyDescent="0.25">
      <c r="A809" t="str">
        <f>IF(REGLAS!J810="OBSOLETO","","INSERT INTO INYCEXT.INYC_CONF_INF_REGLAS (COD_INFORME,TABLA,NOMBRE,REGLA,F_INICIO,F_FIN,DESCRIPCION) VALUES ("&amp;REGLAS!B810&amp;",'"&amp;REGLAS!C810&amp;"','"&amp;REGLAS!D810&amp;"','"&amp;REGLAS!G810&amp;"',TO_DATE('"&amp;REGLAS!H810&amp;"','yyyymmdd'),TO_DATE('"&amp;REGLAS!I810&amp;"','yyyymmdd'),'"&amp;REGLAS!J810&amp;"');")</f>
        <v>INSERT INTO INYCEXT.INYC_CONF_INF_REGLAS (COD_INFORME,TABLA,NOMBRE,REGLA,F_INICIO,F_FIN,DESCRIPCION) VALUES (26.1,'INYC_RECOA_RESUMEN','Porcentajes','SM-O-RECOA-Inspector-Porcentaje-PendCia-Hogar-Anterior',TO_DATE('20140101','yyyymmdd'),TO_DATE('22000101','yyyymmdd'),'Version 20180119');</v>
      </c>
      <c r="B809" t="str">
        <f>IF(REGLAS!J810="OBSOLETO","","INSERT INTO INYCEXT.INYC_CONF_INF_REGLAS@tc_link (COD_INFORME,TABLA,NOMBRE,REGLA,F_INICIO,F_FIN,DESCRIPCION) VALUES ("&amp;REGLAS!B810&amp;",'"&amp;REGLAS!C810&amp;"','"&amp;REGLAS!D810&amp;"','"&amp;REGLAS!G810&amp;"',TO_DATE('"&amp;REGLAS!H810&amp;"','yyyymmdd'),TO_DATE('"&amp;REGLAS!I810&amp;"','yyyymmdd'),'"&amp;REGLAS!J810&amp;"');")</f>
        <v>INSERT INTO INYCEXT.INYC_CONF_INF_REGLAS@tc_link (COD_INFORME,TABLA,NOMBRE,REGLA,F_INICIO,F_FIN,DESCRIPCION) VALUES (26.1,'INYC_RECOA_RESUMEN','Porcentajes','SM-O-RECOA-Inspector-Porcentaje-PendCia-Hogar-Anterior',TO_DATE('20140101','yyyymmdd'),TO_DATE('22000101','yyyymmdd'),'Version 20180119');</v>
      </c>
    </row>
    <row r="810" spans="1:2" x14ac:dyDescent="0.25">
      <c r="A810" t="str">
        <f>IF(REGLAS!J811="OBSOLETO","","INSERT INTO INYCEXT.INYC_CONF_INF_REGLAS (COD_INFORME,TABLA,NOMBRE,REGLA,F_INICIO,F_FIN,DESCRIPCION) VALUES ("&amp;REGLAS!B811&amp;",'"&amp;REGLAS!C811&amp;"','"&amp;REGLAS!D811&amp;"','"&amp;REGLAS!G811&amp;"',TO_DATE('"&amp;REGLAS!H811&amp;"','yyyymmdd'),TO_DATE('"&amp;REGLAS!I811&amp;"','yyyymmdd'),'"&amp;REGLAS!J811&amp;"');")</f>
        <v>INSERT INTO INYCEXT.INYC_CONF_INF_REGLAS (COD_INFORME,TABLA,NOMBRE,REGLA,F_INICIO,F_FIN,DESCRIPCION) VALUES (26.1,'INYC_RECOA_RESUMEN','Porcentajes','SM-O-RECOA-Inspector-Porcentaje-AnulacionOfi-Hogar-Actual',TO_DATE('20140101','yyyymmdd'),TO_DATE('22000101','yyyymmdd'),'Version 20180119');</v>
      </c>
      <c r="B810" t="str">
        <f>IF(REGLAS!J811="OBSOLETO","","INSERT INTO INYCEXT.INYC_CONF_INF_REGLAS@tc_link (COD_INFORME,TABLA,NOMBRE,REGLA,F_INICIO,F_FIN,DESCRIPCION) VALUES ("&amp;REGLAS!B811&amp;",'"&amp;REGLAS!C811&amp;"','"&amp;REGLAS!D811&amp;"','"&amp;REGLAS!G811&amp;"',TO_DATE('"&amp;REGLAS!H811&amp;"','yyyymmdd'),TO_DATE('"&amp;REGLAS!I811&amp;"','yyyymmdd'),'"&amp;REGLAS!J811&amp;"');")</f>
        <v>INSERT INTO INYCEXT.INYC_CONF_INF_REGLAS@tc_link (COD_INFORME,TABLA,NOMBRE,REGLA,F_INICIO,F_FIN,DESCRIPCION) VALUES (26.1,'INYC_RECOA_RESUMEN','Porcentajes','SM-O-RECOA-Inspector-Porcentaje-AnulacionOfi-Hogar-Actual',TO_DATE('20140101','yyyymmdd'),TO_DATE('22000101','yyyymmdd'),'Version 20180119');</v>
      </c>
    </row>
    <row r="811" spans="1:2" x14ac:dyDescent="0.25">
      <c r="A811" t="str">
        <f>IF(REGLAS!J812="OBSOLETO","","INSERT INTO INYCEXT.INYC_CONF_INF_REGLAS (COD_INFORME,TABLA,NOMBRE,REGLA,F_INICIO,F_FIN,DESCRIPCION) VALUES ("&amp;REGLAS!B812&amp;",'"&amp;REGLAS!C812&amp;"','"&amp;REGLAS!D812&amp;"','"&amp;REGLAS!G812&amp;"',TO_DATE('"&amp;REGLAS!H812&amp;"','yyyymmdd'),TO_DATE('"&amp;REGLAS!I812&amp;"','yyyymmdd'),'"&amp;REGLAS!J812&amp;"');")</f>
        <v>INSERT INTO INYCEXT.INYC_CONF_INF_REGLAS (COD_INFORME,TABLA,NOMBRE,REGLA,F_INICIO,F_FIN,DESCRIPCION) VALUES (26.1,'INYC_RECOA_RESUMEN','Porcentajes','SM-O-RECOA-Inspector-Porcentaje-PendOfi-RRTT-Actual',TO_DATE('20140101','yyyymmdd'),TO_DATE('22000101','yyyymmdd'),'Version 20180119');</v>
      </c>
      <c r="B811" t="str">
        <f>IF(REGLAS!J812="OBSOLETO","","INSERT INTO INYCEXT.INYC_CONF_INF_REGLAS@tc_link (COD_INFORME,TABLA,NOMBRE,REGLA,F_INICIO,F_FIN,DESCRIPCION) VALUES ("&amp;REGLAS!B812&amp;",'"&amp;REGLAS!C812&amp;"','"&amp;REGLAS!D812&amp;"','"&amp;REGLAS!G812&amp;"',TO_DATE('"&amp;REGLAS!H812&amp;"','yyyymmdd'),TO_DATE('"&amp;REGLAS!I812&amp;"','yyyymmdd'),'"&amp;REGLAS!J812&amp;"');")</f>
        <v>INSERT INTO INYCEXT.INYC_CONF_INF_REGLAS@tc_link (COD_INFORME,TABLA,NOMBRE,REGLA,F_INICIO,F_FIN,DESCRIPCION) VALUES (26.1,'INYC_RECOA_RESUMEN','Porcentajes','SM-O-RECOA-Inspector-Porcentaje-PendOfi-RRTT-Actual',TO_DATE('20140101','yyyymmdd'),TO_DATE('22000101','yyyymmdd'),'Version 20180119');</v>
      </c>
    </row>
    <row r="812" spans="1:2" x14ac:dyDescent="0.25">
      <c r="A812" t="str">
        <f>IF(REGLAS!J813="OBSOLETO","","INSERT INTO INYCEXT.INYC_CONF_INF_REGLAS (COD_INFORME,TABLA,NOMBRE,REGLA,F_INICIO,F_FIN,DESCRIPCION) VALUES ("&amp;REGLAS!B813&amp;",'"&amp;REGLAS!C813&amp;"','"&amp;REGLAS!D813&amp;"','"&amp;REGLAS!G813&amp;"',TO_DATE('"&amp;REGLAS!H813&amp;"','yyyymmdd'),TO_DATE('"&amp;REGLAS!I813&amp;"','yyyymmdd'),'"&amp;REGLAS!J813&amp;"');")</f>
        <v>INSERT INTO INYCEXT.INYC_CONF_INF_REGLAS (COD_INFORME,TABLA,NOMBRE,REGLA,F_INICIO,F_FIN,DESCRIPCION) VALUES (26.1,'INYC_RECOA_RESUMEN','Porcentajes','SM-O-RECOA-Inspector-Porcentaje-PendOfi-RRTT-Anterior',TO_DATE('20140101','yyyymmdd'),TO_DATE('22000101','yyyymmdd'),'Version 20180119');</v>
      </c>
      <c r="B812" t="str">
        <f>IF(REGLAS!J813="OBSOLETO","","INSERT INTO INYCEXT.INYC_CONF_INF_REGLAS@tc_link (COD_INFORME,TABLA,NOMBRE,REGLA,F_INICIO,F_FIN,DESCRIPCION) VALUES ("&amp;REGLAS!B813&amp;",'"&amp;REGLAS!C813&amp;"','"&amp;REGLAS!D813&amp;"','"&amp;REGLAS!G813&amp;"',TO_DATE('"&amp;REGLAS!H813&amp;"','yyyymmdd'),TO_DATE('"&amp;REGLAS!I813&amp;"','yyyymmdd'),'"&amp;REGLAS!J813&amp;"');")</f>
        <v>INSERT INTO INYCEXT.INYC_CONF_INF_REGLAS@tc_link (COD_INFORME,TABLA,NOMBRE,REGLA,F_INICIO,F_FIN,DESCRIPCION) VALUES (26.1,'INYC_RECOA_RESUMEN','Porcentajes','SM-O-RECOA-Inspector-Porcentaje-PendOfi-RRTT-Anterior',TO_DATE('20140101','yyyymmdd'),TO_DATE('22000101','yyyymmdd'),'Version 20180119');</v>
      </c>
    </row>
    <row r="813" spans="1:2" x14ac:dyDescent="0.25">
      <c r="A813" t="str">
        <f>IF(REGLAS!J814="OBSOLETO","","INSERT INTO INYCEXT.INYC_CONF_INF_REGLAS (COD_INFORME,TABLA,NOMBRE,REGLA,F_INICIO,F_FIN,DESCRIPCION) VALUES ("&amp;REGLAS!B814&amp;",'"&amp;REGLAS!C814&amp;"','"&amp;REGLAS!D814&amp;"','"&amp;REGLAS!G814&amp;"',TO_DATE('"&amp;REGLAS!H814&amp;"','yyyymmdd'),TO_DATE('"&amp;REGLAS!I814&amp;"','yyyymmdd'),'"&amp;REGLAS!J814&amp;"');")</f>
        <v>INSERT INTO INYCEXT.INYC_CONF_INF_REGLAS (COD_INFORME,TABLA,NOMBRE,REGLA,F_INICIO,F_FIN,DESCRIPCION) VALUES (26.1,'INYC_RECOA_RESUMEN','Porcentajes','SM-O-RECOA-Inspector-Porcentaje-PendCia-RRTT-Anterior',TO_DATE('20140101','yyyymmdd'),TO_DATE('22000101','yyyymmdd'),'Version 20180119');</v>
      </c>
      <c r="B813" t="str">
        <f>IF(REGLAS!J814="OBSOLETO","","INSERT INTO INYCEXT.INYC_CONF_INF_REGLAS@tc_link (COD_INFORME,TABLA,NOMBRE,REGLA,F_INICIO,F_FIN,DESCRIPCION) VALUES ("&amp;REGLAS!B814&amp;",'"&amp;REGLAS!C814&amp;"','"&amp;REGLAS!D814&amp;"','"&amp;REGLAS!G814&amp;"',TO_DATE('"&amp;REGLAS!H814&amp;"','yyyymmdd'),TO_DATE('"&amp;REGLAS!I814&amp;"','yyyymmdd'),'"&amp;REGLAS!J814&amp;"');")</f>
        <v>INSERT INTO INYCEXT.INYC_CONF_INF_REGLAS@tc_link (COD_INFORME,TABLA,NOMBRE,REGLA,F_INICIO,F_FIN,DESCRIPCION) VALUES (26.1,'INYC_RECOA_RESUMEN','Porcentajes','SM-O-RECOA-Inspector-Porcentaje-PendCia-RRTT-Anterior',TO_DATE('20140101','yyyymmdd'),TO_DATE('22000101','yyyymmdd'),'Version 20180119');</v>
      </c>
    </row>
    <row r="814" spans="1:2" x14ac:dyDescent="0.25">
      <c r="A814" t="str">
        <f>IF(REGLAS!J815="OBSOLETO","","INSERT INTO INYCEXT.INYC_CONF_INF_REGLAS (COD_INFORME,TABLA,NOMBRE,REGLA,F_INICIO,F_FIN,DESCRIPCION) VALUES ("&amp;REGLAS!B815&amp;",'"&amp;REGLAS!C815&amp;"','"&amp;REGLAS!D815&amp;"','"&amp;REGLAS!G815&amp;"',TO_DATE('"&amp;REGLAS!H815&amp;"','yyyymmdd'),TO_DATE('"&amp;REGLAS!I815&amp;"','yyyymmdd'),'"&amp;REGLAS!J815&amp;"');")</f>
        <v>INSERT INTO INYCEXT.INYC_CONF_INF_REGLAS (COD_INFORME,TABLA,NOMBRE,REGLA,F_INICIO,F_FIN,DESCRIPCION) VALUES (26.1,'INYC_RECOA_RESUMEN','Porcentajes','SM-O-RECOA-Inspector-Porcentaje-AnulacionOfi-RRTT-Actual',TO_DATE('20140101','yyyymmdd'),TO_DATE('22000101','yyyymmdd'),'Version 20180119');</v>
      </c>
      <c r="B814" t="str">
        <f>IF(REGLAS!J815="OBSOLETO","","INSERT INTO INYCEXT.INYC_CONF_INF_REGLAS@tc_link (COD_INFORME,TABLA,NOMBRE,REGLA,F_INICIO,F_FIN,DESCRIPCION) VALUES ("&amp;REGLAS!B815&amp;",'"&amp;REGLAS!C815&amp;"','"&amp;REGLAS!D815&amp;"','"&amp;REGLAS!G815&amp;"',TO_DATE('"&amp;REGLAS!H815&amp;"','yyyymmdd'),TO_DATE('"&amp;REGLAS!I815&amp;"','yyyymmdd'),'"&amp;REGLAS!J815&amp;"');")</f>
        <v>INSERT INTO INYCEXT.INYC_CONF_INF_REGLAS@tc_link (COD_INFORME,TABLA,NOMBRE,REGLA,F_INICIO,F_FIN,DESCRIPCION) VALUES (26.1,'INYC_RECOA_RESUMEN','Porcentajes','SM-O-RECOA-Inspector-Porcentaje-AnulacionOfi-RRTT-Actual',TO_DATE('20140101','yyyymmdd'),TO_DATE('22000101','yyyymmdd'),'Version 20180119');</v>
      </c>
    </row>
    <row r="815" spans="1:2" x14ac:dyDescent="0.25">
      <c r="A815" t="str">
        <f>IF(REGLAS!J816="OBSOLETO","","INSERT INTO INYCEXT.INYC_CONF_INF_REGLAS (COD_INFORME,TABLA,NOMBRE,REGLA,F_INICIO,F_FIN,DESCRIPCION) VALUES ("&amp;REGLAS!B816&amp;",'"&amp;REGLAS!C816&amp;"','"&amp;REGLAS!D816&amp;"','"&amp;REGLAS!G816&amp;"',TO_DATE('"&amp;REGLAS!H816&amp;"','yyyymmdd'),TO_DATE('"&amp;REGLAS!I816&amp;"','yyyymmdd'),'"&amp;REGLAS!J816&amp;"');")</f>
        <v>INSERT INTO INYCEXT.INYC_CONF_INF_REGLAS (COD_INFORME,TABLA,NOMBRE,REGLA,F_INICIO,F_FIN,DESCRIPCION) VALUES (26.1,'INYC_RECOA_RESUMEN','Porcentajes','SM-O-RECOA-Inspector-Porcentaje-PendOfi-Ahorro-Actual',TO_DATE('20140101','yyyymmdd'),TO_DATE('22000101','yyyymmdd'),'Version 20180119');</v>
      </c>
      <c r="B815" t="str">
        <f>IF(REGLAS!J816="OBSOLETO","","INSERT INTO INYCEXT.INYC_CONF_INF_REGLAS@tc_link (COD_INFORME,TABLA,NOMBRE,REGLA,F_INICIO,F_FIN,DESCRIPCION) VALUES ("&amp;REGLAS!B816&amp;",'"&amp;REGLAS!C816&amp;"','"&amp;REGLAS!D816&amp;"','"&amp;REGLAS!G816&amp;"',TO_DATE('"&amp;REGLAS!H816&amp;"','yyyymmdd'),TO_DATE('"&amp;REGLAS!I816&amp;"','yyyymmdd'),'"&amp;REGLAS!J816&amp;"');")</f>
        <v>INSERT INTO INYCEXT.INYC_CONF_INF_REGLAS@tc_link (COD_INFORME,TABLA,NOMBRE,REGLA,F_INICIO,F_FIN,DESCRIPCION) VALUES (26.1,'INYC_RECOA_RESUMEN','Porcentajes','SM-O-RECOA-Inspector-Porcentaje-PendOfi-Ahorro-Actual',TO_DATE('20140101','yyyymmdd'),TO_DATE('22000101','yyyymmdd'),'Version 20180119');</v>
      </c>
    </row>
    <row r="816" spans="1:2" x14ac:dyDescent="0.25">
      <c r="A816" t="str">
        <f>IF(REGLAS!J817="OBSOLETO","","INSERT INTO INYCEXT.INYC_CONF_INF_REGLAS (COD_INFORME,TABLA,NOMBRE,REGLA,F_INICIO,F_FIN,DESCRIPCION) VALUES ("&amp;REGLAS!B817&amp;",'"&amp;REGLAS!C817&amp;"','"&amp;REGLAS!D817&amp;"','"&amp;REGLAS!G817&amp;"',TO_DATE('"&amp;REGLAS!H817&amp;"','yyyymmdd'),TO_DATE('"&amp;REGLAS!I817&amp;"','yyyymmdd'),'"&amp;REGLAS!J817&amp;"');")</f>
        <v>INSERT INTO INYCEXT.INYC_CONF_INF_REGLAS (COD_INFORME,TABLA,NOMBRE,REGLA,F_INICIO,F_FIN,DESCRIPCION) VALUES (26.1,'INYC_RECOA_RESUMEN','Porcentajes','SM-O-RECOA-Inspector-Porcentaje-PendOfi-Ahorro-Anterior',TO_DATE('20140101','yyyymmdd'),TO_DATE('22000101','yyyymmdd'),'Version 20180119');</v>
      </c>
      <c r="B816" t="str">
        <f>IF(REGLAS!J817="OBSOLETO","","INSERT INTO INYCEXT.INYC_CONF_INF_REGLAS@tc_link (COD_INFORME,TABLA,NOMBRE,REGLA,F_INICIO,F_FIN,DESCRIPCION) VALUES ("&amp;REGLAS!B817&amp;",'"&amp;REGLAS!C817&amp;"','"&amp;REGLAS!D817&amp;"','"&amp;REGLAS!G817&amp;"',TO_DATE('"&amp;REGLAS!H817&amp;"','yyyymmdd'),TO_DATE('"&amp;REGLAS!I817&amp;"','yyyymmdd'),'"&amp;REGLAS!J817&amp;"');")</f>
        <v>INSERT INTO INYCEXT.INYC_CONF_INF_REGLAS@tc_link (COD_INFORME,TABLA,NOMBRE,REGLA,F_INICIO,F_FIN,DESCRIPCION) VALUES (26.1,'INYC_RECOA_RESUMEN','Porcentajes','SM-O-RECOA-Inspector-Porcentaje-PendOfi-Ahorro-Anterior',TO_DATE('20140101','yyyymmdd'),TO_DATE('22000101','yyyymmdd'),'Version 20180119');</v>
      </c>
    </row>
    <row r="817" spans="1:2" x14ac:dyDescent="0.25">
      <c r="A817" t="str">
        <f>IF(REGLAS!J818="OBSOLETO","","INSERT INTO INYCEXT.INYC_CONF_INF_REGLAS (COD_INFORME,TABLA,NOMBRE,REGLA,F_INICIO,F_FIN,DESCRIPCION) VALUES ("&amp;REGLAS!B818&amp;",'"&amp;REGLAS!C818&amp;"','"&amp;REGLAS!D818&amp;"','"&amp;REGLAS!G818&amp;"',TO_DATE('"&amp;REGLAS!H818&amp;"','yyyymmdd'),TO_DATE('"&amp;REGLAS!I818&amp;"','yyyymmdd'),'"&amp;REGLAS!J818&amp;"');")</f>
        <v>INSERT INTO INYCEXT.INYC_CONF_INF_REGLAS (COD_INFORME,TABLA,NOMBRE,REGLA,F_INICIO,F_FIN,DESCRIPCION) VALUES (26.1,'INYC_RECOA_RESUMEN','Porcentajes','SM-O-RECOA-Inspector-Porcentaje-PendCia-Ahorro-Anterior',TO_DATE('20140101','yyyymmdd'),TO_DATE('22000101','yyyymmdd'),'Version 20180119');</v>
      </c>
      <c r="B817" t="str">
        <f>IF(REGLAS!J818="OBSOLETO","","INSERT INTO INYCEXT.INYC_CONF_INF_REGLAS@tc_link (COD_INFORME,TABLA,NOMBRE,REGLA,F_INICIO,F_FIN,DESCRIPCION) VALUES ("&amp;REGLAS!B818&amp;",'"&amp;REGLAS!C818&amp;"','"&amp;REGLAS!D818&amp;"','"&amp;REGLAS!G818&amp;"',TO_DATE('"&amp;REGLAS!H818&amp;"','yyyymmdd'),TO_DATE('"&amp;REGLAS!I818&amp;"','yyyymmdd'),'"&amp;REGLAS!J818&amp;"');")</f>
        <v>INSERT INTO INYCEXT.INYC_CONF_INF_REGLAS@tc_link (COD_INFORME,TABLA,NOMBRE,REGLA,F_INICIO,F_FIN,DESCRIPCION) VALUES (26.1,'INYC_RECOA_RESUMEN','Porcentajes','SM-O-RECOA-Inspector-Porcentaje-PendCia-Ahorro-Anterior',TO_DATE('20140101','yyyymmdd'),TO_DATE('22000101','yyyymmdd'),'Version 20180119');</v>
      </c>
    </row>
    <row r="818" spans="1:2" x14ac:dyDescent="0.25">
      <c r="A818" t="str">
        <f>IF(REGLAS!J819="OBSOLETO","","INSERT INTO INYCEXT.INYC_CONF_INF_REGLAS (COD_INFORME,TABLA,NOMBRE,REGLA,F_INICIO,F_FIN,DESCRIPCION) VALUES ("&amp;REGLAS!B819&amp;",'"&amp;REGLAS!C819&amp;"','"&amp;REGLAS!D819&amp;"','"&amp;REGLAS!G819&amp;"',TO_DATE('"&amp;REGLAS!H819&amp;"','yyyymmdd'),TO_DATE('"&amp;REGLAS!I819&amp;"','yyyymmdd'),'"&amp;REGLAS!J819&amp;"');")</f>
        <v>INSERT INTO INYCEXT.INYC_CONF_INF_REGLAS (COD_INFORME,TABLA,NOMBRE,REGLA,F_INICIO,F_FIN,DESCRIPCION) VALUES (26.1,'INYC_RECOA_RESUMEN','Porcentajes','SM-O-RECOA-Inspector-Porcentaje-AnulacionOfi-Ahorro-Actual',TO_DATE('20140101','yyyymmdd'),TO_DATE('22000101','yyyymmdd'),'Version 20180119');</v>
      </c>
      <c r="B818" t="str">
        <f>IF(REGLAS!J819="OBSOLETO","","INSERT INTO INYCEXT.INYC_CONF_INF_REGLAS@tc_link (COD_INFORME,TABLA,NOMBRE,REGLA,F_INICIO,F_FIN,DESCRIPCION) VALUES ("&amp;REGLAS!B819&amp;",'"&amp;REGLAS!C819&amp;"','"&amp;REGLAS!D819&amp;"','"&amp;REGLAS!G819&amp;"',TO_DATE('"&amp;REGLAS!H819&amp;"','yyyymmdd'),TO_DATE('"&amp;REGLAS!I819&amp;"','yyyymmdd'),'"&amp;REGLAS!J819&amp;"');")</f>
        <v>INSERT INTO INYCEXT.INYC_CONF_INF_REGLAS@tc_link (COD_INFORME,TABLA,NOMBRE,REGLA,F_INICIO,F_FIN,DESCRIPCION) VALUES (26.1,'INYC_RECOA_RESUMEN','Porcentajes','SM-O-RECOA-Inspector-Porcentaje-AnulacionOfi-Ahorro-Actual',TO_DATE('20140101','yyyymmdd'),TO_DATE('22000101','yyyymmdd'),'Version 20180119');</v>
      </c>
    </row>
    <row r="819" spans="1:2" x14ac:dyDescent="0.25">
      <c r="A819" t="str">
        <f>IF(REGLAS!J820="OBSOLETO","","INSERT INTO INYCEXT.INYC_CONF_INF_REGLAS (COD_INFORME,TABLA,NOMBRE,REGLA,F_INICIO,F_FIN,DESCRIPCION) VALUES ("&amp;REGLAS!B820&amp;",'"&amp;REGLAS!C820&amp;"','"&amp;REGLAS!D820&amp;"','"&amp;REGLAS!G820&amp;"',TO_DATE('"&amp;REGLAS!H820&amp;"','yyyymmdd'),TO_DATE('"&amp;REGLAS!I820&amp;"','yyyymmdd'),'"&amp;REGLAS!J820&amp;"');")</f>
        <v>INSERT INTO INYCEXT.INYC_CONF_INF_REGLAS (COD_INFORME,TABLA,NOMBRE,REGLA,F_INICIO,F_FIN,DESCRIPCION) VALUES (26.1,'INYC_RECOA_RESUMEN','Objetivo Primas','SM-O-RECOA-Inspector-Objetivo-Prima',TO_DATE('20140101','yyyymmdd'),TO_DATE('22000101','yyyymmdd'),'Version 20180119');</v>
      </c>
      <c r="B819" t="str">
        <f>IF(REGLAS!J820="OBSOLETO","","INSERT INTO INYCEXT.INYC_CONF_INF_REGLAS@tc_link (COD_INFORME,TABLA,NOMBRE,REGLA,F_INICIO,F_FIN,DESCRIPCION) VALUES ("&amp;REGLAS!B820&amp;",'"&amp;REGLAS!C820&amp;"','"&amp;REGLAS!D820&amp;"','"&amp;REGLAS!G820&amp;"',TO_DATE('"&amp;REGLAS!H820&amp;"','yyyymmdd'),TO_DATE('"&amp;REGLAS!I820&amp;"','yyyymmdd'),'"&amp;REGLAS!J820&amp;"');")</f>
        <v>INSERT INTO INYCEXT.INYC_CONF_INF_REGLAS@tc_link (COD_INFORME,TABLA,NOMBRE,REGLA,F_INICIO,F_FIN,DESCRIPCION) VALUES (26.1,'INYC_RECOA_RESUMEN','Objetivo Primas','SM-O-RECOA-Inspector-Objetivo-Prima',TO_DATE('20140101','yyyymmdd'),TO_DATE('22000101','yyyymmdd'),'Version 20180119');</v>
      </c>
    </row>
    <row r="820" spans="1:2" x14ac:dyDescent="0.25">
      <c r="A820" t="str">
        <f>IF(REGLAS!J821="OBSOLETO","","INSERT INTO INYCEXT.INYC_CONF_INF_REGLAS (COD_INFORME,TABLA,NOMBRE,REGLA,F_INICIO,F_FIN,DESCRIPCION) VALUES ("&amp;REGLAS!B821&amp;",'"&amp;REGLAS!C821&amp;"','"&amp;REGLAS!D821&amp;"','"&amp;REGLAS!G821&amp;"',TO_DATE('"&amp;REGLAS!H821&amp;"','yyyymmdd'),TO_DATE('"&amp;REGLAS!I821&amp;"','yyyymmdd'),'"&amp;REGLAS!J821&amp;"');")</f>
        <v>INSERT INTO INYCEXT.INYC_CONF_INF_REGLAS (COD_INFORME,TABLA,NOMBRE,REGLA,F_INICIO,F_FIN,DESCRIPCION) VALUES (26.1,'INYC_RECOA_RESUMEN','Prima Total Ramos Mes Anterior','SM-O-RECOA-Inspector-PrimaAcumTrim',TO_DATE('20140101','yyyymmdd'),TO_DATE('22000101','yyyymmdd'),'Version 20180119');</v>
      </c>
      <c r="B820" t="str">
        <f>IF(REGLAS!J821="OBSOLETO","","INSERT INTO INYCEXT.INYC_CONF_INF_REGLAS@tc_link (COD_INFORME,TABLA,NOMBRE,REGLA,F_INICIO,F_FIN,DESCRIPCION) VALUES ("&amp;REGLAS!B821&amp;",'"&amp;REGLAS!C821&amp;"','"&amp;REGLAS!D821&amp;"','"&amp;REGLAS!G821&amp;"',TO_DATE('"&amp;REGLAS!H821&amp;"','yyyymmdd'),TO_DATE('"&amp;REGLAS!I821&amp;"','yyyymmdd'),'"&amp;REGLAS!J821&amp;"');")</f>
        <v>INSERT INTO INYCEXT.INYC_CONF_INF_REGLAS@tc_link (COD_INFORME,TABLA,NOMBRE,REGLA,F_INICIO,F_FIN,DESCRIPCION) VALUES (26.1,'INYC_RECOA_RESUMEN','Prima Total Ramos Mes Anterior','SM-O-RECOA-Inspector-PrimaAcumTrim',TO_DATE('20140101','yyyymmdd'),TO_DATE('22000101','yyyymmdd'),'Version 20180119');</v>
      </c>
    </row>
    <row r="821" spans="1:2" x14ac:dyDescent="0.25">
      <c r="A821" t="str">
        <f>IF(REGLAS!J822="OBSOLETO","","INSERT INTO INYCEXT.INYC_CONF_INF_REGLAS (COD_INFORME,TABLA,NOMBRE,REGLA,F_INICIO,F_FIN,DESCRIPCION) VALUES ("&amp;REGLAS!B822&amp;",'"&amp;REGLAS!C822&amp;"','"&amp;REGLAS!D822&amp;"','"&amp;REGLAS!G822&amp;"',TO_DATE('"&amp;REGLAS!H822&amp;"','yyyymmdd'),TO_DATE('"&amp;REGLAS!I822&amp;"','yyyymmdd'),'"&amp;REGLAS!J822&amp;"');")</f>
        <v>INSERT INTO INYCEXT.INYC_CONF_INF_REGLAS (COD_INFORME,TABLA,NOMBRE,REGLA,F_INICIO,F_FIN,DESCRIPCION) VALUES (27.1,'INYC_CAP_RESUMEN','SM - Numero Meses Agente','SM-O-CAP-Agente-NumeroMeses',TO_DATE('20180101','yyyymmdd'),TO_DATE('22000101','yyyymmdd'),'Version 20180222');</v>
      </c>
      <c r="B821" t="str">
        <f>IF(REGLAS!J822="OBSOLETO","","INSERT INTO INYCEXT.INYC_CONF_INF_REGLAS@tc_link (COD_INFORME,TABLA,NOMBRE,REGLA,F_INICIO,F_FIN,DESCRIPCION) VALUES ("&amp;REGLAS!B822&amp;",'"&amp;REGLAS!C822&amp;"','"&amp;REGLAS!D822&amp;"','"&amp;REGLAS!G822&amp;"',TO_DATE('"&amp;REGLAS!H822&amp;"','yyyymmdd'),TO_DATE('"&amp;REGLAS!I822&amp;"','yyyymmdd'),'"&amp;REGLAS!J822&amp;"');")</f>
        <v>INSERT INTO INYCEXT.INYC_CONF_INF_REGLAS@tc_link (COD_INFORME,TABLA,NOMBRE,REGLA,F_INICIO,F_FIN,DESCRIPCION) VALUES (27.1,'INYC_CAP_RESUMEN','SM - Numero Meses Agente','SM-O-CAP-Agente-NumeroMeses',TO_DATE('20180101','yyyymmdd'),TO_DATE('22000101','yyyymmdd'),'Version 20180222');</v>
      </c>
    </row>
    <row r="822" spans="1:2" x14ac:dyDescent="0.25">
      <c r="A822" t="str">
        <f>IF(REGLAS!J823="OBSOLETO","","INSERT INTO INYCEXT.INYC_CONF_INF_REGLAS (COD_INFORME,TABLA,NOMBRE,REGLA,F_INICIO,F_FIN,DESCRIPCION) VALUES ("&amp;REGLAS!B823&amp;",'"&amp;REGLAS!C823&amp;"','"&amp;REGLAS!D823&amp;"','"&amp;REGLAS!G823&amp;"',TO_DATE('"&amp;REGLAS!H823&amp;"','yyyymmdd'),TO_DATE('"&amp;REGLAS!I823&amp;"','yyyymmdd'),'"&amp;REGLAS!J823&amp;"');")</f>
        <v>INSERT INTO INYCEXT.INYC_CONF_INF_REGLAS (COD_INFORME,TABLA,NOMBRE,REGLA,F_INICIO,F_FIN,DESCRIPCION) VALUES (27.1,'INYC_CAP_RESUMEN','SM - Pólizas Agente Acumulado','SM-O-CAP-Agente-Polizas-Acumulado',TO_DATE('20180101','yyyymmdd'),TO_DATE('22000101','yyyymmdd'),'Version 20180222');</v>
      </c>
      <c r="B822" t="str">
        <f>IF(REGLAS!J823="OBSOLETO","","INSERT INTO INYCEXT.INYC_CONF_INF_REGLAS@tc_link (COD_INFORME,TABLA,NOMBRE,REGLA,F_INICIO,F_FIN,DESCRIPCION) VALUES ("&amp;REGLAS!B823&amp;",'"&amp;REGLAS!C823&amp;"','"&amp;REGLAS!D823&amp;"','"&amp;REGLAS!G823&amp;"',TO_DATE('"&amp;REGLAS!H823&amp;"','yyyymmdd'),TO_DATE('"&amp;REGLAS!I823&amp;"','yyyymmdd'),'"&amp;REGLAS!J823&amp;"');")</f>
        <v>INSERT INTO INYCEXT.INYC_CONF_INF_REGLAS@tc_link (COD_INFORME,TABLA,NOMBRE,REGLA,F_INICIO,F_FIN,DESCRIPCION) VALUES (27.1,'INYC_CAP_RESUMEN','SM - Pólizas Agente Acumulado','SM-O-CAP-Agente-Polizas-Acumulado',TO_DATE('20180101','yyyymmdd'),TO_DATE('22000101','yyyymmdd'),'Version 20180222');</v>
      </c>
    </row>
    <row r="823" spans="1:2" x14ac:dyDescent="0.25">
      <c r="A823" t="str">
        <f>IF(REGLAS!J824="OBSOLETO","","INSERT INTO INYCEXT.INYC_CONF_INF_REGLAS (COD_INFORME,TABLA,NOMBRE,REGLA,F_INICIO,F_FIN,DESCRIPCION) VALUES ("&amp;REGLAS!B824&amp;",'"&amp;REGLAS!C824&amp;"','"&amp;REGLAS!D824&amp;"','"&amp;REGLAS!G824&amp;"',TO_DATE('"&amp;REGLAS!H824&amp;"','yyyymmdd'),TO_DATE('"&amp;REGLAS!I824&amp;"','yyyymmdd'),'"&amp;REGLAS!J824&amp;"');")</f>
        <v>INSERT INTO INYCEXT.INYC_CONF_INF_REGLAS (COD_INFORME,TABLA,NOMBRE,REGLA,F_INICIO,F_FIN,DESCRIPCION) VALUES (27.1,'INYC_CAP_RESUMEN','SM - Primas Agente Acumulado','SM-O-CAP-Agente-Prima-Acumulado',TO_DATE('20180101','yyyymmdd'),TO_DATE('22000101','yyyymmdd'),'Version 20180222');</v>
      </c>
      <c r="B823" t="str">
        <f>IF(REGLAS!J824="OBSOLETO","","INSERT INTO INYCEXT.INYC_CONF_INF_REGLAS@tc_link (COD_INFORME,TABLA,NOMBRE,REGLA,F_INICIO,F_FIN,DESCRIPCION) VALUES ("&amp;REGLAS!B824&amp;",'"&amp;REGLAS!C824&amp;"','"&amp;REGLAS!D824&amp;"','"&amp;REGLAS!G824&amp;"',TO_DATE('"&amp;REGLAS!H824&amp;"','yyyymmdd'),TO_DATE('"&amp;REGLAS!I824&amp;"','yyyymmdd'),'"&amp;REGLAS!J824&amp;"');")</f>
        <v>INSERT INTO INYCEXT.INYC_CONF_INF_REGLAS@tc_link (COD_INFORME,TABLA,NOMBRE,REGLA,F_INICIO,F_FIN,DESCRIPCION) VALUES (27.1,'INYC_CAP_RESUMEN','SM - Primas Agente Acumulado','SM-O-CAP-Agente-Prima-Acumulado',TO_DATE('20180101','yyyymmdd'),TO_DATE('22000101','yyyymmdd'),'Version 20180222');</v>
      </c>
    </row>
    <row r="824" spans="1:2" x14ac:dyDescent="0.25">
      <c r="A824" t="str">
        <f>IF(REGLAS!J825="OBSOLETO","","INSERT INTO INYCEXT.INYC_CONF_INF_REGLAS (COD_INFORME,TABLA,NOMBRE,REGLA,F_INICIO,F_FIN,DESCRIPCION) VALUES ("&amp;REGLAS!B825&amp;",'"&amp;REGLAS!C825&amp;"','"&amp;REGLAS!D825&amp;"','"&amp;REGLAS!G825&amp;"',TO_DATE('"&amp;REGLAS!H825&amp;"','yyyymmdd'),TO_DATE('"&amp;REGLAS!I825&amp;"','yyyymmdd'),'"&amp;REGLAS!J825&amp;"');")</f>
        <v>INSERT INTO INYCEXT.INYC_CONF_INF_REGLAS (COD_INFORME,TABLA,NOMBRE,REGLA,F_INICIO,F_FIN,DESCRIPCION) VALUES (27.1,'INYC_CAP_RESUMEN','SM - Importe Pago Agente','SM-O-CAP-Agente-ImportePago',TO_DATE('20180101','yyyymmdd'),TO_DATE('22000101','yyyymmdd'),'Version 20180222');</v>
      </c>
      <c r="B824" t="str">
        <f>IF(REGLAS!J825="OBSOLETO","","INSERT INTO INYCEXT.INYC_CONF_INF_REGLAS@tc_link (COD_INFORME,TABLA,NOMBRE,REGLA,F_INICIO,F_FIN,DESCRIPCION) VALUES ("&amp;REGLAS!B825&amp;",'"&amp;REGLAS!C825&amp;"','"&amp;REGLAS!D825&amp;"','"&amp;REGLAS!G825&amp;"',TO_DATE('"&amp;REGLAS!H825&amp;"','yyyymmdd'),TO_DATE('"&amp;REGLAS!I825&amp;"','yyyymmdd'),'"&amp;REGLAS!J825&amp;"');")</f>
        <v>INSERT INTO INYCEXT.INYC_CONF_INF_REGLAS@tc_link (COD_INFORME,TABLA,NOMBRE,REGLA,F_INICIO,F_FIN,DESCRIPCION) VALUES (27.1,'INYC_CAP_RESUMEN','SM - Importe Pago Agente','SM-O-CAP-Agente-ImportePago',TO_DATE('20180101','yyyymmdd'),TO_DATE('22000101','yyyymmdd'),'Version 20180222');</v>
      </c>
    </row>
    <row r="825" spans="1:2" x14ac:dyDescent="0.25">
      <c r="A825" t="str">
        <f>IF(REGLAS!J826="OBSOLETO","","INSERT INTO INYCEXT.INYC_CONF_INF_REGLAS (COD_INFORME,TABLA,NOMBRE,REGLA,F_INICIO,F_FIN,DESCRIPCION) VALUES ("&amp;REGLAS!B826&amp;",'"&amp;REGLAS!C826&amp;"','"&amp;REGLAS!D826&amp;"','"&amp;REGLAS!G826&amp;"',TO_DATE('"&amp;REGLAS!H826&amp;"','yyyymmdd'),TO_DATE('"&amp;REGLAS!I826&amp;"','yyyymmdd'),'"&amp;REGLAS!J826&amp;"');")</f>
        <v>INSERT INTO INYCEXT.INYC_CONF_INF_REGLAS (COD_INFORME,TABLA,NOMBRE,REGLA,F_INICIO,F_FIN,DESCRIPCION) VALUES (27.1,'INYC_CAP_RESUMEN','SM - Importe Pago Inspector Total','SM-O-CAP-Inspector-ImportePago',TO_DATE('20180101','yyyymmdd'),TO_DATE('22000101','yyyymmdd'),'Version 20180222');</v>
      </c>
      <c r="B825" t="str">
        <f>IF(REGLAS!J826="OBSOLETO","","INSERT INTO INYCEXT.INYC_CONF_INF_REGLAS@tc_link (COD_INFORME,TABLA,NOMBRE,REGLA,F_INICIO,F_FIN,DESCRIPCION) VALUES ("&amp;REGLAS!B826&amp;",'"&amp;REGLAS!C826&amp;"','"&amp;REGLAS!D826&amp;"','"&amp;REGLAS!G826&amp;"',TO_DATE('"&amp;REGLAS!H826&amp;"','yyyymmdd'),TO_DATE('"&amp;REGLAS!I826&amp;"','yyyymmdd'),'"&amp;REGLAS!J826&amp;"');")</f>
        <v>INSERT INTO INYCEXT.INYC_CONF_INF_REGLAS@tc_link (COD_INFORME,TABLA,NOMBRE,REGLA,F_INICIO,F_FIN,DESCRIPCION) VALUES (27.1,'INYC_CAP_RESUMEN','SM - Importe Pago Inspector Total','SM-O-CAP-Inspector-ImportePago',TO_DATE('20180101','yyyymmdd'),TO_DATE('22000101','yyyymmdd'),'Version 20180222');</v>
      </c>
    </row>
    <row r="826" spans="1:2" x14ac:dyDescent="0.25">
      <c r="A826" t="str">
        <f>IF(REGLAS!J827="OBSOLETO","","INSERT INTO INYCEXT.INYC_CONF_INF_REGLAS (COD_INFORME,TABLA,NOMBRE,REGLA,F_INICIO,F_FIN,DESCRIPCION) VALUES ("&amp;REGLAS!B827&amp;",'"&amp;REGLAS!C827&amp;"','"&amp;REGLAS!D827&amp;"','"&amp;REGLAS!G827&amp;"',TO_DATE('"&amp;REGLAS!H827&amp;"','yyyymmdd'),TO_DATE('"&amp;REGLAS!I827&amp;"','yyyymmdd'),'"&amp;REGLAS!J827&amp;"');")</f>
        <v>INSERT INTO INYCEXT.INYC_CONF_INF_REGLAS (COD_INFORME,TABLA,NOMBRE,REGLA,F_INICIO,F_FIN,DESCRIPCION) VALUES (28.1,'INYC_CC_E_RESUMEN','SM - Pago Inspector Hogar','SM-E-CC-Inspector-CampaniaHogar-Pago',TO_DATE('20181001','yyyymmdd'),TO_DATE('20190101','yyyymmdd'),'Version 20190404');</v>
      </c>
      <c r="B826" t="str">
        <f>IF(REGLAS!J827="OBSOLETO","","INSERT INTO INYCEXT.INYC_CONF_INF_REGLAS@tc_link (COD_INFORME,TABLA,NOMBRE,REGLA,F_INICIO,F_FIN,DESCRIPCION) VALUES ("&amp;REGLAS!B827&amp;",'"&amp;REGLAS!C827&amp;"','"&amp;REGLAS!D827&amp;"','"&amp;REGLAS!G827&amp;"',TO_DATE('"&amp;REGLAS!H827&amp;"','yyyymmdd'),TO_DATE('"&amp;REGLAS!I827&amp;"','yyyymmdd'),'"&amp;REGLAS!J827&amp;"');")</f>
        <v>INSERT INTO INYCEXT.INYC_CONF_INF_REGLAS@tc_link (COD_INFORME,TABLA,NOMBRE,REGLA,F_INICIO,F_FIN,DESCRIPCION) VALUES (28.1,'INYC_CC_E_RESUMEN','SM - Pago Inspector Hogar','SM-E-CC-Inspector-CampaniaHogar-Pago',TO_DATE('20181001','yyyymmdd'),TO_DATE('20190101','yyyymmdd'),'Version 20190404');</v>
      </c>
    </row>
    <row r="827" spans="1:2" x14ac:dyDescent="0.25">
      <c r="A827" t="str">
        <f>IF(REGLAS!J828="OBSOLETO","","INSERT INTO INYCEXT.INYC_CONF_INF_REGLAS (COD_INFORME,TABLA,NOMBRE,REGLA,F_INICIO,F_FIN,DESCRIPCION) VALUES ("&amp;REGLAS!B828&amp;",'"&amp;REGLAS!C828&amp;"','"&amp;REGLAS!D828&amp;"','"&amp;REGLAS!G828&amp;"',TO_DATE('"&amp;REGLAS!H828&amp;"','yyyymmdd'),TO_DATE('"&amp;REGLAS!I828&amp;"','yyyymmdd'),'"&amp;REGLAS!J828&amp;"');")</f>
        <v>INSERT INTO INYCEXT.INYC_CONF_INF_REGLAS (COD_INFORME,TABLA,NOMBRE,REGLA,F_INICIO,F_FIN,DESCRIPCION) VALUES (28.1,'INYC_CC_E_RESUMEN','SM - Pago Inspector Decesos','SM-E-CC-Inspector-CampaniaDecesos-Pago',TO_DATE('20181001','yyyymmdd'),TO_DATE('20190101','yyyymmdd'),'Version 20190404');</v>
      </c>
      <c r="B827" t="str">
        <f>IF(REGLAS!J828="OBSOLETO","","INSERT INTO INYCEXT.INYC_CONF_INF_REGLAS@tc_link (COD_INFORME,TABLA,NOMBRE,REGLA,F_INICIO,F_FIN,DESCRIPCION) VALUES ("&amp;REGLAS!B828&amp;",'"&amp;REGLAS!C828&amp;"','"&amp;REGLAS!D828&amp;"','"&amp;REGLAS!G828&amp;"',TO_DATE('"&amp;REGLAS!H828&amp;"','yyyymmdd'),TO_DATE('"&amp;REGLAS!I828&amp;"','yyyymmdd'),'"&amp;REGLAS!J828&amp;"');")</f>
        <v>INSERT INTO INYCEXT.INYC_CONF_INF_REGLAS@tc_link (COD_INFORME,TABLA,NOMBRE,REGLA,F_INICIO,F_FIN,DESCRIPCION) VALUES (28.1,'INYC_CC_E_RESUMEN','SM - Pago Inspector Decesos','SM-E-CC-Inspector-CampaniaDecesos-Pago',TO_DATE('20181001','yyyymmdd'),TO_DATE('20190101','yyyymmdd'),'Version 20190404');</v>
      </c>
    </row>
    <row r="828" spans="1:2" x14ac:dyDescent="0.25">
      <c r="A828" t="str">
        <f>IF(REGLAS!J829="OBSOLETO","","INSERT INTO INYCEXT.INYC_CONF_INF_REGLAS (COD_INFORME,TABLA,NOMBRE,REGLA,F_INICIO,F_FIN,DESCRIPCION) VALUES ("&amp;REGLAS!B829&amp;",'"&amp;REGLAS!C829&amp;"','"&amp;REGLAS!D829&amp;"','"&amp;REGLAS!G829&amp;"',TO_DATE('"&amp;REGLAS!H829&amp;"','yyyymmdd'),TO_DATE('"&amp;REGLAS!I829&amp;"','yyyymmdd'),'"&amp;REGLAS!J829&amp;"');")</f>
        <v>INSERT INTO INYCEXT.INYC_CONF_INF_REGLAS (COD_INFORME,TABLA,NOMBRE,REGLA,F_INICIO,F_FIN,DESCRIPCION) VALUES (28.1,'INYC_CC_E_RESUMEN','SM - Pago Inspector Hogar + Decesos','SM-E-CC-Inspector-CampaniaHogar+Decesos-Pago',TO_DATE('20181001','yyyymmdd'),TO_DATE('20190101','yyyymmdd'),'Version 20190404');</v>
      </c>
      <c r="B828" t="str">
        <f>IF(REGLAS!J829="OBSOLETO","","INSERT INTO INYCEXT.INYC_CONF_INF_REGLAS@tc_link (COD_INFORME,TABLA,NOMBRE,REGLA,F_INICIO,F_FIN,DESCRIPCION) VALUES ("&amp;REGLAS!B829&amp;",'"&amp;REGLAS!C829&amp;"','"&amp;REGLAS!D829&amp;"','"&amp;REGLAS!G829&amp;"',TO_DATE('"&amp;REGLAS!H829&amp;"','yyyymmdd'),TO_DATE('"&amp;REGLAS!I829&amp;"','yyyymmdd'),'"&amp;REGLAS!J829&amp;"');")</f>
        <v>INSERT INTO INYCEXT.INYC_CONF_INF_REGLAS@tc_link (COD_INFORME,TABLA,NOMBRE,REGLA,F_INICIO,F_FIN,DESCRIPCION) VALUES (28.1,'INYC_CC_E_RESUMEN','SM - Pago Inspector Hogar + Decesos','SM-E-CC-Inspector-CampaniaHogar+Decesos-Pago',TO_DATE('20181001','yyyymmdd'),TO_DATE('20190101','yyyymmdd'),'Version 20190404');</v>
      </c>
    </row>
    <row r="829" spans="1:2" x14ac:dyDescent="0.25">
      <c r="A829" t="str">
        <f>IF(REGLAS!J830="OBSOLETO","","INSERT INTO INYCEXT.INYC_CONF_INF_REGLAS (COD_INFORME,TABLA,NOMBRE,REGLA,F_INICIO,F_FIN,DESCRIPCION) VALUES ("&amp;REGLAS!B830&amp;",'"&amp;REGLAS!C830&amp;"','"&amp;REGLAS!D830&amp;"','"&amp;REGLAS!G830&amp;"',TO_DATE('"&amp;REGLAS!H830&amp;"','yyyymmdd'),TO_DATE('"&amp;REGLAS!I830&amp;"','yyyymmdd'),'"&amp;REGLAS!J830&amp;"');")</f>
        <v>INSERT INTO INYCEXT.INYC_CONF_INF_REGLAS (COD_INFORME,TABLA,NOMBRE,REGLA,F_INICIO,F_FIN,DESCRIPCION) VALUES (28.1,'INYC_CC_E_RESUMEN','SM - Num. Polizas Hogar Inspector','SM-E-CC-Inspector-NumeroPolizas-Hogar-TotalMes',TO_DATE('20181001','yyyymmdd'),TO_DATE('20190101','yyyymmdd'),'Version 20190404');</v>
      </c>
      <c r="B829" t="str">
        <f>IF(REGLAS!J830="OBSOLETO","","INSERT INTO INYCEXT.INYC_CONF_INF_REGLAS@tc_link (COD_INFORME,TABLA,NOMBRE,REGLA,F_INICIO,F_FIN,DESCRIPCION) VALUES ("&amp;REGLAS!B830&amp;",'"&amp;REGLAS!C830&amp;"','"&amp;REGLAS!D830&amp;"','"&amp;REGLAS!G830&amp;"',TO_DATE('"&amp;REGLAS!H830&amp;"','yyyymmdd'),TO_DATE('"&amp;REGLAS!I830&amp;"','yyyymmdd'),'"&amp;REGLAS!J830&amp;"');")</f>
        <v>INSERT INTO INYCEXT.INYC_CONF_INF_REGLAS@tc_link (COD_INFORME,TABLA,NOMBRE,REGLA,F_INICIO,F_FIN,DESCRIPCION) VALUES (28.1,'INYC_CC_E_RESUMEN','SM - Num. Polizas Hogar Inspector','SM-E-CC-Inspector-NumeroPolizas-Hogar-TotalMes',TO_DATE('20181001','yyyymmdd'),TO_DATE('20190101','yyyymmdd'),'Version 20190404');</v>
      </c>
    </row>
    <row r="830" spans="1:2" x14ac:dyDescent="0.25">
      <c r="A830" t="str">
        <f>IF(REGLAS!J831="OBSOLETO","","INSERT INTO INYCEXT.INYC_CONF_INF_REGLAS (COD_INFORME,TABLA,NOMBRE,REGLA,F_INICIO,F_FIN,DESCRIPCION) VALUES ("&amp;REGLAS!B831&amp;",'"&amp;REGLAS!C831&amp;"','"&amp;REGLAS!D831&amp;"','"&amp;REGLAS!G831&amp;"',TO_DATE('"&amp;REGLAS!H831&amp;"','yyyymmdd'),TO_DATE('"&amp;REGLAS!I831&amp;"','yyyymmdd'),'"&amp;REGLAS!J831&amp;"');")</f>
        <v>INSERT INTO INYCEXT.INYC_CONF_INF_REGLAS (COD_INFORME,TABLA,NOMBRE,REGLA,F_INICIO,F_FIN,DESCRIPCION) VALUES (28.1,'INYC_CC_E_RESUMEN','SM - Num. Asegurados Inspector','SM-E-CC-Inspector-NumeroAsegurados-Decesos-TotalMes',TO_DATE('20181001','yyyymmdd'),TO_DATE('20190101','yyyymmdd'),'Version 20190404');</v>
      </c>
      <c r="B830" t="str">
        <f>IF(REGLAS!J831="OBSOLETO","","INSERT INTO INYCEXT.INYC_CONF_INF_REGLAS@tc_link (COD_INFORME,TABLA,NOMBRE,REGLA,F_INICIO,F_FIN,DESCRIPCION) VALUES ("&amp;REGLAS!B831&amp;",'"&amp;REGLAS!C831&amp;"','"&amp;REGLAS!D831&amp;"','"&amp;REGLAS!G831&amp;"',TO_DATE('"&amp;REGLAS!H831&amp;"','yyyymmdd'),TO_DATE('"&amp;REGLAS!I831&amp;"','yyyymmdd'),'"&amp;REGLAS!J831&amp;"');")</f>
        <v>INSERT INTO INYCEXT.INYC_CONF_INF_REGLAS@tc_link (COD_INFORME,TABLA,NOMBRE,REGLA,F_INICIO,F_FIN,DESCRIPCION) VALUES (28.1,'INYC_CC_E_RESUMEN','SM - Num. Asegurados Inspector','SM-E-CC-Inspector-NumeroAsegurados-Decesos-TotalMes',TO_DATE('20181001','yyyymmdd'),TO_DATE('20190101','yyyymmdd'),'Version 20190404');</v>
      </c>
    </row>
    <row r="831" spans="1:2" x14ac:dyDescent="0.25">
      <c r="A831" t="str">
        <f>IF(REGLAS!J832="OBSOLETO","","INSERT INTO INYCEXT.INYC_CONF_INF_REGLAS (COD_INFORME,TABLA,NOMBRE,REGLA,F_INICIO,F_FIN,DESCRIPCION) VALUES ("&amp;REGLAS!B832&amp;",'"&amp;REGLAS!C832&amp;"','"&amp;REGLAS!D832&amp;"','"&amp;REGLAS!G832&amp;"',TO_DATE('"&amp;REGLAS!H832&amp;"','yyyymmdd'),TO_DATE('"&amp;REGLAS!I832&amp;"','yyyymmdd'),'"&amp;REGLAS!J832&amp;"');")</f>
        <v>INSERT INTO INYCEXT.INYC_CONF_INF_REGLAS (COD_INFORME,TABLA,NOMBRE,REGLA,F_INICIO,F_FIN,DESCRIPCION) VALUES (28.1,'INYC_CC_E_RESUMEN','SM - Pago Agente Hogar','SM-E-CC-Agente-CampaniaHogar-Pago',TO_DATE('20181001','yyyymmdd'),TO_DATE('20190101','yyyymmdd'),'Version 20190404');</v>
      </c>
      <c r="B831" t="str">
        <f>IF(REGLAS!J832="OBSOLETO","","INSERT INTO INYCEXT.INYC_CONF_INF_REGLAS@tc_link (COD_INFORME,TABLA,NOMBRE,REGLA,F_INICIO,F_FIN,DESCRIPCION) VALUES ("&amp;REGLAS!B832&amp;",'"&amp;REGLAS!C832&amp;"','"&amp;REGLAS!D832&amp;"','"&amp;REGLAS!G832&amp;"',TO_DATE('"&amp;REGLAS!H832&amp;"','yyyymmdd'),TO_DATE('"&amp;REGLAS!I832&amp;"','yyyymmdd'),'"&amp;REGLAS!J832&amp;"');")</f>
        <v>INSERT INTO INYCEXT.INYC_CONF_INF_REGLAS@tc_link (COD_INFORME,TABLA,NOMBRE,REGLA,F_INICIO,F_FIN,DESCRIPCION) VALUES (28.1,'INYC_CC_E_RESUMEN','SM - Pago Agente Hogar','SM-E-CC-Agente-CampaniaHogar-Pago',TO_DATE('20181001','yyyymmdd'),TO_DATE('20190101','yyyymmdd'),'Version 20190404');</v>
      </c>
    </row>
    <row r="832" spans="1:2" x14ac:dyDescent="0.25">
      <c r="A832" t="str">
        <f>IF(REGLAS!J833="OBSOLETO","","INSERT INTO INYCEXT.INYC_CONF_INF_REGLAS (COD_INFORME,TABLA,NOMBRE,REGLA,F_INICIO,F_FIN,DESCRIPCION) VALUES ("&amp;REGLAS!B833&amp;",'"&amp;REGLAS!C833&amp;"','"&amp;REGLAS!D833&amp;"','"&amp;REGLAS!G833&amp;"',TO_DATE('"&amp;REGLAS!H833&amp;"','yyyymmdd'),TO_DATE('"&amp;REGLAS!I833&amp;"','yyyymmdd'),'"&amp;REGLAS!J833&amp;"');")</f>
        <v>INSERT INTO INYCEXT.INYC_CONF_INF_REGLAS (COD_INFORME,TABLA,NOMBRE,REGLA,F_INICIO,F_FIN,DESCRIPCION) VALUES (28.1,'INYC_CC_E_RESUMEN','SM - Pago Agente Decesos','SM-E-CC-Agente-CampaniaDecesos-Pago',TO_DATE('20181001','yyyymmdd'),TO_DATE('20190101','yyyymmdd'),'Version 20190404');</v>
      </c>
      <c r="B832" t="str">
        <f>IF(REGLAS!J833="OBSOLETO","","INSERT INTO INYCEXT.INYC_CONF_INF_REGLAS@tc_link (COD_INFORME,TABLA,NOMBRE,REGLA,F_INICIO,F_FIN,DESCRIPCION) VALUES ("&amp;REGLAS!B833&amp;",'"&amp;REGLAS!C833&amp;"','"&amp;REGLAS!D833&amp;"','"&amp;REGLAS!G833&amp;"',TO_DATE('"&amp;REGLAS!H833&amp;"','yyyymmdd'),TO_DATE('"&amp;REGLAS!I833&amp;"','yyyymmdd'),'"&amp;REGLAS!J833&amp;"');")</f>
        <v>INSERT INTO INYCEXT.INYC_CONF_INF_REGLAS@tc_link (COD_INFORME,TABLA,NOMBRE,REGLA,F_INICIO,F_FIN,DESCRIPCION) VALUES (28.1,'INYC_CC_E_RESUMEN','SM - Pago Agente Decesos','SM-E-CC-Agente-CampaniaDecesos-Pago',TO_DATE('20181001','yyyymmdd'),TO_DATE('20190101','yyyymmdd'),'Version 20190404');</v>
      </c>
    </row>
    <row r="833" spans="1:2" x14ac:dyDescent="0.25">
      <c r="A833" t="str">
        <f>IF(REGLAS!J834="OBSOLETO","","INSERT INTO INYCEXT.INYC_CONF_INF_REGLAS (COD_INFORME,TABLA,NOMBRE,REGLA,F_INICIO,F_FIN,DESCRIPCION) VALUES ("&amp;REGLAS!B834&amp;",'"&amp;REGLAS!C834&amp;"','"&amp;REGLAS!D834&amp;"','"&amp;REGLAS!G834&amp;"',TO_DATE('"&amp;REGLAS!H834&amp;"','yyyymmdd'),TO_DATE('"&amp;REGLAS!I834&amp;"','yyyymmdd'),'"&amp;REGLAS!J834&amp;"');")</f>
        <v>INSERT INTO INYCEXT.INYC_CONF_INF_REGLAS (COD_INFORME,TABLA,NOMBRE,REGLA,F_INICIO,F_FIN,DESCRIPCION) VALUES (28.1,'INYC_CC_E_RESUMEN','SM - Pago Agente Hogar + Decesos','SM-E-CC-Agente-CampaniaHogar+Decesos-Pago',TO_DATE('20181001','yyyymmdd'),TO_DATE('20190101','yyyymmdd'),'Version 20190404');</v>
      </c>
      <c r="B833" t="str">
        <f>IF(REGLAS!J834="OBSOLETO","","INSERT INTO INYCEXT.INYC_CONF_INF_REGLAS@tc_link (COD_INFORME,TABLA,NOMBRE,REGLA,F_INICIO,F_FIN,DESCRIPCION) VALUES ("&amp;REGLAS!B834&amp;",'"&amp;REGLAS!C834&amp;"','"&amp;REGLAS!D834&amp;"','"&amp;REGLAS!G834&amp;"',TO_DATE('"&amp;REGLAS!H834&amp;"','yyyymmdd'),TO_DATE('"&amp;REGLAS!I834&amp;"','yyyymmdd'),'"&amp;REGLAS!J834&amp;"');")</f>
        <v>INSERT INTO INYCEXT.INYC_CONF_INF_REGLAS@tc_link (COD_INFORME,TABLA,NOMBRE,REGLA,F_INICIO,F_FIN,DESCRIPCION) VALUES (28.1,'INYC_CC_E_RESUMEN','SM - Pago Agente Hogar + Decesos','SM-E-CC-Agente-CampaniaHogar+Decesos-Pago',TO_DATE('20181001','yyyymmdd'),TO_DATE('20190101','yyyymmdd'),'Version 20190404');</v>
      </c>
    </row>
    <row r="834" spans="1:2" x14ac:dyDescent="0.25">
      <c r="A834" t="str">
        <f>IF(REGLAS!J835="OBSOLETO","","INSERT INTO INYCEXT.INYC_CONF_INF_REGLAS (COD_INFORME,TABLA,NOMBRE,REGLA,F_INICIO,F_FIN,DESCRIPCION) VALUES ("&amp;REGLAS!B835&amp;",'"&amp;REGLAS!C835&amp;"','"&amp;REGLAS!D835&amp;"','"&amp;REGLAS!G835&amp;"',TO_DATE('"&amp;REGLAS!H835&amp;"','yyyymmdd'),TO_DATE('"&amp;REGLAS!I835&amp;"','yyyymmdd'),'"&amp;REGLAS!J835&amp;"');")</f>
        <v>INSERT INTO INYCEXT.INYC_CONF_INF_REGLAS (COD_INFORME,TABLA,NOMBRE,REGLA,F_INICIO,F_FIN,DESCRIPCION) VALUES (28.1,'INYC_CC_E_RESUMEN','SM - Num. Polizas Hogar Agente','SM-E-CC-Agente-NumeroPolizas-Hogar-TotalMes',TO_DATE('20181001','yyyymmdd'),TO_DATE('20190101','yyyymmdd'),'Version 20190404');</v>
      </c>
      <c r="B834" t="str">
        <f>IF(REGLAS!J835="OBSOLETO","","INSERT INTO INYCEXT.INYC_CONF_INF_REGLAS@tc_link (COD_INFORME,TABLA,NOMBRE,REGLA,F_INICIO,F_FIN,DESCRIPCION) VALUES ("&amp;REGLAS!B835&amp;",'"&amp;REGLAS!C835&amp;"','"&amp;REGLAS!D835&amp;"','"&amp;REGLAS!G835&amp;"',TO_DATE('"&amp;REGLAS!H835&amp;"','yyyymmdd'),TO_DATE('"&amp;REGLAS!I835&amp;"','yyyymmdd'),'"&amp;REGLAS!J835&amp;"');")</f>
        <v>INSERT INTO INYCEXT.INYC_CONF_INF_REGLAS@tc_link (COD_INFORME,TABLA,NOMBRE,REGLA,F_INICIO,F_FIN,DESCRIPCION) VALUES (28.1,'INYC_CC_E_RESUMEN','SM - Num. Polizas Hogar Agente','SM-E-CC-Agente-NumeroPolizas-Hogar-TotalMes',TO_DATE('20181001','yyyymmdd'),TO_DATE('20190101','yyyymmdd'),'Version 20190404');</v>
      </c>
    </row>
    <row r="835" spans="1:2" x14ac:dyDescent="0.25">
      <c r="A835" t="str">
        <f>IF(REGLAS!J836="OBSOLETO","","INSERT INTO INYCEXT.INYC_CONF_INF_REGLAS (COD_INFORME,TABLA,NOMBRE,REGLA,F_INICIO,F_FIN,DESCRIPCION) VALUES ("&amp;REGLAS!B836&amp;",'"&amp;REGLAS!C836&amp;"','"&amp;REGLAS!D836&amp;"','"&amp;REGLAS!G836&amp;"',TO_DATE('"&amp;REGLAS!H836&amp;"','yyyymmdd'),TO_DATE('"&amp;REGLAS!I836&amp;"','yyyymmdd'),'"&amp;REGLAS!J836&amp;"');")</f>
        <v>INSERT INTO INYCEXT.INYC_CONF_INF_REGLAS (COD_INFORME,TABLA,NOMBRE,REGLA,F_INICIO,F_FIN,DESCRIPCION) VALUES (28.1,'INYC_CC_E_RESUMEN','SM - Num. Asegurados Agente','SM-E-CC-Agente-NumeroAsegurados-Decesos-TotalMes',TO_DATE('20181001','yyyymmdd'),TO_DATE('20190101','yyyymmdd'),'Version 20190404');</v>
      </c>
      <c r="B835" t="str">
        <f>IF(REGLAS!J836="OBSOLETO","","INSERT INTO INYCEXT.INYC_CONF_INF_REGLAS@tc_link (COD_INFORME,TABLA,NOMBRE,REGLA,F_INICIO,F_FIN,DESCRIPCION) VALUES ("&amp;REGLAS!B836&amp;",'"&amp;REGLAS!C836&amp;"','"&amp;REGLAS!D836&amp;"','"&amp;REGLAS!G836&amp;"',TO_DATE('"&amp;REGLAS!H836&amp;"','yyyymmdd'),TO_DATE('"&amp;REGLAS!I836&amp;"','yyyymmdd'),'"&amp;REGLAS!J836&amp;"');")</f>
        <v>INSERT INTO INYCEXT.INYC_CONF_INF_REGLAS@tc_link (COD_INFORME,TABLA,NOMBRE,REGLA,F_INICIO,F_FIN,DESCRIPCION) VALUES (28.1,'INYC_CC_E_RESUMEN','SM - Num. Asegurados Agente','SM-E-CC-Agente-NumeroAsegurados-Decesos-TotalMes',TO_DATE('20181001','yyyymmdd'),TO_DATE('20190101','yyyymmdd'),'Version 20190404');</v>
      </c>
    </row>
    <row r="836" spans="1:2" x14ac:dyDescent="0.25">
      <c r="A836" t="str">
        <f>IF(REGLAS!J837="OBSOLETO","","INSERT INTO INYCEXT.INYC_CONF_INF_REGLAS (COD_INFORME,TABLA,NOMBRE,REGLA,F_INICIO,F_FIN,DESCRIPCION) VALUES ("&amp;REGLAS!B837&amp;",'"&amp;REGLAS!C837&amp;"','"&amp;REGLAS!D837&amp;"','"&amp;REGLAS!G837&amp;"',TO_DATE('"&amp;REGLAS!H837&amp;"','yyyymmdd'),TO_DATE('"&amp;REGLAS!I837&amp;"','yyyymmdd'),'"&amp;REGLAS!J837&amp;"');")</f>
        <v>INSERT INTO INYCEXT.INYC_CONF_INF_REGLAS (COD_INFORME,TABLA,NOMBRE,REGLA,F_INICIO,F_FIN,DESCRIPCION) VALUES (28.1,'INYC_CC_E_RESUMEN','SM - Num Polizas Decesos Mes Agente','SM-E-CC-Agente-NumPolizas-Decesos-TotalMes',TO_DATE('20190201','yyyymmdd'),TO_DATE('22000101','yyyymmdd'),'Versión 20190404');</v>
      </c>
      <c r="B836" t="str">
        <f>IF(REGLAS!J837="OBSOLETO","","INSERT INTO INYCEXT.INYC_CONF_INF_REGLAS@tc_link (COD_INFORME,TABLA,NOMBRE,REGLA,F_INICIO,F_FIN,DESCRIPCION) VALUES ("&amp;REGLAS!B837&amp;",'"&amp;REGLAS!C837&amp;"','"&amp;REGLAS!D837&amp;"','"&amp;REGLAS!G837&amp;"',TO_DATE('"&amp;REGLAS!H837&amp;"','yyyymmdd'),TO_DATE('"&amp;REGLAS!I837&amp;"','yyyymmdd'),'"&amp;REGLAS!J837&amp;"');")</f>
        <v>INSERT INTO INYCEXT.INYC_CONF_INF_REGLAS@tc_link (COD_INFORME,TABLA,NOMBRE,REGLA,F_INICIO,F_FIN,DESCRIPCION) VALUES (28.1,'INYC_CC_E_RESUMEN','SM - Num Polizas Decesos Mes Agente','SM-E-CC-Agente-NumPolizas-Decesos-TotalMes',TO_DATE('20190201','yyyymmdd'),TO_DATE('22000101','yyyymmdd'),'Versión 20190404');</v>
      </c>
    </row>
    <row r="837" spans="1:2" x14ac:dyDescent="0.25">
      <c r="A837" t="str">
        <f>IF(REGLAS!J838="OBSOLETO","","INSERT INTO INYCEXT.INYC_CONF_INF_REGLAS (COD_INFORME,TABLA,NOMBRE,REGLA,F_INICIO,F_FIN,DESCRIPCION) VALUES ("&amp;REGLAS!B838&amp;",'"&amp;REGLAS!C838&amp;"','"&amp;REGLAS!D838&amp;"','"&amp;REGLAS!G838&amp;"',TO_DATE('"&amp;REGLAS!H838&amp;"','yyyymmdd'),TO_DATE('"&amp;REGLAS!I838&amp;"','yyyymmdd'),'"&amp;REGLAS!J838&amp;"');")</f>
        <v>INSERT INTO INYCEXT.INYC_CONF_INF_REGLAS (COD_INFORME,TABLA,NOMBRE,REGLA,F_INICIO,F_FIN,DESCRIPCION) VALUES (28.1,'INYC_CC_E_RESUMEN','SM - Num Polizas Decesos Mes Inspector','SM-E-CC-Inspector-NumPolizas-Decesos-TotalMes',TO_DATE('20190201','yyyymmdd'),TO_DATE('22000101','yyyymmdd'),'Versión 20190404');</v>
      </c>
      <c r="B837" t="str">
        <f>IF(REGLAS!J838="OBSOLETO","","INSERT INTO INYCEXT.INYC_CONF_INF_REGLAS@tc_link (COD_INFORME,TABLA,NOMBRE,REGLA,F_INICIO,F_FIN,DESCRIPCION) VALUES ("&amp;REGLAS!B838&amp;",'"&amp;REGLAS!C838&amp;"','"&amp;REGLAS!D838&amp;"','"&amp;REGLAS!G838&amp;"',TO_DATE('"&amp;REGLAS!H838&amp;"','yyyymmdd'),TO_DATE('"&amp;REGLAS!I838&amp;"','yyyymmdd'),'"&amp;REGLAS!J838&amp;"');")</f>
        <v>INSERT INTO INYCEXT.INYC_CONF_INF_REGLAS@tc_link (COD_INFORME,TABLA,NOMBRE,REGLA,F_INICIO,F_FIN,DESCRIPCION) VALUES (28.1,'INYC_CC_E_RESUMEN','SM - Num Polizas Decesos Mes Inspector','SM-E-CC-Inspector-NumPolizas-Decesos-TotalMes',TO_DATE('20190201','yyyymmdd'),TO_DATE('22000101','yyyymmdd'),'Versión 20190404');</v>
      </c>
    </row>
    <row r="838" spans="1:2" x14ac:dyDescent="0.25">
      <c r="A838" t="str">
        <f>IF(REGLAS!J839="OBSOLETO","","INSERT INTO INYCEXT.INYC_CONF_INF_REGLAS (COD_INFORME,TABLA,NOMBRE,REGLA,F_INICIO,F_FIN,DESCRIPCION) VALUES ("&amp;REGLAS!B839&amp;",'"&amp;REGLAS!C839&amp;"','"&amp;REGLAS!D839&amp;"','"&amp;REGLAS!G839&amp;"',TO_DATE('"&amp;REGLAS!H839&amp;"','yyyymmdd'),TO_DATE('"&amp;REGLAS!I839&amp;"','yyyymmdd'),'"&amp;REGLAS!J839&amp;"');")</f>
        <v>INSERT INTO INYCEXT.INYC_CONF_INF_REGLAS (COD_INFORME,TABLA,NOMBRE,REGLA,F_INICIO,F_FIN,DESCRIPCION) VALUES (28.1,'INYC_CC_E_RESUMEN','SM - Num Polizas Hogar Mes Agente','SM-E-CC-Agente-NumPolizas-Hogar-TotalMes',TO_DATE('20190201','yyyymmdd'),TO_DATE('22000101','yyyymmdd'),'Versión 20190404');</v>
      </c>
      <c r="B838" t="str">
        <f>IF(REGLAS!J839="OBSOLETO","","INSERT INTO INYCEXT.INYC_CONF_INF_REGLAS@tc_link (COD_INFORME,TABLA,NOMBRE,REGLA,F_INICIO,F_FIN,DESCRIPCION) VALUES ("&amp;REGLAS!B839&amp;",'"&amp;REGLAS!C839&amp;"','"&amp;REGLAS!D839&amp;"','"&amp;REGLAS!G839&amp;"',TO_DATE('"&amp;REGLAS!H839&amp;"','yyyymmdd'),TO_DATE('"&amp;REGLAS!I839&amp;"','yyyymmdd'),'"&amp;REGLAS!J839&amp;"');")</f>
        <v>INSERT INTO INYCEXT.INYC_CONF_INF_REGLAS@tc_link (COD_INFORME,TABLA,NOMBRE,REGLA,F_INICIO,F_FIN,DESCRIPCION) VALUES (28.1,'INYC_CC_E_RESUMEN','SM - Num Polizas Hogar Mes Agente','SM-E-CC-Agente-NumPolizas-Hogar-TotalMes',TO_DATE('20190201','yyyymmdd'),TO_DATE('22000101','yyyymmdd'),'Versión 20190404');</v>
      </c>
    </row>
    <row r="839" spans="1:2" x14ac:dyDescent="0.25">
      <c r="A839" t="str">
        <f>IF(REGLAS!J840="OBSOLETO","","INSERT INTO INYCEXT.INYC_CONF_INF_REGLAS (COD_INFORME,TABLA,NOMBRE,REGLA,F_INICIO,F_FIN,DESCRIPCION) VALUES ("&amp;REGLAS!B840&amp;",'"&amp;REGLAS!C840&amp;"','"&amp;REGLAS!D840&amp;"','"&amp;REGLAS!G840&amp;"',TO_DATE('"&amp;REGLAS!H840&amp;"','yyyymmdd'),TO_DATE('"&amp;REGLAS!I840&amp;"','yyyymmdd'),'"&amp;REGLAS!J840&amp;"');")</f>
        <v>INSERT INTO INYCEXT.INYC_CONF_INF_REGLAS (COD_INFORME,TABLA,NOMBRE,REGLA,F_INICIO,F_FIN,DESCRIPCION) VALUES (28.1,'INYC_CC_E_RESUMEN','SM - Num Polizas Hogar Mes Inspector','SM-E-CC-Inspector-NumPolizas-Hogar-TotalMes',TO_DATE('20190201','yyyymmdd'),TO_DATE('22000101','yyyymmdd'),'Versión 20190404');</v>
      </c>
      <c r="B839" t="str">
        <f>IF(REGLAS!J840="OBSOLETO","","INSERT INTO INYCEXT.INYC_CONF_INF_REGLAS@tc_link (COD_INFORME,TABLA,NOMBRE,REGLA,F_INICIO,F_FIN,DESCRIPCION) VALUES ("&amp;REGLAS!B840&amp;",'"&amp;REGLAS!C840&amp;"','"&amp;REGLAS!D840&amp;"','"&amp;REGLAS!G840&amp;"',TO_DATE('"&amp;REGLAS!H840&amp;"','yyyymmdd'),TO_DATE('"&amp;REGLAS!I840&amp;"','yyyymmdd'),'"&amp;REGLAS!J840&amp;"');")</f>
        <v>INSERT INTO INYCEXT.INYC_CONF_INF_REGLAS@tc_link (COD_INFORME,TABLA,NOMBRE,REGLA,F_INICIO,F_FIN,DESCRIPCION) VALUES (28.1,'INYC_CC_E_RESUMEN','SM - Num Polizas Hogar Mes Inspector','SM-E-CC-Inspector-NumPolizas-Hogar-TotalMes',TO_DATE('20190201','yyyymmdd'),TO_DATE('22000101','yyyymmdd'),'Versión 20190404');</v>
      </c>
    </row>
    <row r="840" spans="1:2" x14ac:dyDescent="0.25">
      <c r="A840" t="str">
        <f>IF(REGLAS!J841="OBSOLETO","","INSERT INTO INYCEXT.INYC_CONF_INF_REGLAS (COD_INFORME,TABLA,NOMBRE,REGLA,F_INICIO,F_FIN,DESCRIPCION) VALUES ("&amp;REGLAS!B841&amp;",'"&amp;REGLAS!C841&amp;"','"&amp;REGLAS!D841&amp;"','"&amp;REGLAS!G841&amp;"',TO_DATE('"&amp;REGLAS!H841&amp;"','yyyymmdd'),TO_DATE('"&amp;REGLAS!I841&amp;"','yyyymmdd'),'"&amp;REGLAS!J841&amp;"');")</f>
        <v>INSERT INTO INYCEXT.INYC_CONF_INF_REGLAS (COD_INFORME,TABLA,NOMBRE,REGLA,F_INICIO,F_FIN,DESCRIPCION) VALUES (28.1,'INYC_CC_E_RESUMEN','SM - Num Polizas Comunidades Mes Agente','SM-E-CC-Agente-NumPolizas-Comunidades-TotalMes',TO_DATE('20190201','yyyymmdd'),TO_DATE('22000101','yyyymmdd'),'Versión 20190404');</v>
      </c>
      <c r="B840" t="str">
        <f>IF(REGLAS!J841="OBSOLETO","","INSERT INTO INYCEXT.INYC_CONF_INF_REGLAS@tc_link (COD_INFORME,TABLA,NOMBRE,REGLA,F_INICIO,F_FIN,DESCRIPCION) VALUES ("&amp;REGLAS!B841&amp;",'"&amp;REGLAS!C841&amp;"','"&amp;REGLAS!D841&amp;"','"&amp;REGLAS!G841&amp;"',TO_DATE('"&amp;REGLAS!H841&amp;"','yyyymmdd'),TO_DATE('"&amp;REGLAS!I841&amp;"','yyyymmdd'),'"&amp;REGLAS!J841&amp;"');")</f>
        <v>INSERT INTO INYCEXT.INYC_CONF_INF_REGLAS@tc_link (COD_INFORME,TABLA,NOMBRE,REGLA,F_INICIO,F_FIN,DESCRIPCION) VALUES (28.1,'INYC_CC_E_RESUMEN','SM - Num Polizas Comunidades Mes Agente','SM-E-CC-Agente-NumPolizas-Comunidades-TotalMes',TO_DATE('20190201','yyyymmdd'),TO_DATE('22000101','yyyymmdd'),'Versión 20190404');</v>
      </c>
    </row>
    <row r="841" spans="1:2" x14ac:dyDescent="0.25">
      <c r="A841" t="str">
        <f>IF(REGLAS!J842="OBSOLETO","","INSERT INTO INYCEXT.INYC_CONF_INF_REGLAS (COD_INFORME,TABLA,NOMBRE,REGLA,F_INICIO,F_FIN,DESCRIPCION) VALUES ("&amp;REGLAS!B842&amp;",'"&amp;REGLAS!C842&amp;"','"&amp;REGLAS!D842&amp;"','"&amp;REGLAS!G842&amp;"',TO_DATE('"&amp;REGLAS!H842&amp;"','yyyymmdd'),TO_DATE('"&amp;REGLAS!I842&amp;"','yyyymmdd'),'"&amp;REGLAS!J842&amp;"');")</f>
        <v>INSERT INTO INYCEXT.INYC_CONF_INF_REGLAS (COD_INFORME,TABLA,NOMBRE,REGLA,F_INICIO,F_FIN,DESCRIPCION) VALUES (28.1,'INYC_CC_E_RESUMEN','SM - Num Polizas Comunidades Mes Inspector','SM-E-CC-Inspector-NumPolizas-Comunidades-TotalMes',TO_DATE('20190201','yyyymmdd'),TO_DATE('22000101','yyyymmdd'),'Versión 20190404');</v>
      </c>
      <c r="B841" t="str">
        <f>IF(REGLAS!J842="OBSOLETO","","INSERT INTO INYCEXT.INYC_CONF_INF_REGLAS@tc_link (COD_INFORME,TABLA,NOMBRE,REGLA,F_INICIO,F_FIN,DESCRIPCION) VALUES ("&amp;REGLAS!B842&amp;",'"&amp;REGLAS!C842&amp;"','"&amp;REGLAS!D842&amp;"','"&amp;REGLAS!G842&amp;"',TO_DATE('"&amp;REGLAS!H842&amp;"','yyyymmdd'),TO_DATE('"&amp;REGLAS!I842&amp;"','yyyymmdd'),'"&amp;REGLAS!J842&amp;"');")</f>
        <v>INSERT INTO INYCEXT.INYC_CONF_INF_REGLAS@tc_link (COD_INFORME,TABLA,NOMBRE,REGLA,F_INICIO,F_FIN,DESCRIPCION) VALUES (28.1,'INYC_CC_E_RESUMEN','SM - Num Polizas Comunidades Mes Inspector','SM-E-CC-Inspector-NumPolizas-Comunidades-TotalMes',TO_DATE('20190201','yyyymmdd'),TO_DATE('22000101','yyyymmdd'),'Versión 20190404');</v>
      </c>
    </row>
    <row r="842" spans="1:2" x14ac:dyDescent="0.25">
      <c r="A842" t="str">
        <f>IF(REGLAS!J843="OBSOLETO","","INSERT INTO INYCEXT.INYC_CONF_INF_REGLAS (COD_INFORME,TABLA,NOMBRE,REGLA,F_INICIO,F_FIN,DESCRIPCION) VALUES ("&amp;REGLAS!B843&amp;",'"&amp;REGLAS!C843&amp;"','"&amp;REGLAS!D843&amp;"','"&amp;REGLAS!G843&amp;"',TO_DATE('"&amp;REGLAS!H843&amp;"','yyyymmdd'),TO_DATE('"&amp;REGLAS!I843&amp;"','yyyymmdd'),'"&amp;REGLAS!J843&amp;"');")</f>
        <v>INSERT INTO INYCEXT.INYC_CONF_INF_REGLAS (COD_INFORME,TABLA,NOMBRE,REGLA,F_INICIO,F_FIN,DESCRIPCION) VALUES (28.1,'INYC_CC_E_RESUMEN','SM - Num Polizas Accidentes Mes Agente','SM-E-CC-Agente-NumPolizas-Accidentes-TotalMes',TO_DATE('20190201','yyyymmdd'),TO_DATE('22000101','yyyymmdd'),'Versión 20190404');</v>
      </c>
      <c r="B842" t="str">
        <f>IF(REGLAS!J843="OBSOLETO","","INSERT INTO INYCEXT.INYC_CONF_INF_REGLAS@tc_link (COD_INFORME,TABLA,NOMBRE,REGLA,F_INICIO,F_FIN,DESCRIPCION) VALUES ("&amp;REGLAS!B843&amp;",'"&amp;REGLAS!C843&amp;"','"&amp;REGLAS!D843&amp;"','"&amp;REGLAS!G843&amp;"',TO_DATE('"&amp;REGLAS!H843&amp;"','yyyymmdd'),TO_DATE('"&amp;REGLAS!I843&amp;"','yyyymmdd'),'"&amp;REGLAS!J843&amp;"');")</f>
        <v>INSERT INTO INYCEXT.INYC_CONF_INF_REGLAS@tc_link (COD_INFORME,TABLA,NOMBRE,REGLA,F_INICIO,F_FIN,DESCRIPCION) VALUES (28.1,'INYC_CC_E_RESUMEN','SM - Num Polizas Accidentes Mes Agente','SM-E-CC-Agente-NumPolizas-Accidentes-TotalMes',TO_DATE('20190201','yyyymmdd'),TO_DATE('22000101','yyyymmdd'),'Versión 20190404');</v>
      </c>
    </row>
    <row r="843" spans="1:2" x14ac:dyDescent="0.25">
      <c r="A843" t="str">
        <f>IF(REGLAS!J844="OBSOLETO","","INSERT INTO INYCEXT.INYC_CONF_INF_REGLAS (COD_INFORME,TABLA,NOMBRE,REGLA,F_INICIO,F_FIN,DESCRIPCION) VALUES ("&amp;REGLAS!B844&amp;",'"&amp;REGLAS!C844&amp;"','"&amp;REGLAS!D844&amp;"','"&amp;REGLAS!G844&amp;"',TO_DATE('"&amp;REGLAS!H844&amp;"','yyyymmdd'),TO_DATE('"&amp;REGLAS!I844&amp;"','yyyymmdd'),'"&amp;REGLAS!J844&amp;"');")</f>
        <v>INSERT INTO INYCEXT.INYC_CONF_INF_REGLAS (COD_INFORME,TABLA,NOMBRE,REGLA,F_INICIO,F_FIN,DESCRIPCION) VALUES (28.1,'INYC_CC_E_RESUMEN','SM - Num Polizas Accidentes Mes Inspector','SM-E-CC-Inspector-NumPolizas-Accidentes-TotalMes',TO_DATE('20190201','yyyymmdd'),TO_DATE('22000101','yyyymmdd'),'Versión 20190404');</v>
      </c>
      <c r="B843" t="str">
        <f>IF(REGLAS!J844="OBSOLETO","","INSERT INTO INYCEXT.INYC_CONF_INF_REGLAS@tc_link (COD_INFORME,TABLA,NOMBRE,REGLA,F_INICIO,F_FIN,DESCRIPCION) VALUES ("&amp;REGLAS!B844&amp;",'"&amp;REGLAS!C844&amp;"','"&amp;REGLAS!D844&amp;"','"&amp;REGLAS!G844&amp;"',TO_DATE('"&amp;REGLAS!H844&amp;"','yyyymmdd'),TO_DATE('"&amp;REGLAS!I844&amp;"','yyyymmdd'),'"&amp;REGLAS!J844&amp;"');")</f>
        <v>INSERT INTO INYCEXT.INYC_CONF_INF_REGLAS@tc_link (COD_INFORME,TABLA,NOMBRE,REGLA,F_INICIO,F_FIN,DESCRIPCION) VALUES (28.1,'INYC_CC_E_RESUMEN','SM - Num Polizas Accidentes Mes Inspector','SM-E-CC-Inspector-NumPolizas-Accidentes-TotalMes',TO_DATE('20190201','yyyymmdd'),TO_DATE('22000101','yyyymmdd'),'Versión 20190404');</v>
      </c>
    </row>
    <row r="844" spans="1:2" x14ac:dyDescent="0.25">
      <c r="A844" t="str">
        <f>IF(REGLAS!J845="OBSOLETO","","INSERT INTO INYCEXT.INYC_CONF_INF_REGLAS (COD_INFORME,TABLA,NOMBRE,REGLA,F_INICIO,F_FIN,DESCRIPCION) VALUES ("&amp;REGLAS!B845&amp;",'"&amp;REGLAS!C845&amp;"','"&amp;REGLAS!D845&amp;"','"&amp;REGLAS!G845&amp;"',TO_DATE('"&amp;REGLAS!H845&amp;"','yyyymmdd'),TO_DATE('"&amp;REGLAS!I845&amp;"','yyyymmdd'),'"&amp;REGLAS!J845&amp;"');")</f>
        <v>INSERT INTO INYCEXT.INYC_CONF_INF_REGLAS (COD_INFORME,TABLA,NOMBRE,REGLA,F_INICIO,F_FIN,DESCRIPCION) VALUES (28.1,'INYC_CC_E_RESUMEN','SM - Num Polizas Decesos Anual Agente','SM-E-CC-Agente-NumPolizas-Decesos-TotalAnual',TO_DATE('20190201','yyyymmdd'),TO_DATE('22000101','yyyymmdd'),'Versión 20190404');</v>
      </c>
      <c r="B844" t="str">
        <f>IF(REGLAS!J845="OBSOLETO","","INSERT INTO INYCEXT.INYC_CONF_INF_REGLAS@tc_link (COD_INFORME,TABLA,NOMBRE,REGLA,F_INICIO,F_FIN,DESCRIPCION) VALUES ("&amp;REGLAS!B845&amp;",'"&amp;REGLAS!C845&amp;"','"&amp;REGLAS!D845&amp;"','"&amp;REGLAS!G845&amp;"',TO_DATE('"&amp;REGLAS!H845&amp;"','yyyymmdd'),TO_DATE('"&amp;REGLAS!I845&amp;"','yyyymmdd'),'"&amp;REGLAS!J845&amp;"');")</f>
        <v>INSERT INTO INYCEXT.INYC_CONF_INF_REGLAS@tc_link (COD_INFORME,TABLA,NOMBRE,REGLA,F_INICIO,F_FIN,DESCRIPCION) VALUES (28.1,'INYC_CC_E_RESUMEN','SM - Num Polizas Decesos Anual Agente','SM-E-CC-Agente-NumPolizas-Decesos-TotalAnual',TO_DATE('20190201','yyyymmdd'),TO_DATE('22000101','yyyymmdd'),'Versión 20190404');</v>
      </c>
    </row>
    <row r="845" spans="1:2" x14ac:dyDescent="0.25">
      <c r="A845" t="str">
        <f>IF(REGLAS!J846="OBSOLETO","","INSERT INTO INYCEXT.INYC_CONF_INF_REGLAS (COD_INFORME,TABLA,NOMBRE,REGLA,F_INICIO,F_FIN,DESCRIPCION) VALUES ("&amp;REGLAS!B846&amp;",'"&amp;REGLAS!C846&amp;"','"&amp;REGLAS!D846&amp;"','"&amp;REGLAS!G846&amp;"',TO_DATE('"&amp;REGLAS!H846&amp;"','yyyymmdd'),TO_DATE('"&amp;REGLAS!I846&amp;"','yyyymmdd'),'"&amp;REGLAS!J846&amp;"');")</f>
        <v>INSERT INTO INYCEXT.INYC_CONF_INF_REGLAS (COD_INFORME,TABLA,NOMBRE,REGLA,F_INICIO,F_FIN,DESCRIPCION) VALUES (28.1,'INYC_CC_E_RESUMEN','SM - Num Polizas Decesos Anual Inspector','SM-E-CC-Inspector-NumPolizas-Decesos-TotalAnual',TO_DATE('20190201','yyyymmdd'),TO_DATE('22000101','yyyymmdd'),'Versión 20190404');</v>
      </c>
      <c r="B845" t="str">
        <f>IF(REGLAS!J846="OBSOLETO","","INSERT INTO INYCEXT.INYC_CONF_INF_REGLAS@tc_link (COD_INFORME,TABLA,NOMBRE,REGLA,F_INICIO,F_FIN,DESCRIPCION) VALUES ("&amp;REGLAS!B846&amp;",'"&amp;REGLAS!C846&amp;"','"&amp;REGLAS!D846&amp;"','"&amp;REGLAS!G846&amp;"',TO_DATE('"&amp;REGLAS!H846&amp;"','yyyymmdd'),TO_DATE('"&amp;REGLAS!I846&amp;"','yyyymmdd'),'"&amp;REGLAS!J846&amp;"');")</f>
        <v>INSERT INTO INYCEXT.INYC_CONF_INF_REGLAS@tc_link (COD_INFORME,TABLA,NOMBRE,REGLA,F_INICIO,F_FIN,DESCRIPCION) VALUES (28.1,'INYC_CC_E_RESUMEN','SM - Num Polizas Decesos Anual Inspector','SM-E-CC-Inspector-NumPolizas-Decesos-TotalAnual',TO_DATE('20190201','yyyymmdd'),TO_DATE('22000101','yyyymmdd'),'Versión 20190404');</v>
      </c>
    </row>
    <row r="846" spans="1:2" x14ac:dyDescent="0.25">
      <c r="A846" t="str">
        <f>IF(REGLAS!J847="OBSOLETO","","INSERT INTO INYCEXT.INYC_CONF_INF_REGLAS (COD_INFORME,TABLA,NOMBRE,REGLA,F_INICIO,F_FIN,DESCRIPCION) VALUES ("&amp;REGLAS!B847&amp;",'"&amp;REGLAS!C847&amp;"','"&amp;REGLAS!D847&amp;"','"&amp;REGLAS!G847&amp;"',TO_DATE('"&amp;REGLAS!H847&amp;"','yyyymmdd'),TO_DATE('"&amp;REGLAS!I847&amp;"','yyyymmdd'),'"&amp;REGLAS!J847&amp;"');")</f>
        <v>INSERT INTO INYCEXT.INYC_CONF_INF_REGLAS (COD_INFORME,TABLA,NOMBRE,REGLA,F_INICIO,F_FIN,DESCRIPCION) VALUES (28.1,'INYC_CC_E_RESUMEN','SM - Num Polizas Hogar Anual Agente','SM-E-CC-Agente-NumPolizas-Hogar-TotalAnual',TO_DATE('20190201','yyyymmdd'),TO_DATE('22000101','yyyymmdd'),'Versión 20190404');</v>
      </c>
      <c r="B846" t="str">
        <f>IF(REGLAS!J847="OBSOLETO","","INSERT INTO INYCEXT.INYC_CONF_INF_REGLAS@tc_link (COD_INFORME,TABLA,NOMBRE,REGLA,F_INICIO,F_FIN,DESCRIPCION) VALUES ("&amp;REGLAS!B847&amp;",'"&amp;REGLAS!C847&amp;"','"&amp;REGLAS!D847&amp;"','"&amp;REGLAS!G847&amp;"',TO_DATE('"&amp;REGLAS!H847&amp;"','yyyymmdd'),TO_DATE('"&amp;REGLAS!I847&amp;"','yyyymmdd'),'"&amp;REGLAS!J847&amp;"');")</f>
        <v>INSERT INTO INYCEXT.INYC_CONF_INF_REGLAS@tc_link (COD_INFORME,TABLA,NOMBRE,REGLA,F_INICIO,F_FIN,DESCRIPCION) VALUES (28.1,'INYC_CC_E_RESUMEN','SM - Num Polizas Hogar Anual Agente','SM-E-CC-Agente-NumPolizas-Hogar-TotalAnual',TO_DATE('20190201','yyyymmdd'),TO_DATE('22000101','yyyymmdd'),'Versión 20190404');</v>
      </c>
    </row>
    <row r="847" spans="1:2" x14ac:dyDescent="0.25">
      <c r="A847" t="str">
        <f>IF(REGLAS!J848="OBSOLETO","","INSERT INTO INYCEXT.INYC_CONF_INF_REGLAS (COD_INFORME,TABLA,NOMBRE,REGLA,F_INICIO,F_FIN,DESCRIPCION) VALUES ("&amp;REGLAS!B848&amp;",'"&amp;REGLAS!C848&amp;"','"&amp;REGLAS!D848&amp;"','"&amp;REGLAS!G848&amp;"',TO_DATE('"&amp;REGLAS!H848&amp;"','yyyymmdd'),TO_DATE('"&amp;REGLAS!I848&amp;"','yyyymmdd'),'"&amp;REGLAS!J848&amp;"');")</f>
        <v>INSERT INTO INYCEXT.INYC_CONF_INF_REGLAS (COD_INFORME,TABLA,NOMBRE,REGLA,F_INICIO,F_FIN,DESCRIPCION) VALUES (28.1,'INYC_CC_E_RESUMEN','SM - Num Polizas Hogar Anual Inspector','SM-E-CC-Inspector-NumPolizas-Hogar-TotalAnual',TO_DATE('20190201','yyyymmdd'),TO_DATE('22000101','yyyymmdd'),'Versión 20190404');</v>
      </c>
      <c r="B847" t="str">
        <f>IF(REGLAS!J848="OBSOLETO","","INSERT INTO INYCEXT.INYC_CONF_INF_REGLAS@tc_link (COD_INFORME,TABLA,NOMBRE,REGLA,F_INICIO,F_FIN,DESCRIPCION) VALUES ("&amp;REGLAS!B848&amp;",'"&amp;REGLAS!C848&amp;"','"&amp;REGLAS!D848&amp;"','"&amp;REGLAS!G848&amp;"',TO_DATE('"&amp;REGLAS!H848&amp;"','yyyymmdd'),TO_DATE('"&amp;REGLAS!I848&amp;"','yyyymmdd'),'"&amp;REGLAS!J848&amp;"');")</f>
        <v>INSERT INTO INYCEXT.INYC_CONF_INF_REGLAS@tc_link (COD_INFORME,TABLA,NOMBRE,REGLA,F_INICIO,F_FIN,DESCRIPCION) VALUES (28.1,'INYC_CC_E_RESUMEN','SM - Num Polizas Hogar Anual Inspector','SM-E-CC-Inspector-NumPolizas-Hogar-TotalAnual',TO_DATE('20190201','yyyymmdd'),TO_DATE('22000101','yyyymmdd'),'Versión 20190404');</v>
      </c>
    </row>
    <row r="848" spans="1:2" x14ac:dyDescent="0.25">
      <c r="A848" t="str">
        <f>IF(REGLAS!J849="OBSOLETO","","INSERT INTO INYCEXT.INYC_CONF_INF_REGLAS (COD_INFORME,TABLA,NOMBRE,REGLA,F_INICIO,F_FIN,DESCRIPCION) VALUES ("&amp;REGLAS!B849&amp;",'"&amp;REGLAS!C849&amp;"','"&amp;REGLAS!D849&amp;"','"&amp;REGLAS!G849&amp;"',TO_DATE('"&amp;REGLAS!H849&amp;"','yyyymmdd'),TO_DATE('"&amp;REGLAS!I849&amp;"','yyyymmdd'),'"&amp;REGLAS!J849&amp;"');")</f>
        <v>INSERT INTO INYCEXT.INYC_CONF_INF_REGLAS (COD_INFORME,TABLA,NOMBRE,REGLA,F_INICIO,F_FIN,DESCRIPCION) VALUES (28.1,'INYC_CC_E_RESUMEN','SM - Num Polizas Comunidades Anual Agente','SM-E-CC-Agente-NumPolizas-Comunidades-TotalAnual',TO_DATE('20190201','yyyymmdd'),TO_DATE('22000101','yyyymmdd'),'Versión 20190404');</v>
      </c>
      <c r="B848" t="str">
        <f>IF(REGLAS!J849="OBSOLETO","","INSERT INTO INYCEXT.INYC_CONF_INF_REGLAS@tc_link (COD_INFORME,TABLA,NOMBRE,REGLA,F_INICIO,F_FIN,DESCRIPCION) VALUES ("&amp;REGLAS!B849&amp;",'"&amp;REGLAS!C849&amp;"','"&amp;REGLAS!D849&amp;"','"&amp;REGLAS!G849&amp;"',TO_DATE('"&amp;REGLAS!H849&amp;"','yyyymmdd'),TO_DATE('"&amp;REGLAS!I849&amp;"','yyyymmdd'),'"&amp;REGLAS!J849&amp;"');")</f>
        <v>INSERT INTO INYCEXT.INYC_CONF_INF_REGLAS@tc_link (COD_INFORME,TABLA,NOMBRE,REGLA,F_INICIO,F_FIN,DESCRIPCION) VALUES (28.1,'INYC_CC_E_RESUMEN','SM - Num Polizas Comunidades Anual Agente','SM-E-CC-Agente-NumPolizas-Comunidades-TotalAnual',TO_DATE('20190201','yyyymmdd'),TO_DATE('22000101','yyyymmdd'),'Versión 20190404');</v>
      </c>
    </row>
    <row r="849" spans="1:2" x14ac:dyDescent="0.25">
      <c r="A849" t="str">
        <f>IF(REGLAS!J850="OBSOLETO","","INSERT INTO INYCEXT.INYC_CONF_INF_REGLAS (COD_INFORME,TABLA,NOMBRE,REGLA,F_INICIO,F_FIN,DESCRIPCION) VALUES ("&amp;REGLAS!B850&amp;",'"&amp;REGLAS!C850&amp;"','"&amp;REGLAS!D850&amp;"','"&amp;REGLAS!G850&amp;"',TO_DATE('"&amp;REGLAS!H850&amp;"','yyyymmdd'),TO_DATE('"&amp;REGLAS!I850&amp;"','yyyymmdd'),'"&amp;REGLAS!J850&amp;"');")</f>
        <v>INSERT INTO INYCEXT.INYC_CONF_INF_REGLAS (COD_INFORME,TABLA,NOMBRE,REGLA,F_INICIO,F_FIN,DESCRIPCION) VALUES (28.1,'INYC_CC_E_RESUMEN','SM - Num Polizas Comunidades Anual Inspector','SM-E-CC-Inspector-NumPolizas-Comunidades-TotalAnual',TO_DATE('20190201','yyyymmdd'),TO_DATE('22000101','yyyymmdd'),'Versión 20190404');</v>
      </c>
      <c r="B849" t="str">
        <f>IF(REGLAS!J850="OBSOLETO","","INSERT INTO INYCEXT.INYC_CONF_INF_REGLAS@tc_link (COD_INFORME,TABLA,NOMBRE,REGLA,F_INICIO,F_FIN,DESCRIPCION) VALUES ("&amp;REGLAS!B850&amp;",'"&amp;REGLAS!C850&amp;"','"&amp;REGLAS!D850&amp;"','"&amp;REGLAS!G850&amp;"',TO_DATE('"&amp;REGLAS!H850&amp;"','yyyymmdd'),TO_DATE('"&amp;REGLAS!I850&amp;"','yyyymmdd'),'"&amp;REGLAS!J850&amp;"');")</f>
        <v>INSERT INTO INYCEXT.INYC_CONF_INF_REGLAS@tc_link (COD_INFORME,TABLA,NOMBRE,REGLA,F_INICIO,F_FIN,DESCRIPCION) VALUES (28.1,'INYC_CC_E_RESUMEN','SM - Num Polizas Comunidades Anual Inspector','SM-E-CC-Inspector-NumPolizas-Comunidades-TotalAnual',TO_DATE('20190201','yyyymmdd'),TO_DATE('22000101','yyyymmdd'),'Versión 20190404');</v>
      </c>
    </row>
    <row r="850" spans="1:2" x14ac:dyDescent="0.25">
      <c r="A850" t="str">
        <f>IF(REGLAS!J851="OBSOLETO","","INSERT INTO INYCEXT.INYC_CONF_INF_REGLAS (COD_INFORME,TABLA,NOMBRE,REGLA,F_INICIO,F_FIN,DESCRIPCION) VALUES ("&amp;REGLAS!B851&amp;",'"&amp;REGLAS!C851&amp;"','"&amp;REGLAS!D851&amp;"','"&amp;REGLAS!G851&amp;"',TO_DATE('"&amp;REGLAS!H851&amp;"','yyyymmdd'),TO_DATE('"&amp;REGLAS!I851&amp;"','yyyymmdd'),'"&amp;REGLAS!J851&amp;"');")</f>
        <v>INSERT INTO INYCEXT.INYC_CONF_INF_REGLAS (COD_INFORME,TABLA,NOMBRE,REGLA,F_INICIO,F_FIN,DESCRIPCION) VALUES (28.1,'INYC_CC_E_RESUMEN','SM - Num Polizas Accidentes Anual Agente','SM-E-CC-Agente-NumPolizas-Accidentes-TotalAnual',TO_DATE('20190201','yyyymmdd'),TO_DATE('22000101','yyyymmdd'),'Versión 20190404');</v>
      </c>
      <c r="B850" t="str">
        <f>IF(REGLAS!J851="OBSOLETO","","INSERT INTO INYCEXT.INYC_CONF_INF_REGLAS@tc_link (COD_INFORME,TABLA,NOMBRE,REGLA,F_INICIO,F_FIN,DESCRIPCION) VALUES ("&amp;REGLAS!B851&amp;",'"&amp;REGLAS!C851&amp;"','"&amp;REGLAS!D851&amp;"','"&amp;REGLAS!G851&amp;"',TO_DATE('"&amp;REGLAS!H851&amp;"','yyyymmdd'),TO_DATE('"&amp;REGLAS!I851&amp;"','yyyymmdd'),'"&amp;REGLAS!J851&amp;"');")</f>
        <v>INSERT INTO INYCEXT.INYC_CONF_INF_REGLAS@tc_link (COD_INFORME,TABLA,NOMBRE,REGLA,F_INICIO,F_FIN,DESCRIPCION) VALUES (28.1,'INYC_CC_E_RESUMEN','SM - Num Polizas Accidentes Anual Agente','SM-E-CC-Agente-NumPolizas-Accidentes-TotalAnual',TO_DATE('20190201','yyyymmdd'),TO_DATE('22000101','yyyymmdd'),'Versión 20190404');</v>
      </c>
    </row>
    <row r="851" spans="1:2" x14ac:dyDescent="0.25">
      <c r="A851" t="str">
        <f>IF(REGLAS!J852="OBSOLETO","","INSERT INTO INYCEXT.INYC_CONF_INF_REGLAS (COD_INFORME,TABLA,NOMBRE,REGLA,F_INICIO,F_FIN,DESCRIPCION) VALUES ("&amp;REGLAS!B852&amp;",'"&amp;REGLAS!C852&amp;"','"&amp;REGLAS!D852&amp;"','"&amp;REGLAS!G852&amp;"',TO_DATE('"&amp;REGLAS!H852&amp;"','yyyymmdd'),TO_DATE('"&amp;REGLAS!I852&amp;"','yyyymmdd'),'"&amp;REGLAS!J852&amp;"');")</f>
        <v>INSERT INTO INYCEXT.INYC_CONF_INF_REGLAS (COD_INFORME,TABLA,NOMBRE,REGLA,F_INICIO,F_FIN,DESCRIPCION) VALUES (28.1,'INYC_CC_E_RESUMEN','SM - Num Polizas Accidentes Anual Inspector','SM-E-CC-Inspector-NumPolizas-Accidentes-TotalAnual',TO_DATE('20190201','yyyymmdd'),TO_DATE('22000101','yyyymmdd'),'Versión 20190404');</v>
      </c>
      <c r="B851" t="str">
        <f>IF(REGLAS!J852="OBSOLETO","","INSERT INTO INYCEXT.INYC_CONF_INF_REGLAS@tc_link (COD_INFORME,TABLA,NOMBRE,REGLA,F_INICIO,F_FIN,DESCRIPCION) VALUES ("&amp;REGLAS!B852&amp;",'"&amp;REGLAS!C852&amp;"','"&amp;REGLAS!D852&amp;"','"&amp;REGLAS!G852&amp;"',TO_DATE('"&amp;REGLAS!H852&amp;"','yyyymmdd'),TO_DATE('"&amp;REGLAS!I852&amp;"','yyyymmdd'),'"&amp;REGLAS!J852&amp;"');")</f>
        <v>INSERT INTO INYCEXT.INYC_CONF_INF_REGLAS@tc_link (COD_INFORME,TABLA,NOMBRE,REGLA,F_INICIO,F_FIN,DESCRIPCION) VALUES (28.1,'INYC_CC_E_RESUMEN','SM - Num Polizas Accidentes Anual Inspector','SM-E-CC-Inspector-NumPolizas-Accidentes-TotalAnual',TO_DATE('20190201','yyyymmdd'),TO_DATE('22000101','yyyymmdd'),'Versión 20190404');</v>
      </c>
    </row>
    <row r="852" spans="1:2" x14ac:dyDescent="0.25">
      <c r="A852" t="str">
        <f>IF(REGLAS!J853="OBSOLETO","","INSERT INTO INYCEXT.INYC_CONF_INF_REGLAS (COD_INFORME,TABLA,NOMBRE,REGLA,F_INICIO,F_FIN,DESCRIPCION) VALUES ("&amp;REGLAS!B853&amp;",'"&amp;REGLAS!C853&amp;"','"&amp;REGLAS!D853&amp;"','"&amp;REGLAS!G853&amp;"',TO_DATE('"&amp;REGLAS!H853&amp;"','yyyymmdd'),TO_DATE('"&amp;REGLAS!I853&amp;"','yyyymmdd'),'"&amp;REGLAS!J853&amp;"');")</f>
        <v>INSERT INTO INYCEXT.INYC_CONF_INF_REGLAS (COD_INFORME,TABLA,NOMBRE,REGLA,F_INICIO,F_FIN,DESCRIPCION) VALUES (28.1,'INYC_CC_E_RESUMEN','SM - Primas Inspector Anual','SM-E-CC-Inspector-PrimaCorregida-TotalAnual',TO_DATE('20190201','yyyymmdd'),TO_DATE('22000101','yyyymmdd'),'Versión 20190404');</v>
      </c>
      <c r="B852" t="str">
        <f>IF(REGLAS!J853="OBSOLETO","","INSERT INTO INYCEXT.INYC_CONF_INF_REGLAS@tc_link (COD_INFORME,TABLA,NOMBRE,REGLA,F_INICIO,F_FIN,DESCRIPCION) VALUES ("&amp;REGLAS!B853&amp;",'"&amp;REGLAS!C853&amp;"','"&amp;REGLAS!D853&amp;"','"&amp;REGLAS!G853&amp;"',TO_DATE('"&amp;REGLAS!H853&amp;"','yyyymmdd'),TO_DATE('"&amp;REGLAS!I853&amp;"','yyyymmdd'),'"&amp;REGLAS!J853&amp;"');")</f>
        <v>INSERT INTO INYCEXT.INYC_CONF_INF_REGLAS@tc_link (COD_INFORME,TABLA,NOMBRE,REGLA,F_INICIO,F_FIN,DESCRIPCION) VALUES (28.1,'INYC_CC_E_RESUMEN','SM - Primas Inspector Anual','SM-E-CC-Inspector-PrimaCorregida-TotalAnual',TO_DATE('20190201','yyyymmdd'),TO_DATE('22000101','yyyymmdd'),'Versión 20190404');</v>
      </c>
    </row>
    <row r="853" spans="1:2" x14ac:dyDescent="0.25">
      <c r="A853" t="str">
        <f>IF(REGLAS!J854="OBSOLETO","","INSERT INTO INYCEXT.INYC_CONF_INF_REGLAS (COD_INFORME,TABLA,NOMBRE,REGLA,F_INICIO,F_FIN,DESCRIPCION) VALUES ("&amp;REGLAS!B854&amp;",'"&amp;REGLAS!C854&amp;"','"&amp;REGLAS!D854&amp;"','"&amp;REGLAS!G854&amp;"',TO_DATE('"&amp;REGLAS!H854&amp;"','yyyymmdd'),TO_DATE('"&amp;REGLAS!I854&amp;"','yyyymmdd'),'"&amp;REGLAS!J854&amp;"');")</f>
        <v>INSERT INTO INYCEXT.INYC_CONF_INF_REGLAS (COD_INFORME,TABLA,NOMBRE,REGLA,F_INICIO,F_FIN,DESCRIPCION) VALUES (28.1,'INYC_CC_E_RESUMEN','SM - Cumplimiento Agente','SM-E-CC-Agente-CampaniaAgente2019-Cumple',TO_DATE('20190201','yyyymmdd'),TO_DATE('22000101','yyyymmdd'),'Versión 20190404');</v>
      </c>
      <c r="B853" t="str">
        <f>IF(REGLAS!J854="OBSOLETO","","INSERT INTO INYCEXT.INYC_CONF_INF_REGLAS@tc_link (COD_INFORME,TABLA,NOMBRE,REGLA,F_INICIO,F_FIN,DESCRIPCION) VALUES ("&amp;REGLAS!B854&amp;",'"&amp;REGLAS!C854&amp;"','"&amp;REGLAS!D854&amp;"','"&amp;REGLAS!G854&amp;"',TO_DATE('"&amp;REGLAS!H854&amp;"','yyyymmdd'),TO_DATE('"&amp;REGLAS!I854&amp;"','yyyymmdd'),'"&amp;REGLAS!J854&amp;"');")</f>
        <v>INSERT INTO INYCEXT.INYC_CONF_INF_REGLAS@tc_link (COD_INFORME,TABLA,NOMBRE,REGLA,F_INICIO,F_FIN,DESCRIPCION) VALUES (28.1,'INYC_CC_E_RESUMEN','SM - Cumplimiento Agente','SM-E-CC-Agente-CampaniaAgente2019-Cumple',TO_DATE('20190201','yyyymmdd'),TO_DATE('22000101','yyyymmdd'),'Versión 20190404');</v>
      </c>
    </row>
    <row r="854" spans="1:2" x14ac:dyDescent="0.25">
      <c r="A854" t="str">
        <f>IF(REGLAS!J855="OBSOLETO","","INSERT INTO INYCEXT.INYC_CONF_INF_REGLAS (COD_INFORME,TABLA,NOMBRE,REGLA,F_INICIO,F_FIN,DESCRIPCION) VALUES ("&amp;REGLAS!B855&amp;",'"&amp;REGLAS!C855&amp;"','"&amp;REGLAS!D855&amp;"','"&amp;REGLAS!G855&amp;"',TO_DATE('"&amp;REGLAS!H855&amp;"','yyyymmdd'),TO_DATE('"&amp;REGLAS!I855&amp;"','yyyymmdd'),'"&amp;REGLAS!J855&amp;"');")</f>
        <v>INSERT INTO INYCEXT.INYC_CONF_INF_REGLAS (COD_INFORME,TABLA,NOMBRE,REGLA,F_INICIO,F_FIN,DESCRIPCION) VALUES (28.1,'INYC_CC_E_RESUMEN','SM - Cumplimiento Inspector','SM-E-CC-Inspector-CampaniaAgente2019-Cumple',TO_DATE('20190201','yyyymmdd'),TO_DATE('22000101','yyyymmdd'),'Versión 20190404');</v>
      </c>
      <c r="B854" t="str">
        <f>IF(REGLAS!J855="OBSOLETO","","INSERT INTO INYCEXT.INYC_CONF_INF_REGLAS@tc_link (COD_INFORME,TABLA,NOMBRE,REGLA,F_INICIO,F_FIN,DESCRIPCION) VALUES ("&amp;REGLAS!B855&amp;",'"&amp;REGLAS!C855&amp;"','"&amp;REGLAS!D855&amp;"','"&amp;REGLAS!G855&amp;"',TO_DATE('"&amp;REGLAS!H855&amp;"','yyyymmdd'),TO_DATE('"&amp;REGLAS!I855&amp;"','yyyymmdd'),'"&amp;REGLAS!J855&amp;"');")</f>
        <v>INSERT INTO INYCEXT.INYC_CONF_INF_REGLAS@tc_link (COD_INFORME,TABLA,NOMBRE,REGLA,F_INICIO,F_FIN,DESCRIPCION) VALUES (28.1,'INYC_CC_E_RESUMEN','SM - Cumplimiento Inspector','SM-E-CC-Inspector-CampaniaAgente2019-Cumple',TO_DATE('20190201','yyyymmdd'),TO_DATE('22000101','yyyymmdd'),'Versión 20190404');</v>
      </c>
    </row>
    <row r="855" spans="1:2" x14ac:dyDescent="0.25">
      <c r="A855" t="str">
        <f>IF(REGLAS!J856="OBSOLETO","","INSERT INTO INYCEXT.INYC_CONF_INF_REGLAS (COD_INFORME,TABLA,NOMBRE,REGLA,F_INICIO,F_FIN,DESCRIPCION) VALUES ("&amp;REGLAS!B856&amp;",'"&amp;REGLAS!C856&amp;"','"&amp;REGLAS!D856&amp;"','"&amp;REGLAS!G856&amp;"',TO_DATE('"&amp;REGLAS!H856&amp;"','yyyymmdd'),TO_DATE('"&amp;REGLAS!I856&amp;"','yyyymmdd'),'"&amp;REGLAS!J856&amp;"');")</f>
        <v>INSERT INTO INYCEXT.INYC_CONF_INF_REGLAS (COD_INFORME,TABLA,NOMBRE,REGLA,F_INICIO,F_FIN,DESCRIPCION) VALUES (29.1,'INYC_CPP_RESUMEN','SM - Importe Agente Mensual','SM-O-Agente-CampanaPersonales-TotalMes',TO_DATE('20181101','yyyymmdd'),TO_DATE('22000101','yyyymmdd'),'Version 20181127');</v>
      </c>
      <c r="B855" t="str">
        <f>IF(REGLAS!J856="OBSOLETO","","INSERT INTO INYCEXT.INYC_CONF_INF_REGLAS@tc_link (COD_INFORME,TABLA,NOMBRE,REGLA,F_INICIO,F_FIN,DESCRIPCION) VALUES ("&amp;REGLAS!B856&amp;",'"&amp;REGLAS!C856&amp;"','"&amp;REGLAS!D856&amp;"','"&amp;REGLAS!G856&amp;"',TO_DATE('"&amp;REGLAS!H856&amp;"','yyyymmdd'),TO_DATE('"&amp;REGLAS!I856&amp;"','yyyymmdd'),'"&amp;REGLAS!J856&amp;"');")</f>
        <v>INSERT INTO INYCEXT.INYC_CONF_INF_REGLAS@tc_link (COD_INFORME,TABLA,NOMBRE,REGLA,F_INICIO,F_FIN,DESCRIPCION) VALUES (29.1,'INYC_CPP_RESUMEN','SM - Importe Agente Mensual','SM-O-Agente-CampanaPersonales-TotalMes',TO_DATE('20181101','yyyymmdd'),TO_DATE('22000101','yyyymmdd'),'Version 20181127');</v>
      </c>
    </row>
    <row r="856" spans="1:2" x14ac:dyDescent="0.25">
      <c r="A856" t="str">
        <f>IF(REGLAS!J857="OBSOLETO","","INSERT INTO INYCEXT.INYC_CONF_INF_REGLAS (COD_INFORME,TABLA,NOMBRE,REGLA,F_INICIO,F_FIN,DESCRIPCION) VALUES ("&amp;REGLAS!B857&amp;",'"&amp;REGLAS!C857&amp;"','"&amp;REGLAS!D857&amp;"','"&amp;REGLAS!G857&amp;"',TO_DATE('"&amp;REGLAS!H857&amp;"','yyyymmdd'),TO_DATE('"&amp;REGLAS!I857&amp;"','yyyymmdd'),'"&amp;REGLAS!J857&amp;"');")</f>
        <v>INSERT INTO INYCEXT.INYC_CONF_INF_REGLAS (COD_INFORME,TABLA,NOMBRE,REGLA,F_INICIO,F_FIN,DESCRIPCION) VALUES (29.1,'INYC_CPP_RESUMEN','SM - Importe Agente Acumulado','SM-O-Agentes-CampanaPersonales-TotalCampana',TO_DATE('20181101','yyyymmdd'),TO_DATE('22000101','yyyymmdd'),'Version 20181127');</v>
      </c>
      <c r="B856" t="str">
        <f>IF(REGLAS!J857="OBSOLETO","","INSERT INTO INYCEXT.INYC_CONF_INF_REGLAS@tc_link (COD_INFORME,TABLA,NOMBRE,REGLA,F_INICIO,F_FIN,DESCRIPCION) VALUES ("&amp;REGLAS!B857&amp;",'"&amp;REGLAS!C857&amp;"','"&amp;REGLAS!D857&amp;"','"&amp;REGLAS!G857&amp;"',TO_DATE('"&amp;REGLAS!H857&amp;"','yyyymmdd'),TO_DATE('"&amp;REGLAS!I857&amp;"','yyyymmdd'),'"&amp;REGLAS!J857&amp;"');")</f>
        <v>INSERT INTO INYCEXT.INYC_CONF_INF_REGLAS@tc_link (COD_INFORME,TABLA,NOMBRE,REGLA,F_INICIO,F_FIN,DESCRIPCION) VALUES (29.1,'INYC_CPP_RESUMEN','SM - Importe Agente Acumulado','SM-O-Agentes-CampanaPersonales-TotalCampana',TO_DATE('20181101','yyyymmdd'),TO_DATE('22000101','yyyymmdd'),'Version 20181127');</v>
      </c>
    </row>
    <row r="857" spans="1:2" x14ac:dyDescent="0.25">
      <c r="A857" t="str">
        <f>IF(REGLAS!J858="OBSOLETO","","INSERT INTO INYCEXT.INYC_CONF_INF_REGLAS (COD_INFORME,TABLA,NOMBRE,REGLA,F_INICIO,F_FIN,DESCRIPCION) VALUES ("&amp;REGLAS!B858&amp;",'"&amp;REGLAS!C858&amp;"','"&amp;REGLAS!D858&amp;"','"&amp;REGLAS!G858&amp;"',TO_DATE('"&amp;REGLAS!H858&amp;"','yyyymmdd'),TO_DATE('"&amp;REGLAS!I858&amp;"','yyyymmdd'),'"&amp;REGLAS!J858&amp;"');")</f>
        <v>INSERT INTO INYCEXT.INYC_CONF_INF_REGLAS (COD_INFORME,TABLA,NOMBRE,REGLA,F_INICIO,F_FIN,DESCRIPCION) VALUES (29.1,'INYC_CPP_RESUMEN','SM - Soles Inspector Mensual','SM-O-Inspector-CampanaPersonales-TotalMes',TO_DATE('20181101','yyyymmdd'),TO_DATE('22000101','yyyymmdd'),'Version 20181127');</v>
      </c>
      <c r="B857" t="str">
        <f>IF(REGLAS!J858="OBSOLETO","","INSERT INTO INYCEXT.INYC_CONF_INF_REGLAS@tc_link (COD_INFORME,TABLA,NOMBRE,REGLA,F_INICIO,F_FIN,DESCRIPCION) VALUES ("&amp;REGLAS!B858&amp;",'"&amp;REGLAS!C858&amp;"','"&amp;REGLAS!D858&amp;"','"&amp;REGLAS!G858&amp;"',TO_DATE('"&amp;REGLAS!H858&amp;"','yyyymmdd'),TO_DATE('"&amp;REGLAS!I858&amp;"','yyyymmdd'),'"&amp;REGLAS!J858&amp;"');")</f>
        <v>INSERT INTO INYCEXT.INYC_CONF_INF_REGLAS@tc_link (COD_INFORME,TABLA,NOMBRE,REGLA,F_INICIO,F_FIN,DESCRIPCION) VALUES (29.1,'INYC_CPP_RESUMEN','SM - Soles Inspector Mensual','SM-O-Inspector-CampanaPersonales-TotalMes',TO_DATE('20181101','yyyymmdd'),TO_DATE('22000101','yyyymmdd'),'Version 20181127');</v>
      </c>
    </row>
    <row r="858" spans="1:2" x14ac:dyDescent="0.25">
      <c r="A858" t="str">
        <f>IF(REGLAS!J859="OBSOLETO","","INSERT INTO INYCEXT.INYC_CONF_INF_REGLAS (COD_INFORME,TABLA,NOMBRE,REGLA,F_INICIO,F_FIN,DESCRIPCION) VALUES ("&amp;REGLAS!B859&amp;",'"&amp;REGLAS!C859&amp;"','"&amp;REGLAS!D859&amp;"','"&amp;REGLAS!G859&amp;"',TO_DATE('"&amp;REGLAS!H859&amp;"','yyyymmdd'),TO_DATE('"&amp;REGLAS!I859&amp;"','yyyymmdd'),'"&amp;REGLAS!J859&amp;"');")</f>
        <v>INSERT INTO INYCEXT.INYC_CONF_INF_REGLAS (COD_INFORME,TABLA,NOMBRE,REGLA,F_INICIO,F_FIN,DESCRIPCION) VALUES (29.1,'INYC_CPP_RESUMEN','SM - Soles Inspector Acumulado','SM-O-Inspector-CampanaPersonales-TotalAcumulado',TO_DATE('20181101','yyyymmdd'),TO_DATE('22000101','yyyymmdd'),'Version 20181127');</v>
      </c>
      <c r="B858" t="str">
        <f>IF(REGLAS!J859="OBSOLETO","","INSERT INTO INYCEXT.INYC_CONF_INF_REGLAS@tc_link (COD_INFORME,TABLA,NOMBRE,REGLA,F_INICIO,F_FIN,DESCRIPCION) VALUES ("&amp;REGLAS!B859&amp;",'"&amp;REGLAS!C859&amp;"','"&amp;REGLAS!D859&amp;"','"&amp;REGLAS!G859&amp;"',TO_DATE('"&amp;REGLAS!H859&amp;"','yyyymmdd'),TO_DATE('"&amp;REGLAS!I859&amp;"','yyyymmdd'),'"&amp;REGLAS!J859&amp;"');")</f>
        <v>INSERT INTO INYCEXT.INYC_CONF_INF_REGLAS@tc_link (COD_INFORME,TABLA,NOMBRE,REGLA,F_INICIO,F_FIN,DESCRIPCION) VALUES (29.1,'INYC_CPP_RESUMEN','SM - Soles Inspector Acumulado','SM-O-Inspector-CampanaPersonales-TotalAcumulado',TO_DATE('20181101','yyyymmdd'),TO_DATE('22000101','yyyymmdd'),'Version 20181127');</v>
      </c>
    </row>
    <row r="859" spans="1:2" x14ac:dyDescent="0.25">
      <c r="A859" t="str">
        <f>IF(REGLAS!J860="OBSOLETO","","INSERT INTO INYCEXT.INYC_CONF_INF_REGLAS (COD_INFORME,TABLA,NOMBRE,REGLA,F_INICIO,F_FIN,DESCRIPCION) VALUES ("&amp;REGLAS!B860&amp;",'"&amp;REGLAS!C860&amp;"','"&amp;REGLAS!D860&amp;"','"&amp;REGLAS!G860&amp;"',TO_DATE('"&amp;REGLAS!H860&amp;"','yyyymmdd'),TO_DATE('"&amp;REGLAS!I860&amp;"','yyyymmdd'),'"&amp;REGLAS!J860&amp;"');")</f>
        <v>INSERT INTO INYCEXT.INYC_CONF_INF_REGLAS (COD_INFORME,TABLA,NOMBRE,REGLA,F_INICIO,F_FIN,DESCRIPCION) VALUES (29.2,'INYC_CPP_DETALLE','DC - Importe Agentes','DC-O-Agentes-CampanaPersonales',TO_DATE('20181101','yyyymmdd'),TO_DATE('22000101','yyyymmdd'),'Version 20181127');</v>
      </c>
      <c r="B859" t="str">
        <f>IF(REGLAS!J860="OBSOLETO","","INSERT INTO INYCEXT.INYC_CONF_INF_REGLAS@tc_link (COD_INFORME,TABLA,NOMBRE,REGLA,F_INICIO,F_FIN,DESCRIPCION) VALUES ("&amp;REGLAS!B860&amp;",'"&amp;REGLAS!C860&amp;"','"&amp;REGLAS!D860&amp;"','"&amp;REGLAS!G860&amp;"',TO_DATE('"&amp;REGLAS!H860&amp;"','yyyymmdd'),TO_DATE('"&amp;REGLAS!I860&amp;"','yyyymmdd'),'"&amp;REGLAS!J860&amp;"');")</f>
        <v>INSERT INTO INYCEXT.INYC_CONF_INF_REGLAS@tc_link (COD_INFORME,TABLA,NOMBRE,REGLA,F_INICIO,F_FIN,DESCRIPCION) VALUES (29.2,'INYC_CPP_DETALLE','DC - Importe Agentes','DC-O-Agentes-CampanaPersonales',TO_DATE('20181101','yyyymmdd'),TO_DATE('22000101','yyyymmdd'),'Version 20181127');</v>
      </c>
    </row>
    <row r="860" spans="1:2" x14ac:dyDescent="0.25">
      <c r="A860" t="str">
        <f>IF(REGLAS!J861="OBSOLETO","","INSERT INTO INYCEXT.INYC_CONF_INF_REGLAS (COD_INFORME,TABLA,NOMBRE,REGLA,F_INICIO,F_FIN,DESCRIPCION) VALUES ("&amp;REGLAS!B861&amp;",'"&amp;REGLAS!C861&amp;"','"&amp;REGLAS!D861&amp;"','"&amp;REGLAS!G861&amp;"',TO_DATE('"&amp;REGLAS!H861&amp;"','yyyymmdd'),TO_DATE('"&amp;REGLAS!I861&amp;"','yyyymmdd'),'"&amp;REGLAS!J861&amp;"');")</f>
        <v>INSERT INTO INYCEXT.INYC_CONF_INF_REGLAS (COD_INFORME,TABLA,NOMBRE,REGLA,F_INICIO,F_FIN,DESCRIPCION) VALUES (29.2,'INYC_CPP_DETALLE','SM - Soles Propios','DC-O-Inspector-CampanaPersonales',TO_DATE('20181101','yyyymmdd'),TO_DATE('22000101','yyyymmdd'),'Version 20181127');</v>
      </c>
      <c r="B860" t="str">
        <f>IF(REGLAS!J861="OBSOLETO","","INSERT INTO INYCEXT.INYC_CONF_INF_REGLAS@tc_link (COD_INFORME,TABLA,NOMBRE,REGLA,F_INICIO,F_FIN,DESCRIPCION) VALUES ("&amp;REGLAS!B861&amp;",'"&amp;REGLAS!C861&amp;"','"&amp;REGLAS!D861&amp;"','"&amp;REGLAS!G861&amp;"',TO_DATE('"&amp;REGLAS!H861&amp;"','yyyymmdd'),TO_DATE('"&amp;REGLAS!I861&amp;"','yyyymmdd'),'"&amp;REGLAS!J861&amp;"');")</f>
        <v>INSERT INTO INYCEXT.INYC_CONF_INF_REGLAS@tc_link (COD_INFORME,TABLA,NOMBRE,REGLA,F_INICIO,F_FIN,DESCRIPCION) VALUES (29.2,'INYC_CPP_DETALLE','SM - Soles Propios','DC-O-Inspector-CampanaPersonales',TO_DATE('20181101','yyyymmdd'),TO_DATE('22000101','yyyymmdd'),'Version 20181127');</v>
      </c>
    </row>
    <row r="861" spans="1:2" x14ac:dyDescent="0.25">
      <c r="A861" t="str">
        <f>IF(REGLAS!J862="OBSOLETO","","INSERT INTO INYCEXT.INYC_CONF_INF_REGLAS (COD_INFORME,TABLA,NOMBRE,REGLA,F_INICIO,F_FIN,DESCRIPCION) VALUES ("&amp;REGLAS!B862&amp;",'"&amp;REGLAS!C862&amp;"','"&amp;REGLAS!D862&amp;"','"&amp;REGLAS!G862&amp;"',TO_DATE('"&amp;REGLAS!H862&amp;"','yyyymmdd'),TO_DATE('"&amp;REGLAS!I862&amp;"','yyyymmdd'),'"&amp;REGLAS!J862&amp;"');")</f>
        <v>INSERT INTO INYCEXT.INYC_CONF_INF_REGLAS (COD_INFORME,TABLA,NOMBRE,REGLA,F_INICIO,F_FIN,DESCRIPCION) VALUES (29.2,'INYC_CPP_DETALLE','SM - Soles Agentes','IC-O-Inspector-CampanaPersonales',TO_DATE('20181101','yyyymmdd'),TO_DATE('22000101','yyyymmdd'),'Version 20181127');</v>
      </c>
      <c r="B861" t="str">
        <f>IF(REGLAS!J862="OBSOLETO","","INSERT INTO INYCEXT.INYC_CONF_INF_REGLAS@tc_link (COD_INFORME,TABLA,NOMBRE,REGLA,F_INICIO,F_FIN,DESCRIPCION) VALUES ("&amp;REGLAS!B862&amp;",'"&amp;REGLAS!C862&amp;"','"&amp;REGLAS!D862&amp;"','"&amp;REGLAS!G862&amp;"',TO_DATE('"&amp;REGLAS!H862&amp;"','yyyymmdd'),TO_DATE('"&amp;REGLAS!I862&amp;"','yyyymmdd'),'"&amp;REGLAS!J862&amp;"');")</f>
        <v>INSERT INTO INYCEXT.INYC_CONF_INF_REGLAS@tc_link (COD_INFORME,TABLA,NOMBRE,REGLA,F_INICIO,F_FIN,DESCRIPCION) VALUES (29.2,'INYC_CPP_DETALLE','SM - Soles Agentes','IC-O-Inspector-CampanaPersonales',TO_DATE('20181101','yyyymmdd'),TO_DATE('22000101','yyyymmdd'),'Version 20181127');</v>
      </c>
    </row>
    <row r="862" spans="1:2" x14ac:dyDescent="0.25">
      <c r="A862" t="str">
        <f>IF(REGLAS!J863="OBSOLETO","","INSERT INTO INYCEXT.INYC_CONF_INF_REGLAS (COD_INFORME,TABLA,NOMBRE,REGLA,F_INICIO,F_FIN,DESCRIPCION) VALUES ("&amp;REGLAS!B863&amp;",'"&amp;REGLAS!C863&amp;"','"&amp;REGLAS!D863&amp;"','"&amp;REGLAS!G863&amp;"',TO_DATE('"&amp;REGLAS!H863&amp;"','yyyymmdd'),TO_DATE('"&amp;REGLAS!I863&amp;"','yyyymmdd'),'"&amp;REGLAS!J863&amp;"');")</f>
        <v>INSERT INTO INYCEXT.INYC_CONF_INF_REGLAS (COD_INFORME,TABLA,NOMBRE,REGLA,F_INICIO,F_FIN,DESCRIPCION) VALUES (30.1,'INYC_CAP_E_RESUMEN','SM - Numero Meses Agente','SM-E-CAP-Agente-Acumulado-NumeroMeses',TO_DATE('20190101','yyyymmdd'),TO_DATE('22000101','yyyymmdd'),'Version 20190313');</v>
      </c>
      <c r="B862" t="str">
        <f>IF(REGLAS!J863="OBSOLETO","","INSERT INTO INYCEXT.INYC_CONF_INF_REGLAS@tc_link (COD_INFORME,TABLA,NOMBRE,REGLA,F_INICIO,F_FIN,DESCRIPCION) VALUES ("&amp;REGLAS!B863&amp;",'"&amp;REGLAS!C863&amp;"','"&amp;REGLAS!D863&amp;"','"&amp;REGLAS!G863&amp;"',TO_DATE('"&amp;REGLAS!H863&amp;"','yyyymmdd'),TO_DATE('"&amp;REGLAS!I863&amp;"','yyyymmdd'),'"&amp;REGLAS!J863&amp;"');")</f>
        <v>INSERT INTO INYCEXT.INYC_CONF_INF_REGLAS@tc_link (COD_INFORME,TABLA,NOMBRE,REGLA,F_INICIO,F_FIN,DESCRIPCION) VALUES (30.1,'INYC_CAP_E_RESUMEN','SM - Numero Meses Agente','SM-E-CAP-Agente-Acumulado-NumeroMeses',TO_DATE('20190101','yyyymmdd'),TO_DATE('22000101','yyyymmdd'),'Version 20190313');</v>
      </c>
    </row>
    <row r="863" spans="1:2" x14ac:dyDescent="0.25">
      <c r="A863" t="str">
        <f>IF(REGLAS!J864="OBSOLETO","","INSERT INTO INYCEXT.INYC_CONF_INF_REGLAS (COD_INFORME,TABLA,NOMBRE,REGLA,F_INICIO,F_FIN,DESCRIPCION) VALUES ("&amp;REGLAS!B864&amp;",'"&amp;REGLAS!C864&amp;"','"&amp;REGLAS!D864&amp;"','"&amp;REGLAS!G864&amp;"',TO_DATE('"&amp;REGLAS!H864&amp;"','yyyymmdd'),TO_DATE('"&amp;REGLAS!I864&amp;"','yyyymmdd'),'"&amp;REGLAS!J864&amp;"');")</f>
        <v>INSERT INTO INYCEXT.INYC_CONF_INF_REGLAS (COD_INFORME,TABLA,NOMBRE,REGLA,F_INICIO,F_FIN,DESCRIPCION) VALUES (30.1,'INYC_CAP_E_RESUMEN','SM - Pólizas Agente Acumulado','SM-E-CAP-Agente-Polizas-Acumulado',TO_DATE('20190101','yyyymmdd'),TO_DATE('22000101','yyyymmdd'),'Version 20190313');</v>
      </c>
      <c r="B863" t="str">
        <f>IF(REGLAS!J864="OBSOLETO","","INSERT INTO INYCEXT.INYC_CONF_INF_REGLAS@tc_link (COD_INFORME,TABLA,NOMBRE,REGLA,F_INICIO,F_FIN,DESCRIPCION) VALUES ("&amp;REGLAS!B864&amp;",'"&amp;REGLAS!C864&amp;"','"&amp;REGLAS!D864&amp;"','"&amp;REGLAS!G864&amp;"',TO_DATE('"&amp;REGLAS!H864&amp;"','yyyymmdd'),TO_DATE('"&amp;REGLAS!I864&amp;"','yyyymmdd'),'"&amp;REGLAS!J864&amp;"');")</f>
        <v>INSERT INTO INYCEXT.INYC_CONF_INF_REGLAS@tc_link (COD_INFORME,TABLA,NOMBRE,REGLA,F_INICIO,F_FIN,DESCRIPCION) VALUES (30.1,'INYC_CAP_E_RESUMEN','SM - Pólizas Agente Acumulado','SM-E-CAP-Agente-Polizas-Acumulado',TO_DATE('20190101','yyyymmdd'),TO_DATE('22000101','yyyymmdd'),'Version 20190313');</v>
      </c>
    </row>
    <row r="864" spans="1:2" x14ac:dyDescent="0.25">
      <c r="A864" t="str">
        <f>IF(REGLAS!J865="OBSOLETO","","INSERT INTO INYCEXT.INYC_CONF_INF_REGLAS (COD_INFORME,TABLA,NOMBRE,REGLA,F_INICIO,F_FIN,DESCRIPCION) VALUES ("&amp;REGLAS!B865&amp;",'"&amp;REGLAS!C865&amp;"','"&amp;REGLAS!D865&amp;"','"&amp;REGLAS!G865&amp;"',TO_DATE('"&amp;REGLAS!H865&amp;"','yyyymmdd'),TO_DATE('"&amp;REGLAS!I865&amp;"','yyyymmdd'),'"&amp;REGLAS!J865&amp;"');")</f>
        <v>INSERT INTO INYCEXT.INYC_CONF_INF_REGLAS (COD_INFORME,TABLA,NOMBRE,REGLA,F_INICIO,F_FIN,DESCRIPCION) VALUES (30.1,'INYC_CAP_E_RESUMEN','SM - Primas Agente Acumulado','SM-E-CAP-Agente-Prima-Acumulado',TO_DATE('20190101','yyyymmdd'),TO_DATE('22000101','yyyymmdd'),'Version 20190313');</v>
      </c>
      <c r="B864" t="str">
        <f>IF(REGLAS!J865="OBSOLETO","","INSERT INTO INYCEXT.INYC_CONF_INF_REGLAS@tc_link (COD_INFORME,TABLA,NOMBRE,REGLA,F_INICIO,F_FIN,DESCRIPCION) VALUES ("&amp;REGLAS!B865&amp;",'"&amp;REGLAS!C865&amp;"','"&amp;REGLAS!D865&amp;"','"&amp;REGLAS!G865&amp;"',TO_DATE('"&amp;REGLAS!H865&amp;"','yyyymmdd'),TO_DATE('"&amp;REGLAS!I865&amp;"','yyyymmdd'),'"&amp;REGLAS!J865&amp;"');")</f>
        <v>INSERT INTO INYCEXT.INYC_CONF_INF_REGLAS@tc_link (COD_INFORME,TABLA,NOMBRE,REGLA,F_INICIO,F_FIN,DESCRIPCION) VALUES (30.1,'INYC_CAP_E_RESUMEN','SM - Primas Agente Acumulado','SM-E-CAP-Agente-Prima-Acumulado',TO_DATE('20190101','yyyymmdd'),TO_DATE('22000101','yyyymmdd'),'Version 20190313');</v>
      </c>
    </row>
    <row r="865" spans="1:2" x14ac:dyDescent="0.25">
      <c r="A865" t="str">
        <f>IF(REGLAS!J866="OBSOLETO","","INSERT INTO INYCEXT.INYC_CONF_INF_REGLAS (COD_INFORME,TABLA,NOMBRE,REGLA,F_INICIO,F_FIN,DESCRIPCION) VALUES ("&amp;REGLAS!B866&amp;",'"&amp;REGLAS!C866&amp;"','"&amp;REGLAS!D866&amp;"','"&amp;REGLAS!G866&amp;"',TO_DATE('"&amp;REGLAS!H866&amp;"','yyyymmdd'),TO_DATE('"&amp;REGLAS!I866&amp;"','yyyymmdd'),'"&amp;REGLAS!J866&amp;"');")</f>
        <v>INSERT INTO INYCEXT.INYC_CONF_INF_REGLAS (COD_INFORME,TABLA,NOMBRE,REGLA,F_INICIO,F_FIN,DESCRIPCION) VALUES (30.1,'INYC_CAP_E_RESUMEN','SM - Importe Pago Agente','SM-E-CAP-Agente-ImportePago',TO_DATE('20190101','yyyymmdd'),TO_DATE('22000101','yyyymmdd'),'Version 20190313');</v>
      </c>
      <c r="B865" t="str">
        <f>IF(REGLAS!J866="OBSOLETO","","INSERT INTO INYCEXT.INYC_CONF_INF_REGLAS@tc_link (COD_INFORME,TABLA,NOMBRE,REGLA,F_INICIO,F_FIN,DESCRIPCION) VALUES ("&amp;REGLAS!B866&amp;",'"&amp;REGLAS!C866&amp;"','"&amp;REGLAS!D866&amp;"','"&amp;REGLAS!G866&amp;"',TO_DATE('"&amp;REGLAS!H866&amp;"','yyyymmdd'),TO_DATE('"&amp;REGLAS!I866&amp;"','yyyymmdd'),'"&amp;REGLAS!J866&amp;"');")</f>
        <v>INSERT INTO INYCEXT.INYC_CONF_INF_REGLAS@tc_link (COD_INFORME,TABLA,NOMBRE,REGLA,F_INICIO,F_FIN,DESCRIPCION) VALUES (30.1,'INYC_CAP_E_RESUMEN','SM - Importe Pago Agente','SM-E-CAP-Agente-ImportePago',TO_DATE('20190101','yyyymmdd'),TO_DATE('22000101','yyyymmdd'),'Version 20190313');</v>
      </c>
    </row>
    <row r="866" spans="1:2" x14ac:dyDescent="0.25">
      <c r="A866" t="str">
        <f>IF(REGLAS!J867="OBSOLETO","","INSERT INTO INYCEXT.INYC_CONF_INF_REGLAS (COD_INFORME,TABLA,NOMBRE,REGLA,F_INICIO,F_FIN,DESCRIPCION) VALUES ("&amp;REGLAS!B867&amp;",'"&amp;REGLAS!C867&amp;"','"&amp;REGLAS!D867&amp;"','"&amp;REGLAS!G867&amp;"',TO_DATE('"&amp;REGLAS!H867&amp;"','yyyymmdd'),TO_DATE('"&amp;REGLAS!I867&amp;"','yyyymmdd'),'"&amp;REGLAS!J867&amp;"');")</f>
        <v>INSERT INTO INYCEXT.INYC_CONF_INF_REGLAS (COD_INFORME,TABLA,NOMBRE,REGLA,F_INICIO,F_FIN,DESCRIPCION) VALUES (30.1,'INYC_CAP_E_RESUMEN','SM - Importe Pago Inspector Total','SM-E-CAP-Inspector-ImportePago',TO_DATE('20190101','yyyymmdd'),TO_DATE('22000101','yyyymmdd'),'Version 20190313');</v>
      </c>
      <c r="B866" t="str">
        <f>IF(REGLAS!J867="OBSOLETO","","INSERT INTO INYCEXT.INYC_CONF_INF_REGLAS@tc_link (COD_INFORME,TABLA,NOMBRE,REGLA,F_INICIO,F_FIN,DESCRIPCION) VALUES ("&amp;REGLAS!B867&amp;",'"&amp;REGLAS!C867&amp;"','"&amp;REGLAS!D867&amp;"','"&amp;REGLAS!G867&amp;"',TO_DATE('"&amp;REGLAS!H867&amp;"','yyyymmdd'),TO_DATE('"&amp;REGLAS!I867&amp;"','yyyymmdd'),'"&amp;REGLAS!J867&amp;"');")</f>
        <v>INSERT INTO INYCEXT.INYC_CONF_INF_REGLAS@tc_link (COD_INFORME,TABLA,NOMBRE,REGLA,F_INICIO,F_FIN,DESCRIPCION) VALUES (30.1,'INYC_CAP_E_RESUMEN','SM - Importe Pago Inspector Total','SM-E-CAP-Inspector-ImportePago',TO_DATE('20190101','yyyymmdd'),TO_DATE('22000101','yyyymmdd'),'Version 20190313');</v>
      </c>
    </row>
    <row r="867" spans="1:2" x14ac:dyDescent="0.25">
      <c r="A867" t="str">
        <f>IF(REGLAS!J868="OBSOLETO","","INSERT INTO INYCEXT.INYC_CONF_INF_REGLAS (COD_INFORME,TABLA,NOMBRE,REGLA,F_INICIO,F_FIN,DESCRIPCION) VALUES ("&amp;REGLAS!B868&amp;",'"&amp;REGLAS!C868&amp;"','"&amp;REGLAS!D868&amp;"','"&amp;REGLAS!G868&amp;"',TO_DATE('"&amp;REGLAS!H868&amp;"','yyyymmdd'),TO_DATE('"&amp;REGLAS!I868&amp;"','yyyymmdd'),'"&amp;REGLAS!J868&amp;"');")</f>
        <v>INSERT INTO INYCEXT.INYC_CONF_INF_REGLAS (COD_INFORME,TABLA,NOMBRE,REGLA,F_INICIO,F_FIN,DESCRIPCION) VALUES (31.1,'INYC_OBJ_E_RESUMEN','SM-Categoria Meses','SM-E-GEN-Categoria-Meses',TO_DATE('20200101','yyyymmdd'),TO_DATE('22000101','yyyymmdd'),'');</v>
      </c>
      <c r="B867" t="str">
        <f>IF(REGLAS!J868="OBSOLETO","","INSERT INTO INYCEXT.INYC_CONF_INF_REGLAS@tc_link (COD_INFORME,TABLA,NOMBRE,REGLA,F_INICIO,F_FIN,DESCRIPCION) VALUES ("&amp;REGLAS!B868&amp;",'"&amp;REGLAS!C868&amp;"','"&amp;REGLAS!D868&amp;"','"&amp;REGLAS!G868&amp;"',TO_DATE('"&amp;REGLAS!H868&amp;"','yyyymmdd'),TO_DATE('"&amp;REGLAS!I868&amp;"','yyyymmdd'),'"&amp;REGLAS!J868&amp;"');")</f>
        <v>INSERT INTO INYCEXT.INYC_CONF_INF_REGLAS@tc_link (COD_INFORME,TABLA,NOMBRE,REGLA,F_INICIO,F_FIN,DESCRIPCION) VALUES (31.1,'INYC_OBJ_E_RESUMEN','SM-Categoria Meses','SM-E-GEN-Categoria-Meses',TO_DATE('20200101','yyyymmdd'),TO_DATE('22000101','yyyymmdd'),'');</v>
      </c>
    </row>
    <row r="868" spans="1:2" x14ac:dyDescent="0.25">
      <c r="A868" t="str">
        <f>IF(REGLAS!J869="OBSOLETO","","INSERT INTO INYCEXT.INYC_CONF_INF_REGLAS (COD_INFORME,TABLA,NOMBRE,REGLA,F_INICIO,F_FIN,DESCRIPCION) VALUES ("&amp;REGLAS!B869&amp;",'"&amp;REGLAS!C869&amp;"','"&amp;REGLAS!D869&amp;"','"&amp;REGLAS!G869&amp;"',TO_DATE('"&amp;REGLAS!H869&amp;"','yyyymmdd'),TO_DATE('"&amp;REGLAS!I869&amp;"','yyyymmdd'),'"&amp;REGLAS!J869&amp;"');")</f>
        <v>INSERT INTO INYCEXT.INYC_CONF_INF_REGLAS (COD_INFORME,TABLA,NOMBRE,REGLA,F_INICIO,F_FIN,DESCRIPCION) VALUES (31.1,'INYC_OBJ_E_RESUMEN','SM - Prima ProdPrioritarios Anual','SM-E-GEN-Inspector-PrimaCorregida-ProdPrioritarios-TotalAnual',TO_DATE('20190101','yyyymmdd'),TO_DATE('22000101','yyyymmdd'),'Version 20190329');</v>
      </c>
      <c r="B868" t="str">
        <f>IF(REGLAS!J869="OBSOLETO","","INSERT INTO INYCEXT.INYC_CONF_INF_REGLAS@tc_link (COD_INFORME,TABLA,NOMBRE,REGLA,F_INICIO,F_FIN,DESCRIPCION) VALUES ("&amp;REGLAS!B869&amp;",'"&amp;REGLAS!C869&amp;"','"&amp;REGLAS!D869&amp;"','"&amp;REGLAS!G869&amp;"',TO_DATE('"&amp;REGLAS!H869&amp;"','yyyymmdd'),TO_DATE('"&amp;REGLAS!I869&amp;"','yyyymmdd'),'"&amp;REGLAS!J869&amp;"');")</f>
        <v>INSERT INTO INYCEXT.INYC_CONF_INF_REGLAS@tc_link (COD_INFORME,TABLA,NOMBRE,REGLA,F_INICIO,F_FIN,DESCRIPCION) VALUES (31.1,'INYC_OBJ_E_RESUMEN','SM - Prima ProdPrioritarios Anual','SM-E-GEN-Inspector-PrimaCorregida-ProdPrioritarios-TotalAnual',TO_DATE('20190101','yyyymmdd'),TO_DATE('22000101','yyyymmdd'),'Version 20190329');</v>
      </c>
    </row>
    <row r="869" spans="1:2" x14ac:dyDescent="0.25">
      <c r="A869" t="str">
        <f>IF(REGLAS!J870="OBSOLETO","","INSERT INTO INYCEXT.INYC_CONF_INF_REGLAS (COD_INFORME,TABLA,NOMBRE,REGLA,F_INICIO,F_FIN,DESCRIPCION) VALUES ("&amp;REGLAS!B870&amp;",'"&amp;REGLAS!C870&amp;"','"&amp;REGLAS!D870&amp;"','"&amp;REGLAS!G870&amp;"',TO_DATE('"&amp;REGLAS!H870&amp;"','yyyymmdd'),TO_DATE('"&amp;REGLAS!I870&amp;"','yyyymmdd'),'"&amp;REGLAS!J870&amp;"');")</f>
        <v>INSERT INTO INYCEXT.INYC_CONF_INF_REGLAS (COD_INFORME,TABLA,NOMBRE,REGLA,F_INICIO,F_FIN,DESCRIPCION) VALUES (31.1,'INYC_OBJ_E_RESUMEN','SM - Polizas Decesos Anual','SM-E-GEN-Inspector-NumeroPolizasCorregidas-Decesos-TotalAnual',TO_DATE('20190101','yyyymmdd'),TO_DATE('22000101','yyyymmdd'),'Version 20190329');</v>
      </c>
      <c r="B869" t="str">
        <f>IF(REGLAS!J870="OBSOLETO","","INSERT INTO INYCEXT.INYC_CONF_INF_REGLAS@tc_link (COD_INFORME,TABLA,NOMBRE,REGLA,F_INICIO,F_FIN,DESCRIPCION) VALUES ("&amp;REGLAS!B870&amp;",'"&amp;REGLAS!C870&amp;"','"&amp;REGLAS!D870&amp;"','"&amp;REGLAS!G870&amp;"',TO_DATE('"&amp;REGLAS!H870&amp;"','yyyymmdd'),TO_DATE('"&amp;REGLAS!I870&amp;"','yyyymmdd'),'"&amp;REGLAS!J870&amp;"');")</f>
        <v>INSERT INTO INYCEXT.INYC_CONF_INF_REGLAS@tc_link (COD_INFORME,TABLA,NOMBRE,REGLA,F_INICIO,F_FIN,DESCRIPCION) VALUES (31.1,'INYC_OBJ_E_RESUMEN','SM - Polizas Decesos Anual','SM-E-GEN-Inspector-NumeroPolizasCorregidas-Decesos-TotalAnual',TO_DATE('20190101','yyyymmdd'),TO_DATE('22000101','yyyymmdd'),'Version 20190329');</v>
      </c>
    </row>
    <row r="870" spans="1:2" x14ac:dyDescent="0.25">
      <c r="A870" t="str">
        <f>IF(REGLAS!J871="OBSOLETO","","INSERT INTO INYCEXT.INYC_CONF_INF_REGLAS (COD_INFORME,TABLA,NOMBRE,REGLA,F_INICIO,F_FIN,DESCRIPCION) VALUES ("&amp;REGLAS!B871&amp;",'"&amp;REGLAS!C871&amp;"','"&amp;REGLAS!D871&amp;"','"&amp;REGLAS!G871&amp;"',TO_DATE('"&amp;REGLAS!H871&amp;"','yyyymmdd'),TO_DATE('"&amp;REGLAS!I871&amp;"','yyyymmdd'),'"&amp;REGLAS!J871&amp;"');")</f>
        <v>INSERT INTO INYCEXT.INYC_CONF_INF_REGLAS (COD_INFORME,TABLA,NOMBRE,REGLA,F_INICIO,F_FIN,DESCRIPCION) VALUES (31.1,'INYC_OBJ_E_RESUMEN','SM - Polizas Hogar Anual','SM-E-GEN-Inspector-NumeroPolizasCorregidas-Hogar-TotalAnual',TO_DATE('20190101','yyyymmdd'),TO_DATE('22000101','yyyymmdd'),'Version 20190329');</v>
      </c>
      <c r="B870" t="str">
        <f>IF(REGLAS!J871="OBSOLETO","","INSERT INTO INYCEXT.INYC_CONF_INF_REGLAS@tc_link (COD_INFORME,TABLA,NOMBRE,REGLA,F_INICIO,F_FIN,DESCRIPCION) VALUES ("&amp;REGLAS!B871&amp;",'"&amp;REGLAS!C871&amp;"','"&amp;REGLAS!D871&amp;"','"&amp;REGLAS!G871&amp;"',TO_DATE('"&amp;REGLAS!H871&amp;"','yyyymmdd'),TO_DATE('"&amp;REGLAS!I871&amp;"','yyyymmdd'),'"&amp;REGLAS!J871&amp;"');")</f>
        <v>INSERT INTO INYCEXT.INYC_CONF_INF_REGLAS@tc_link (COD_INFORME,TABLA,NOMBRE,REGLA,F_INICIO,F_FIN,DESCRIPCION) VALUES (31.1,'INYC_OBJ_E_RESUMEN','SM - Polizas Hogar Anual','SM-E-GEN-Inspector-NumeroPolizasCorregidas-Hogar-TotalAnual',TO_DATE('20190101','yyyymmdd'),TO_DATE('22000101','yyyymmdd'),'Version 20190329');</v>
      </c>
    </row>
    <row r="871" spans="1:2" x14ac:dyDescent="0.25">
      <c r="A871" t="str">
        <f>IF(REGLAS!J872="OBSOLETO","","INSERT INTO INYCEXT.INYC_CONF_INF_REGLAS (COD_INFORME,TABLA,NOMBRE,REGLA,F_INICIO,F_FIN,DESCRIPCION) VALUES ("&amp;REGLAS!B872&amp;",'"&amp;REGLAS!C872&amp;"','"&amp;REGLAS!D872&amp;"','"&amp;REGLAS!G872&amp;"',TO_DATE('"&amp;REGLAS!H872&amp;"','yyyymmdd'),TO_DATE('"&amp;REGLAS!I872&amp;"','yyyymmdd'),'"&amp;REGLAS!J872&amp;"');")</f>
        <v>INSERT INTO INYCEXT.INYC_CONF_INF_REGLAS (COD_INFORME,TABLA,NOMBRE,REGLA,F_INICIO,F_FIN,DESCRIPCION) VALUES (31.1,'INYC_OBJ_E_RESUMEN','SM - Polizas Comunidades Anual','SM-E-GEN-Inspector-NumeroPolizasCorregidas-Comunidades-TotalAnual',TO_DATE('20190101','yyyymmdd'),TO_DATE('22000101','yyyymmdd'),'Version 20190329');</v>
      </c>
      <c r="B871" t="str">
        <f>IF(REGLAS!J872="OBSOLETO","","INSERT INTO INYCEXT.INYC_CONF_INF_REGLAS@tc_link (COD_INFORME,TABLA,NOMBRE,REGLA,F_INICIO,F_FIN,DESCRIPCION) VALUES ("&amp;REGLAS!B872&amp;",'"&amp;REGLAS!C872&amp;"','"&amp;REGLAS!D872&amp;"','"&amp;REGLAS!G872&amp;"',TO_DATE('"&amp;REGLAS!H872&amp;"','yyyymmdd'),TO_DATE('"&amp;REGLAS!I872&amp;"','yyyymmdd'),'"&amp;REGLAS!J872&amp;"');")</f>
        <v>INSERT INTO INYCEXT.INYC_CONF_INF_REGLAS@tc_link (COD_INFORME,TABLA,NOMBRE,REGLA,F_INICIO,F_FIN,DESCRIPCION) VALUES (31.1,'INYC_OBJ_E_RESUMEN','SM - Polizas Comunidades Anual','SM-E-GEN-Inspector-NumeroPolizasCorregidas-Comunidades-TotalAnual',TO_DATE('20190101','yyyymmdd'),TO_DATE('22000101','yyyymmdd'),'Version 20190329');</v>
      </c>
    </row>
    <row r="872" spans="1:2" x14ac:dyDescent="0.25">
      <c r="A872" t="str">
        <f>IF(REGLAS!J873="OBSOLETO","","INSERT INTO INYCEXT.INYC_CONF_INF_REGLAS (COD_INFORME,TABLA,NOMBRE,REGLA,F_INICIO,F_FIN,DESCRIPCION) VALUES ("&amp;REGLAS!B873&amp;",'"&amp;REGLAS!C873&amp;"','"&amp;REGLAS!D873&amp;"','"&amp;REGLAS!G873&amp;"',TO_DATE('"&amp;REGLAS!H873&amp;"','yyyymmdd'),TO_DATE('"&amp;REGLAS!I873&amp;"','yyyymmdd'),'"&amp;REGLAS!J873&amp;"');")</f>
        <v>INSERT INTO INYCEXT.INYC_CONF_INF_REGLAS (COD_INFORME,TABLA,NOMBRE,REGLA,F_INICIO,F_FIN,DESCRIPCION) VALUES (31.1,'INYC_OBJ_E_RESUMEN','SM - Polizas Accidentes Anual','SM-E-GEN-Inspector-NumeroPolizasCorregidas-Accidente-TotalAnual',TO_DATE('20190101','yyyymmdd'),TO_DATE('22000101','yyyymmdd'),'Version 20190329');</v>
      </c>
      <c r="B872" t="str">
        <f>IF(REGLAS!J873="OBSOLETO","","INSERT INTO INYCEXT.INYC_CONF_INF_REGLAS@tc_link (COD_INFORME,TABLA,NOMBRE,REGLA,F_INICIO,F_FIN,DESCRIPCION) VALUES ("&amp;REGLAS!B873&amp;",'"&amp;REGLAS!C873&amp;"','"&amp;REGLAS!D873&amp;"','"&amp;REGLAS!G873&amp;"',TO_DATE('"&amp;REGLAS!H873&amp;"','yyyymmdd'),TO_DATE('"&amp;REGLAS!I873&amp;"','yyyymmdd'),'"&amp;REGLAS!J873&amp;"');")</f>
        <v>INSERT INTO INYCEXT.INYC_CONF_INF_REGLAS@tc_link (COD_INFORME,TABLA,NOMBRE,REGLA,F_INICIO,F_FIN,DESCRIPCION) VALUES (31.1,'INYC_OBJ_E_RESUMEN','SM - Polizas Accidentes Anual','SM-E-GEN-Inspector-NumeroPolizasCorregidas-Accidente-TotalAnual',TO_DATE('20190101','yyyymmdd'),TO_DATE('22000101','yyyymmdd'),'Version 20190329');</v>
      </c>
    </row>
    <row r="873" spans="1:2" x14ac:dyDescent="0.25">
      <c r="A873" t="str">
        <f>IF(REGLAS!J874="OBSOLETO","","INSERT INTO INYCEXT.INYC_CONF_INF_REGLAS (COD_INFORME,TABLA,NOMBRE,REGLA,F_INICIO,F_FIN,DESCRIPCION) VALUES ("&amp;REGLAS!B874&amp;",'"&amp;REGLAS!C874&amp;"','"&amp;REGLAS!D874&amp;"','"&amp;REGLAS!G874&amp;"',TO_DATE('"&amp;REGLAS!H874&amp;"','yyyymmdd'),TO_DATE('"&amp;REGLAS!I874&amp;"','yyyymmdd'),'"&amp;REGLAS!J874&amp;"');")</f>
        <v>INSERT INTO INYCEXT.INYC_CONF_INF_REGLAS (COD_INFORME,TABLA,NOMBRE,REGLA,F_INICIO,F_FIN,DESCRIPCION) VALUES (31.1,'INYC_OBJ_E_RESUMEN','SM - Polizas ProdPrioritarios Anual','SM-E-GEN-Inspector-NumeroPolizasCorregidas-ProdPrioritarios-TotalAnual',TO_DATE('20190101','yyyymmdd'),TO_DATE('22000101','yyyymmdd'),'Version 20190329');</v>
      </c>
      <c r="B873" t="str">
        <f>IF(REGLAS!J874="OBSOLETO","","INSERT INTO INYCEXT.INYC_CONF_INF_REGLAS@tc_link (COD_INFORME,TABLA,NOMBRE,REGLA,F_INICIO,F_FIN,DESCRIPCION) VALUES ("&amp;REGLAS!B874&amp;",'"&amp;REGLAS!C874&amp;"','"&amp;REGLAS!D874&amp;"','"&amp;REGLAS!G874&amp;"',TO_DATE('"&amp;REGLAS!H874&amp;"','yyyymmdd'),TO_DATE('"&amp;REGLAS!I874&amp;"','yyyymmdd'),'"&amp;REGLAS!J874&amp;"');")</f>
        <v>INSERT INTO INYCEXT.INYC_CONF_INF_REGLAS@tc_link (COD_INFORME,TABLA,NOMBRE,REGLA,F_INICIO,F_FIN,DESCRIPCION) VALUES (31.1,'INYC_OBJ_E_RESUMEN','SM - Polizas ProdPrioritarios Anual','SM-E-GEN-Inspector-NumeroPolizasCorregidas-ProdPrioritarios-TotalAnual',TO_DATE('20190101','yyyymmdd'),TO_DATE('22000101','yyyymmdd'),'Version 20190329');</v>
      </c>
    </row>
    <row r="874" spans="1:2" x14ac:dyDescent="0.25">
      <c r="A874" t="str">
        <f>IF(REGLAS!J875="OBSOLETO","","INSERT INTO INYCEXT.INYC_CONF_INF_REGLAS (COD_INFORME,TABLA,NOMBRE,REGLA,F_INICIO,F_FIN,DESCRIPCION) VALUES ("&amp;REGLAS!B875&amp;",'"&amp;REGLAS!C875&amp;"','"&amp;REGLAS!D875&amp;"','"&amp;REGLAS!G875&amp;"',TO_DATE('"&amp;REGLAS!H875&amp;"','yyyymmdd'),TO_DATE('"&amp;REGLAS!I875&amp;"','yyyymmdd'),'"&amp;REGLAS!J875&amp;"');")</f>
        <v>INSERT INTO INYCEXT.INYC_CONF_INF_REGLAS (COD_INFORME,TABLA,NOMBRE,REGLA,F_INICIO,F_FIN,DESCRIPCION) VALUES (31.1,'INYC_OBJ_E_RESUMEN','SM -Cumplimiento Primas ProdPrioritarios','Cumplimiento Primas ProdPrioritarios',TO_DATE('20190101','yyyymmdd'),TO_DATE('20190201','yyyymmdd'),'Version 20190329');</v>
      </c>
      <c r="B874" t="str">
        <f>IF(REGLAS!J875="OBSOLETO","","INSERT INTO INYCEXT.INYC_CONF_INF_REGLAS@tc_link (COD_INFORME,TABLA,NOMBRE,REGLA,F_INICIO,F_FIN,DESCRIPCION) VALUES ("&amp;REGLAS!B875&amp;",'"&amp;REGLAS!C875&amp;"','"&amp;REGLAS!D875&amp;"','"&amp;REGLAS!G875&amp;"',TO_DATE('"&amp;REGLAS!H875&amp;"','yyyymmdd'),TO_DATE('"&amp;REGLAS!I875&amp;"','yyyymmdd'),'"&amp;REGLAS!J875&amp;"');")</f>
        <v>INSERT INTO INYCEXT.INYC_CONF_INF_REGLAS@tc_link (COD_INFORME,TABLA,NOMBRE,REGLA,F_INICIO,F_FIN,DESCRIPCION) VALUES (31.1,'INYC_OBJ_E_RESUMEN','SM -Cumplimiento Primas ProdPrioritarios','Cumplimiento Primas ProdPrioritarios',TO_DATE('20190101','yyyymmdd'),TO_DATE('20190201','yyyymmdd'),'Version 20190329');</v>
      </c>
    </row>
    <row r="875" spans="1:2" x14ac:dyDescent="0.25">
      <c r="A875" t="str">
        <f>IF(REGLAS!J876="OBSOLETO","","INSERT INTO INYCEXT.INYC_CONF_INF_REGLAS (COD_INFORME,TABLA,NOMBRE,REGLA,F_INICIO,F_FIN,DESCRIPCION) VALUES ("&amp;REGLAS!B876&amp;",'"&amp;REGLAS!C876&amp;"','"&amp;REGLAS!D876&amp;"','"&amp;REGLAS!G876&amp;"',TO_DATE('"&amp;REGLAS!H876&amp;"','yyyymmdd'),TO_DATE('"&amp;REGLAS!I876&amp;"','yyyymmdd'),'"&amp;REGLAS!J876&amp;"');")</f>
        <v>INSERT INTO INYCEXT.INYC_CONF_INF_REGLAS (COD_INFORME,TABLA,NOMBRE,REGLA,F_INICIO,F_FIN,DESCRIPCION) VALUES (31.1,'INYC_OBJ_E_RESUMEN','SM - Cumplimiento Polizas Accdientes','Cumplimiento Pólizas Accidentes',TO_DATE('20190101','yyyymmdd'),TO_DATE('20190201','yyyymmdd'),'Version 20190329');</v>
      </c>
      <c r="B875" t="str">
        <f>IF(REGLAS!J876="OBSOLETO","","INSERT INTO INYCEXT.INYC_CONF_INF_REGLAS@tc_link (COD_INFORME,TABLA,NOMBRE,REGLA,F_INICIO,F_FIN,DESCRIPCION) VALUES ("&amp;REGLAS!B876&amp;",'"&amp;REGLAS!C876&amp;"','"&amp;REGLAS!D876&amp;"','"&amp;REGLAS!G876&amp;"',TO_DATE('"&amp;REGLAS!H876&amp;"','yyyymmdd'),TO_DATE('"&amp;REGLAS!I876&amp;"','yyyymmdd'),'"&amp;REGLAS!J876&amp;"');")</f>
        <v>INSERT INTO INYCEXT.INYC_CONF_INF_REGLAS@tc_link (COD_INFORME,TABLA,NOMBRE,REGLA,F_INICIO,F_FIN,DESCRIPCION) VALUES (31.1,'INYC_OBJ_E_RESUMEN','SM - Cumplimiento Polizas Accdientes','Cumplimiento Pólizas Accidentes',TO_DATE('20190101','yyyymmdd'),TO_DATE('20190201','yyyymmdd'),'Version 20190329');</v>
      </c>
    </row>
    <row r="876" spans="1:2" x14ac:dyDescent="0.25">
      <c r="A876" t="str">
        <f>IF(REGLAS!J877="OBSOLETO","","INSERT INTO INYCEXT.INYC_CONF_INF_REGLAS (COD_INFORME,TABLA,NOMBRE,REGLA,F_INICIO,F_FIN,DESCRIPCION) VALUES ("&amp;REGLAS!B877&amp;",'"&amp;REGLAS!C877&amp;"','"&amp;REGLAS!D877&amp;"','"&amp;REGLAS!G877&amp;"',TO_DATE('"&amp;REGLAS!H877&amp;"','yyyymmdd'),TO_DATE('"&amp;REGLAS!I877&amp;"','yyyymmdd'),'"&amp;REGLAS!J877&amp;"');")</f>
        <v>INSERT INTO INYCEXT.INYC_CONF_INF_REGLAS (COD_INFORME,TABLA,NOMBRE,REGLA,F_INICIO,F_FIN,DESCRIPCION) VALUES (31.1,'INYC_OBJ_E_RESUMEN','SM - Cumplimiento Polizas Comunidades','Cumplimiento Pólizas Comunidades',TO_DATE('20190101','yyyymmdd'),TO_DATE('20190201','yyyymmdd'),'Version 20190329');</v>
      </c>
      <c r="B876" t="str">
        <f>IF(REGLAS!J877="OBSOLETO","","INSERT INTO INYCEXT.INYC_CONF_INF_REGLAS@tc_link (COD_INFORME,TABLA,NOMBRE,REGLA,F_INICIO,F_FIN,DESCRIPCION) VALUES ("&amp;REGLAS!B877&amp;",'"&amp;REGLAS!C877&amp;"','"&amp;REGLAS!D877&amp;"','"&amp;REGLAS!G877&amp;"',TO_DATE('"&amp;REGLAS!H877&amp;"','yyyymmdd'),TO_DATE('"&amp;REGLAS!I877&amp;"','yyyymmdd'),'"&amp;REGLAS!J877&amp;"');")</f>
        <v>INSERT INTO INYCEXT.INYC_CONF_INF_REGLAS@tc_link (COD_INFORME,TABLA,NOMBRE,REGLA,F_INICIO,F_FIN,DESCRIPCION) VALUES (31.1,'INYC_OBJ_E_RESUMEN','SM - Cumplimiento Polizas Comunidades','Cumplimiento Pólizas Comunidades',TO_DATE('20190101','yyyymmdd'),TO_DATE('20190201','yyyymmdd'),'Version 20190329');</v>
      </c>
    </row>
    <row r="877" spans="1:2" x14ac:dyDescent="0.25">
      <c r="A877" t="str">
        <f>IF(REGLAS!J878="OBSOLETO","","INSERT INTO INYCEXT.INYC_CONF_INF_REGLAS (COD_INFORME,TABLA,NOMBRE,REGLA,F_INICIO,F_FIN,DESCRIPCION) VALUES ("&amp;REGLAS!B878&amp;",'"&amp;REGLAS!C878&amp;"','"&amp;REGLAS!D878&amp;"','"&amp;REGLAS!G878&amp;"',TO_DATE('"&amp;REGLAS!H878&amp;"','yyyymmdd'),TO_DATE('"&amp;REGLAS!I878&amp;"','yyyymmdd'),'"&amp;REGLAS!J878&amp;"');")</f>
        <v>INSERT INTO INYCEXT.INYC_CONF_INF_REGLAS (COD_INFORME,TABLA,NOMBRE,REGLA,F_INICIO,F_FIN,DESCRIPCION) VALUES (31.1,'INYC_OBJ_E_RESUMEN','SM - Cumplimiento Polizas Hogar','Cumplimiento Pólizas Hogar',TO_DATE('20190101','yyyymmdd'),TO_DATE('20190201','yyyymmdd'),'Version 20190329');</v>
      </c>
      <c r="B877" t="str">
        <f>IF(REGLAS!J878="OBSOLETO","","INSERT INTO INYCEXT.INYC_CONF_INF_REGLAS@tc_link (COD_INFORME,TABLA,NOMBRE,REGLA,F_INICIO,F_FIN,DESCRIPCION) VALUES ("&amp;REGLAS!B878&amp;",'"&amp;REGLAS!C878&amp;"','"&amp;REGLAS!D878&amp;"','"&amp;REGLAS!G878&amp;"',TO_DATE('"&amp;REGLAS!H878&amp;"','yyyymmdd'),TO_DATE('"&amp;REGLAS!I878&amp;"','yyyymmdd'),'"&amp;REGLAS!J878&amp;"');")</f>
        <v>INSERT INTO INYCEXT.INYC_CONF_INF_REGLAS@tc_link (COD_INFORME,TABLA,NOMBRE,REGLA,F_INICIO,F_FIN,DESCRIPCION) VALUES (31.1,'INYC_OBJ_E_RESUMEN','SM - Cumplimiento Polizas Hogar','Cumplimiento Pólizas Hogar',TO_DATE('20190101','yyyymmdd'),TO_DATE('20190201','yyyymmdd'),'Version 20190329');</v>
      </c>
    </row>
    <row r="878" spans="1:2" x14ac:dyDescent="0.25">
      <c r="A878" t="str">
        <f>IF(REGLAS!J879="OBSOLETO","","INSERT INTO INYCEXT.INYC_CONF_INF_REGLAS (COD_INFORME,TABLA,NOMBRE,REGLA,F_INICIO,F_FIN,DESCRIPCION) VALUES ("&amp;REGLAS!B879&amp;",'"&amp;REGLAS!C879&amp;"','"&amp;REGLAS!D879&amp;"','"&amp;REGLAS!G879&amp;"',TO_DATE('"&amp;REGLAS!H879&amp;"','yyyymmdd'),TO_DATE('"&amp;REGLAS!I879&amp;"','yyyymmdd'),'"&amp;REGLAS!J879&amp;"');")</f>
        <v>INSERT INTO INYCEXT.INYC_CONF_INF_REGLAS (COD_INFORME,TABLA,NOMBRE,REGLA,F_INICIO,F_FIN,DESCRIPCION) VALUES (31.1,'INYC_OBJ_E_RESUMEN','SM - Cumplimiento Polizas ProdPrioritarios','Cumplimiento Pólizas ProdPrioritarios',TO_DATE('20190101','yyyymmdd'),TO_DATE('20190201','yyyymmdd'),'Version 20190329');</v>
      </c>
      <c r="B878" t="str">
        <f>IF(REGLAS!J879="OBSOLETO","","INSERT INTO INYCEXT.INYC_CONF_INF_REGLAS@tc_link (COD_INFORME,TABLA,NOMBRE,REGLA,F_INICIO,F_FIN,DESCRIPCION) VALUES ("&amp;REGLAS!B879&amp;",'"&amp;REGLAS!C879&amp;"','"&amp;REGLAS!D879&amp;"','"&amp;REGLAS!G879&amp;"',TO_DATE('"&amp;REGLAS!H879&amp;"','yyyymmdd'),TO_DATE('"&amp;REGLAS!I879&amp;"','yyyymmdd'),'"&amp;REGLAS!J879&amp;"');")</f>
        <v>INSERT INTO INYCEXT.INYC_CONF_INF_REGLAS@tc_link (COD_INFORME,TABLA,NOMBRE,REGLA,F_INICIO,F_FIN,DESCRIPCION) VALUES (31.1,'INYC_OBJ_E_RESUMEN','SM - Cumplimiento Polizas ProdPrioritarios','Cumplimiento Pólizas ProdPrioritarios',TO_DATE('20190101','yyyymmdd'),TO_DATE('20190201','yyyymmdd'),'Version 20190329');</v>
      </c>
    </row>
    <row r="879" spans="1:2" x14ac:dyDescent="0.25">
      <c r="A879" t="str">
        <f>IF(REGLAS!J880="OBSOLETO","","INSERT INTO INYCEXT.INYC_CONF_INF_REGLAS (COD_INFORME,TABLA,NOMBRE,REGLA,F_INICIO,F_FIN,DESCRIPCION) VALUES ("&amp;REGLAS!B880&amp;",'"&amp;REGLAS!C880&amp;"','"&amp;REGLAS!D880&amp;"','"&amp;REGLAS!G880&amp;"',TO_DATE('"&amp;REGLAS!H880&amp;"','yyyymmdd'),TO_DATE('"&amp;REGLAS!I880&amp;"','yyyymmdd'),'"&amp;REGLAS!J880&amp;"');")</f>
        <v>INSERT INTO INYCEXT.INYC_CONF_INF_REGLAS (COD_INFORME,TABLA,NOMBRE,REGLA,F_INICIO,F_FIN,DESCRIPCION) VALUES (31.1,'INYC_OBJ_E_RESUMEN','SM - Cumplimiento Pólizas RRTT','Cumplimiento Pólizas RRTT',TO_DATE('20190101','yyyymmdd'),TO_DATE('20190201','yyyymmdd'),'Version 20190329');</v>
      </c>
      <c r="B879" t="str">
        <f>IF(REGLAS!J880="OBSOLETO","","INSERT INTO INYCEXT.INYC_CONF_INF_REGLAS@tc_link (COD_INFORME,TABLA,NOMBRE,REGLA,F_INICIO,F_FIN,DESCRIPCION) VALUES ("&amp;REGLAS!B880&amp;",'"&amp;REGLAS!C880&amp;"','"&amp;REGLAS!D880&amp;"','"&amp;REGLAS!G880&amp;"',TO_DATE('"&amp;REGLAS!H880&amp;"','yyyymmdd'),TO_DATE('"&amp;REGLAS!I880&amp;"','yyyymmdd'),'"&amp;REGLAS!J880&amp;"');")</f>
        <v>INSERT INTO INYCEXT.INYC_CONF_INF_REGLAS@tc_link (COD_INFORME,TABLA,NOMBRE,REGLA,F_INICIO,F_FIN,DESCRIPCION) VALUES (31.1,'INYC_OBJ_E_RESUMEN','SM - Cumplimiento Pólizas RRTT','Cumplimiento Pólizas RRTT',TO_DATE('20190101','yyyymmdd'),TO_DATE('20190201','yyyymmdd'),'Version 20190329');</v>
      </c>
    </row>
    <row r="880" spans="1:2" x14ac:dyDescent="0.25">
      <c r="A880" t="str">
        <f>IF(REGLAS!J881="OBSOLETO","","INSERT INTO INYCEXT.INYC_CONF_INF_REGLAS (COD_INFORME,TABLA,NOMBRE,REGLA,F_INICIO,F_FIN,DESCRIPCION) VALUES ("&amp;REGLAS!B881&amp;",'"&amp;REGLAS!C881&amp;"','"&amp;REGLAS!D881&amp;"','"&amp;REGLAS!G881&amp;"',TO_DATE('"&amp;REGLAS!H881&amp;"','yyyymmdd'),TO_DATE('"&amp;REGLAS!I881&amp;"','yyyymmdd'),'"&amp;REGLAS!J881&amp;"');")</f>
        <v>INSERT INTO INYCEXT.INYC_CONF_INF_REGLAS (COD_INFORME,TABLA,NOMBRE,REGLA,F_INICIO,F_FIN,DESCRIPCION) VALUES (31.1,'INYC_OBJ_E_RESUMEN','SM -Cumplimiento Primas ProdPrioritarios','SM-E-GEN-AgenteGrupo-Consecucion-Primas',TO_DATE('20190301','yyyymmdd'),TO_DATE('22000101','yyyymmdd'),'Versión 20190403');</v>
      </c>
      <c r="B880" t="str">
        <f>IF(REGLAS!J881="OBSOLETO","","INSERT INTO INYCEXT.INYC_CONF_INF_REGLAS@tc_link (COD_INFORME,TABLA,NOMBRE,REGLA,F_INICIO,F_FIN,DESCRIPCION) VALUES ("&amp;REGLAS!B881&amp;",'"&amp;REGLAS!C881&amp;"','"&amp;REGLAS!D881&amp;"','"&amp;REGLAS!G881&amp;"',TO_DATE('"&amp;REGLAS!H881&amp;"','yyyymmdd'),TO_DATE('"&amp;REGLAS!I881&amp;"','yyyymmdd'),'"&amp;REGLAS!J881&amp;"');")</f>
        <v>INSERT INTO INYCEXT.INYC_CONF_INF_REGLAS@tc_link (COD_INFORME,TABLA,NOMBRE,REGLA,F_INICIO,F_FIN,DESCRIPCION) VALUES (31.1,'INYC_OBJ_E_RESUMEN','SM -Cumplimiento Primas ProdPrioritarios','SM-E-GEN-AgenteGrupo-Consecucion-Primas',TO_DATE('20190301','yyyymmdd'),TO_DATE('22000101','yyyymmdd'),'Versión 20190403');</v>
      </c>
    </row>
    <row r="881" spans="1:2" x14ac:dyDescent="0.25">
      <c r="A881" t="str">
        <f>IF(REGLAS!J882="OBSOLETO","","INSERT INTO INYCEXT.INYC_CONF_INF_REGLAS (COD_INFORME,TABLA,NOMBRE,REGLA,F_INICIO,F_FIN,DESCRIPCION) VALUES ("&amp;REGLAS!B882&amp;",'"&amp;REGLAS!C882&amp;"','"&amp;REGLAS!D882&amp;"','"&amp;REGLAS!G882&amp;"',TO_DATE('"&amp;REGLAS!H882&amp;"','yyyymmdd'),TO_DATE('"&amp;REGLAS!I882&amp;"','yyyymmdd'),'"&amp;REGLAS!J882&amp;"');")</f>
        <v>INSERT INTO INYCEXT.INYC_CONF_INF_REGLAS (COD_INFORME,TABLA,NOMBRE,REGLA,F_INICIO,F_FIN,DESCRIPCION) VALUES (31.1,'INYC_OBJ_E_RESUMEN','SM - Cumplimiento Polizas Accdientes','SM-E-GEN-AgenteGrupo-Consecucion-Polizas-Accidentes',TO_DATE('20190301','yyyymmdd'),TO_DATE('22000101','yyyymmdd'),'Versión 20190403');</v>
      </c>
      <c r="B881" t="str">
        <f>IF(REGLAS!J882="OBSOLETO","","INSERT INTO INYCEXT.INYC_CONF_INF_REGLAS@tc_link (COD_INFORME,TABLA,NOMBRE,REGLA,F_INICIO,F_FIN,DESCRIPCION) VALUES ("&amp;REGLAS!B882&amp;",'"&amp;REGLAS!C882&amp;"','"&amp;REGLAS!D882&amp;"','"&amp;REGLAS!G882&amp;"',TO_DATE('"&amp;REGLAS!H882&amp;"','yyyymmdd'),TO_DATE('"&amp;REGLAS!I882&amp;"','yyyymmdd'),'"&amp;REGLAS!J882&amp;"');")</f>
        <v>INSERT INTO INYCEXT.INYC_CONF_INF_REGLAS@tc_link (COD_INFORME,TABLA,NOMBRE,REGLA,F_INICIO,F_FIN,DESCRIPCION) VALUES (31.1,'INYC_OBJ_E_RESUMEN','SM - Cumplimiento Polizas Accdientes','SM-E-GEN-AgenteGrupo-Consecucion-Polizas-Accidentes',TO_DATE('20190301','yyyymmdd'),TO_DATE('22000101','yyyymmdd'),'Versión 20190403');</v>
      </c>
    </row>
    <row r="882" spans="1:2" x14ac:dyDescent="0.25">
      <c r="A882" t="str">
        <f>IF(REGLAS!J883="OBSOLETO","","INSERT INTO INYCEXT.INYC_CONF_INF_REGLAS (COD_INFORME,TABLA,NOMBRE,REGLA,F_INICIO,F_FIN,DESCRIPCION) VALUES ("&amp;REGLAS!B883&amp;",'"&amp;REGLAS!C883&amp;"','"&amp;REGLAS!D883&amp;"','"&amp;REGLAS!G883&amp;"',TO_DATE('"&amp;REGLAS!H883&amp;"','yyyymmdd'),TO_DATE('"&amp;REGLAS!I883&amp;"','yyyymmdd'),'"&amp;REGLAS!J883&amp;"');")</f>
        <v>INSERT INTO INYCEXT.INYC_CONF_INF_REGLAS (COD_INFORME,TABLA,NOMBRE,REGLA,F_INICIO,F_FIN,DESCRIPCION) VALUES (31.1,'INYC_OBJ_E_RESUMEN','SM - Cumplimiento Polizas Comunidades','SM-E-GEN-AgenteGrupo-Consecucion-Polizas-Comunidades',TO_DATE('20190301','yyyymmdd'),TO_DATE('22000101','yyyymmdd'),'Versión 20190403');</v>
      </c>
      <c r="B882" t="str">
        <f>IF(REGLAS!J883="OBSOLETO","","INSERT INTO INYCEXT.INYC_CONF_INF_REGLAS@tc_link (COD_INFORME,TABLA,NOMBRE,REGLA,F_INICIO,F_FIN,DESCRIPCION) VALUES ("&amp;REGLAS!B883&amp;",'"&amp;REGLAS!C883&amp;"','"&amp;REGLAS!D883&amp;"','"&amp;REGLAS!G883&amp;"',TO_DATE('"&amp;REGLAS!H883&amp;"','yyyymmdd'),TO_DATE('"&amp;REGLAS!I883&amp;"','yyyymmdd'),'"&amp;REGLAS!J883&amp;"');")</f>
        <v>INSERT INTO INYCEXT.INYC_CONF_INF_REGLAS@tc_link (COD_INFORME,TABLA,NOMBRE,REGLA,F_INICIO,F_FIN,DESCRIPCION) VALUES (31.1,'INYC_OBJ_E_RESUMEN','SM - Cumplimiento Polizas Comunidades','SM-E-GEN-AgenteGrupo-Consecucion-Polizas-Comunidades',TO_DATE('20190301','yyyymmdd'),TO_DATE('22000101','yyyymmdd'),'Versión 20190403');</v>
      </c>
    </row>
    <row r="883" spans="1:2" x14ac:dyDescent="0.25">
      <c r="A883" t="str">
        <f>IF(REGLAS!J884="OBSOLETO","","INSERT INTO INYCEXT.INYC_CONF_INF_REGLAS (COD_INFORME,TABLA,NOMBRE,REGLA,F_INICIO,F_FIN,DESCRIPCION) VALUES ("&amp;REGLAS!B884&amp;",'"&amp;REGLAS!C884&amp;"','"&amp;REGLAS!D884&amp;"','"&amp;REGLAS!G884&amp;"',TO_DATE('"&amp;REGLAS!H884&amp;"','yyyymmdd'),TO_DATE('"&amp;REGLAS!I884&amp;"','yyyymmdd'),'"&amp;REGLAS!J884&amp;"');")</f>
        <v>INSERT INTO INYCEXT.INYC_CONF_INF_REGLAS (COD_INFORME,TABLA,NOMBRE,REGLA,F_INICIO,F_FIN,DESCRIPCION) VALUES (31.1,'INYC_OBJ_E_RESUMEN','SM - Cumplimiento Polizas Hogar','SM-E-GEN-AgenteGrupo-Consecucion-Polizas-Hogar',TO_DATE('20190301','yyyymmdd'),TO_DATE('22000101','yyyymmdd'),'Versión 20190403');</v>
      </c>
      <c r="B883" t="str">
        <f>IF(REGLAS!J884="OBSOLETO","","INSERT INTO INYCEXT.INYC_CONF_INF_REGLAS@tc_link (COD_INFORME,TABLA,NOMBRE,REGLA,F_INICIO,F_FIN,DESCRIPCION) VALUES ("&amp;REGLAS!B884&amp;",'"&amp;REGLAS!C884&amp;"','"&amp;REGLAS!D884&amp;"','"&amp;REGLAS!G884&amp;"',TO_DATE('"&amp;REGLAS!H884&amp;"','yyyymmdd'),TO_DATE('"&amp;REGLAS!I884&amp;"','yyyymmdd'),'"&amp;REGLAS!J884&amp;"');")</f>
        <v>INSERT INTO INYCEXT.INYC_CONF_INF_REGLAS@tc_link (COD_INFORME,TABLA,NOMBRE,REGLA,F_INICIO,F_FIN,DESCRIPCION) VALUES (31.1,'INYC_OBJ_E_RESUMEN','SM - Cumplimiento Polizas Hogar','SM-E-GEN-AgenteGrupo-Consecucion-Polizas-Hogar',TO_DATE('20190301','yyyymmdd'),TO_DATE('22000101','yyyymmdd'),'Versión 20190403');</v>
      </c>
    </row>
    <row r="884" spans="1:2" x14ac:dyDescent="0.25">
      <c r="A884" t="str">
        <f>IF(REGLAS!J885="OBSOLETO","","INSERT INTO INYCEXT.INYC_CONF_INF_REGLAS (COD_INFORME,TABLA,NOMBRE,REGLA,F_INICIO,F_FIN,DESCRIPCION) VALUES ("&amp;REGLAS!B885&amp;",'"&amp;REGLAS!C885&amp;"','"&amp;REGLAS!D885&amp;"','"&amp;REGLAS!G885&amp;"',TO_DATE('"&amp;REGLAS!H885&amp;"','yyyymmdd'),TO_DATE('"&amp;REGLAS!I885&amp;"','yyyymmdd'),'"&amp;REGLAS!J885&amp;"');")</f>
        <v>INSERT INTO INYCEXT.INYC_CONF_INF_REGLAS (COD_INFORME,TABLA,NOMBRE,REGLA,F_INICIO,F_FIN,DESCRIPCION) VALUES (31.1,'INYC_OBJ_E_RESUMEN','SM - Cumplimiento Polizas ProdPrioritarios','SM-E-GEN-AgenteGrupo-Consecucion-Polizas-ProdPrioritarios',TO_DATE('20190301','yyyymmdd'),TO_DATE('22000101','yyyymmdd'),'Versión 20190403');</v>
      </c>
      <c r="B884" t="str">
        <f>IF(REGLAS!J885="OBSOLETO","","INSERT INTO INYCEXT.INYC_CONF_INF_REGLAS@tc_link (COD_INFORME,TABLA,NOMBRE,REGLA,F_INICIO,F_FIN,DESCRIPCION) VALUES ("&amp;REGLAS!B885&amp;",'"&amp;REGLAS!C885&amp;"','"&amp;REGLAS!D885&amp;"','"&amp;REGLAS!G885&amp;"',TO_DATE('"&amp;REGLAS!H885&amp;"','yyyymmdd'),TO_DATE('"&amp;REGLAS!I885&amp;"','yyyymmdd'),'"&amp;REGLAS!J885&amp;"');")</f>
        <v>INSERT INTO INYCEXT.INYC_CONF_INF_REGLAS@tc_link (COD_INFORME,TABLA,NOMBRE,REGLA,F_INICIO,F_FIN,DESCRIPCION) VALUES (31.1,'INYC_OBJ_E_RESUMEN','SM - Cumplimiento Polizas ProdPrioritarios','SM-E-GEN-AgenteGrupo-Consecucion-Polizas-ProdPrioritarios',TO_DATE('20190301','yyyymmdd'),TO_DATE('22000101','yyyymmdd'),'Versión 20190403');</v>
      </c>
    </row>
    <row r="885" spans="1:2" x14ac:dyDescent="0.25">
      <c r="A885" t="str">
        <f>IF(REGLAS!J886="OBSOLETO","","INSERT INTO INYCEXT.INYC_CONF_INF_REGLAS (COD_INFORME,TABLA,NOMBRE,REGLA,F_INICIO,F_FIN,DESCRIPCION) VALUES ("&amp;REGLAS!B886&amp;",'"&amp;REGLAS!C886&amp;"','"&amp;REGLAS!D886&amp;"','"&amp;REGLAS!G886&amp;"',TO_DATE('"&amp;REGLAS!H886&amp;"','yyyymmdd'),TO_DATE('"&amp;REGLAS!I886&amp;"','yyyymmdd'),'"&amp;REGLAS!J886&amp;"');")</f>
        <v>INSERT INTO INYCEXT.INYC_CONF_INF_REGLAS (COD_INFORME,TABLA,NOMBRE,REGLA,F_INICIO,F_FIN,DESCRIPCION) VALUES (31.1,'INYC_OBJ_E_RESUMEN','SM - Cumplimiento Pólizas RRTT','SM-E-GEN-AgenteGrupo-Consecucion-Polizas-RRTT',TO_DATE('20190301','yyyymmdd'),TO_DATE('22000101','yyyymmdd'),'Versión 20190403');</v>
      </c>
      <c r="B885" t="str">
        <f>IF(REGLAS!J886="OBSOLETO","","INSERT INTO INYCEXT.INYC_CONF_INF_REGLAS@tc_link (COD_INFORME,TABLA,NOMBRE,REGLA,F_INICIO,F_FIN,DESCRIPCION) VALUES ("&amp;REGLAS!B886&amp;",'"&amp;REGLAS!C886&amp;"','"&amp;REGLAS!D886&amp;"','"&amp;REGLAS!G886&amp;"',TO_DATE('"&amp;REGLAS!H886&amp;"','yyyymmdd'),TO_DATE('"&amp;REGLAS!I886&amp;"','yyyymmdd'),'"&amp;REGLAS!J886&amp;"');")</f>
        <v>INSERT INTO INYCEXT.INYC_CONF_INF_REGLAS@tc_link (COD_INFORME,TABLA,NOMBRE,REGLA,F_INICIO,F_FIN,DESCRIPCION) VALUES (31.1,'INYC_OBJ_E_RESUMEN','SM - Cumplimiento Pólizas RRTT','SM-E-GEN-AgenteGrupo-Consecucion-Polizas-RRTT',TO_DATE('20190301','yyyymmdd'),TO_DATE('22000101','yyyymmdd'),'Versión 20190403');</v>
      </c>
    </row>
    <row r="886" spans="1:2" x14ac:dyDescent="0.25">
      <c r="A886" t="str">
        <f>IF(REGLAS!J887="OBSOLETO","","INSERT INTO INYCEXT.INYC_CONF_INF_REGLAS (COD_INFORME,TABLA,NOMBRE,REGLA,F_INICIO,F_FIN,DESCRIPCION) VALUES ("&amp;REGLAS!B887&amp;",'"&amp;REGLAS!C887&amp;"','"&amp;REGLAS!D887&amp;"','"&amp;REGLAS!G887&amp;"',TO_DATE('"&amp;REGLAS!H887&amp;"','yyyymmdd'),TO_DATE('"&amp;REGLAS!I887&amp;"','yyyymmdd'),'"&amp;REGLAS!J887&amp;"');")</f>
        <v>INSERT INTO INYCEXT.INYC_CONF_INF_REGLAS (COD_INFORME,TABLA,NOMBRE,REGLA,F_INICIO,F_FIN,DESCRIPCION) VALUES (31.1,'INYC_OBJ_E_RESUMEN','SM - Polizas Inspector TotalProd Anual','SM-E-GEN-Inspector-NumeroPolizasCorregidas-TotalProduccion-TotalAnual',TO_DATE('20190301','yyyymmdd'),TO_DATE('22000101','yyyymmdd'),'Versión 20190408');</v>
      </c>
      <c r="B886" t="str">
        <f>IF(REGLAS!J887="OBSOLETO","","INSERT INTO INYCEXT.INYC_CONF_INF_REGLAS@tc_link (COD_INFORME,TABLA,NOMBRE,REGLA,F_INICIO,F_FIN,DESCRIPCION) VALUES ("&amp;REGLAS!B887&amp;",'"&amp;REGLAS!C887&amp;"','"&amp;REGLAS!D887&amp;"','"&amp;REGLAS!G887&amp;"',TO_DATE('"&amp;REGLAS!H887&amp;"','yyyymmdd'),TO_DATE('"&amp;REGLAS!I887&amp;"','yyyymmdd'),'"&amp;REGLAS!J887&amp;"');")</f>
        <v>INSERT INTO INYCEXT.INYC_CONF_INF_REGLAS@tc_link (COD_INFORME,TABLA,NOMBRE,REGLA,F_INICIO,F_FIN,DESCRIPCION) VALUES (31.1,'INYC_OBJ_E_RESUMEN','SM - Polizas Inspector TotalProd Anual','SM-E-GEN-Inspector-NumeroPolizasCorregidas-TotalProduccion-TotalAnual',TO_DATE('20190301','yyyymmdd'),TO_DATE('22000101','yyyymmdd'),'Versión 20190408');</v>
      </c>
    </row>
    <row r="887" spans="1:2" x14ac:dyDescent="0.25">
      <c r="A887" t="str">
        <f>IF(REGLAS!J888="OBSOLETO","","INSERT INTO INYCEXT.INYC_CONF_INF_REGLAS (COD_INFORME,TABLA,NOMBRE,REGLA,F_INICIO,F_FIN,DESCRIPCION) VALUES ("&amp;REGLAS!B888&amp;",'"&amp;REGLAS!C888&amp;"','"&amp;REGLAS!D888&amp;"','"&amp;REGLAS!G888&amp;"',TO_DATE('"&amp;REGLAS!H888&amp;"','yyyymmdd'),TO_DATE('"&amp;REGLAS!I888&amp;"','yyyymmdd'),'"&amp;REGLAS!J888&amp;"');")</f>
        <v>INSERT INTO INYCEXT.INYC_CONF_INF_REGLAS (COD_INFORME,TABLA,NOMBRE,REGLA,F_INICIO,F_FIN,DESCRIPCION) VALUES (31.1,'INYC_OBJ_E_RESUMEN','SM - Primas Inspector TotalProd Anual','SM-E-GEN-Inspector-PrimaCorregida-TotalProduccion-TotalAnual',TO_DATE('20190301','yyyymmdd'),TO_DATE('22000101','yyyymmdd'),'Versión 20190408');</v>
      </c>
      <c r="B887" t="str">
        <f>IF(REGLAS!J888="OBSOLETO","","INSERT INTO INYCEXT.INYC_CONF_INF_REGLAS@tc_link (COD_INFORME,TABLA,NOMBRE,REGLA,F_INICIO,F_FIN,DESCRIPCION) VALUES ("&amp;REGLAS!B888&amp;",'"&amp;REGLAS!C888&amp;"','"&amp;REGLAS!D888&amp;"','"&amp;REGLAS!G888&amp;"',TO_DATE('"&amp;REGLAS!H888&amp;"','yyyymmdd'),TO_DATE('"&amp;REGLAS!I888&amp;"','yyyymmdd'),'"&amp;REGLAS!J888&amp;"');")</f>
        <v>INSERT INTO INYCEXT.INYC_CONF_INF_REGLAS@tc_link (COD_INFORME,TABLA,NOMBRE,REGLA,F_INICIO,F_FIN,DESCRIPCION) VALUES (31.1,'INYC_OBJ_E_RESUMEN','SM - Primas Inspector TotalProd Anual','SM-E-GEN-Inspector-PrimaCorregida-TotalProduccion-TotalAnual',TO_DATE('20190301','yyyymmdd'),TO_DATE('22000101','yyyymmdd'),'Versión 20190408');</v>
      </c>
    </row>
    <row r="888" spans="1:2" x14ac:dyDescent="0.25">
      <c r="A888" t="str">
        <f>IF(REGLAS!J889="OBSOLETO","","INSERT INTO INYCEXT.INYC_CONF_INF_REGLAS (COD_INFORME,TABLA,NOMBRE,REGLA,F_INICIO,F_FIN,DESCRIPCION) VALUES ("&amp;REGLAS!B889&amp;",'"&amp;REGLAS!C889&amp;"','"&amp;REGLAS!D889&amp;"','"&amp;REGLAS!G889&amp;"',TO_DATE('"&amp;REGLAS!H889&amp;"','yyyymmdd'),TO_DATE('"&amp;REGLAS!I889&amp;"','yyyymmdd'),'"&amp;REGLAS!J889&amp;"');")</f>
        <v>INSERT INTO INYCEXT.INYC_CONF_INF_REGLAS (COD_INFORME,TABLA,NOMBRE,REGLA,F_INICIO,F_FIN,DESCRIPCION) VALUES (32.1,'INYC_RPP_RESUMEN','SM - Polizas AgenteGrupo TotalProd Mensual','SM-O-RPP-AgenteGrupo-NumeroPolizas-998-Total-Mes',TO_DATE('20200601','yyyymmdd'),TO_DATE('22000101','yyyymmdd'),'Versión 20200629');</v>
      </c>
      <c r="B888" t="str">
        <f>IF(REGLAS!J889="OBSOLETO","","INSERT INTO INYCEXT.INYC_CONF_INF_REGLAS@tc_link (COD_INFORME,TABLA,NOMBRE,REGLA,F_INICIO,F_FIN,DESCRIPCION) VALUES ("&amp;REGLAS!B889&amp;",'"&amp;REGLAS!C889&amp;"','"&amp;REGLAS!D889&amp;"','"&amp;REGLAS!G889&amp;"',TO_DATE('"&amp;REGLAS!H889&amp;"','yyyymmdd'),TO_DATE('"&amp;REGLAS!I889&amp;"','yyyymmdd'),'"&amp;REGLAS!J889&amp;"');")</f>
        <v>INSERT INTO INYCEXT.INYC_CONF_INF_REGLAS@tc_link (COD_INFORME,TABLA,NOMBRE,REGLA,F_INICIO,F_FIN,DESCRIPCION) VALUES (32.1,'INYC_RPP_RESUMEN','SM - Polizas AgenteGrupo TotalProd Mensual','SM-O-RPP-AgenteGrupo-NumeroPolizas-998-Total-Mes',TO_DATE('20200601','yyyymmdd'),TO_DATE('22000101','yyyymmdd'),'Versión 20200629');</v>
      </c>
    </row>
    <row r="889" spans="1:2" x14ac:dyDescent="0.25">
      <c r="A889" t="str">
        <f>IF(REGLAS!J890="OBSOLETO","","INSERT INTO INYCEXT.INYC_CONF_INF_REGLAS (COD_INFORME,TABLA,NOMBRE,REGLA,F_INICIO,F_FIN,DESCRIPCION) VALUES ("&amp;REGLAS!B890&amp;",'"&amp;REGLAS!C890&amp;"','"&amp;REGLAS!D890&amp;"','"&amp;REGLAS!G890&amp;"',TO_DATE('"&amp;REGLAS!H890&amp;"','yyyymmdd'),TO_DATE('"&amp;REGLAS!I890&amp;"','yyyymmdd'),'"&amp;REGLAS!J890&amp;"');")</f>
        <v>INSERT INTO INYCEXT.INYC_CONF_INF_REGLAS (COD_INFORME,TABLA,NOMBRE,REGLA,F_INICIO,F_FIN,DESCRIPCION) VALUES (32.1,'INYC_RPP_RESUMEN','SM - Primas AgenteGrupo TotalProd Mensual','SM-O-RPP-AgenteGrupo-Primas-998-Total-Mes',TO_DATE('20200601','yyyymmdd'),TO_DATE('22000101','yyyymmdd'),'Versión 20200629');</v>
      </c>
      <c r="B889" t="str">
        <f>IF(REGLAS!J890="OBSOLETO","","INSERT INTO INYCEXT.INYC_CONF_INF_REGLAS@tc_link (COD_INFORME,TABLA,NOMBRE,REGLA,F_INICIO,F_FIN,DESCRIPCION) VALUES ("&amp;REGLAS!B890&amp;",'"&amp;REGLAS!C890&amp;"','"&amp;REGLAS!D890&amp;"','"&amp;REGLAS!G890&amp;"',TO_DATE('"&amp;REGLAS!H890&amp;"','yyyymmdd'),TO_DATE('"&amp;REGLAS!I890&amp;"','yyyymmdd'),'"&amp;REGLAS!J890&amp;"');")</f>
        <v>INSERT INTO INYCEXT.INYC_CONF_INF_REGLAS@tc_link (COD_INFORME,TABLA,NOMBRE,REGLA,F_INICIO,F_FIN,DESCRIPCION) VALUES (32.1,'INYC_RPP_RESUMEN','SM - Primas AgenteGrupo TotalProd Mensual','SM-O-RPP-AgenteGrupo-Primas-998-Total-Mes',TO_DATE('20200601','yyyymmdd'),TO_DATE('22000101','yyyymmdd'),'Versión 20200629');</v>
      </c>
    </row>
    <row r="890" spans="1:2" x14ac:dyDescent="0.25">
      <c r="A890" t="str">
        <f>IF(REGLAS!J891="OBSOLETO","","INSERT INTO INYCEXT.INYC_CONF_INF_REGLAS (COD_INFORME,TABLA,NOMBRE,REGLA,F_INICIO,F_FIN,DESCRIPCION) VALUES ("&amp;REGLAS!B891&amp;",'"&amp;REGLAS!C891&amp;"','"&amp;REGLAS!D891&amp;"','"&amp;REGLAS!G891&amp;"',TO_DATE('"&amp;REGLAS!H891&amp;"','yyyymmdd'),TO_DATE('"&amp;REGLAS!I891&amp;"','yyyymmdd'),'"&amp;REGLAS!J891&amp;"');")</f>
        <v>INSERT INTO INYCEXT.INYC_CONF_INF_REGLAS (COD_INFORME,TABLA,NOMBRE,REGLA,F_INICIO,F_FIN,DESCRIPCION) VALUES (32.1,'INYC_RPP_RESUMEN','SM - Pago AgenteGrupo Mensual','SM-O-RPP-AgenteGrupo-ProduccionPropia-Pago-Mensual',TO_DATE('20200601','yyyymmdd'),TO_DATE('22000101','yyyymmdd'),'Versión 20200629');</v>
      </c>
      <c r="B890" t="str">
        <f>IF(REGLAS!J891="OBSOLETO","","INSERT INTO INYCEXT.INYC_CONF_INF_REGLAS@tc_link (COD_INFORME,TABLA,NOMBRE,REGLA,F_INICIO,F_FIN,DESCRIPCION) VALUES ("&amp;REGLAS!B891&amp;",'"&amp;REGLAS!C891&amp;"','"&amp;REGLAS!D891&amp;"','"&amp;REGLAS!G891&amp;"',TO_DATE('"&amp;REGLAS!H891&amp;"','yyyymmdd'),TO_DATE('"&amp;REGLAS!I891&amp;"','yyyymmdd'),'"&amp;REGLAS!J891&amp;"');")</f>
        <v>INSERT INTO INYCEXT.INYC_CONF_INF_REGLAS@tc_link (COD_INFORME,TABLA,NOMBRE,REGLA,F_INICIO,F_FIN,DESCRIPCION) VALUES (32.1,'INYC_RPP_RESUMEN','SM - Pago AgenteGrupo Mensual','SM-O-RPP-AgenteGrupo-ProduccionPropia-Pago-Mensual',TO_DATE('20200601','yyyymmdd'),TO_DATE('22000101','yyyymmdd'),'Versión 20200629');</v>
      </c>
    </row>
    <row r="891" spans="1:2" x14ac:dyDescent="0.25">
      <c r="A891" t="str">
        <f>IF(REGLAS!J892="OBSOLETO","","INSERT INTO INYCEXT.INYC_CONF_INF_REGLAS (COD_INFORME,TABLA,NOMBRE,REGLA,F_INICIO,F_FIN,DESCRIPCION) VALUES ("&amp;REGLAS!B892&amp;",'"&amp;REGLAS!C892&amp;"','"&amp;REGLAS!D892&amp;"','"&amp;REGLAS!G892&amp;"',TO_DATE('"&amp;REGLAS!H892&amp;"','yyyymmdd'),TO_DATE('"&amp;REGLAS!I892&amp;"','yyyymmdd'),'"&amp;REGLAS!J892&amp;"');")</f>
        <v>INSERT INTO INYCEXT.INYC_CONF_INF_REGLAS (COD_INFORME,TABLA,NOMBRE,REGLA,F_INICIO,F_FIN,DESCRIPCION) VALUES (32.2,'INYC_RPP_DETALLE','PM - Polizas AgenteGrupo TotalProd Mensual','PM-O-RPP-AgenteGrupo-NumeroPolizas-998-Total-Mes',TO_DATE('20200601','yyyymmdd'),TO_DATE('22000101','yyyymmdd'),'Versión 20200629');</v>
      </c>
      <c r="B891" t="str">
        <f>IF(REGLAS!J892="OBSOLETO","","INSERT INTO INYCEXT.INYC_CONF_INF_REGLAS@tc_link (COD_INFORME,TABLA,NOMBRE,REGLA,F_INICIO,F_FIN,DESCRIPCION) VALUES ("&amp;REGLAS!B892&amp;",'"&amp;REGLAS!C892&amp;"','"&amp;REGLAS!D892&amp;"','"&amp;REGLAS!G892&amp;"',TO_DATE('"&amp;REGLAS!H892&amp;"','yyyymmdd'),TO_DATE('"&amp;REGLAS!I892&amp;"','yyyymmdd'),'"&amp;REGLAS!J892&amp;"');")</f>
        <v>INSERT INTO INYCEXT.INYC_CONF_INF_REGLAS@tc_link (COD_INFORME,TABLA,NOMBRE,REGLA,F_INICIO,F_FIN,DESCRIPCION) VALUES (32.2,'INYC_RPP_DETALLE','PM - Polizas AgenteGrupo TotalProd Mensual','PM-O-RPP-AgenteGrupo-NumeroPolizas-998-Total-Mes',TO_DATE('20200601','yyyymmdd'),TO_DATE('22000101','yyyymmdd'),'Versión 20200629');</v>
      </c>
    </row>
    <row r="892" spans="1:2" x14ac:dyDescent="0.25">
      <c r="A892" t="str">
        <f>IF(REGLAS!J893="OBSOLETO","","INSERT INTO INYCEXT.INYC_CONF_INF_REGLAS (COD_INFORME,TABLA,NOMBRE,REGLA,F_INICIO,F_FIN,DESCRIPCION) VALUES ("&amp;REGLAS!B893&amp;",'"&amp;REGLAS!C893&amp;"','"&amp;REGLAS!D893&amp;"','"&amp;REGLAS!G893&amp;"',TO_DATE('"&amp;REGLAS!H893&amp;"','yyyymmdd'),TO_DATE('"&amp;REGLAS!I893&amp;"','yyyymmdd'),'"&amp;REGLAS!J893&amp;"');")</f>
        <v>INSERT INTO INYCEXT.INYC_CONF_INF_REGLAS (COD_INFORME,TABLA,NOMBRE,REGLA,F_INICIO,F_FIN,DESCRIPCION) VALUES (32.2,'INYC_RPP_DETALLE','PM - Primas AgenteGrupo TotalProd Mensual','PM-O-RPP-AgenteGrupo-Primas-998-Total-Mes',TO_DATE('20200601','yyyymmdd'),TO_DATE('22000101','yyyymmdd'),'Versión 20200629');</v>
      </c>
      <c r="B892" t="str">
        <f>IF(REGLAS!J893="OBSOLETO","","INSERT INTO INYCEXT.INYC_CONF_INF_REGLAS@tc_link (COD_INFORME,TABLA,NOMBRE,REGLA,F_INICIO,F_FIN,DESCRIPCION) VALUES ("&amp;REGLAS!B893&amp;",'"&amp;REGLAS!C893&amp;"','"&amp;REGLAS!D893&amp;"','"&amp;REGLAS!G893&amp;"',TO_DATE('"&amp;REGLAS!H893&amp;"','yyyymmdd'),TO_DATE('"&amp;REGLAS!I893&amp;"','yyyymmdd'),'"&amp;REGLAS!J893&amp;"');")</f>
        <v>INSERT INTO INYCEXT.INYC_CONF_INF_REGLAS@tc_link (COD_INFORME,TABLA,NOMBRE,REGLA,F_INICIO,F_FIN,DESCRIPCION) VALUES (32.2,'INYC_RPP_DETALLE','PM - Primas AgenteGrupo TotalProd Mensual','PM-O-RPP-AgenteGrupo-Primas-998-Total-Mes',TO_DATE('20200601','yyyymmdd'),TO_DATE('22000101','yyyymmdd'),'Versión 20200629');</v>
      </c>
    </row>
    <row r="893" spans="1:2" x14ac:dyDescent="0.25">
      <c r="A893" t="str">
        <f>IF(REGLAS!J894="OBSOLETO","","INSERT INTO INYCEXT.INYC_CONF_INF_REGLAS (COD_INFORME,TABLA,NOMBRE,REGLA,F_INICIO,F_FIN,DESCRIPCION) VALUES ("&amp;REGLAS!B894&amp;",'"&amp;REGLAS!C894&amp;"','"&amp;REGLAS!D894&amp;"','"&amp;REGLAS!G894&amp;"',TO_DATE('"&amp;REGLAS!H894&amp;"','yyyymmdd'),TO_DATE('"&amp;REGLAS!I894&amp;"','yyyymmdd'),'"&amp;REGLAS!J894&amp;"');")</f>
        <v>INSERT INTO INYCEXT.INYC_CONF_INF_REGLAS (COD_INFORME,TABLA,NOMBRE,REGLA,F_INICIO,F_FIN,DESCRIPCION) VALUES (100.2,'INYC_S4_POLIZAS','Comision Nueva Produccion','DC-O-COM-NuevaProduccion-Emision',TO_DATE('20140101','yyyymmdd'),TO_DATE('22000101','yyyymmdd'),'');</v>
      </c>
      <c r="B893" t="str">
        <f>IF(REGLAS!J894="OBSOLETO","","INSERT INTO INYCEXT.INYC_CONF_INF_REGLAS@tc_link (COD_INFORME,TABLA,NOMBRE,REGLA,F_INICIO,F_FIN,DESCRIPCION) VALUES ("&amp;REGLAS!B894&amp;",'"&amp;REGLAS!C894&amp;"','"&amp;REGLAS!D894&amp;"','"&amp;REGLAS!G894&amp;"',TO_DATE('"&amp;REGLAS!H894&amp;"','yyyymmdd'),TO_DATE('"&amp;REGLAS!I894&amp;"','yyyymmdd'),'"&amp;REGLAS!J894&amp;"');")</f>
        <v>INSERT INTO INYCEXT.INYC_CONF_INF_REGLAS@tc_link (COD_INFORME,TABLA,NOMBRE,REGLA,F_INICIO,F_FIN,DESCRIPCION) VALUES (100.2,'INYC_S4_POLIZAS','Comision Nueva Produccion','DC-O-COM-NuevaProduccion-Emision',TO_DATE('20140101','yyyymmdd'),TO_DATE('22000101','yyyymmdd'),'');</v>
      </c>
    </row>
    <row r="894" spans="1:2" x14ac:dyDescent="0.25">
      <c r="A894" t="str">
        <f>IF(REGLAS!J895="OBSOLETO","","INSERT INTO INYCEXT.INYC_CONF_INF_REGLAS (COD_INFORME,TABLA,NOMBRE,REGLA,F_INICIO,F_FIN,DESCRIPCION) VALUES ("&amp;REGLAS!B895&amp;",'"&amp;REGLAS!C895&amp;"','"&amp;REGLAS!D895&amp;"','"&amp;REGLAS!G895&amp;"',TO_DATE('"&amp;REGLAS!H895&amp;"','yyyymmdd'),TO_DATE('"&amp;REGLAS!I895&amp;"','yyyymmdd'),'"&amp;REGLAS!J895&amp;"');")</f>
        <v>INSERT INTO INYCEXT.INYC_CONF_INF_REGLAS (COD_INFORME,TABLA,NOMBRE,REGLA,F_INICIO,F_FIN,DESCRIPCION) VALUES (100.2,'INYC_S4_POLIZAS','Comision Nueva Produccion','DC-O-COM-NuevaProduccion-Suplementos',TO_DATE('20140101','yyyymmdd'),TO_DATE('22000101','yyyymmdd'),'');</v>
      </c>
      <c r="B894" t="str">
        <f>IF(REGLAS!J895="OBSOLETO","","INSERT INTO INYCEXT.INYC_CONF_INF_REGLAS@tc_link (COD_INFORME,TABLA,NOMBRE,REGLA,F_INICIO,F_FIN,DESCRIPCION) VALUES ("&amp;REGLAS!B895&amp;",'"&amp;REGLAS!C895&amp;"','"&amp;REGLAS!D895&amp;"','"&amp;REGLAS!G895&amp;"',TO_DATE('"&amp;REGLAS!H895&amp;"','yyyymmdd'),TO_DATE('"&amp;REGLAS!I895&amp;"','yyyymmdd'),'"&amp;REGLAS!J895&amp;"');")</f>
        <v>INSERT INTO INYCEXT.INYC_CONF_INF_REGLAS@tc_link (COD_INFORME,TABLA,NOMBRE,REGLA,F_INICIO,F_FIN,DESCRIPCION) VALUES (100.2,'INYC_S4_POLIZAS','Comision Nueva Produccion','DC-O-COM-NuevaProduccion-Suplementos',TO_DATE('20140101','yyyymmdd'),TO_DATE('22000101','yyyymmdd'),'');</v>
      </c>
    </row>
    <row r="895" spans="1:2" x14ac:dyDescent="0.25">
      <c r="A895" t="str">
        <f>IF(REGLAS!J896="OBSOLETO","","INSERT INTO INYCEXT.INYC_CONF_INF_REGLAS (COD_INFORME,TABLA,NOMBRE,REGLA,F_INICIO,F_FIN,DESCRIPCION) VALUES ("&amp;REGLAS!B896&amp;",'"&amp;REGLAS!C896&amp;"','"&amp;REGLAS!D896&amp;"','"&amp;REGLAS!G896&amp;"',TO_DATE('"&amp;REGLAS!H896&amp;"','yyyymmdd'),TO_DATE('"&amp;REGLAS!I896&amp;"','yyyymmdd'),'"&amp;REGLAS!J896&amp;"');")</f>
        <v>INSERT INTO INYCEXT.INYC_CONF_INF_REGLAS (COD_INFORME,TABLA,NOMBRE,REGLA,F_INICIO,F_FIN,DESCRIPCION) VALUES (100.2,'INYC_S4_POLIZAS','Comision Nueva Produccion','DC-O-COM-NuevaProduccion-PorcentajeFijo',TO_DATE('20140101','yyyymmdd'),TO_DATE('22000101','yyyymmdd'),'');</v>
      </c>
      <c r="B895" t="str">
        <f>IF(REGLAS!J896="OBSOLETO","","INSERT INTO INYCEXT.INYC_CONF_INF_REGLAS@tc_link (COD_INFORME,TABLA,NOMBRE,REGLA,F_INICIO,F_FIN,DESCRIPCION) VALUES ("&amp;REGLAS!B896&amp;",'"&amp;REGLAS!C896&amp;"','"&amp;REGLAS!D896&amp;"','"&amp;REGLAS!G896&amp;"',TO_DATE('"&amp;REGLAS!H896&amp;"','yyyymmdd'),TO_DATE('"&amp;REGLAS!I896&amp;"','yyyymmdd'),'"&amp;REGLAS!J896&amp;"');")</f>
        <v>INSERT INTO INYCEXT.INYC_CONF_INF_REGLAS@tc_link (COD_INFORME,TABLA,NOMBRE,REGLA,F_INICIO,F_FIN,DESCRIPCION) VALUES (100.2,'INYC_S4_POLIZAS','Comision Nueva Produccion','DC-O-COM-NuevaProduccion-PorcentajeFijo',TO_DATE('20140101','yyyymmdd'),TO_DATE('22000101','yyyymmdd'),'');</v>
      </c>
    </row>
    <row r="896" spans="1:2" x14ac:dyDescent="0.25">
      <c r="A896" t="str">
        <f>IF(REGLAS!J897="OBSOLETO","","INSERT INTO INYCEXT.INYC_CONF_INF_REGLAS (COD_INFORME,TABLA,NOMBRE,REGLA,F_INICIO,F_FIN,DESCRIPCION) VALUES ("&amp;REGLAS!B897&amp;",'"&amp;REGLAS!C897&amp;"','"&amp;REGLAS!D897&amp;"','"&amp;REGLAS!G897&amp;"',TO_DATE('"&amp;REGLAS!H897&amp;"','yyyymmdd'),TO_DATE('"&amp;REGLAS!I897&amp;"','yyyymmdd'),'"&amp;REGLAS!J897&amp;"');")</f>
        <v>INSERT INTO INYCEXT.INYC_CONF_INF_REGLAS (COD_INFORME,TABLA,NOMBRE,REGLA,F_INICIO,F_FIN,DESCRIPCION) VALUES (100.2,'INYC_S4_POLIZAS','Comision Nueva Produccion','DC-O-COM-NuevaProduccion-ComisionCalculada',TO_DATE('20140101','yyyymmdd'),TO_DATE('22000101','yyyymmdd'),'');</v>
      </c>
      <c r="B896" t="str">
        <f>IF(REGLAS!J897="OBSOLETO","","INSERT INTO INYCEXT.INYC_CONF_INF_REGLAS@tc_link (COD_INFORME,TABLA,NOMBRE,REGLA,F_INICIO,F_FIN,DESCRIPCION) VALUES ("&amp;REGLAS!B897&amp;",'"&amp;REGLAS!C897&amp;"','"&amp;REGLAS!D897&amp;"','"&amp;REGLAS!G897&amp;"',TO_DATE('"&amp;REGLAS!H897&amp;"','yyyymmdd'),TO_DATE('"&amp;REGLAS!I897&amp;"','yyyymmdd'),'"&amp;REGLAS!J897&amp;"');")</f>
        <v>INSERT INTO INYCEXT.INYC_CONF_INF_REGLAS@tc_link (COD_INFORME,TABLA,NOMBRE,REGLA,F_INICIO,F_FIN,DESCRIPCION) VALUES (100.2,'INYC_S4_POLIZAS','Comision Nueva Produccion','DC-O-COM-NuevaProduccion-ComisionCalculada',TO_DATE('20140101','yyyymmdd'),TO_DATE('22000101','yyyymmdd'),'');</v>
      </c>
    </row>
    <row r="897" spans="1:2" x14ac:dyDescent="0.25">
      <c r="A897" t="str">
        <f>IF(REGLAS!J898="OBSOLETO","","INSERT INTO INYCEXT.INYC_CONF_INF_REGLAS (COD_INFORME,TABLA,NOMBRE,REGLA,F_INICIO,F_FIN,DESCRIPCION) VALUES ("&amp;REGLAS!B898&amp;",'"&amp;REGLAS!C898&amp;"','"&amp;REGLAS!D898&amp;"','"&amp;REGLAS!G898&amp;"',TO_DATE('"&amp;REGLAS!H898&amp;"','yyyymmdd'),TO_DATE('"&amp;REGLAS!I898&amp;"','yyyymmdd'),'"&amp;REGLAS!J898&amp;"');")</f>
        <v>INSERT INTO INYCEXT.INYC_CONF_INF_REGLAS (COD_INFORME,TABLA,NOMBRE,REGLA,F_INICIO,F_FIN,DESCRIPCION) VALUES (100.2,'INYC_S4_POLIZAS','Comision Nueva Produccion','DC-O-COM-NuevaProduccion-SECI',TO_DATE('20140101','yyyymmdd'),TO_DATE('22000101','yyyymmdd'),'');</v>
      </c>
      <c r="B897" t="str">
        <f>IF(REGLAS!J898="OBSOLETO","","INSERT INTO INYCEXT.INYC_CONF_INF_REGLAS@tc_link (COD_INFORME,TABLA,NOMBRE,REGLA,F_INICIO,F_FIN,DESCRIPCION) VALUES ("&amp;REGLAS!B898&amp;",'"&amp;REGLAS!C898&amp;"','"&amp;REGLAS!D898&amp;"','"&amp;REGLAS!G898&amp;"',TO_DATE('"&amp;REGLAS!H898&amp;"','yyyymmdd'),TO_DATE('"&amp;REGLAS!I898&amp;"','yyyymmdd'),'"&amp;REGLAS!J898&amp;"');")</f>
        <v>INSERT INTO INYCEXT.INYC_CONF_INF_REGLAS@tc_link (COD_INFORME,TABLA,NOMBRE,REGLA,F_INICIO,F_FIN,DESCRIPCION) VALUES (100.2,'INYC_S4_POLIZAS','Comision Nueva Produccion','DC-O-COM-NuevaProduccion-SECI',TO_DATE('20140101','yyyymmdd'),TO_DATE('22000101','yyyymmdd'),'');</v>
      </c>
    </row>
    <row r="898" spans="1:2" x14ac:dyDescent="0.25">
      <c r="A898" t="str">
        <f>IF(REGLAS!J899="OBSOLETO","","INSERT INTO INYCEXT.INYC_CONF_INF_REGLAS (COD_INFORME,TABLA,NOMBRE,REGLA,F_INICIO,F_FIN,DESCRIPCION) VALUES ("&amp;REGLAS!B899&amp;",'"&amp;REGLAS!C899&amp;"','"&amp;REGLAS!D899&amp;"','"&amp;REGLAS!G899&amp;"',TO_DATE('"&amp;REGLAS!H899&amp;"','yyyymmdd'),TO_DATE('"&amp;REGLAS!I899&amp;"','yyyymmdd'),'"&amp;REGLAS!J899&amp;"');")</f>
        <v>INSERT INTO INYCEXT.INYC_CONF_INF_REGLAS (COD_INFORME,TABLA,NOMBRE,REGLA,F_INICIO,F_FIN,DESCRIPCION) VALUES (100.2,'INYC_S4_POLIZAS','Comision Candidatos','DC-O-COM-NuevaProduccion-Candidatos',TO_DATE('20140101','yyyymmdd'),TO_DATE('22000101','yyyymmdd'),'');</v>
      </c>
      <c r="B898" t="str">
        <f>IF(REGLAS!J899="OBSOLETO","","INSERT INTO INYCEXT.INYC_CONF_INF_REGLAS@tc_link (COD_INFORME,TABLA,NOMBRE,REGLA,F_INICIO,F_FIN,DESCRIPCION) VALUES ("&amp;REGLAS!B899&amp;",'"&amp;REGLAS!C899&amp;"','"&amp;REGLAS!D899&amp;"','"&amp;REGLAS!G899&amp;"',TO_DATE('"&amp;REGLAS!H899&amp;"','yyyymmdd'),TO_DATE('"&amp;REGLAS!I899&amp;"','yyyymmdd'),'"&amp;REGLAS!J899&amp;"');")</f>
        <v>INSERT INTO INYCEXT.INYC_CONF_INF_REGLAS@tc_link (COD_INFORME,TABLA,NOMBRE,REGLA,F_INICIO,F_FIN,DESCRIPCION) VALUES (100.2,'INYC_S4_POLIZAS','Comision Candidatos','DC-O-COM-NuevaProduccion-Candidatos',TO_DATE('20140101','yyyymmdd'),TO_DATE('22000101','yyyymmdd'),'');</v>
      </c>
    </row>
    <row r="899" spans="1:2" x14ac:dyDescent="0.25">
      <c r="A899" t="str">
        <f>IF(REGLAS!J900="OBSOLETO","","INSERT INTO INYCEXT.INYC_CONF_INF_REGLAS (COD_INFORME,TABLA,NOMBRE,REGLA,F_INICIO,F_FIN,DESCRIPCION) VALUES ("&amp;REGLAS!B900&amp;",'"&amp;REGLAS!C900&amp;"','"&amp;REGLAS!D900&amp;"','"&amp;REGLAS!G900&amp;"',TO_DATE('"&amp;REGLAS!H900&amp;"','yyyymmdd'),TO_DATE('"&amp;REGLAS!I900&amp;"','yyyymmdd'),'"&amp;REGLAS!J900&amp;"');")</f>
        <v>INSERT INTO INYCEXT.INYC_CONF_INF_REGLAS (COD_INFORME,TABLA,NOMBRE,REGLA,F_INICIO,F_FIN,DESCRIPCION) VALUES (100.2,'INYC_S4_POLIZAS','Comision Conservacion','DC-O-COM-GestionCobro',TO_DATE('20140101','yyyymmdd'),TO_DATE('22000101','yyyymmdd'),'');</v>
      </c>
      <c r="B899" t="str">
        <f>IF(REGLAS!J900="OBSOLETO","","INSERT INTO INYCEXT.INYC_CONF_INF_REGLAS@tc_link (COD_INFORME,TABLA,NOMBRE,REGLA,F_INICIO,F_FIN,DESCRIPCION) VALUES ("&amp;REGLAS!B900&amp;",'"&amp;REGLAS!C900&amp;"','"&amp;REGLAS!D900&amp;"','"&amp;REGLAS!G900&amp;"',TO_DATE('"&amp;REGLAS!H900&amp;"','yyyymmdd'),TO_DATE('"&amp;REGLAS!I900&amp;"','yyyymmdd'),'"&amp;REGLAS!J900&amp;"');")</f>
        <v>INSERT INTO INYCEXT.INYC_CONF_INF_REGLAS@tc_link (COD_INFORME,TABLA,NOMBRE,REGLA,F_INICIO,F_FIN,DESCRIPCION) VALUES (100.2,'INYC_S4_POLIZAS','Comision Conservacion','DC-O-COM-GestionCobro',TO_DATE('20140101','yyyymmdd'),TO_DATE('22000101','yyyymmdd'),'');</v>
      </c>
    </row>
    <row r="900" spans="1:2" x14ac:dyDescent="0.25">
      <c r="A900" t="str">
        <f>IF(REGLAS!J901="OBSOLETO","","INSERT INTO INYCEXT.INYC_CONF_INF_REGLAS (COD_INFORME,TABLA,NOMBRE,REGLA,F_INICIO,F_FIN,DESCRIPCION) VALUES ("&amp;REGLAS!B901&amp;",'"&amp;REGLAS!C901&amp;"','"&amp;REGLAS!D901&amp;"','"&amp;REGLAS!G901&amp;"',TO_DATE('"&amp;REGLAS!H901&amp;"','yyyymmdd'),TO_DATE('"&amp;REGLAS!I901&amp;"','yyyymmdd'),'"&amp;REGLAS!J901&amp;"');")</f>
        <v>INSERT INTO INYCEXT.INYC_CONF_INF_REGLAS (COD_INFORME,TABLA,NOMBRE,REGLA,F_INICIO,F_FIN,DESCRIPCION) VALUES (100.2,'INYC_S4_POLIZAS','Comision Conservacion','DC-O-COM-GestionCobro-ComisionCalculada',TO_DATE('20140101','yyyymmdd'),TO_DATE('22000101','yyyymmdd'),'');</v>
      </c>
      <c r="B900" t="str">
        <f>IF(REGLAS!J901="OBSOLETO","","INSERT INTO INYCEXT.INYC_CONF_INF_REGLAS@tc_link (COD_INFORME,TABLA,NOMBRE,REGLA,F_INICIO,F_FIN,DESCRIPCION) VALUES ("&amp;REGLAS!B901&amp;",'"&amp;REGLAS!C901&amp;"','"&amp;REGLAS!D901&amp;"','"&amp;REGLAS!G901&amp;"',TO_DATE('"&amp;REGLAS!H901&amp;"','yyyymmdd'),TO_DATE('"&amp;REGLAS!I901&amp;"','yyyymmdd'),'"&amp;REGLAS!J901&amp;"');")</f>
        <v>INSERT INTO INYCEXT.INYC_CONF_INF_REGLAS@tc_link (COD_INFORME,TABLA,NOMBRE,REGLA,F_INICIO,F_FIN,DESCRIPCION) VALUES (100.2,'INYC_S4_POLIZAS','Comision Conservacion','DC-O-COM-GestionCobro-ComisionCalculada',TO_DATE('20140101','yyyymmdd'),TO_DATE('22000101','yyyymmdd'),'');</v>
      </c>
    </row>
    <row r="901" spans="1:2" x14ac:dyDescent="0.25">
      <c r="A901" t="str">
        <f>IF(REGLAS!J902="OBSOLETO","","INSERT INTO INYCEXT.INYC_CONF_INF_REGLAS (COD_INFORME,TABLA,NOMBRE,REGLA,F_INICIO,F_FIN,DESCRIPCION) VALUES ("&amp;REGLAS!B902&amp;",'"&amp;REGLAS!C902&amp;"','"&amp;REGLAS!D902&amp;"','"&amp;REGLAS!G902&amp;"',TO_DATE('"&amp;REGLAS!H902&amp;"','yyyymmdd'),TO_DATE('"&amp;REGLAS!I902&amp;"','yyyymmdd'),'"&amp;REGLAS!J902&amp;"');")</f>
        <v>INSERT INTO INYCEXT.INYC_CONF_INF_REGLAS (COD_INFORME,TABLA,NOMBRE,REGLA,F_INICIO,F_FIN,DESCRIPCION) VALUES (100.2,'INYC_S4_POLIZAS','Comision Conservacion','DC-O-COM-GestionCobro-PorcentajeFijo',TO_DATE('20140101','yyyymmdd'),TO_DATE('22000101','yyyymmdd'),'');</v>
      </c>
      <c r="B901" t="str">
        <f>IF(REGLAS!J902="OBSOLETO","","INSERT INTO INYCEXT.INYC_CONF_INF_REGLAS@tc_link (COD_INFORME,TABLA,NOMBRE,REGLA,F_INICIO,F_FIN,DESCRIPCION) VALUES ("&amp;REGLAS!B902&amp;",'"&amp;REGLAS!C902&amp;"','"&amp;REGLAS!D902&amp;"','"&amp;REGLAS!G902&amp;"',TO_DATE('"&amp;REGLAS!H902&amp;"','yyyymmdd'),TO_DATE('"&amp;REGLAS!I902&amp;"','yyyymmdd'),'"&amp;REGLAS!J902&amp;"');")</f>
        <v>INSERT INTO INYCEXT.INYC_CONF_INF_REGLAS@tc_link (COD_INFORME,TABLA,NOMBRE,REGLA,F_INICIO,F_FIN,DESCRIPCION) VALUES (100.2,'INYC_S4_POLIZAS','Comision Conservacion','DC-O-COM-GestionCobro-PorcentajeFijo',TO_DATE('20140101','yyyymmdd'),TO_DATE('22000101','yyyymmdd'),'');</v>
      </c>
    </row>
    <row r="902" spans="1:2" x14ac:dyDescent="0.25">
      <c r="A902" t="str">
        <f>IF(REGLAS!J903="OBSOLETO","","INSERT INTO INYCEXT.INYC_CONF_INF_REGLAS (COD_INFORME,TABLA,NOMBRE,REGLA,F_INICIO,F_FIN,DESCRIPCION) VALUES ("&amp;REGLAS!B903&amp;",'"&amp;REGLAS!C903&amp;"','"&amp;REGLAS!D903&amp;"','"&amp;REGLAS!G903&amp;"',TO_DATE('"&amp;REGLAS!H903&amp;"','yyyymmdd'),TO_DATE('"&amp;REGLAS!I903&amp;"','yyyymmdd'),'"&amp;REGLAS!J903&amp;"');")</f>
        <v>INSERT INTO INYCEXT.INYC_CONF_INF_REGLAS (COD_INFORME,TABLA,NOMBRE,REGLA,F_INICIO,F_FIN,DESCRIPCION) VALUES (100.2,'INYC_S4_POLIZAS','Comision Conservacion','DC-O-COM-Conservacion-PorcentajeFijo',TO_DATE('20140101','yyyymmdd'),TO_DATE('22000101','yyyymmdd'),'');</v>
      </c>
      <c r="B902" t="str">
        <f>IF(REGLAS!J903="OBSOLETO","","INSERT INTO INYCEXT.INYC_CONF_INF_REGLAS@tc_link (COD_INFORME,TABLA,NOMBRE,REGLA,F_INICIO,F_FIN,DESCRIPCION) VALUES ("&amp;REGLAS!B903&amp;",'"&amp;REGLAS!C903&amp;"','"&amp;REGLAS!D903&amp;"','"&amp;REGLAS!G903&amp;"',TO_DATE('"&amp;REGLAS!H903&amp;"','yyyymmdd'),TO_DATE('"&amp;REGLAS!I903&amp;"','yyyymmdd'),'"&amp;REGLAS!J903&amp;"');")</f>
        <v>INSERT INTO INYCEXT.INYC_CONF_INF_REGLAS@tc_link (COD_INFORME,TABLA,NOMBRE,REGLA,F_INICIO,F_FIN,DESCRIPCION) VALUES (100.2,'INYC_S4_POLIZAS','Comision Conservacion','DC-O-COM-Conservacion-PorcentajeFijo',TO_DATE('20140101','yyyymmdd'),TO_DATE('22000101','yyyymmdd'),'');</v>
      </c>
    </row>
    <row r="903" spans="1:2" x14ac:dyDescent="0.25">
      <c r="A903" t="str">
        <f>IF(REGLAS!J904="OBSOLETO","","INSERT INTO INYCEXT.INYC_CONF_INF_REGLAS (COD_INFORME,TABLA,NOMBRE,REGLA,F_INICIO,F_FIN,DESCRIPCION) VALUES ("&amp;REGLAS!B904&amp;",'"&amp;REGLAS!C904&amp;"','"&amp;REGLAS!D904&amp;"','"&amp;REGLAS!G904&amp;"',TO_DATE('"&amp;REGLAS!H904&amp;"','yyyymmdd'),TO_DATE('"&amp;REGLAS!I904&amp;"','yyyymmdd'),'"&amp;REGLAS!J904&amp;"');")</f>
        <v>INSERT INTO INYCEXT.INYC_CONF_INF_REGLAS (COD_INFORME,TABLA,NOMBRE,REGLA,F_INICIO,F_FIN,DESCRIPCION) VALUES (100.2,'INYC_S4_POLIZAS','Comision Conservacion','DC-O-COM-Conservacion-ComisionCalculada',TO_DATE('20140101','yyyymmdd'),TO_DATE('22000101','yyyymmdd'),'');</v>
      </c>
      <c r="B903" t="str">
        <f>IF(REGLAS!J904="OBSOLETO","","INSERT INTO INYCEXT.INYC_CONF_INF_REGLAS@tc_link (COD_INFORME,TABLA,NOMBRE,REGLA,F_INICIO,F_FIN,DESCRIPCION) VALUES ("&amp;REGLAS!B904&amp;",'"&amp;REGLAS!C904&amp;"','"&amp;REGLAS!D904&amp;"','"&amp;REGLAS!G904&amp;"',TO_DATE('"&amp;REGLAS!H904&amp;"','yyyymmdd'),TO_DATE('"&amp;REGLAS!I904&amp;"','yyyymmdd'),'"&amp;REGLAS!J904&amp;"');")</f>
        <v>INSERT INTO INYCEXT.INYC_CONF_INF_REGLAS@tc_link (COD_INFORME,TABLA,NOMBRE,REGLA,F_INICIO,F_FIN,DESCRIPCION) VALUES (100.2,'INYC_S4_POLIZAS','Comision Conservacion','DC-O-COM-Conservacion-ComisionCalculada',TO_DATE('20140101','yyyymmdd'),TO_DATE('22000101','yyyymmdd'),'');</v>
      </c>
    </row>
    <row r="904" spans="1:2" x14ac:dyDescent="0.25">
      <c r="A904" t="str">
        <f>IF(REGLAS!J905="OBSOLETO","","INSERT INTO INYCEXT.INYC_CONF_INF_REGLAS (COD_INFORME,TABLA,NOMBRE,REGLA,F_INICIO,F_FIN,DESCRIPCION) VALUES ("&amp;REGLAS!B905&amp;",'"&amp;REGLAS!C905&amp;"','"&amp;REGLAS!D905&amp;"','"&amp;REGLAS!G905&amp;"',TO_DATE('"&amp;REGLAS!H905&amp;"','yyyymmdd'),TO_DATE('"&amp;REGLAS!I905&amp;"','yyyymmdd'),'"&amp;REGLAS!J905&amp;"');")</f>
        <v>INSERT INTO INYCEXT.INYC_CONF_INF_REGLAS (COD_INFORME,TABLA,NOMBRE,REGLA,F_INICIO,F_FIN,DESCRIPCION) VALUES (100.2,'INYC_S4_POLIZAS','Comision Conservacion','DC-O-COM-Conservacion-RecalcularPorcentaje',TO_DATE('20140101','yyyymmdd'),TO_DATE('22000101','yyyymmdd'),'');</v>
      </c>
      <c r="B904" t="str">
        <f>IF(REGLAS!J905="OBSOLETO","","INSERT INTO INYCEXT.INYC_CONF_INF_REGLAS@tc_link (COD_INFORME,TABLA,NOMBRE,REGLA,F_INICIO,F_FIN,DESCRIPCION) VALUES ("&amp;REGLAS!B905&amp;",'"&amp;REGLAS!C905&amp;"','"&amp;REGLAS!D905&amp;"','"&amp;REGLAS!G905&amp;"',TO_DATE('"&amp;REGLAS!H905&amp;"','yyyymmdd'),TO_DATE('"&amp;REGLAS!I905&amp;"','yyyymmdd'),'"&amp;REGLAS!J905&amp;"');")</f>
        <v>INSERT INTO INYCEXT.INYC_CONF_INF_REGLAS@tc_link (COD_INFORME,TABLA,NOMBRE,REGLA,F_INICIO,F_FIN,DESCRIPCION) VALUES (100.2,'INYC_S4_POLIZAS','Comision Conservacion','DC-O-COM-Conservacion-RecalcularPorcentaje',TO_DATE('20140101','yyyymmdd'),TO_DATE('22000101','yyyymmdd'),'');</v>
      </c>
    </row>
    <row r="905" spans="1:2" x14ac:dyDescent="0.25">
      <c r="A905" t="str">
        <f>IF(REGLAS!J906="OBSOLETO","","INSERT INTO INYCEXT.INYC_CONF_INF_REGLAS (COD_INFORME,TABLA,NOMBRE,REGLA,F_INICIO,F_FIN,DESCRIPCION) VALUES ("&amp;REGLAS!B906&amp;",'"&amp;REGLAS!C906&amp;"','"&amp;REGLAS!D906&amp;"','"&amp;REGLAS!G906&amp;"',TO_DATE('"&amp;REGLAS!H906&amp;"','yyyymmdd'),TO_DATE('"&amp;REGLAS!I906&amp;"','yyyymmdd'),'"&amp;REGLAS!J906&amp;"');")</f>
        <v>INSERT INTO INYCEXT.INYC_CONF_INF_REGLAS (COD_INFORME,TABLA,NOMBRE,REGLA,F_INICIO,F_FIN,DESCRIPCION) VALUES (100.2,'INYC_S4_POLIZAS','Comision Conservacion','DC-O-COM-Conservacion-Consolidacion',TO_DATE('20140101','yyyymmdd'),TO_DATE('22000101','yyyymmdd'),'');</v>
      </c>
      <c r="B905" t="str">
        <f>IF(REGLAS!J906="OBSOLETO","","INSERT INTO INYCEXT.INYC_CONF_INF_REGLAS@tc_link (COD_INFORME,TABLA,NOMBRE,REGLA,F_INICIO,F_FIN,DESCRIPCION) VALUES ("&amp;REGLAS!B906&amp;",'"&amp;REGLAS!C906&amp;"','"&amp;REGLAS!D906&amp;"','"&amp;REGLAS!G906&amp;"',TO_DATE('"&amp;REGLAS!H906&amp;"','yyyymmdd'),TO_DATE('"&amp;REGLAS!I906&amp;"','yyyymmdd'),'"&amp;REGLAS!J906&amp;"');")</f>
        <v>INSERT INTO INYCEXT.INYC_CONF_INF_REGLAS@tc_link (COD_INFORME,TABLA,NOMBRE,REGLA,F_INICIO,F_FIN,DESCRIPCION) VALUES (100.2,'INYC_S4_POLIZAS','Comision Conservacion','DC-O-COM-Conservacion-Consolidacion',TO_DATE('20140101','yyyymmdd'),TO_DATE('22000101','yyyymmdd'),'');</v>
      </c>
    </row>
    <row r="906" spans="1:2" x14ac:dyDescent="0.25">
      <c r="A906" t="str">
        <f>IF(REGLAS!J907="OBSOLETO","","INSERT INTO INYCEXT.INYC_CONF_INF_REGLAS (COD_INFORME,TABLA,NOMBRE,REGLA,F_INICIO,F_FIN,DESCRIPCION) VALUES ("&amp;REGLAS!B907&amp;",'"&amp;REGLAS!C907&amp;"','"&amp;REGLAS!D907&amp;"','"&amp;REGLAS!G907&amp;"',TO_DATE('"&amp;REGLAS!H907&amp;"','yyyymmdd'),TO_DATE('"&amp;REGLAS!I907&amp;"','yyyymmdd'),'"&amp;REGLAS!J907&amp;"');")</f>
        <v>INSERT INTO INYCEXT.INYC_CONF_INF_REGLAS (COD_INFORME,TABLA,NOMBRE,REGLA,F_INICIO,F_FIN,DESCRIPCION) VALUES (100.2,'INYC_S4_POLIZAS','Comision Cartera','DC-O-COM-Cartera-Porcentaje',TO_DATE('20140101','yyyymmdd'),TO_DATE('22000101','yyyymmdd'),'');</v>
      </c>
      <c r="B906" t="str">
        <f>IF(REGLAS!J907="OBSOLETO","","INSERT INTO INYCEXT.INYC_CONF_INF_REGLAS@tc_link (COD_INFORME,TABLA,NOMBRE,REGLA,F_INICIO,F_FIN,DESCRIPCION) VALUES ("&amp;REGLAS!B907&amp;",'"&amp;REGLAS!C907&amp;"','"&amp;REGLAS!D907&amp;"','"&amp;REGLAS!G907&amp;"',TO_DATE('"&amp;REGLAS!H907&amp;"','yyyymmdd'),TO_DATE('"&amp;REGLAS!I907&amp;"','yyyymmdd'),'"&amp;REGLAS!J907&amp;"');")</f>
        <v>INSERT INTO INYCEXT.INYC_CONF_INF_REGLAS@tc_link (COD_INFORME,TABLA,NOMBRE,REGLA,F_INICIO,F_FIN,DESCRIPCION) VALUES (100.2,'INYC_S4_POLIZAS','Comision Cartera','DC-O-COM-Cartera-Porcentaje',TO_DATE('20140101','yyyymmdd'),TO_DATE('22000101','yyyymmdd'),'');</v>
      </c>
    </row>
    <row r="907" spans="1:2" x14ac:dyDescent="0.25">
      <c r="A907" t="str">
        <f>IF(REGLAS!J908="OBSOLETO","","INSERT INTO INYCEXT.INYC_CONF_INF_REGLAS (COD_INFORME,TABLA,NOMBRE,REGLA,F_INICIO,F_FIN,DESCRIPCION) VALUES ("&amp;REGLAS!B908&amp;",'"&amp;REGLAS!C908&amp;"','"&amp;REGLAS!D908&amp;"','"&amp;REGLAS!G908&amp;"',TO_DATE('"&amp;REGLAS!H908&amp;"','yyyymmdd'),TO_DATE('"&amp;REGLAS!I908&amp;"','yyyymmdd'),'"&amp;REGLAS!J908&amp;"');")</f>
        <v>INSERT INTO INYCEXT.INYC_CONF_INF_REGLAS (COD_INFORME,TABLA,NOMBRE,REGLA,F_INICIO,F_FIN,DESCRIPCION) VALUES (100.2,'INYC_S4_POLIZAS','Comision Cartera','DC-O-COM-Cartera-Importe',TO_DATE('20140101','yyyymmdd'),TO_DATE('22000101','yyyymmdd'),'');</v>
      </c>
      <c r="B907" t="str">
        <f>IF(REGLAS!J908="OBSOLETO","","INSERT INTO INYCEXT.INYC_CONF_INF_REGLAS@tc_link (COD_INFORME,TABLA,NOMBRE,REGLA,F_INICIO,F_FIN,DESCRIPCION) VALUES ("&amp;REGLAS!B908&amp;",'"&amp;REGLAS!C908&amp;"','"&amp;REGLAS!D908&amp;"','"&amp;REGLAS!G908&amp;"',TO_DATE('"&amp;REGLAS!H908&amp;"','yyyymmdd'),TO_DATE('"&amp;REGLAS!I908&amp;"','yyyymmdd'),'"&amp;REGLAS!J908&amp;"');")</f>
        <v>INSERT INTO INYCEXT.INYC_CONF_INF_REGLAS@tc_link (COD_INFORME,TABLA,NOMBRE,REGLA,F_INICIO,F_FIN,DESCRIPCION) VALUES (100.2,'INYC_S4_POLIZAS','Comision Cartera','DC-O-COM-Cartera-Importe',TO_DATE('20140101','yyyymmdd'),TO_DATE('22000101','yyyymmdd'),'');</v>
      </c>
    </row>
    <row r="908" spans="1:2" x14ac:dyDescent="0.25">
      <c r="A908" t="str">
        <f>IF(REGLAS!J909="OBSOLETO","","INSERT INTO INYCEXT.INYC_CONF_INF_REGLAS (COD_INFORME,TABLA,NOMBRE,REGLA,F_INICIO,F_FIN,DESCRIPCION) VALUES ("&amp;REGLAS!B909&amp;",'"&amp;REGLAS!C909&amp;"','"&amp;REGLAS!D909&amp;"','"&amp;REGLAS!G909&amp;"',TO_DATE('"&amp;REGLAS!H909&amp;"','yyyymmdd'),TO_DATE('"&amp;REGLAS!I909&amp;"','yyyymmdd'),'"&amp;REGLAS!J909&amp;"');")</f>
        <v>INSERT INTO INYCEXT.INYC_CONF_INF_REGLAS (COD_INFORME,TABLA,NOMBRE,REGLA,F_INICIO,F_FIN,DESCRIPCION) VALUES (100.2,'INYC_S4_POLIZAS','Comision Recuperacion','DC-O-COM-Conservacion-Recuperadas',TO_DATE('20140101','yyyymmdd'),TO_DATE('22000101','yyyymmdd'),'');</v>
      </c>
      <c r="B908" t="str">
        <f>IF(REGLAS!J909="OBSOLETO","","INSERT INTO INYCEXT.INYC_CONF_INF_REGLAS@tc_link (COD_INFORME,TABLA,NOMBRE,REGLA,F_INICIO,F_FIN,DESCRIPCION) VALUES ("&amp;REGLAS!B909&amp;",'"&amp;REGLAS!C909&amp;"','"&amp;REGLAS!D909&amp;"','"&amp;REGLAS!G909&amp;"',TO_DATE('"&amp;REGLAS!H909&amp;"','yyyymmdd'),TO_DATE('"&amp;REGLAS!I909&amp;"','yyyymmdd'),'"&amp;REGLAS!J909&amp;"');")</f>
        <v>INSERT INTO INYCEXT.INYC_CONF_INF_REGLAS@tc_link (COD_INFORME,TABLA,NOMBRE,REGLA,F_INICIO,F_FIN,DESCRIPCION) VALUES (100.2,'INYC_S4_POLIZAS','Comision Recuperacion','DC-O-COM-Conservacion-Recuperadas',TO_DATE('20140101','yyyymmdd'),TO_DATE('22000101','yyyymmdd'),'');</v>
      </c>
    </row>
    <row r="909" spans="1:2" x14ac:dyDescent="0.25">
      <c r="A909" t="str">
        <f>IF(REGLAS!J910="OBSOLETO","","INSERT INTO INYCEXT.INYC_CONF_INF_REGLAS (COD_INFORME,TABLA,NOMBRE,REGLA,F_INICIO,F_FIN,DESCRIPCION) VALUES ("&amp;REGLAS!B910&amp;",'"&amp;REGLAS!C910&amp;"','"&amp;REGLAS!D910&amp;"','"&amp;REGLAS!G910&amp;"',TO_DATE('"&amp;REGLAS!H910&amp;"','yyyymmdd'),TO_DATE('"&amp;REGLAS!I910&amp;"','yyyymmdd'),'"&amp;REGLAS!J910&amp;"');")</f>
        <v>INSERT INTO INYCEXT.INYC_CONF_INF_REGLAS (COD_INFORME,TABLA,NOMBRE,REGLA,F_INICIO,F_FIN,DESCRIPCION) VALUES (100.2,'INYC_S4_POLIZAS','Asistencias','DC-O-COM-ServiciosAsistencia-Importe',TO_DATE('20140101','yyyymmdd'),TO_DATE('22000101','yyyymmdd'),'');</v>
      </c>
      <c r="B909" t="str">
        <f>IF(REGLAS!J910="OBSOLETO","","INSERT INTO INYCEXT.INYC_CONF_INF_REGLAS@tc_link (COD_INFORME,TABLA,NOMBRE,REGLA,F_INICIO,F_FIN,DESCRIPCION) VALUES ("&amp;REGLAS!B910&amp;",'"&amp;REGLAS!C910&amp;"','"&amp;REGLAS!D910&amp;"','"&amp;REGLAS!G910&amp;"',TO_DATE('"&amp;REGLAS!H910&amp;"','yyyymmdd'),TO_DATE('"&amp;REGLAS!I910&amp;"','yyyymmdd'),'"&amp;REGLAS!J910&amp;"');")</f>
        <v>INSERT INTO INYCEXT.INYC_CONF_INF_REGLAS@tc_link (COD_INFORME,TABLA,NOMBRE,REGLA,F_INICIO,F_FIN,DESCRIPCION) VALUES (100.2,'INYC_S4_POLIZAS','Asistencias','DC-O-COM-ServiciosAsistencia-Importe',TO_DATE('20140101','yyyymmdd'),TO_DATE('22000101','yyyymmdd'),'');</v>
      </c>
    </row>
    <row r="910" spans="1:2" x14ac:dyDescent="0.25">
      <c r="A910" t="str">
        <f>IF(REGLAS!J911="OBSOLETO","","INSERT INTO INYCEXT.INYC_CONF_INF_REGLAS (COD_INFORME,TABLA,NOMBRE,REGLA,F_INICIO,F_FIN,DESCRIPCION) VALUES ("&amp;REGLAS!B911&amp;",'"&amp;REGLAS!C911&amp;"','"&amp;REGLAS!D911&amp;"','"&amp;REGLAS!G911&amp;"',TO_DATE('"&amp;REGLAS!H911&amp;"','yyyymmdd'),TO_DATE('"&amp;REGLAS!I911&amp;"','yyyymmdd'),'"&amp;REGLAS!J911&amp;"');")</f>
        <v>INSERT INTO INYCEXT.INYC_CONF_INF_REGLAS (COD_INFORME,TABLA,NOMBRE,REGLA,F_INICIO,F_FIN,DESCRIPCION) VALUES (100.2,'INYC_S4_POLIZAS','Comision Nueva Produccion','DC-O-COM-AUT-NuevaProduccion-Emision',TO_DATE('20180901','yyyymmdd'),TO_DATE('22000101','yyyymmdd'),'Version 20180730');</v>
      </c>
      <c r="B910" t="str">
        <f>IF(REGLAS!J911="OBSOLETO","","INSERT INTO INYCEXT.INYC_CONF_INF_REGLAS@tc_link (COD_INFORME,TABLA,NOMBRE,REGLA,F_INICIO,F_FIN,DESCRIPCION) VALUES ("&amp;REGLAS!B911&amp;",'"&amp;REGLAS!C911&amp;"','"&amp;REGLAS!D911&amp;"','"&amp;REGLAS!G911&amp;"',TO_DATE('"&amp;REGLAS!H911&amp;"','yyyymmdd'),TO_DATE('"&amp;REGLAS!I911&amp;"','yyyymmdd'),'"&amp;REGLAS!J911&amp;"');")</f>
        <v>INSERT INTO INYCEXT.INYC_CONF_INF_REGLAS@tc_link (COD_INFORME,TABLA,NOMBRE,REGLA,F_INICIO,F_FIN,DESCRIPCION) VALUES (100.2,'INYC_S4_POLIZAS','Comision Nueva Produccion','DC-O-COM-AUT-NuevaProduccion-Emision',TO_DATE('20180901','yyyymmdd'),TO_DATE('22000101','yyyymmdd'),'Version 20180730');</v>
      </c>
    </row>
    <row r="911" spans="1:2" x14ac:dyDescent="0.25">
      <c r="A911" t="str">
        <f>IF(REGLAS!J912="OBSOLETO","","INSERT INTO INYCEXT.INYC_CONF_INF_REGLAS (COD_INFORME,TABLA,NOMBRE,REGLA,F_INICIO,F_FIN,DESCRIPCION) VALUES ("&amp;REGLAS!B912&amp;",'"&amp;REGLAS!C912&amp;"','"&amp;REGLAS!D912&amp;"','"&amp;REGLAS!G912&amp;"',TO_DATE('"&amp;REGLAS!H912&amp;"','yyyymmdd'),TO_DATE('"&amp;REGLAS!I912&amp;"','yyyymmdd'),'"&amp;REGLAS!J912&amp;"');")</f>
        <v>INSERT INTO INYCEXT.INYC_CONF_INF_REGLAS (COD_INFORME,TABLA,NOMBRE,REGLA,F_INICIO,F_FIN,DESCRIPCION) VALUES (100.2,'INYC_S4_POLIZAS','Comision Nueva Produccion','DC-O-COM-AUT-NuevaProduccion-Suplementos',TO_DATE('20180901','yyyymmdd'),TO_DATE('22000101','yyyymmdd'),'Version 20180730');</v>
      </c>
      <c r="B911" t="str">
        <f>IF(REGLAS!J912="OBSOLETO","","INSERT INTO INYCEXT.INYC_CONF_INF_REGLAS@tc_link (COD_INFORME,TABLA,NOMBRE,REGLA,F_INICIO,F_FIN,DESCRIPCION) VALUES ("&amp;REGLAS!B912&amp;",'"&amp;REGLAS!C912&amp;"','"&amp;REGLAS!D912&amp;"','"&amp;REGLAS!G912&amp;"',TO_DATE('"&amp;REGLAS!H912&amp;"','yyyymmdd'),TO_DATE('"&amp;REGLAS!I912&amp;"','yyyymmdd'),'"&amp;REGLAS!J912&amp;"');")</f>
        <v>INSERT INTO INYCEXT.INYC_CONF_INF_REGLAS@tc_link (COD_INFORME,TABLA,NOMBRE,REGLA,F_INICIO,F_FIN,DESCRIPCION) VALUES (100.2,'INYC_S4_POLIZAS','Comision Nueva Produccion','DC-O-COM-AUT-NuevaProduccion-Suplementos',TO_DATE('20180901','yyyymmdd'),TO_DATE('22000101','yyyymmdd'),'Version 20180730');</v>
      </c>
    </row>
    <row r="912" spans="1:2" x14ac:dyDescent="0.25">
      <c r="A912" t="str">
        <f>IF(REGLAS!J913="OBSOLETO","","INSERT INTO INYCEXT.INYC_CONF_INF_REGLAS (COD_INFORME,TABLA,NOMBRE,REGLA,F_INICIO,F_FIN,DESCRIPCION) VALUES ("&amp;REGLAS!B913&amp;",'"&amp;REGLAS!C913&amp;"','"&amp;REGLAS!D913&amp;"','"&amp;REGLAS!G913&amp;"',TO_DATE('"&amp;REGLAS!H913&amp;"','yyyymmdd'),TO_DATE('"&amp;REGLAS!I913&amp;"','yyyymmdd'),'"&amp;REGLAS!J913&amp;"');")</f>
        <v>INSERT INTO INYCEXT.INYC_CONF_INF_REGLAS (COD_INFORME,TABLA,NOMBRE,REGLA,F_INICIO,F_FIN,DESCRIPCION) VALUES (100.2,'INYC_S4_POLIZAS','Comision Nueva Produccion','DC-O-COM-AUT-NuevaProduccion-PorcentajeFijo',TO_DATE('20180901','yyyymmdd'),TO_DATE('22000101','yyyymmdd'),'Version 20180730');</v>
      </c>
      <c r="B912" t="str">
        <f>IF(REGLAS!J913="OBSOLETO","","INSERT INTO INYCEXT.INYC_CONF_INF_REGLAS@tc_link (COD_INFORME,TABLA,NOMBRE,REGLA,F_INICIO,F_FIN,DESCRIPCION) VALUES ("&amp;REGLAS!B913&amp;",'"&amp;REGLAS!C913&amp;"','"&amp;REGLAS!D913&amp;"','"&amp;REGLAS!G913&amp;"',TO_DATE('"&amp;REGLAS!H913&amp;"','yyyymmdd'),TO_DATE('"&amp;REGLAS!I913&amp;"','yyyymmdd'),'"&amp;REGLAS!J913&amp;"');")</f>
        <v>INSERT INTO INYCEXT.INYC_CONF_INF_REGLAS@tc_link (COD_INFORME,TABLA,NOMBRE,REGLA,F_INICIO,F_FIN,DESCRIPCION) VALUES (100.2,'INYC_S4_POLIZAS','Comision Nueva Produccion','DC-O-COM-AUT-NuevaProduccion-PorcentajeFijo',TO_DATE('20180901','yyyymmdd'),TO_DATE('22000101','yyyymmdd'),'Version 20180730');</v>
      </c>
    </row>
    <row r="913" spans="1:2" x14ac:dyDescent="0.25">
      <c r="A913" t="str">
        <f>IF(REGLAS!J914="OBSOLETO","","INSERT INTO INYCEXT.INYC_CONF_INF_REGLAS (COD_INFORME,TABLA,NOMBRE,REGLA,F_INICIO,F_FIN,DESCRIPCION) VALUES ("&amp;REGLAS!B914&amp;",'"&amp;REGLAS!C914&amp;"','"&amp;REGLAS!D914&amp;"','"&amp;REGLAS!G914&amp;"',TO_DATE('"&amp;REGLAS!H914&amp;"','yyyymmdd'),TO_DATE('"&amp;REGLAS!I914&amp;"','yyyymmdd'),'"&amp;REGLAS!J914&amp;"');")</f>
        <v>INSERT INTO INYCEXT.INYC_CONF_INF_REGLAS (COD_INFORME,TABLA,NOMBRE,REGLA,F_INICIO,F_FIN,DESCRIPCION) VALUES (100.2,'INYC_S4_POLIZAS','Comision Nueva Produccion','DC-O-COM-AUT-NuevaProduccion-ComisionCalculada',TO_DATE('20180901','yyyymmdd'),TO_DATE('22000101','yyyymmdd'),'Version 20180730');</v>
      </c>
      <c r="B913" t="str">
        <f>IF(REGLAS!J914="OBSOLETO","","INSERT INTO INYCEXT.INYC_CONF_INF_REGLAS@tc_link (COD_INFORME,TABLA,NOMBRE,REGLA,F_INICIO,F_FIN,DESCRIPCION) VALUES ("&amp;REGLAS!B914&amp;",'"&amp;REGLAS!C914&amp;"','"&amp;REGLAS!D914&amp;"','"&amp;REGLAS!G914&amp;"',TO_DATE('"&amp;REGLAS!H914&amp;"','yyyymmdd'),TO_DATE('"&amp;REGLAS!I914&amp;"','yyyymmdd'),'"&amp;REGLAS!J914&amp;"');")</f>
        <v>INSERT INTO INYCEXT.INYC_CONF_INF_REGLAS@tc_link (COD_INFORME,TABLA,NOMBRE,REGLA,F_INICIO,F_FIN,DESCRIPCION) VALUES (100.2,'INYC_S4_POLIZAS','Comision Nueva Produccion','DC-O-COM-AUT-NuevaProduccion-ComisionCalculada',TO_DATE('20180901','yyyymmdd'),TO_DATE('22000101','yyyymmdd'),'Version 20180730');</v>
      </c>
    </row>
    <row r="914" spans="1:2" x14ac:dyDescent="0.25">
      <c r="A914" t="str">
        <f>IF(REGLAS!J915="OBSOLETO","","INSERT INTO INYCEXT.INYC_CONF_INF_REGLAS (COD_INFORME,TABLA,NOMBRE,REGLA,F_INICIO,F_FIN,DESCRIPCION) VALUES ("&amp;REGLAS!B915&amp;",'"&amp;REGLAS!C915&amp;"','"&amp;REGLAS!D915&amp;"','"&amp;REGLAS!G915&amp;"',TO_DATE('"&amp;REGLAS!H915&amp;"','yyyymmdd'),TO_DATE('"&amp;REGLAS!I915&amp;"','yyyymmdd'),'"&amp;REGLAS!J915&amp;"');")</f>
        <v>INSERT INTO INYCEXT.INYC_CONF_INF_REGLAS (COD_INFORME,TABLA,NOMBRE,REGLA,F_INICIO,F_FIN,DESCRIPCION) VALUES (100.2,'INYC_S4_POLIZAS','Comision Nueva Produccion','DC-O-COM-AUT-NuevaProduccion-SECI',TO_DATE('20180901','yyyymmdd'),TO_DATE('22000101','yyyymmdd'),'Version 20180730');</v>
      </c>
      <c r="B914" t="str">
        <f>IF(REGLAS!J915="OBSOLETO","","INSERT INTO INYCEXT.INYC_CONF_INF_REGLAS@tc_link (COD_INFORME,TABLA,NOMBRE,REGLA,F_INICIO,F_FIN,DESCRIPCION) VALUES ("&amp;REGLAS!B915&amp;",'"&amp;REGLAS!C915&amp;"','"&amp;REGLAS!D915&amp;"','"&amp;REGLAS!G915&amp;"',TO_DATE('"&amp;REGLAS!H915&amp;"','yyyymmdd'),TO_DATE('"&amp;REGLAS!I915&amp;"','yyyymmdd'),'"&amp;REGLAS!J915&amp;"');")</f>
        <v>INSERT INTO INYCEXT.INYC_CONF_INF_REGLAS@tc_link (COD_INFORME,TABLA,NOMBRE,REGLA,F_INICIO,F_FIN,DESCRIPCION) VALUES (100.2,'INYC_S4_POLIZAS','Comision Nueva Produccion','DC-O-COM-AUT-NuevaProduccion-SECI',TO_DATE('20180901','yyyymmdd'),TO_DATE('22000101','yyyymmdd'),'Version 20180730');</v>
      </c>
    </row>
    <row r="915" spans="1:2" x14ac:dyDescent="0.25">
      <c r="A915" t="str">
        <f>IF(REGLAS!J916="OBSOLETO","","INSERT INTO INYCEXT.INYC_CONF_INF_REGLAS (COD_INFORME,TABLA,NOMBRE,REGLA,F_INICIO,F_FIN,DESCRIPCION) VALUES ("&amp;REGLAS!B916&amp;",'"&amp;REGLAS!C916&amp;"','"&amp;REGLAS!D916&amp;"','"&amp;REGLAS!G916&amp;"',TO_DATE('"&amp;REGLAS!H916&amp;"','yyyymmdd'),TO_DATE('"&amp;REGLAS!I916&amp;"','yyyymmdd'),'"&amp;REGLAS!J916&amp;"');")</f>
        <v>INSERT INTO INYCEXT.INYC_CONF_INF_REGLAS (COD_INFORME,TABLA,NOMBRE,REGLA,F_INICIO,F_FIN,DESCRIPCION) VALUES (100.2,'INYC_S4_POLIZAS','Comision Candidatos','DC-O-COM-AUT-NuevaProduccion-Candidatos',TO_DATE('20180901','yyyymmdd'),TO_DATE('22000101','yyyymmdd'),'Version 20180730');</v>
      </c>
      <c r="B915" t="str">
        <f>IF(REGLAS!J916="OBSOLETO","","INSERT INTO INYCEXT.INYC_CONF_INF_REGLAS@tc_link (COD_INFORME,TABLA,NOMBRE,REGLA,F_INICIO,F_FIN,DESCRIPCION) VALUES ("&amp;REGLAS!B916&amp;",'"&amp;REGLAS!C916&amp;"','"&amp;REGLAS!D916&amp;"','"&amp;REGLAS!G916&amp;"',TO_DATE('"&amp;REGLAS!H916&amp;"','yyyymmdd'),TO_DATE('"&amp;REGLAS!I916&amp;"','yyyymmdd'),'"&amp;REGLAS!J916&amp;"');")</f>
        <v>INSERT INTO INYCEXT.INYC_CONF_INF_REGLAS@tc_link (COD_INFORME,TABLA,NOMBRE,REGLA,F_INICIO,F_FIN,DESCRIPCION) VALUES (100.2,'INYC_S4_POLIZAS','Comision Candidatos','DC-O-COM-AUT-NuevaProduccion-Candidatos',TO_DATE('20180901','yyyymmdd'),TO_DATE('22000101','yyyymmdd'),'Version 20180730');</v>
      </c>
    </row>
    <row r="916" spans="1:2" x14ac:dyDescent="0.25">
      <c r="A916" t="str">
        <f>IF(REGLAS!J917="OBSOLETO","","INSERT INTO INYCEXT.INYC_CONF_INF_REGLAS (COD_INFORME,TABLA,NOMBRE,REGLA,F_INICIO,F_FIN,DESCRIPCION) VALUES ("&amp;REGLAS!B917&amp;",'"&amp;REGLAS!C917&amp;"','"&amp;REGLAS!D917&amp;"','"&amp;REGLAS!G917&amp;"',TO_DATE('"&amp;REGLAS!H917&amp;"','yyyymmdd'),TO_DATE('"&amp;REGLAS!I917&amp;"','yyyymmdd'),'"&amp;REGLAS!J917&amp;"');")</f>
        <v>INSERT INTO INYCEXT.INYC_CONF_INF_REGLAS (COD_INFORME,TABLA,NOMBRE,REGLA,F_INICIO,F_FIN,DESCRIPCION) VALUES (100.2,'INYC_S4_POLIZAS','Comision Conservacion','DC-O-COM-AUT-GestionCobro',TO_DATE('20180901','yyyymmdd'),TO_DATE('22000101','yyyymmdd'),'Version 20180730');</v>
      </c>
      <c r="B916" t="str">
        <f>IF(REGLAS!J917="OBSOLETO","","INSERT INTO INYCEXT.INYC_CONF_INF_REGLAS@tc_link (COD_INFORME,TABLA,NOMBRE,REGLA,F_INICIO,F_FIN,DESCRIPCION) VALUES ("&amp;REGLAS!B917&amp;",'"&amp;REGLAS!C917&amp;"','"&amp;REGLAS!D917&amp;"','"&amp;REGLAS!G917&amp;"',TO_DATE('"&amp;REGLAS!H917&amp;"','yyyymmdd'),TO_DATE('"&amp;REGLAS!I917&amp;"','yyyymmdd'),'"&amp;REGLAS!J917&amp;"');")</f>
        <v>INSERT INTO INYCEXT.INYC_CONF_INF_REGLAS@tc_link (COD_INFORME,TABLA,NOMBRE,REGLA,F_INICIO,F_FIN,DESCRIPCION) VALUES (100.2,'INYC_S4_POLIZAS','Comision Conservacion','DC-O-COM-AUT-GestionCobro',TO_DATE('20180901','yyyymmdd'),TO_DATE('22000101','yyyymmdd'),'Version 20180730');</v>
      </c>
    </row>
    <row r="917" spans="1:2" x14ac:dyDescent="0.25">
      <c r="A917" t="str">
        <f>IF(REGLAS!J918="OBSOLETO","","INSERT INTO INYCEXT.INYC_CONF_INF_REGLAS (COD_INFORME,TABLA,NOMBRE,REGLA,F_INICIO,F_FIN,DESCRIPCION) VALUES ("&amp;REGLAS!B918&amp;",'"&amp;REGLAS!C918&amp;"','"&amp;REGLAS!D918&amp;"','"&amp;REGLAS!G918&amp;"',TO_DATE('"&amp;REGLAS!H918&amp;"','yyyymmdd'),TO_DATE('"&amp;REGLAS!I918&amp;"','yyyymmdd'),'"&amp;REGLAS!J918&amp;"');")</f>
        <v>INSERT INTO INYCEXT.INYC_CONF_INF_REGLAS (COD_INFORME,TABLA,NOMBRE,REGLA,F_INICIO,F_FIN,DESCRIPCION) VALUES (100.2,'INYC_S4_POLIZAS','Comision Conservacion','DC-O-COM-AUT-GestionCobro-ComisionCalculada',TO_DATE('20180901','yyyymmdd'),TO_DATE('22000101','yyyymmdd'),'Version 20180730');</v>
      </c>
      <c r="B917" t="str">
        <f>IF(REGLAS!J918="OBSOLETO","","INSERT INTO INYCEXT.INYC_CONF_INF_REGLAS@tc_link (COD_INFORME,TABLA,NOMBRE,REGLA,F_INICIO,F_FIN,DESCRIPCION) VALUES ("&amp;REGLAS!B918&amp;",'"&amp;REGLAS!C918&amp;"','"&amp;REGLAS!D918&amp;"','"&amp;REGLAS!G918&amp;"',TO_DATE('"&amp;REGLAS!H918&amp;"','yyyymmdd'),TO_DATE('"&amp;REGLAS!I918&amp;"','yyyymmdd'),'"&amp;REGLAS!J918&amp;"');")</f>
        <v>INSERT INTO INYCEXT.INYC_CONF_INF_REGLAS@tc_link (COD_INFORME,TABLA,NOMBRE,REGLA,F_INICIO,F_FIN,DESCRIPCION) VALUES (100.2,'INYC_S4_POLIZAS','Comision Conservacion','DC-O-COM-AUT-GestionCobro-ComisionCalculada',TO_DATE('20180901','yyyymmdd'),TO_DATE('22000101','yyyymmdd'),'Version 20180730');</v>
      </c>
    </row>
    <row r="918" spans="1:2" x14ac:dyDescent="0.25">
      <c r="A918" t="str">
        <f>IF(REGLAS!J919="OBSOLETO","","INSERT INTO INYCEXT.INYC_CONF_INF_REGLAS (COD_INFORME,TABLA,NOMBRE,REGLA,F_INICIO,F_FIN,DESCRIPCION) VALUES ("&amp;REGLAS!B919&amp;",'"&amp;REGLAS!C919&amp;"','"&amp;REGLAS!D919&amp;"','"&amp;REGLAS!G919&amp;"',TO_DATE('"&amp;REGLAS!H919&amp;"','yyyymmdd'),TO_DATE('"&amp;REGLAS!I919&amp;"','yyyymmdd'),'"&amp;REGLAS!J919&amp;"');")</f>
        <v>INSERT INTO INYCEXT.INYC_CONF_INF_REGLAS (COD_INFORME,TABLA,NOMBRE,REGLA,F_INICIO,F_FIN,DESCRIPCION) VALUES (100.2,'INYC_S4_POLIZAS','Comision Conservacion','DC-O-COM-AUT-GestionCobro-PorcentajeFijo',TO_DATE('20180901','yyyymmdd'),TO_DATE('22000101','yyyymmdd'),'Version 20180730');</v>
      </c>
      <c r="B918" t="str">
        <f>IF(REGLAS!J919="OBSOLETO","","INSERT INTO INYCEXT.INYC_CONF_INF_REGLAS@tc_link (COD_INFORME,TABLA,NOMBRE,REGLA,F_INICIO,F_FIN,DESCRIPCION) VALUES ("&amp;REGLAS!B919&amp;",'"&amp;REGLAS!C919&amp;"','"&amp;REGLAS!D919&amp;"','"&amp;REGLAS!G919&amp;"',TO_DATE('"&amp;REGLAS!H919&amp;"','yyyymmdd'),TO_DATE('"&amp;REGLAS!I919&amp;"','yyyymmdd'),'"&amp;REGLAS!J919&amp;"');")</f>
        <v>INSERT INTO INYCEXT.INYC_CONF_INF_REGLAS@tc_link (COD_INFORME,TABLA,NOMBRE,REGLA,F_INICIO,F_FIN,DESCRIPCION) VALUES (100.2,'INYC_S4_POLIZAS','Comision Conservacion','DC-O-COM-AUT-GestionCobro-PorcentajeFijo',TO_DATE('20180901','yyyymmdd'),TO_DATE('22000101','yyyymmdd'),'Version 20180730');</v>
      </c>
    </row>
    <row r="919" spans="1:2" x14ac:dyDescent="0.25">
      <c r="A919" t="str">
        <f>IF(REGLAS!J920="OBSOLETO","","INSERT INTO INYCEXT.INYC_CONF_INF_REGLAS (COD_INFORME,TABLA,NOMBRE,REGLA,F_INICIO,F_FIN,DESCRIPCION) VALUES ("&amp;REGLAS!B920&amp;",'"&amp;REGLAS!C920&amp;"','"&amp;REGLAS!D920&amp;"','"&amp;REGLAS!G920&amp;"',TO_DATE('"&amp;REGLAS!H920&amp;"','yyyymmdd'),TO_DATE('"&amp;REGLAS!I920&amp;"','yyyymmdd'),'"&amp;REGLAS!J920&amp;"');")</f>
        <v>INSERT INTO INYCEXT.INYC_CONF_INF_REGLAS (COD_INFORME,TABLA,NOMBRE,REGLA,F_INICIO,F_FIN,DESCRIPCION) VALUES (100.2,'INYC_S4_POLIZAS','Comision Conservacion','DC-O-COM-AUT-Conservacion-PorcentajeFijo',TO_DATE('20180901','yyyymmdd'),TO_DATE('22000101','yyyymmdd'),'Version 20180730');</v>
      </c>
      <c r="B919" t="str">
        <f>IF(REGLAS!J920="OBSOLETO","","INSERT INTO INYCEXT.INYC_CONF_INF_REGLAS@tc_link (COD_INFORME,TABLA,NOMBRE,REGLA,F_INICIO,F_FIN,DESCRIPCION) VALUES ("&amp;REGLAS!B920&amp;",'"&amp;REGLAS!C920&amp;"','"&amp;REGLAS!D920&amp;"','"&amp;REGLAS!G920&amp;"',TO_DATE('"&amp;REGLAS!H920&amp;"','yyyymmdd'),TO_DATE('"&amp;REGLAS!I920&amp;"','yyyymmdd'),'"&amp;REGLAS!J920&amp;"');")</f>
        <v>INSERT INTO INYCEXT.INYC_CONF_INF_REGLAS@tc_link (COD_INFORME,TABLA,NOMBRE,REGLA,F_INICIO,F_FIN,DESCRIPCION) VALUES (100.2,'INYC_S4_POLIZAS','Comision Conservacion','DC-O-COM-AUT-Conservacion-PorcentajeFijo',TO_DATE('20180901','yyyymmdd'),TO_DATE('22000101','yyyymmdd'),'Version 20180730');</v>
      </c>
    </row>
    <row r="920" spans="1:2" x14ac:dyDescent="0.25">
      <c r="A920" t="str">
        <f>IF(REGLAS!J921="OBSOLETO","","INSERT INTO INYCEXT.INYC_CONF_INF_REGLAS (COD_INFORME,TABLA,NOMBRE,REGLA,F_INICIO,F_FIN,DESCRIPCION) VALUES ("&amp;REGLAS!B921&amp;",'"&amp;REGLAS!C921&amp;"','"&amp;REGLAS!D921&amp;"','"&amp;REGLAS!G921&amp;"',TO_DATE('"&amp;REGLAS!H921&amp;"','yyyymmdd'),TO_DATE('"&amp;REGLAS!I921&amp;"','yyyymmdd'),'"&amp;REGLAS!J921&amp;"');")</f>
        <v>INSERT INTO INYCEXT.INYC_CONF_INF_REGLAS (COD_INFORME,TABLA,NOMBRE,REGLA,F_INICIO,F_FIN,DESCRIPCION) VALUES (100.2,'INYC_S4_POLIZAS','Comision Conservacion','DC-O-COM-AUT-Conservacion-ComisionCalculada',TO_DATE('20180901','yyyymmdd'),TO_DATE('22000101','yyyymmdd'),'Version 20180730');</v>
      </c>
      <c r="B920" t="str">
        <f>IF(REGLAS!J921="OBSOLETO","","INSERT INTO INYCEXT.INYC_CONF_INF_REGLAS@tc_link (COD_INFORME,TABLA,NOMBRE,REGLA,F_INICIO,F_FIN,DESCRIPCION) VALUES ("&amp;REGLAS!B921&amp;",'"&amp;REGLAS!C921&amp;"','"&amp;REGLAS!D921&amp;"','"&amp;REGLAS!G921&amp;"',TO_DATE('"&amp;REGLAS!H921&amp;"','yyyymmdd'),TO_DATE('"&amp;REGLAS!I921&amp;"','yyyymmdd'),'"&amp;REGLAS!J921&amp;"');")</f>
        <v>INSERT INTO INYCEXT.INYC_CONF_INF_REGLAS@tc_link (COD_INFORME,TABLA,NOMBRE,REGLA,F_INICIO,F_FIN,DESCRIPCION) VALUES (100.2,'INYC_S4_POLIZAS','Comision Conservacion','DC-O-COM-AUT-Conservacion-ComisionCalculada',TO_DATE('20180901','yyyymmdd'),TO_DATE('22000101','yyyymmdd'),'Version 20180730');</v>
      </c>
    </row>
    <row r="921" spans="1:2" x14ac:dyDescent="0.25">
      <c r="A921" t="str">
        <f>IF(REGLAS!J922="OBSOLETO","","INSERT INTO INYCEXT.INYC_CONF_INF_REGLAS (COD_INFORME,TABLA,NOMBRE,REGLA,F_INICIO,F_FIN,DESCRIPCION) VALUES ("&amp;REGLAS!B922&amp;",'"&amp;REGLAS!C922&amp;"','"&amp;REGLAS!D922&amp;"','"&amp;REGLAS!G922&amp;"',TO_DATE('"&amp;REGLAS!H922&amp;"','yyyymmdd'),TO_DATE('"&amp;REGLAS!I922&amp;"','yyyymmdd'),'"&amp;REGLAS!J922&amp;"');")</f>
        <v>INSERT INTO INYCEXT.INYC_CONF_INF_REGLAS (COD_INFORME,TABLA,NOMBRE,REGLA,F_INICIO,F_FIN,DESCRIPCION) VALUES (100.2,'INYC_S4_POLIZAS','Comision Conservacion','DC-O-COM-AUT-Conservacion-RecalcularPorcentaje',TO_DATE('20180901','yyyymmdd'),TO_DATE('22000101','yyyymmdd'),'Version 20180730');</v>
      </c>
      <c r="B921" t="str">
        <f>IF(REGLAS!J922="OBSOLETO","","INSERT INTO INYCEXT.INYC_CONF_INF_REGLAS@tc_link (COD_INFORME,TABLA,NOMBRE,REGLA,F_INICIO,F_FIN,DESCRIPCION) VALUES ("&amp;REGLAS!B922&amp;",'"&amp;REGLAS!C922&amp;"','"&amp;REGLAS!D922&amp;"','"&amp;REGLAS!G922&amp;"',TO_DATE('"&amp;REGLAS!H922&amp;"','yyyymmdd'),TO_DATE('"&amp;REGLAS!I922&amp;"','yyyymmdd'),'"&amp;REGLAS!J922&amp;"');")</f>
        <v>INSERT INTO INYCEXT.INYC_CONF_INF_REGLAS@tc_link (COD_INFORME,TABLA,NOMBRE,REGLA,F_INICIO,F_FIN,DESCRIPCION) VALUES (100.2,'INYC_S4_POLIZAS','Comision Conservacion','DC-O-COM-AUT-Conservacion-RecalcularPorcentaje',TO_DATE('20180901','yyyymmdd'),TO_DATE('22000101','yyyymmdd'),'Version 20180730');</v>
      </c>
    </row>
    <row r="922" spans="1:2" x14ac:dyDescent="0.25">
      <c r="A922" t="str">
        <f>IF(REGLAS!J923="OBSOLETO","","INSERT INTO INYCEXT.INYC_CONF_INF_REGLAS (COD_INFORME,TABLA,NOMBRE,REGLA,F_INICIO,F_FIN,DESCRIPCION) VALUES ("&amp;REGLAS!B923&amp;",'"&amp;REGLAS!C923&amp;"','"&amp;REGLAS!D923&amp;"','"&amp;REGLAS!G923&amp;"',TO_DATE('"&amp;REGLAS!H923&amp;"','yyyymmdd'),TO_DATE('"&amp;REGLAS!I923&amp;"','yyyymmdd'),'"&amp;REGLAS!J923&amp;"');")</f>
        <v>INSERT INTO INYCEXT.INYC_CONF_INF_REGLAS (COD_INFORME,TABLA,NOMBRE,REGLA,F_INICIO,F_FIN,DESCRIPCION) VALUES (100.2,'INYC_S4_POLIZAS','Comision Conservacion','DC-O-COM-AUT-Conservacion-Consolidacion',TO_DATE('20180901','yyyymmdd'),TO_DATE('22000101','yyyymmdd'),'Version 20180730');</v>
      </c>
      <c r="B922" t="str">
        <f>IF(REGLAS!J923="OBSOLETO","","INSERT INTO INYCEXT.INYC_CONF_INF_REGLAS@tc_link (COD_INFORME,TABLA,NOMBRE,REGLA,F_INICIO,F_FIN,DESCRIPCION) VALUES ("&amp;REGLAS!B923&amp;",'"&amp;REGLAS!C923&amp;"','"&amp;REGLAS!D923&amp;"','"&amp;REGLAS!G923&amp;"',TO_DATE('"&amp;REGLAS!H923&amp;"','yyyymmdd'),TO_DATE('"&amp;REGLAS!I923&amp;"','yyyymmdd'),'"&amp;REGLAS!J923&amp;"');")</f>
        <v>INSERT INTO INYCEXT.INYC_CONF_INF_REGLAS@tc_link (COD_INFORME,TABLA,NOMBRE,REGLA,F_INICIO,F_FIN,DESCRIPCION) VALUES (100.2,'INYC_S4_POLIZAS','Comision Conservacion','DC-O-COM-AUT-Conservacion-Consolidacion',TO_DATE('20180901','yyyymmdd'),TO_DATE('22000101','yyyymmdd'),'Version 20180730');</v>
      </c>
    </row>
    <row r="923" spans="1:2" x14ac:dyDescent="0.25">
      <c r="A923" t="str">
        <f>IF(REGLAS!J924="OBSOLETO","","INSERT INTO INYCEXT.INYC_CONF_INF_REGLAS (COD_INFORME,TABLA,NOMBRE,REGLA,F_INICIO,F_FIN,DESCRIPCION) VALUES ("&amp;REGLAS!B924&amp;",'"&amp;REGLAS!C924&amp;"','"&amp;REGLAS!D924&amp;"','"&amp;REGLAS!G924&amp;"',TO_DATE('"&amp;REGLAS!H924&amp;"','yyyymmdd'),TO_DATE('"&amp;REGLAS!I924&amp;"','yyyymmdd'),'"&amp;REGLAS!J924&amp;"');")</f>
        <v>INSERT INTO INYCEXT.INYC_CONF_INF_REGLAS (COD_INFORME,TABLA,NOMBRE,REGLA,F_INICIO,F_FIN,DESCRIPCION) VALUES (100.2,'INYC_S4_POLIZAS','Comision Cartera','DC-O-COM-AUT-Cartera-Porcentaje',TO_DATE('20180901','yyyymmdd'),TO_DATE('22000101','yyyymmdd'),'Version 20180730');</v>
      </c>
      <c r="B923" t="str">
        <f>IF(REGLAS!J924="OBSOLETO","","INSERT INTO INYCEXT.INYC_CONF_INF_REGLAS@tc_link (COD_INFORME,TABLA,NOMBRE,REGLA,F_INICIO,F_FIN,DESCRIPCION) VALUES ("&amp;REGLAS!B924&amp;",'"&amp;REGLAS!C924&amp;"','"&amp;REGLAS!D924&amp;"','"&amp;REGLAS!G924&amp;"',TO_DATE('"&amp;REGLAS!H924&amp;"','yyyymmdd'),TO_DATE('"&amp;REGLAS!I924&amp;"','yyyymmdd'),'"&amp;REGLAS!J924&amp;"');")</f>
        <v>INSERT INTO INYCEXT.INYC_CONF_INF_REGLAS@tc_link (COD_INFORME,TABLA,NOMBRE,REGLA,F_INICIO,F_FIN,DESCRIPCION) VALUES (100.2,'INYC_S4_POLIZAS','Comision Cartera','DC-O-COM-AUT-Cartera-Porcentaje',TO_DATE('20180901','yyyymmdd'),TO_DATE('22000101','yyyymmdd'),'Version 20180730');</v>
      </c>
    </row>
    <row r="924" spans="1:2" x14ac:dyDescent="0.25">
      <c r="A924" t="str">
        <f>IF(REGLAS!J925="OBSOLETO","","INSERT INTO INYCEXT.INYC_CONF_INF_REGLAS (COD_INFORME,TABLA,NOMBRE,REGLA,F_INICIO,F_FIN,DESCRIPCION) VALUES ("&amp;REGLAS!B925&amp;",'"&amp;REGLAS!C925&amp;"','"&amp;REGLAS!D925&amp;"','"&amp;REGLAS!G925&amp;"',TO_DATE('"&amp;REGLAS!H925&amp;"','yyyymmdd'),TO_DATE('"&amp;REGLAS!I925&amp;"','yyyymmdd'),'"&amp;REGLAS!J925&amp;"');")</f>
        <v>INSERT INTO INYCEXT.INYC_CONF_INF_REGLAS (COD_INFORME,TABLA,NOMBRE,REGLA,F_INICIO,F_FIN,DESCRIPCION) VALUES (100.2,'INYC_S4_POLIZAS','Comision Cartera','DC-O-COM-AUT-Cartera-Importe',TO_DATE('20180901','yyyymmdd'),TO_DATE('22000101','yyyymmdd'),'Version 20180730');</v>
      </c>
      <c r="B924" t="str">
        <f>IF(REGLAS!J925="OBSOLETO","","INSERT INTO INYCEXT.INYC_CONF_INF_REGLAS@tc_link (COD_INFORME,TABLA,NOMBRE,REGLA,F_INICIO,F_FIN,DESCRIPCION) VALUES ("&amp;REGLAS!B925&amp;",'"&amp;REGLAS!C925&amp;"','"&amp;REGLAS!D925&amp;"','"&amp;REGLAS!G925&amp;"',TO_DATE('"&amp;REGLAS!H925&amp;"','yyyymmdd'),TO_DATE('"&amp;REGLAS!I925&amp;"','yyyymmdd'),'"&amp;REGLAS!J925&amp;"');")</f>
        <v>INSERT INTO INYCEXT.INYC_CONF_INF_REGLAS@tc_link (COD_INFORME,TABLA,NOMBRE,REGLA,F_INICIO,F_FIN,DESCRIPCION) VALUES (100.2,'INYC_S4_POLIZAS','Comision Cartera','DC-O-COM-AUT-Cartera-Importe',TO_DATE('20180901','yyyymmdd'),TO_DATE('22000101','yyyymmdd'),'Version 20180730');</v>
      </c>
    </row>
    <row r="925" spans="1:2" x14ac:dyDescent="0.25">
      <c r="A925" t="str">
        <f>IF(REGLAS!J926="OBSOLETO","","INSERT INTO INYCEXT.INYC_CONF_INF_REGLAS (COD_INFORME,TABLA,NOMBRE,REGLA,F_INICIO,F_FIN,DESCRIPCION) VALUES ("&amp;REGLAS!B926&amp;",'"&amp;REGLAS!C926&amp;"','"&amp;REGLAS!D926&amp;"','"&amp;REGLAS!G926&amp;"',TO_DATE('"&amp;REGLAS!H926&amp;"','yyyymmdd'),TO_DATE('"&amp;REGLAS!I926&amp;"','yyyymmdd'),'"&amp;REGLAS!J926&amp;"');")</f>
        <v>INSERT INTO INYCEXT.INYC_CONF_INF_REGLAS (COD_INFORME,TABLA,NOMBRE,REGLA,F_INICIO,F_FIN,DESCRIPCION) VALUES (100.2,'INYC_S4_POLIZAS','Comision Recuperacion','DC-O-COM-AUT-Conservacion-Recuperadas',TO_DATE('20180901','yyyymmdd'),TO_DATE('22000101','yyyymmdd'),'Version 20180730');</v>
      </c>
      <c r="B925" t="str">
        <f>IF(REGLAS!J926="OBSOLETO","","INSERT INTO INYCEXT.INYC_CONF_INF_REGLAS@tc_link (COD_INFORME,TABLA,NOMBRE,REGLA,F_INICIO,F_FIN,DESCRIPCION) VALUES ("&amp;REGLAS!B926&amp;",'"&amp;REGLAS!C926&amp;"','"&amp;REGLAS!D926&amp;"','"&amp;REGLAS!G926&amp;"',TO_DATE('"&amp;REGLAS!H926&amp;"','yyyymmdd'),TO_DATE('"&amp;REGLAS!I926&amp;"','yyyymmdd'),'"&amp;REGLAS!J926&amp;"');")</f>
        <v>INSERT INTO INYCEXT.INYC_CONF_INF_REGLAS@tc_link (COD_INFORME,TABLA,NOMBRE,REGLA,F_INICIO,F_FIN,DESCRIPCION) VALUES (100.2,'INYC_S4_POLIZAS','Comision Recuperacion','DC-O-COM-AUT-Conservacion-Recuperadas',TO_DATE('20180901','yyyymmdd'),TO_DATE('22000101','yyyymmdd'),'Version 20180730');</v>
      </c>
    </row>
    <row r="926" spans="1:2" x14ac:dyDescent="0.25">
      <c r="A926" t="str">
        <f>IF(REGLAS!J927="OBSOLETO","","INSERT INTO INYCEXT.INYC_CONF_INF_REGLAS (COD_INFORME,TABLA,NOMBRE,REGLA,F_INICIO,F_FIN,DESCRIPCION) VALUES ("&amp;REGLAS!B927&amp;",'"&amp;REGLAS!C927&amp;"','"&amp;REGLAS!D927&amp;"','"&amp;REGLAS!G927&amp;"',TO_DATE('"&amp;REGLAS!H927&amp;"','yyyymmdd'),TO_DATE('"&amp;REGLAS!I927&amp;"','yyyymmdd'),'"&amp;REGLAS!J927&amp;"');")</f>
        <v>INSERT INTO INYCEXT.INYC_CONF_INF_REGLAS (COD_INFORME,TABLA,NOMBRE,REGLA,F_INICIO,F_FIN,DESCRIPCION) VALUES (100.2,'INYC_S4_POLIZAS','Asistencias','DC-O-COM-AUT-ServiciosAsistencia-Importe',TO_DATE('20180901','yyyymmdd'),TO_DATE('22000101','yyyymmdd'),'Version 20180730');</v>
      </c>
      <c r="B926" t="str">
        <f>IF(REGLAS!J927="OBSOLETO","","INSERT INTO INYCEXT.INYC_CONF_INF_REGLAS@tc_link (COD_INFORME,TABLA,NOMBRE,REGLA,F_INICIO,F_FIN,DESCRIPCION) VALUES ("&amp;REGLAS!B927&amp;",'"&amp;REGLAS!C927&amp;"','"&amp;REGLAS!D927&amp;"','"&amp;REGLAS!G927&amp;"',TO_DATE('"&amp;REGLAS!H927&amp;"','yyyymmdd'),TO_DATE('"&amp;REGLAS!I927&amp;"','yyyymmdd'),'"&amp;REGLAS!J927&amp;"');")</f>
        <v>INSERT INTO INYCEXT.INYC_CONF_INF_REGLAS@tc_link (COD_INFORME,TABLA,NOMBRE,REGLA,F_INICIO,F_FIN,DESCRIPCION) VALUES (100.2,'INYC_S4_POLIZAS','Asistencias','DC-O-COM-AUT-ServiciosAsistencia-Importe',TO_DATE('20180901','yyyymmdd'),TO_DATE('22000101','yyyymmdd'),'Version 20180730');</v>
      </c>
    </row>
    <row r="927" spans="1:2" x14ac:dyDescent="0.25">
      <c r="A927" t="str">
        <f>IF(REGLAS!J928="OBSOLETO","","INSERT INTO INYCEXT.INYC_CONF_INF_REGLAS (COD_INFORME,TABLA,NOMBRE,REGLA,F_INICIO,F_FIN,DESCRIPCION) VALUES ("&amp;REGLAS!B928&amp;",'"&amp;REGLAS!C928&amp;"','"&amp;REGLAS!D928&amp;"','"&amp;REGLAS!G928&amp;"',TO_DATE('"&amp;REGLAS!H928&amp;"','yyyymmdd'),TO_DATE('"&amp;REGLAS!I928&amp;"','yyyymmdd'),'"&amp;REGLAS!J928&amp;"');")</f>
        <v>INSERT INTO INYCEXT.INYC_CONF_INF_REGLAS (COD_INFORME,TABLA,NOMBRE,REGLA,F_INICIO,F_FIN,DESCRIPCION) VALUES (100.2,'INYC_S4_POLIZAS','Recuperaciones Comision','DC-O-SER-COM',TO_DATE('20200201','yyyymmdd'),TO_DATE('22000101','yyyymmdd'),'Version 20200227');</v>
      </c>
      <c r="B927" t="str">
        <f>IF(REGLAS!J928="OBSOLETO","","INSERT INTO INYCEXT.INYC_CONF_INF_REGLAS@tc_link (COD_INFORME,TABLA,NOMBRE,REGLA,F_INICIO,F_FIN,DESCRIPCION) VALUES ("&amp;REGLAS!B928&amp;",'"&amp;REGLAS!C928&amp;"','"&amp;REGLAS!D928&amp;"','"&amp;REGLAS!G928&amp;"',TO_DATE('"&amp;REGLAS!H928&amp;"','yyyymmdd'),TO_DATE('"&amp;REGLAS!I928&amp;"','yyyymmdd'),'"&amp;REGLAS!J928&amp;"');")</f>
        <v>INSERT INTO INYCEXT.INYC_CONF_INF_REGLAS@tc_link (COD_INFORME,TABLA,NOMBRE,REGLA,F_INICIO,F_FIN,DESCRIPCION) VALUES (100.2,'INYC_S4_POLIZAS','Recuperaciones Comision','DC-O-SER-COM',TO_DATE('20200201','yyyymmdd'),TO_DATE('22000101','yyyymmdd'),'Version 20200227');</v>
      </c>
    </row>
    <row r="928" spans="1:2" x14ac:dyDescent="0.25">
      <c r="A928" t="str">
        <f>IF(REGLAS!J929="OBSOLETO","","INSERT INTO INYCEXT.INYC_CONF_INF_REGLAS (COD_INFORME,TABLA,NOMBRE,REGLA,F_INICIO,F_FIN,DESCRIPCION) VALUES ("&amp;REGLAS!B929&amp;",'"&amp;REGLAS!C929&amp;"','"&amp;REGLAS!D929&amp;"','"&amp;REGLAS!G929&amp;"',TO_DATE('"&amp;REGLAS!H929&amp;"','yyyymmdd'),TO_DATE('"&amp;REGLAS!I929&amp;"','yyyymmdd'),'"&amp;REGLAS!J929&amp;"');")</f>
        <v>INSERT INTO INYCEXT.INYC_CONF_INF_REGLAS (COD_INFORME,TABLA,NOMBRE,REGLA,F_INICIO,F_FIN,DESCRIPCION) VALUES (100.2,'INYC_S4_POLIZAS','Recuperaciones Comision','DC-O-SER-COM-RRTT',TO_DATE('20210201','yyyymmdd'),TO_DATE('22000101','yyyymmdd'),'Version 20210226');</v>
      </c>
      <c r="B928" t="str">
        <f>IF(REGLAS!J929="OBSOLETO","","INSERT INTO INYCEXT.INYC_CONF_INF_REGLAS@tc_link (COD_INFORME,TABLA,NOMBRE,REGLA,F_INICIO,F_FIN,DESCRIPCION) VALUES ("&amp;REGLAS!B929&amp;",'"&amp;REGLAS!C929&amp;"','"&amp;REGLAS!D929&amp;"','"&amp;REGLAS!G929&amp;"',TO_DATE('"&amp;REGLAS!H929&amp;"','yyyymmdd'),TO_DATE('"&amp;REGLAS!I929&amp;"','yyyymmdd'),'"&amp;REGLAS!J929&amp;"');")</f>
        <v>INSERT INTO INYCEXT.INYC_CONF_INF_REGLAS@tc_link (COD_INFORME,TABLA,NOMBRE,REGLA,F_INICIO,F_FIN,DESCRIPCION) VALUES (100.2,'INYC_S4_POLIZAS','Recuperaciones Comision','DC-O-SER-COM-RRTT',TO_DATE('20210201','yyyymmdd'),TO_DATE('22000101','yyyymmdd'),'Version 20210226');</v>
      </c>
    </row>
    <row r="929" spans="1:2" x14ac:dyDescent="0.25">
      <c r="A929" t="str">
        <f>IF(REGLAS!J930="OBSOLETO","","INSERT INTO INYCEXT.INYC_CONF_INF_REGLAS (COD_INFORME,TABLA,NOMBRE,REGLA,F_INICIO,F_FIN,DESCRIPCION) VALUES ("&amp;REGLAS!B930&amp;",'"&amp;REGLAS!C930&amp;"','"&amp;REGLAS!D930&amp;"','"&amp;REGLAS!G930&amp;"',TO_DATE('"&amp;REGLAS!H930&amp;"','yyyymmdd'),TO_DATE('"&amp;REGLAS!I930&amp;"','yyyymmdd'),'"&amp;REGLAS!J930&amp;"');")</f>
        <v>INSERT INTO INYCEXT.INYC_CONF_INF_REGLAS (COD_INFORME,TABLA,NOMBRE,REGLA,F_INICIO,F_FIN,DESCRIPCION) VALUES (100.2,'INYC_S4_POLIZAS','Recuperaciones Gratificacion','DC-O-SER-SUBV',TO_DATE('20200201','yyyymmdd'),TO_DATE('22000101','yyyymmdd'),'Version 20200227');</v>
      </c>
      <c r="B929" t="str">
        <f>IF(REGLAS!J930="OBSOLETO","","INSERT INTO INYCEXT.INYC_CONF_INF_REGLAS@tc_link (COD_INFORME,TABLA,NOMBRE,REGLA,F_INICIO,F_FIN,DESCRIPCION) VALUES ("&amp;REGLAS!B930&amp;",'"&amp;REGLAS!C930&amp;"','"&amp;REGLAS!D930&amp;"','"&amp;REGLAS!G930&amp;"',TO_DATE('"&amp;REGLAS!H930&amp;"','yyyymmdd'),TO_DATE('"&amp;REGLAS!I930&amp;"','yyyymmdd'),'"&amp;REGLAS!J930&amp;"');")</f>
        <v>INSERT INTO INYCEXT.INYC_CONF_INF_REGLAS@tc_link (COD_INFORME,TABLA,NOMBRE,REGLA,F_INICIO,F_FIN,DESCRIPCION) VALUES (100.2,'INYC_S4_POLIZAS','Recuperaciones Gratificacion','DC-O-SER-SUBV',TO_DATE('20200201','yyyymmdd'),TO_DATE('22000101','yyyymmdd'),'Version 20200227');</v>
      </c>
    </row>
    <row r="930" spans="1:2" x14ac:dyDescent="0.25">
      <c r="A930" t="str">
        <f>IF(REGLAS!J931="OBSOLETO","","INSERT INTO INYCEXT.INYC_CONF_INF_REGLAS (COD_INFORME,TABLA,NOMBRE,REGLA,F_INICIO,F_FIN,DESCRIPCION) VALUES ("&amp;REGLAS!B931&amp;",'"&amp;REGLAS!C931&amp;"','"&amp;REGLAS!D931&amp;"','"&amp;REGLAS!G931&amp;"',TO_DATE('"&amp;REGLAS!H931&amp;"','yyyymmdd'),TO_DATE('"&amp;REGLAS!I931&amp;"','yyyymmdd'),'"&amp;REGLAS!J931&amp;"');")</f>
        <v>INSERT INTO INYCEXT.INYC_CONF_INF_REGLAS (COD_INFORME,TABLA,NOMBRE,REGLA,F_INICIO,F_FIN,DESCRIPCION) VALUES (100.2,'INYC_S4_POLIZAS','Pagos Comerciales','D-O-Pagos-Fijos',TO_DATE('20140101','yyyymmdd'),TO_DATE('22000101','yyyymmdd'),'');</v>
      </c>
      <c r="B930" t="str">
        <f>IF(REGLAS!J931="OBSOLETO","","INSERT INTO INYCEXT.INYC_CONF_INF_REGLAS@tc_link (COD_INFORME,TABLA,NOMBRE,REGLA,F_INICIO,F_FIN,DESCRIPCION) VALUES ("&amp;REGLAS!B931&amp;",'"&amp;REGLAS!C931&amp;"','"&amp;REGLAS!D931&amp;"','"&amp;REGLAS!G931&amp;"',TO_DATE('"&amp;REGLAS!H931&amp;"','yyyymmdd'),TO_DATE('"&amp;REGLAS!I931&amp;"','yyyymmdd'),'"&amp;REGLAS!J931&amp;"');")</f>
        <v>INSERT INTO INYCEXT.INYC_CONF_INF_REGLAS@tc_link (COD_INFORME,TABLA,NOMBRE,REGLA,F_INICIO,F_FIN,DESCRIPCION) VALUES (100.2,'INYC_S4_POLIZAS','Pagos Comerciales','D-O-Pagos-Fijos',TO_DATE('20140101','yyyymmdd'),TO_DATE('22000101','yyyymmdd'),'');</v>
      </c>
    </row>
    <row r="931" spans="1:2" x14ac:dyDescent="0.25">
      <c r="A931" t="str">
        <f>IF(REGLAS!J932="OBSOLETO","","INSERT INTO INYCEXT.INYC_CONF_INF_REGLAS (COD_INFORME,TABLA,NOMBRE,REGLA,F_INICIO,F_FIN,DESCRIPCION) VALUES ("&amp;REGLAS!B932&amp;",'"&amp;REGLAS!C932&amp;"','"&amp;REGLAS!D932&amp;"','"&amp;REGLAS!G932&amp;"',TO_DATE('"&amp;REGLAS!H932&amp;"','yyyymmdd'),TO_DATE('"&amp;REGLAS!I932&amp;"','yyyymmdd'),'"&amp;REGLAS!J932&amp;"');")</f>
        <v>INSERT INTO INYCEXT.INYC_CONF_INF_REGLAS (COD_INFORME,TABLA,NOMBRE,REGLA,F_INICIO,F_FIN,DESCRIPCION) VALUES (100.2,'INYC_S4_POLIZAS','Comisiones Premio Comunidades','DC-O-COM-INC-Agente-Campania',TO_DATE('20200701','yyyymmdd'),TO_DATE('22000101','yyyymmdd'),'Version 20200727');</v>
      </c>
      <c r="B931" t="str">
        <f>IF(REGLAS!J932="OBSOLETO","","INSERT INTO INYCEXT.INYC_CONF_INF_REGLAS@tc_link (COD_INFORME,TABLA,NOMBRE,REGLA,F_INICIO,F_FIN,DESCRIPCION) VALUES ("&amp;REGLAS!B932&amp;",'"&amp;REGLAS!C932&amp;"','"&amp;REGLAS!D932&amp;"','"&amp;REGLAS!G932&amp;"',TO_DATE('"&amp;REGLAS!H932&amp;"','yyyymmdd'),TO_DATE('"&amp;REGLAS!I932&amp;"','yyyymmdd'),'"&amp;REGLAS!J932&amp;"');")</f>
        <v>INSERT INTO INYCEXT.INYC_CONF_INF_REGLAS@tc_link (COD_INFORME,TABLA,NOMBRE,REGLA,F_INICIO,F_FIN,DESCRIPCION) VALUES (100.2,'INYC_S4_POLIZAS','Comisiones Premio Comunidades','DC-O-COM-INC-Agente-Campania',TO_DATE('20200701','yyyymmdd'),TO_DATE('22000101','yyyymmdd'),'Version 20200727');</v>
      </c>
    </row>
    <row r="932" spans="1:2" x14ac:dyDescent="0.25">
      <c r="A932" t="str">
        <f>IF(REGLAS!J933="OBSOLETO","","INSERT INTO INYCEXT.INYC_CONF_INF_REGLAS (COD_INFORME,TABLA,NOMBRE,REGLA,F_INICIO,F_FIN,DESCRIPCION) VALUES ("&amp;REGLAS!B933&amp;",'"&amp;REGLAS!C933&amp;"','"&amp;REGLAS!D933&amp;"','"&amp;REGLAS!G933&amp;"',TO_DATE('"&amp;REGLAS!H933&amp;"','yyyymmdd'),TO_DATE('"&amp;REGLAS!I933&amp;"','yyyymmdd'),'"&amp;REGLAS!J933&amp;"');")</f>
        <v>INSERT INTO INYCEXT.INYC_CONF_INF_REGLAS (COD_INFORME,TABLA,NOMBRE,REGLA,F_INICIO,F_FIN,DESCRIPCION) VALUES (101.2,'INYC_S5_POLIZAS','Diferenciales','DC-O-GEN-Inspector-NumeroPolizas-998',TO_DATE('20140101','yyyymmdd'),TO_DATE('22000101','yyyymmdd'),'');</v>
      </c>
      <c r="B932" t="str">
        <f>IF(REGLAS!J933="OBSOLETO","","INSERT INTO INYCEXT.INYC_CONF_INF_REGLAS@tc_link (COD_INFORME,TABLA,NOMBRE,REGLA,F_INICIO,F_FIN,DESCRIPCION) VALUES ("&amp;REGLAS!B933&amp;",'"&amp;REGLAS!C933&amp;"','"&amp;REGLAS!D933&amp;"','"&amp;REGLAS!G933&amp;"',TO_DATE('"&amp;REGLAS!H933&amp;"','yyyymmdd'),TO_DATE('"&amp;REGLAS!I933&amp;"','yyyymmdd'),'"&amp;REGLAS!J933&amp;"');")</f>
        <v>INSERT INTO INYCEXT.INYC_CONF_INF_REGLAS@tc_link (COD_INFORME,TABLA,NOMBRE,REGLA,F_INICIO,F_FIN,DESCRIPCION) VALUES (101.2,'INYC_S5_POLIZAS','Diferenciales','DC-O-GEN-Inspector-NumeroPolizas-998',TO_DATE('20140101','yyyymmdd'),TO_DATE('22000101','yyyymmdd'),'');</v>
      </c>
    </row>
    <row r="933" spans="1:2" x14ac:dyDescent="0.25">
      <c r="A933" t="str">
        <f>IF(REGLAS!J934="OBSOLETO","","INSERT INTO INYCEXT.INYC_CONF_INF_REGLAS (COD_INFORME,TABLA,NOMBRE,REGLA,F_INICIO,F_FIN,DESCRIPCION) VALUES ("&amp;REGLAS!B934&amp;",'"&amp;REGLAS!C934&amp;"','"&amp;REGLAS!D934&amp;"','"&amp;REGLAS!G934&amp;"',TO_DATE('"&amp;REGLAS!H934&amp;"','yyyymmdd'),TO_DATE('"&amp;REGLAS!I934&amp;"','yyyymmdd'),'"&amp;REGLAS!J934&amp;"');")</f>
        <v>INSERT INTO INYCEXT.INYC_CONF_INF_REGLAS (COD_INFORME,TABLA,NOMBRE,REGLA,F_INICIO,F_FIN,DESCRIPCION) VALUES (101.2,'INYC_S5_POLIZAS','Diferenciales','IC-O-GEN-Inspector-NumeroPolizas-998',TO_DATE('20140101','yyyymmdd'),TO_DATE('22000101','yyyymmdd'),'');</v>
      </c>
      <c r="B933" t="str">
        <f>IF(REGLAS!J934="OBSOLETO","","INSERT INTO INYCEXT.INYC_CONF_INF_REGLAS@tc_link (COD_INFORME,TABLA,NOMBRE,REGLA,F_INICIO,F_FIN,DESCRIPCION) VALUES ("&amp;REGLAS!B934&amp;",'"&amp;REGLAS!C934&amp;"','"&amp;REGLAS!D934&amp;"','"&amp;REGLAS!G934&amp;"',TO_DATE('"&amp;REGLAS!H934&amp;"','yyyymmdd'),TO_DATE('"&amp;REGLAS!I934&amp;"','yyyymmdd'),'"&amp;REGLAS!J934&amp;"');")</f>
        <v>INSERT INTO INYCEXT.INYC_CONF_INF_REGLAS@tc_link (COD_INFORME,TABLA,NOMBRE,REGLA,F_INICIO,F_FIN,DESCRIPCION) VALUES (101.2,'INYC_S5_POLIZAS','Diferenciales','IC-O-GEN-Inspector-NumeroPolizas-998',TO_DATE('20140101','yyyymmdd'),TO_DATE('22000101','yyyymmdd'),'');</v>
      </c>
    </row>
    <row r="934" spans="1:2" x14ac:dyDescent="0.25">
      <c r="A934" t="str">
        <f>IF(REGLAS!J935="OBSOLETO","","INSERT INTO INYCEXT.INYC_CONF_INF_REGLAS (COD_INFORME,TABLA,NOMBRE,REGLA,F_INICIO,F_FIN,DESCRIPCION) VALUES ("&amp;REGLAS!B935&amp;",'"&amp;REGLAS!C935&amp;"','"&amp;REGLAS!D935&amp;"','"&amp;REGLAS!G935&amp;"',TO_DATE('"&amp;REGLAS!H935&amp;"','yyyymmdd'),TO_DATE('"&amp;REGLAS!I935&amp;"','yyyymmdd'),'"&amp;REGLAS!J935&amp;"');")</f>
        <v>INSERT INTO INYCEXT.INYC_CONF_INF_REGLAS (COD_INFORME,TABLA,NOMBRE,REGLA,F_INICIO,F_FIN,DESCRIPCION) VALUES (101.2,'INYC_S5_POLIZAS','Diferenciales','DC-O-GEN-Inspector-NumeroPolizas-998-Renov',TO_DATE('20140101','yyyymmdd'),TO_DATE('22000101','yyyymmdd'),'Version 20180125');</v>
      </c>
      <c r="B934" t="str">
        <f>IF(REGLAS!J935="OBSOLETO","","INSERT INTO INYCEXT.INYC_CONF_INF_REGLAS@tc_link (COD_INFORME,TABLA,NOMBRE,REGLA,F_INICIO,F_FIN,DESCRIPCION) VALUES ("&amp;REGLAS!B935&amp;",'"&amp;REGLAS!C935&amp;"','"&amp;REGLAS!D935&amp;"','"&amp;REGLAS!G935&amp;"',TO_DATE('"&amp;REGLAS!H935&amp;"','yyyymmdd'),TO_DATE('"&amp;REGLAS!I935&amp;"','yyyymmdd'),'"&amp;REGLAS!J935&amp;"');")</f>
        <v>INSERT INTO INYCEXT.INYC_CONF_INF_REGLAS@tc_link (COD_INFORME,TABLA,NOMBRE,REGLA,F_INICIO,F_FIN,DESCRIPCION) VALUES (101.2,'INYC_S5_POLIZAS','Diferenciales','DC-O-GEN-Inspector-NumeroPolizas-998-Renov',TO_DATE('20140101','yyyymmdd'),TO_DATE('22000101','yyyymmdd'),'Version 20180125');</v>
      </c>
    </row>
    <row r="935" spans="1:2" x14ac:dyDescent="0.25">
      <c r="A935" t="str">
        <f>IF(REGLAS!J936="OBSOLETO","","INSERT INTO INYCEXT.INYC_CONF_INF_REGLAS (COD_INFORME,TABLA,NOMBRE,REGLA,F_INICIO,F_FIN,DESCRIPCION) VALUES ("&amp;REGLAS!B936&amp;",'"&amp;REGLAS!C936&amp;"','"&amp;REGLAS!D936&amp;"','"&amp;REGLAS!G936&amp;"',TO_DATE('"&amp;REGLAS!H936&amp;"','yyyymmdd'),TO_DATE('"&amp;REGLAS!I936&amp;"','yyyymmdd'),'"&amp;REGLAS!J936&amp;"');")</f>
        <v>INSERT INTO INYCEXT.INYC_CONF_INF_REGLAS (COD_INFORME,TABLA,NOMBRE,REGLA,F_INICIO,F_FIN,DESCRIPCION) VALUES (101.2,'INYC_S5_POLIZAS','Diferenciales','IC-O-GEN-Inspector-NumeroPolizas-998-Renov',TO_DATE('20140101','yyyymmdd'),TO_DATE('22000101','yyyymmdd'),'Version 20180125');</v>
      </c>
      <c r="B935" t="str">
        <f>IF(REGLAS!J936="OBSOLETO","","INSERT INTO INYCEXT.INYC_CONF_INF_REGLAS@tc_link (COD_INFORME,TABLA,NOMBRE,REGLA,F_INICIO,F_FIN,DESCRIPCION) VALUES ("&amp;REGLAS!B936&amp;",'"&amp;REGLAS!C936&amp;"','"&amp;REGLAS!D936&amp;"','"&amp;REGLAS!G936&amp;"',TO_DATE('"&amp;REGLAS!H936&amp;"','yyyymmdd'),TO_DATE('"&amp;REGLAS!I936&amp;"','yyyymmdd'),'"&amp;REGLAS!J936&amp;"');")</f>
        <v>INSERT INTO INYCEXT.INYC_CONF_INF_REGLAS@tc_link (COD_INFORME,TABLA,NOMBRE,REGLA,F_INICIO,F_FIN,DESCRIPCION) VALUES (101.2,'INYC_S5_POLIZAS','Diferenciales','IC-O-GEN-Inspector-NumeroPolizas-998-Renov',TO_DATE('20140101','yyyymmdd'),TO_DATE('22000101','yyyymmdd'),'Version 20180125');</v>
      </c>
    </row>
    <row r="936" spans="1:2" x14ac:dyDescent="0.25">
      <c r="A936" t="str">
        <f>IF(REGLAS!J937="OBSOLETO","","INSERT INTO INYCEXT.INYC_CONF_INF_REGLAS (COD_INFORME,TABLA,NOMBRE,REGLA,F_INICIO,F_FIN,DESCRIPCION) VALUES ("&amp;REGLAS!B937&amp;",'"&amp;REGLAS!C937&amp;"','"&amp;REGLAS!D937&amp;"','"&amp;REGLAS!G937&amp;"',TO_DATE('"&amp;REGLAS!H937&amp;"','yyyymmdd'),TO_DATE('"&amp;REGLAS!I937&amp;"','yyyymmdd'),'"&amp;REGLAS!J937&amp;"');")</f>
        <v>INSERT INTO INYCEXT.INYC_CONF_INF_REGLAS (COD_INFORME,TABLA,NOMBRE,REGLA,F_INICIO,F_FIN,DESCRIPCION) VALUES (101.2,'INYC_S5_POLIZAS','Diferenciales','DC-O-GEN-Inspector-PrimaCorregida-998',TO_DATE('20140101','yyyymmdd'),TO_DATE('22000101','yyyymmdd'),'');</v>
      </c>
      <c r="B936" t="str">
        <f>IF(REGLAS!J937="OBSOLETO","","INSERT INTO INYCEXT.INYC_CONF_INF_REGLAS@tc_link (COD_INFORME,TABLA,NOMBRE,REGLA,F_INICIO,F_FIN,DESCRIPCION) VALUES ("&amp;REGLAS!B937&amp;",'"&amp;REGLAS!C937&amp;"','"&amp;REGLAS!D937&amp;"','"&amp;REGLAS!G937&amp;"',TO_DATE('"&amp;REGLAS!H937&amp;"','yyyymmdd'),TO_DATE('"&amp;REGLAS!I937&amp;"','yyyymmdd'),'"&amp;REGLAS!J937&amp;"');")</f>
        <v>INSERT INTO INYCEXT.INYC_CONF_INF_REGLAS@tc_link (COD_INFORME,TABLA,NOMBRE,REGLA,F_INICIO,F_FIN,DESCRIPCION) VALUES (101.2,'INYC_S5_POLIZAS','Diferenciales','DC-O-GEN-Inspector-PrimaCorregida-998',TO_DATE('20140101','yyyymmdd'),TO_DATE('22000101','yyyymmdd'),'');</v>
      </c>
    </row>
    <row r="937" spans="1:2" x14ac:dyDescent="0.25">
      <c r="A937" t="str">
        <f>IF(REGLAS!J938="OBSOLETO","","INSERT INTO INYCEXT.INYC_CONF_INF_REGLAS (COD_INFORME,TABLA,NOMBRE,REGLA,F_INICIO,F_FIN,DESCRIPCION) VALUES ("&amp;REGLAS!B938&amp;",'"&amp;REGLAS!C938&amp;"','"&amp;REGLAS!D938&amp;"','"&amp;REGLAS!G938&amp;"',TO_DATE('"&amp;REGLAS!H938&amp;"','yyyymmdd'),TO_DATE('"&amp;REGLAS!I938&amp;"','yyyymmdd'),'"&amp;REGLAS!J938&amp;"');")</f>
        <v>INSERT INTO INYCEXT.INYC_CONF_INF_REGLAS (COD_INFORME,TABLA,NOMBRE,REGLA,F_INICIO,F_FIN,DESCRIPCION) VALUES (101.2,'INYC_S5_POLIZAS','Diferenciales','IC-O-GEN-Inspector-PrimaCorregida-998',TO_DATE('20140101','yyyymmdd'),TO_DATE('22000101','yyyymmdd'),'');</v>
      </c>
      <c r="B937" t="str">
        <f>IF(REGLAS!J938="OBSOLETO","","INSERT INTO INYCEXT.INYC_CONF_INF_REGLAS@tc_link (COD_INFORME,TABLA,NOMBRE,REGLA,F_INICIO,F_FIN,DESCRIPCION) VALUES ("&amp;REGLAS!B938&amp;",'"&amp;REGLAS!C938&amp;"','"&amp;REGLAS!D938&amp;"','"&amp;REGLAS!G938&amp;"',TO_DATE('"&amp;REGLAS!H938&amp;"','yyyymmdd'),TO_DATE('"&amp;REGLAS!I938&amp;"','yyyymmdd'),'"&amp;REGLAS!J938&amp;"');")</f>
        <v>INSERT INTO INYCEXT.INYC_CONF_INF_REGLAS@tc_link (COD_INFORME,TABLA,NOMBRE,REGLA,F_INICIO,F_FIN,DESCRIPCION) VALUES (101.2,'INYC_S5_POLIZAS','Diferenciales','IC-O-GEN-Inspector-PrimaCorregida-998',TO_DATE('20140101','yyyymmdd'),TO_DATE('22000101','yyyymmdd'),'');</v>
      </c>
    </row>
    <row r="938" spans="1:2" x14ac:dyDescent="0.25">
      <c r="A938" t="str">
        <f>IF(REGLAS!J939="OBSOLETO","","INSERT INTO INYCEXT.INYC_CONF_INF_REGLAS (COD_INFORME,TABLA,NOMBRE,REGLA,F_INICIO,F_FIN,DESCRIPCION) VALUES ("&amp;REGLAS!B939&amp;",'"&amp;REGLAS!C939&amp;"','"&amp;REGLAS!D939&amp;"','"&amp;REGLAS!G939&amp;"',TO_DATE('"&amp;REGLAS!H939&amp;"','yyyymmdd'),TO_DATE('"&amp;REGLAS!I939&amp;"','yyyymmdd'),'"&amp;REGLAS!J939&amp;"');")</f>
        <v>INSERT INTO INYCEXT.INYC_CONF_INF_REGLAS (COD_INFORME,TABLA,NOMBRE,REGLA,F_INICIO,F_FIN,DESCRIPCION) VALUES (101.2,'INYC_S5_POLIZAS','Diferenciales','DC-O-GEN-Inspector-PrimaCorregida-004',TO_DATE('20140101','yyyymmdd'),TO_DATE('22000101','yyyymmdd'),'');</v>
      </c>
      <c r="B938" t="str">
        <f>IF(REGLAS!J939="OBSOLETO","","INSERT INTO INYCEXT.INYC_CONF_INF_REGLAS@tc_link (COD_INFORME,TABLA,NOMBRE,REGLA,F_INICIO,F_FIN,DESCRIPCION) VALUES ("&amp;REGLAS!B939&amp;",'"&amp;REGLAS!C939&amp;"','"&amp;REGLAS!D939&amp;"','"&amp;REGLAS!G939&amp;"',TO_DATE('"&amp;REGLAS!H939&amp;"','yyyymmdd'),TO_DATE('"&amp;REGLAS!I939&amp;"','yyyymmdd'),'"&amp;REGLAS!J939&amp;"');")</f>
        <v>INSERT INTO INYCEXT.INYC_CONF_INF_REGLAS@tc_link (COD_INFORME,TABLA,NOMBRE,REGLA,F_INICIO,F_FIN,DESCRIPCION) VALUES (101.2,'INYC_S5_POLIZAS','Diferenciales','DC-O-GEN-Inspector-PrimaCorregida-004',TO_DATE('20140101','yyyymmdd'),TO_DATE('22000101','yyyymmdd'),'');</v>
      </c>
    </row>
    <row r="939" spans="1:2" x14ac:dyDescent="0.25">
      <c r="A939" t="str">
        <f>IF(REGLAS!J940="OBSOLETO","","INSERT INTO INYCEXT.INYC_CONF_INF_REGLAS (COD_INFORME,TABLA,NOMBRE,REGLA,F_INICIO,F_FIN,DESCRIPCION) VALUES ("&amp;REGLAS!B940&amp;",'"&amp;REGLAS!C940&amp;"','"&amp;REGLAS!D940&amp;"','"&amp;REGLAS!G940&amp;"',TO_DATE('"&amp;REGLAS!H940&amp;"','yyyymmdd'),TO_DATE('"&amp;REGLAS!I940&amp;"','yyyymmdd'),'"&amp;REGLAS!J940&amp;"');")</f>
        <v>INSERT INTO INYCEXT.INYC_CONF_INF_REGLAS (COD_INFORME,TABLA,NOMBRE,REGLA,F_INICIO,F_FIN,DESCRIPCION) VALUES (101.2,'INYC_S5_POLIZAS','Diferenciales','IC-O-GEN-Inspector-PrimaCorregida-004',TO_DATE('20140101','yyyymmdd'),TO_DATE('22000101','yyyymmdd'),'');</v>
      </c>
      <c r="B939" t="str">
        <f>IF(REGLAS!J940="OBSOLETO","","INSERT INTO INYCEXT.INYC_CONF_INF_REGLAS@tc_link (COD_INFORME,TABLA,NOMBRE,REGLA,F_INICIO,F_FIN,DESCRIPCION) VALUES ("&amp;REGLAS!B940&amp;",'"&amp;REGLAS!C940&amp;"','"&amp;REGLAS!D940&amp;"','"&amp;REGLAS!G940&amp;"',TO_DATE('"&amp;REGLAS!H940&amp;"','yyyymmdd'),TO_DATE('"&amp;REGLAS!I940&amp;"','yyyymmdd'),'"&amp;REGLAS!J940&amp;"');")</f>
        <v>INSERT INTO INYCEXT.INYC_CONF_INF_REGLAS@tc_link (COD_INFORME,TABLA,NOMBRE,REGLA,F_INICIO,F_FIN,DESCRIPCION) VALUES (101.2,'INYC_S5_POLIZAS','Diferenciales','IC-O-GEN-Inspector-PrimaCorregida-004',TO_DATE('20140101','yyyymmdd'),TO_DATE('22000101','yyyymmdd'),'');</v>
      </c>
    </row>
    <row r="940" spans="1:2" x14ac:dyDescent="0.25">
      <c r="A940" t="str">
        <f>IF(REGLAS!J941="OBSOLETO","","INSERT INTO INYCEXT.INYC_CONF_INF_REGLAS (COD_INFORME,TABLA,NOMBRE,REGLA,F_INICIO,F_FIN,DESCRIPCION) VALUES ("&amp;REGLAS!B941&amp;",'"&amp;REGLAS!C941&amp;"','"&amp;REGLAS!D941&amp;"','"&amp;REGLAS!G941&amp;"',TO_DATE('"&amp;REGLAS!H941&amp;"','yyyymmdd'),TO_DATE('"&amp;REGLAS!I941&amp;"','yyyymmdd'),'"&amp;REGLAS!J941&amp;"');")</f>
        <v>INSERT INTO INYCEXT.INYC_CONF_INF_REGLAS (COD_INFORME,TABLA,NOMBRE,REGLA,F_INICIO,F_FIN,DESCRIPCION) VALUES (101.2,'INYC_S5_POLIZAS','DC - Nº Asegurados Agente','DC-O-GEN-Agente-NumAsegurados',TO_DATE('20180101','yyyymmdd'),TO_DATE('22000101','yyyymmdd'),'Version 20180117');</v>
      </c>
      <c r="B940" t="str">
        <f>IF(REGLAS!J941="OBSOLETO","","INSERT INTO INYCEXT.INYC_CONF_INF_REGLAS@tc_link (COD_INFORME,TABLA,NOMBRE,REGLA,F_INICIO,F_FIN,DESCRIPCION) VALUES ("&amp;REGLAS!B941&amp;",'"&amp;REGLAS!C941&amp;"','"&amp;REGLAS!D941&amp;"','"&amp;REGLAS!G941&amp;"',TO_DATE('"&amp;REGLAS!H941&amp;"','yyyymmdd'),TO_DATE('"&amp;REGLAS!I941&amp;"','yyyymmdd'),'"&amp;REGLAS!J941&amp;"');")</f>
        <v>INSERT INTO INYCEXT.INYC_CONF_INF_REGLAS@tc_link (COD_INFORME,TABLA,NOMBRE,REGLA,F_INICIO,F_FIN,DESCRIPCION) VALUES (101.2,'INYC_S5_POLIZAS','DC - Nº Asegurados Agente','DC-O-GEN-Agente-NumAsegurados',TO_DATE('20180101','yyyymmdd'),TO_DATE('22000101','yyyymmdd'),'Version 20180117');</v>
      </c>
    </row>
    <row r="941" spans="1:2" x14ac:dyDescent="0.25">
      <c r="A941" t="str">
        <f>IF(REGLAS!J942="OBSOLETO","","INSERT INTO INYCEXT.INYC_CONF_INF_REGLAS (COD_INFORME,TABLA,NOMBRE,REGLA,F_INICIO,F_FIN,DESCRIPCION) VALUES ("&amp;REGLAS!B942&amp;",'"&amp;REGLAS!C942&amp;"','"&amp;REGLAS!D942&amp;"','"&amp;REGLAS!G942&amp;"',TO_DATE('"&amp;REGLAS!H942&amp;"','yyyymmdd'),TO_DATE('"&amp;REGLAS!I942&amp;"','yyyymmdd'),'"&amp;REGLAS!J942&amp;"');")</f>
        <v>INSERT INTO INYCEXT.INYC_CONF_INF_REGLAS (COD_INFORME,TABLA,NOMBRE,REGLA,F_INICIO,F_FIN,DESCRIPCION) VALUES (101.2,'INYC_S5_POLIZAS','IC - Nº Asegurados Inspector','IC-O-GEN-Inspector-NumAsegurados',TO_DATE('20180101','yyyymmdd'),TO_DATE('22000101','yyyymmdd'),'Version 20180117');</v>
      </c>
      <c r="B941" t="str">
        <f>IF(REGLAS!J942="OBSOLETO","","INSERT INTO INYCEXT.INYC_CONF_INF_REGLAS@tc_link (COD_INFORME,TABLA,NOMBRE,REGLA,F_INICIO,F_FIN,DESCRIPCION) VALUES ("&amp;REGLAS!B942&amp;",'"&amp;REGLAS!C942&amp;"','"&amp;REGLAS!D942&amp;"','"&amp;REGLAS!G942&amp;"',TO_DATE('"&amp;REGLAS!H942&amp;"','yyyymmdd'),TO_DATE('"&amp;REGLAS!I942&amp;"','yyyymmdd'),'"&amp;REGLAS!J942&amp;"');")</f>
        <v>INSERT INTO INYCEXT.INYC_CONF_INF_REGLAS@tc_link (COD_INFORME,TABLA,NOMBRE,REGLA,F_INICIO,F_FIN,DESCRIPCION) VALUES (101.2,'INYC_S5_POLIZAS','IC - Nº Asegurados Inspector','IC-O-GEN-Inspector-NumAsegurados',TO_DATE('20180101','yyyymmdd'),TO_DATE('22000101','yyyymmdd'),'Version 20180117');</v>
      </c>
    </row>
    <row r="942" spans="1:2" x14ac:dyDescent="0.25">
      <c r="A942" t="str">
        <f>IF(REGLAS!J943="OBSOLETO","","INSERT INTO INYCEXT.INYC_CONF_INF_REGLAS (COD_INFORME,TABLA,NOMBRE,REGLA,F_INICIO,F_FIN,DESCRIPCION) VALUES ("&amp;REGLAS!B943&amp;",'"&amp;REGLAS!C943&amp;"','"&amp;REGLAS!D943&amp;"','"&amp;REGLAS!G943&amp;"',TO_DATE('"&amp;REGLAS!H943&amp;"','yyyymmdd'),TO_DATE('"&amp;REGLAS!I943&amp;"','yyyymmdd'),'"&amp;REGLAS!J943&amp;"');")</f>
        <v>INSERT INTO INYCEXT.INYC_CONF_INF_REGLAS (COD_INFORME,TABLA,NOMBRE,REGLA,F_INICIO,F_FIN,DESCRIPCION) VALUES (101.2,'INYC_S5_POLIZAS','DD - COLC','DD-O-COLC-Inspector-Pago-00',TO_DATE('20140101','yyyymmdd'),TO_DATE('22000101','yyyymmdd'),'');</v>
      </c>
      <c r="B942" t="str">
        <f>IF(REGLAS!J943="OBSOLETO","","INSERT INTO INYCEXT.INYC_CONF_INF_REGLAS@tc_link (COD_INFORME,TABLA,NOMBRE,REGLA,F_INICIO,F_FIN,DESCRIPCION) VALUES ("&amp;REGLAS!B943&amp;",'"&amp;REGLAS!C943&amp;"','"&amp;REGLAS!D943&amp;"','"&amp;REGLAS!G943&amp;"',TO_DATE('"&amp;REGLAS!H943&amp;"','yyyymmdd'),TO_DATE('"&amp;REGLAS!I943&amp;"','yyyymmdd'),'"&amp;REGLAS!J943&amp;"');")</f>
        <v>INSERT INTO INYCEXT.INYC_CONF_INF_REGLAS@tc_link (COD_INFORME,TABLA,NOMBRE,REGLA,F_INICIO,F_FIN,DESCRIPCION) VALUES (101.2,'INYC_S5_POLIZAS','DD - COLC','DD-O-COLC-Inspector-Pago-00',TO_DATE('20140101','yyyymmdd'),TO_DATE('22000101','yyyymmdd'),'');</v>
      </c>
    </row>
    <row r="943" spans="1:2" x14ac:dyDescent="0.25">
      <c r="A943" t="str">
        <f>IF(REGLAS!J944="OBSOLETO","","INSERT INTO INYCEXT.INYC_CONF_INF_REGLAS (COD_INFORME,TABLA,NOMBRE,REGLA,F_INICIO,F_FIN,DESCRIPCION) VALUES ("&amp;REGLAS!B944&amp;",'"&amp;REGLAS!C944&amp;"','"&amp;REGLAS!D944&amp;"','"&amp;REGLAS!G944&amp;"',TO_DATE('"&amp;REGLAS!H944&amp;"','yyyymmdd'),TO_DATE('"&amp;REGLAS!I944&amp;"','yyyymmdd'),'"&amp;REGLAS!J944&amp;"');")</f>
        <v>INSERT INTO INYCEXT.INYC_CONF_INF_REGLAS (COD_INFORME,TABLA,NOMBRE,REGLA,F_INICIO,F_FIN,DESCRIPCION) VALUES (101.2,'INYC_S5_POLIZAS','Pagos Comerciales','D-O-Pagos-Fijos',TO_DATE('20140101','yyyymmdd'),TO_DATE('22000101','yyyymmdd'),'');</v>
      </c>
      <c r="B943" t="str">
        <f>IF(REGLAS!J944="OBSOLETO","","INSERT INTO INYCEXT.INYC_CONF_INF_REGLAS@tc_link (COD_INFORME,TABLA,NOMBRE,REGLA,F_INICIO,F_FIN,DESCRIPCION) VALUES ("&amp;REGLAS!B944&amp;",'"&amp;REGLAS!C944&amp;"','"&amp;REGLAS!D944&amp;"','"&amp;REGLAS!G944&amp;"',TO_DATE('"&amp;REGLAS!H944&amp;"','yyyymmdd'),TO_DATE('"&amp;REGLAS!I944&amp;"','yyyymmdd'),'"&amp;REGLAS!J944&amp;"');")</f>
        <v>INSERT INTO INYCEXT.INYC_CONF_INF_REGLAS@tc_link (COD_INFORME,TABLA,NOMBRE,REGLA,F_INICIO,F_FIN,DESCRIPCION) VALUES (101.2,'INYC_S5_POLIZAS','Pagos Comerciales','D-O-Pagos-Fijos',TO_DATE('20140101','yyyymmdd'),TO_DATE('22000101','yyyymmdd'),'');</v>
      </c>
    </row>
    <row r="944" spans="1:2" x14ac:dyDescent="0.25">
      <c r="A944" t="str">
        <f>IF(REGLAS!J945="OBSOLETO","","INSERT INTO INYCEXT.INYC_CONF_INF_REGLAS (COD_INFORME,TABLA,NOMBRE,REGLA,F_INICIO,F_FIN,DESCRIPCION) VALUES ("&amp;REGLAS!B945&amp;",'"&amp;REGLAS!C945&amp;"','"&amp;REGLAS!D945&amp;"','"&amp;REGLAS!G945&amp;"',TO_DATE('"&amp;REGLAS!H945&amp;"','yyyymmdd'),TO_DATE('"&amp;REGLAS!I945&amp;"','yyyymmdd'),'"&amp;REGLAS!J945&amp;"');")</f>
        <v>INSERT INTO INYCEXT.INYC_CONF_INF_REGLAS (COD_INFORME,TABLA,NOMBRE,REGLA,F_INICIO,F_FIN,DESCRIPCION) VALUES (102.2,'INYC_S4_E_POLIZAS','Comision Nueva Produccion','DC-E-COM-NuevaProduccion-Emision',TO_DATE('20140101','yyyymmdd'),TO_DATE('22000101','yyyymmdd'),'');</v>
      </c>
      <c r="B944" t="str">
        <f>IF(REGLAS!J945="OBSOLETO","","INSERT INTO INYCEXT.INYC_CONF_INF_REGLAS@tc_link (COD_INFORME,TABLA,NOMBRE,REGLA,F_INICIO,F_FIN,DESCRIPCION) VALUES ("&amp;REGLAS!B945&amp;",'"&amp;REGLAS!C945&amp;"','"&amp;REGLAS!D945&amp;"','"&amp;REGLAS!G945&amp;"',TO_DATE('"&amp;REGLAS!H945&amp;"','yyyymmdd'),TO_DATE('"&amp;REGLAS!I945&amp;"','yyyymmdd'),'"&amp;REGLAS!J945&amp;"');")</f>
        <v>INSERT INTO INYCEXT.INYC_CONF_INF_REGLAS@tc_link (COD_INFORME,TABLA,NOMBRE,REGLA,F_INICIO,F_FIN,DESCRIPCION) VALUES (102.2,'INYC_S4_E_POLIZAS','Comision Nueva Produccion','DC-E-COM-NuevaProduccion-Emision',TO_DATE('20140101','yyyymmdd'),TO_DATE('22000101','yyyymmdd'),'');</v>
      </c>
    </row>
    <row r="945" spans="1:2" x14ac:dyDescent="0.25">
      <c r="A945" t="str">
        <f>IF(REGLAS!J946="OBSOLETO","","INSERT INTO INYCEXT.INYC_CONF_INF_REGLAS (COD_INFORME,TABLA,NOMBRE,REGLA,F_INICIO,F_FIN,DESCRIPCION) VALUES ("&amp;REGLAS!B946&amp;",'"&amp;REGLAS!C946&amp;"','"&amp;REGLAS!D946&amp;"','"&amp;REGLAS!G946&amp;"',TO_DATE('"&amp;REGLAS!H946&amp;"','yyyymmdd'),TO_DATE('"&amp;REGLAS!I946&amp;"','yyyymmdd'),'"&amp;REGLAS!J946&amp;"');")</f>
        <v>INSERT INTO INYCEXT.INYC_CONF_INF_REGLAS (COD_INFORME,TABLA,NOMBRE,REGLA,F_INICIO,F_FIN,DESCRIPCION) VALUES (102.2,'INYC_S4_E_POLIZAS','Comision Nueva Produccion','DC-E-COM-NuevaProduccion-Suplementos',TO_DATE('20140101','yyyymmdd'),TO_DATE('22000101','yyyymmdd'),'');</v>
      </c>
      <c r="B945" t="str">
        <f>IF(REGLAS!J946="OBSOLETO","","INSERT INTO INYCEXT.INYC_CONF_INF_REGLAS@tc_link (COD_INFORME,TABLA,NOMBRE,REGLA,F_INICIO,F_FIN,DESCRIPCION) VALUES ("&amp;REGLAS!B946&amp;",'"&amp;REGLAS!C946&amp;"','"&amp;REGLAS!D946&amp;"','"&amp;REGLAS!G946&amp;"',TO_DATE('"&amp;REGLAS!H946&amp;"','yyyymmdd'),TO_DATE('"&amp;REGLAS!I946&amp;"','yyyymmdd'),'"&amp;REGLAS!J946&amp;"');")</f>
        <v>INSERT INTO INYCEXT.INYC_CONF_INF_REGLAS@tc_link (COD_INFORME,TABLA,NOMBRE,REGLA,F_INICIO,F_FIN,DESCRIPCION) VALUES (102.2,'INYC_S4_E_POLIZAS','Comision Nueva Produccion','DC-E-COM-NuevaProduccion-Suplementos',TO_DATE('20140101','yyyymmdd'),TO_DATE('22000101','yyyymmdd'),'');</v>
      </c>
    </row>
    <row r="946" spans="1:2" x14ac:dyDescent="0.25">
      <c r="A946" t="str">
        <f>IF(REGLAS!J947="OBSOLETO","","INSERT INTO INYCEXT.INYC_CONF_INF_REGLAS (COD_INFORME,TABLA,NOMBRE,REGLA,F_INICIO,F_FIN,DESCRIPCION) VALUES ("&amp;REGLAS!B947&amp;",'"&amp;REGLAS!C947&amp;"','"&amp;REGLAS!D947&amp;"','"&amp;REGLAS!G947&amp;"',TO_DATE('"&amp;REGLAS!H947&amp;"','yyyymmdd'),TO_DATE('"&amp;REGLAS!I947&amp;"','yyyymmdd'),'"&amp;REGLAS!J947&amp;"');")</f>
        <v>INSERT INTO INYCEXT.INYC_CONF_INF_REGLAS (COD_INFORME,TABLA,NOMBRE,REGLA,F_INICIO,F_FIN,DESCRIPCION) VALUES (102.2,'INYC_S4_E_POLIZAS','Comision Nueva Produccion','DC-E-COM-NuevaProduccion-PorcentajeFijo',TO_DATE('20140101','yyyymmdd'),TO_DATE('22000101','yyyymmdd'),'');</v>
      </c>
      <c r="B946" t="str">
        <f>IF(REGLAS!J947="OBSOLETO","","INSERT INTO INYCEXT.INYC_CONF_INF_REGLAS@tc_link (COD_INFORME,TABLA,NOMBRE,REGLA,F_INICIO,F_FIN,DESCRIPCION) VALUES ("&amp;REGLAS!B947&amp;",'"&amp;REGLAS!C947&amp;"','"&amp;REGLAS!D947&amp;"','"&amp;REGLAS!G947&amp;"',TO_DATE('"&amp;REGLAS!H947&amp;"','yyyymmdd'),TO_DATE('"&amp;REGLAS!I947&amp;"','yyyymmdd'),'"&amp;REGLAS!J947&amp;"');")</f>
        <v>INSERT INTO INYCEXT.INYC_CONF_INF_REGLAS@tc_link (COD_INFORME,TABLA,NOMBRE,REGLA,F_INICIO,F_FIN,DESCRIPCION) VALUES (102.2,'INYC_S4_E_POLIZAS','Comision Nueva Produccion','DC-E-COM-NuevaProduccion-PorcentajeFijo',TO_DATE('20140101','yyyymmdd'),TO_DATE('22000101','yyyymmdd'),'');</v>
      </c>
    </row>
    <row r="947" spans="1:2" x14ac:dyDescent="0.25">
      <c r="A947" t="str">
        <f>IF(REGLAS!J948="OBSOLETO","","INSERT INTO INYCEXT.INYC_CONF_INF_REGLAS (COD_INFORME,TABLA,NOMBRE,REGLA,F_INICIO,F_FIN,DESCRIPCION) VALUES ("&amp;REGLAS!B948&amp;",'"&amp;REGLAS!C948&amp;"','"&amp;REGLAS!D948&amp;"','"&amp;REGLAS!G948&amp;"',TO_DATE('"&amp;REGLAS!H948&amp;"','yyyymmdd'),TO_DATE('"&amp;REGLAS!I948&amp;"','yyyymmdd'),'"&amp;REGLAS!J948&amp;"');")</f>
        <v>INSERT INTO INYCEXT.INYC_CONF_INF_REGLAS (COD_INFORME,TABLA,NOMBRE,REGLA,F_INICIO,F_FIN,DESCRIPCION) VALUES (102.2,'INYC_S4_E_POLIZAS','Comision Nueva Produccion','DC-E-COM-NuevaProduccion-ComisionCalculada',TO_DATE('20140101','yyyymmdd'),TO_DATE('22000101','yyyymmdd'),'');</v>
      </c>
      <c r="B947" t="str">
        <f>IF(REGLAS!J948="OBSOLETO","","INSERT INTO INYCEXT.INYC_CONF_INF_REGLAS@tc_link (COD_INFORME,TABLA,NOMBRE,REGLA,F_INICIO,F_FIN,DESCRIPCION) VALUES ("&amp;REGLAS!B948&amp;",'"&amp;REGLAS!C948&amp;"','"&amp;REGLAS!D948&amp;"','"&amp;REGLAS!G948&amp;"',TO_DATE('"&amp;REGLAS!H948&amp;"','yyyymmdd'),TO_DATE('"&amp;REGLAS!I948&amp;"','yyyymmdd'),'"&amp;REGLAS!J948&amp;"');")</f>
        <v>INSERT INTO INYCEXT.INYC_CONF_INF_REGLAS@tc_link (COD_INFORME,TABLA,NOMBRE,REGLA,F_INICIO,F_FIN,DESCRIPCION) VALUES (102.2,'INYC_S4_E_POLIZAS','Comision Nueva Produccion','DC-E-COM-NuevaProduccion-ComisionCalculada',TO_DATE('20140101','yyyymmdd'),TO_DATE('22000101','yyyymmdd'),'');</v>
      </c>
    </row>
    <row r="948" spans="1:2" x14ac:dyDescent="0.25">
      <c r="A948" t="str">
        <f>IF(REGLAS!J949="OBSOLETO","","INSERT INTO INYCEXT.INYC_CONF_INF_REGLAS (COD_INFORME,TABLA,NOMBRE,REGLA,F_INICIO,F_FIN,DESCRIPCION) VALUES ("&amp;REGLAS!B949&amp;",'"&amp;REGLAS!C949&amp;"','"&amp;REGLAS!D949&amp;"','"&amp;REGLAS!G949&amp;"',TO_DATE('"&amp;REGLAS!H949&amp;"','yyyymmdd'),TO_DATE('"&amp;REGLAS!I949&amp;"','yyyymmdd'),'"&amp;REGLAS!J949&amp;"');")</f>
        <v>INSERT INTO INYCEXT.INYC_CONF_INF_REGLAS (COD_INFORME,TABLA,NOMBRE,REGLA,F_INICIO,F_FIN,DESCRIPCION) VALUES (102.2,'INYC_S4_E_POLIZAS','Comision Candidatos','DC-E-COM-NuevaProduccion-Candidatos',TO_DATE('20140101','yyyymmdd'),TO_DATE('22000101','yyyymmdd'),'');</v>
      </c>
      <c r="B948" t="str">
        <f>IF(REGLAS!J949="OBSOLETO","","INSERT INTO INYCEXT.INYC_CONF_INF_REGLAS@tc_link (COD_INFORME,TABLA,NOMBRE,REGLA,F_INICIO,F_FIN,DESCRIPCION) VALUES ("&amp;REGLAS!B949&amp;",'"&amp;REGLAS!C949&amp;"','"&amp;REGLAS!D949&amp;"','"&amp;REGLAS!G949&amp;"',TO_DATE('"&amp;REGLAS!H949&amp;"','yyyymmdd'),TO_DATE('"&amp;REGLAS!I949&amp;"','yyyymmdd'),'"&amp;REGLAS!J949&amp;"');")</f>
        <v>INSERT INTO INYCEXT.INYC_CONF_INF_REGLAS@tc_link (COD_INFORME,TABLA,NOMBRE,REGLA,F_INICIO,F_FIN,DESCRIPCION) VALUES (102.2,'INYC_S4_E_POLIZAS','Comision Candidatos','DC-E-COM-NuevaProduccion-Candidatos',TO_DATE('20140101','yyyymmdd'),TO_DATE('22000101','yyyymmdd'),'');</v>
      </c>
    </row>
    <row r="949" spans="1:2" x14ac:dyDescent="0.25">
      <c r="A949" t="str">
        <f>IF(REGLAS!J950="OBSOLETO","","INSERT INTO INYCEXT.INYC_CONF_INF_REGLAS (COD_INFORME,TABLA,NOMBRE,REGLA,F_INICIO,F_FIN,DESCRIPCION) VALUES ("&amp;REGLAS!B950&amp;",'"&amp;REGLAS!C950&amp;"','"&amp;REGLAS!D950&amp;"','"&amp;REGLAS!G950&amp;"',TO_DATE('"&amp;REGLAS!H950&amp;"','yyyymmdd'),TO_DATE('"&amp;REGLAS!I950&amp;"','yyyymmdd'),'"&amp;REGLAS!J950&amp;"');")</f>
        <v>INSERT INTO INYCEXT.INYC_CONF_INF_REGLAS (COD_INFORME,TABLA,NOMBRE,REGLA,F_INICIO,F_FIN,DESCRIPCION) VALUES (102.2,'INYC_S4_E_POLIZAS','Comision Conservacion','DC-E-COM-GestionCobro',TO_DATE('20140101','yyyymmdd'),TO_DATE('22000101','yyyymmdd'),'');</v>
      </c>
      <c r="B949" t="str">
        <f>IF(REGLAS!J950="OBSOLETO","","INSERT INTO INYCEXT.INYC_CONF_INF_REGLAS@tc_link (COD_INFORME,TABLA,NOMBRE,REGLA,F_INICIO,F_FIN,DESCRIPCION) VALUES ("&amp;REGLAS!B950&amp;",'"&amp;REGLAS!C950&amp;"','"&amp;REGLAS!D950&amp;"','"&amp;REGLAS!G950&amp;"',TO_DATE('"&amp;REGLAS!H950&amp;"','yyyymmdd'),TO_DATE('"&amp;REGLAS!I950&amp;"','yyyymmdd'),'"&amp;REGLAS!J950&amp;"');")</f>
        <v>INSERT INTO INYCEXT.INYC_CONF_INF_REGLAS@tc_link (COD_INFORME,TABLA,NOMBRE,REGLA,F_INICIO,F_FIN,DESCRIPCION) VALUES (102.2,'INYC_S4_E_POLIZAS','Comision Conservacion','DC-E-COM-GestionCobro',TO_DATE('20140101','yyyymmdd'),TO_DATE('22000101','yyyymmdd'),'');</v>
      </c>
    </row>
    <row r="950" spans="1:2" x14ac:dyDescent="0.25">
      <c r="A950" t="str">
        <f>IF(REGLAS!J951="OBSOLETO","","INSERT INTO INYCEXT.INYC_CONF_INF_REGLAS (COD_INFORME,TABLA,NOMBRE,REGLA,F_INICIO,F_FIN,DESCRIPCION) VALUES ("&amp;REGLAS!B951&amp;",'"&amp;REGLAS!C951&amp;"','"&amp;REGLAS!D951&amp;"','"&amp;REGLAS!G951&amp;"',TO_DATE('"&amp;REGLAS!H951&amp;"','yyyymmdd'),TO_DATE('"&amp;REGLAS!I951&amp;"','yyyymmdd'),'"&amp;REGLAS!J951&amp;"');")</f>
        <v>INSERT INTO INYCEXT.INYC_CONF_INF_REGLAS (COD_INFORME,TABLA,NOMBRE,REGLA,F_INICIO,F_FIN,DESCRIPCION) VALUES (102.2,'INYC_S4_E_POLIZAS','Comision Conservacion','DC-E-COM-GestionCobro-ComisionCalculada',TO_DATE('20140101','yyyymmdd'),TO_DATE('22000101','yyyymmdd'),'');</v>
      </c>
      <c r="B950" t="str">
        <f>IF(REGLAS!J951="OBSOLETO","","INSERT INTO INYCEXT.INYC_CONF_INF_REGLAS@tc_link (COD_INFORME,TABLA,NOMBRE,REGLA,F_INICIO,F_FIN,DESCRIPCION) VALUES ("&amp;REGLAS!B951&amp;",'"&amp;REGLAS!C951&amp;"','"&amp;REGLAS!D951&amp;"','"&amp;REGLAS!G951&amp;"',TO_DATE('"&amp;REGLAS!H951&amp;"','yyyymmdd'),TO_DATE('"&amp;REGLAS!I951&amp;"','yyyymmdd'),'"&amp;REGLAS!J951&amp;"');")</f>
        <v>INSERT INTO INYCEXT.INYC_CONF_INF_REGLAS@tc_link (COD_INFORME,TABLA,NOMBRE,REGLA,F_INICIO,F_FIN,DESCRIPCION) VALUES (102.2,'INYC_S4_E_POLIZAS','Comision Conservacion','DC-E-COM-GestionCobro-ComisionCalculada',TO_DATE('20140101','yyyymmdd'),TO_DATE('22000101','yyyymmdd'),'');</v>
      </c>
    </row>
    <row r="951" spans="1:2" x14ac:dyDescent="0.25">
      <c r="A951" t="str">
        <f>IF(REGLAS!J952="OBSOLETO","","INSERT INTO INYCEXT.INYC_CONF_INF_REGLAS (COD_INFORME,TABLA,NOMBRE,REGLA,F_INICIO,F_FIN,DESCRIPCION) VALUES ("&amp;REGLAS!B952&amp;",'"&amp;REGLAS!C952&amp;"','"&amp;REGLAS!D952&amp;"','"&amp;REGLAS!G952&amp;"',TO_DATE('"&amp;REGLAS!H952&amp;"','yyyymmdd'),TO_DATE('"&amp;REGLAS!I952&amp;"','yyyymmdd'),'"&amp;REGLAS!J952&amp;"');")</f>
        <v>INSERT INTO INYCEXT.INYC_CONF_INF_REGLAS (COD_INFORME,TABLA,NOMBRE,REGLA,F_INICIO,F_FIN,DESCRIPCION) VALUES (102.2,'INYC_S4_E_POLIZAS','Comision Conservacion','DC-E-COM-GestionCobro-PorcentajeFijo',TO_DATE('20140101','yyyymmdd'),TO_DATE('22000101','yyyymmdd'),'');</v>
      </c>
      <c r="B951" t="str">
        <f>IF(REGLAS!J952="OBSOLETO","","INSERT INTO INYCEXT.INYC_CONF_INF_REGLAS@tc_link (COD_INFORME,TABLA,NOMBRE,REGLA,F_INICIO,F_FIN,DESCRIPCION) VALUES ("&amp;REGLAS!B952&amp;",'"&amp;REGLAS!C952&amp;"','"&amp;REGLAS!D952&amp;"','"&amp;REGLAS!G952&amp;"',TO_DATE('"&amp;REGLAS!H952&amp;"','yyyymmdd'),TO_DATE('"&amp;REGLAS!I952&amp;"','yyyymmdd'),'"&amp;REGLAS!J952&amp;"');")</f>
        <v>INSERT INTO INYCEXT.INYC_CONF_INF_REGLAS@tc_link (COD_INFORME,TABLA,NOMBRE,REGLA,F_INICIO,F_FIN,DESCRIPCION) VALUES (102.2,'INYC_S4_E_POLIZAS','Comision Conservacion','DC-E-COM-GestionCobro-PorcentajeFijo',TO_DATE('20140101','yyyymmdd'),TO_DATE('22000101','yyyymmdd'),'');</v>
      </c>
    </row>
    <row r="952" spans="1:2" x14ac:dyDescent="0.25">
      <c r="A952" t="str">
        <f>IF(REGLAS!J953="OBSOLETO","","INSERT INTO INYCEXT.INYC_CONF_INF_REGLAS (COD_INFORME,TABLA,NOMBRE,REGLA,F_INICIO,F_FIN,DESCRIPCION) VALUES ("&amp;REGLAS!B953&amp;",'"&amp;REGLAS!C953&amp;"','"&amp;REGLAS!D953&amp;"','"&amp;REGLAS!G953&amp;"',TO_DATE('"&amp;REGLAS!H953&amp;"','yyyymmdd'),TO_DATE('"&amp;REGLAS!I953&amp;"','yyyymmdd'),'"&amp;REGLAS!J953&amp;"');")</f>
        <v>INSERT INTO INYCEXT.INYC_CONF_INF_REGLAS (COD_INFORME,TABLA,NOMBRE,REGLA,F_INICIO,F_FIN,DESCRIPCION) VALUES (102.2,'INYC_S4_E_POLIZAS','Comision Conservacion','DC-E-COM-Conservacion-PorcentajeFijo',TO_DATE('20140101','yyyymmdd'),TO_DATE('22000101','yyyymmdd'),'');</v>
      </c>
      <c r="B952" t="str">
        <f>IF(REGLAS!J953="OBSOLETO","","INSERT INTO INYCEXT.INYC_CONF_INF_REGLAS@tc_link (COD_INFORME,TABLA,NOMBRE,REGLA,F_INICIO,F_FIN,DESCRIPCION) VALUES ("&amp;REGLAS!B953&amp;",'"&amp;REGLAS!C953&amp;"','"&amp;REGLAS!D953&amp;"','"&amp;REGLAS!G953&amp;"',TO_DATE('"&amp;REGLAS!H953&amp;"','yyyymmdd'),TO_DATE('"&amp;REGLAS!I953&amp;"','yyyymmdd'),'"&amp;REGLAS!J953&amp;"');")</f>
        <v>INSERT INTO INYCEXT.INYC_CONF_INF_REGLAS@tc_link (COD_INFORME,TABLA,NOMBRE,REGLA,F_INICIO,F_FIN,DESCRIPCION) VALUES (102.2,'INYC_S4_E_POLIZAS','Comision Conservacion','DC-E-COM-Conservacion-PorcentajeFijo',TO_DATE('20140101','yyyymmdd'),TO_DATE('22000101','yyyymmdd'),'');</v>
      </c>
    </row>
    <row r="953" spans="1:2" x14ac:dyDescent="0.25">
      <c r="A953" t="str">
        <f>IF(REGLAS!J954="OBSOLETO","","INSERT INTO INYCEXT.INYC_CONF_INF_REGLAS (COD_INFORME,TABLA,NOMBRE,REGLA,F_INICIO,F_FIN,DESCRIPCION) VALUES ("&amp;REGLAS!B954&amp;",'"&amp;REGLAS!C954&amp;"','"&amp;REGLAS!D954&amp;"','"&amp;REGLAS!G954&amp;"',TO_DATE('"&amp;REGLAS!H954&amp;"','yyyymmdd'),TO_DATE('"&amp;REGLAS!I954&amp;"','yyyymmdd'),'"&amp;REGLAS!J954&amp;"');")</f>
        <v>INSERT INTO INYCEXT.INYC_CONF_INF_REGLAS (COD_INFORME,TABLA,NOMBRE,REGLA,F_INICIO,F_FIN,DESCRIPCION) VALUES (102.2,'INYC_S4_E_POLIZAS','Comision Conservacion','DC-E-COM-Conservacion-ComisionCalculada',TO_DATE('20140101','yyyymmdd'),TO_DATE('22000101','yyyymmdd'),'');</v>
      </c>
      <c r="B953" t="str">
        <f>IF(REGLAS!J954="OBSOLETO","","INSERT INTO INYCEXT.INYC_CONF_INF_REGLAS@tc_link (COD_INFORME,TABLA,NOMBRE,REGLA,F_INICIO,F_FIN,DESCRIPCION) VALUES ("&amp;REGLAS!B954&amp;",'"&amp;REGLAS!C954&amp;"','"&amp;REGLAS!D954&amp;"','"&amp;REGLAS!G954&amp;"',TO_DATE('"&amp;REGLAS!H954&amp;"','yyyymmdd'),TO_DATE('"&amp;REGLAS!I954&amp;"','yyyymmdd'),'"&amp;REGLAS!J954&amp;"');")</f>
        <v>INSERT INTO INYCEXT.INYC_CONF_INF_REGLAS@tc_link (COD_INFORME,TABLA,NOMBRE,REGLA,F_INICIO,F_FIN,DESCRIPCION) VALUES (102.2,'INYC_S4_E_POLIZAS','Comision Conservacion','DC-E-COM-Conservacion-ComisionCalculada',TO_DATE('20140101','yyyymmdd'),TO_DATE('22000101','yyyymmdd'),'');</v>
      </c>
    </row>
    <row r="954" spans="1:2" x14ac:dyDescent="0.25">
      <c r="A954" t="str">
        <f>IF(REGLAS!J955="OBSOLETO","","INSERT INTO INYCEXT.INYC_CONF_INF_REGLAS (COD_INFORME,TABLA,NOMBRE,REGLA,F_INICIO,F_FIN,DESCRIPCION) VALUES ("&amp;REGLAS!B955&amp;",'"&amp;REGLAS!C955&amp;"','"&amp;REGLAS!D955&amp;"','"&amp;REGLAS!G955&amp;"',TO_DATE('"&amp;REGLAS!H955&amp;"','yyyymmdd'),TO_DATE('"&amp;REGLAS!I955&amp;"','yyyymmdd'),'"&amp;REGLAS!J955&amp;"');")</f>
        <v>INSERT INTO INYCEXT.INYC_CONF_INF_REGLAS (COD_INFORME,TABLA,NOMBRE,REGLA,F_INICIO,F_FIN,DESCRIPCION) VALUES (102.2,'INYC_S4_E_POLIZAS','Comision Conservacion','DC-E-COM-Conservacion-RecalcularPorcentaje',TO_DATE('20140101','yyyymmdd'),TO_DATE('22000101','yyyymmdd'),'');</v>
      </c>
      <c r="B954" t="str">
        <f>IF(REGLAS!J955="OBSOLETO","","INSERT INTO INYCEXT.INYC_CONF_INF_REGLAS@tc_link (COD_INFORME,TABLA,NOMBRE,REGLA,F_INICIO,F_FIN,DESCRIPCION) VALUES ("&amp;REGLAS!B955&amp;",'"&amp;REGLAS!C955&amp;"','"&amp;REGLAS!D955&amp;"','"&amp;REGLAS!G955&amp;"',TO_DATE('"&amp;REGLAS!H955&amp;"','yyyymmdd'),TO_DATE('"&amp;REGLAS!I955&amp;"','yyyymmdd'),'"&amp;REGLAS!J955&amp;"');")</f>
        <v>INSERT INTO INYCEXT.INYC_CONF_INF_REGLAS@tc_link (COD_INFORME,TABLA,NOMBRE,REGLA,F_INICIO,F_FIN,DESCRIPCION) VALUES (102.2,'INYC_S4_E_POLIZAS','Comision Conservacion','DC-E-COM-Conservacion-RecalcularPorcentaje',TO_DATE('20140101','yyyymmdd'),TO_DATE('22000101','yyyymmdd'),'');</v>
      </c>
    </row>
    <row r="955" spans="1:2" x14ac:dyDescent="0.25">
      <c r="A955" t="str">
        <f>IF(REGLAS!J956="OBSOLETO","","INSERT INTO INYCEXT.INYC_CONF_INF_REGLAS (COD_INFORME,TABLA,NOMBRE,REGLA,F_INICIO,F_FIN,DESCRIPCION) VALUES ("&amp;REGLAS!B956&amp;",'"&amp;REGLAS!C956&amp;"','"&amp;REGLAS!D956&amp;"','"&amp;REGLAS!G956&amp;"',TO_DATE('"&amp;REGLAS!H956&amp;"','yyyymmdd'),TO_DATE('"&amp;REGLAS!I956&amp;"','yyyymmdd'),'"&amp;REGLAS!J956&amp;"');")</f>
        <v>INSERT INTO INYCEXT.INYC_CONF_INF_REGLAS (COD_INFORME,TABLA,NOMBRE,REGLA,F_INICIO,F_FIN,DESCRIPCION) VALUES (102.2,'INYC_S4_E_POLIZAS','Comision Cartera','DC-E-COM-Cartera-Porcentaje',TO_DATE('20140101','yyyymmdd'),TO_DATE('22000101','yyyymmdd'),'');</v>
      </c>
      <c r="B955" t="str">
        <f>IF(REGLAS!J956="OBSOLETO","","INSERT INTO INYCEXT.INYC_CONF_INF_REGLAS@tc_link (COD_INFORME,TABLA,NOMBRE,REGLA,F_INICIO,F_FIN,DESCRIPCION) VALUES ("&amp;REGLAS!B956&amp;",'"&amp;REGLAS!C956&amp;"','"&amp;REGLAS!D956&amp;"','"&amp;REGLAS!G956&amp;"',TO_DATE('"&amp;REGLAS!H956&amp;"','yyyymmdd'),TO_DATE('"&amp;REGLAS!I956&amp;"','yyyymmdd'),'"&amp;REGLAS!J956&amp;"');")</f>
        <v>INSERT INTO INYCEXT.INYC_CONF_INF_REGLAS@tc_link (COD_INFORME,TABLA,NOMBRE,REGLA,F_INICIO,F_FIN,DESCRIPCION) VALUES (102.2,'INYC_S4_E_POLIZAS','Comision Cartera','DC-E-COM-Cartera-Porcentaje',TO_DATE('20140101','yyyymmdd'),TO_DATE('22000101','yyyymmdd'),'');</v>
      </c>
    </row>
    <row r="956" spans="1:2" x14ac:dyDescent="0.25">
      <c r="A956" t="str">
        <f>IF(REGLAS!J957="OBSOLETO","","INSERT INTO INYCEXT.INYC_CONF_INF_REGLAS (COD_INFORME,TABLA,NOMBRE,REGLA,F_INICIO,F_FIN,DESCRIPCION) VALUES ("&amp;REGLAS!B957&amp;",'"&amp;REGLAS!C957&amp;"','"&amp;REGLAS!D957&amp;"','"&amp;REGLAS!G957&amp;"',TO_DATE('"&amp;REGLAS!H957&amp;"','yyyymmdd'),TO_DATE('"&amp;REGLAS!I957&amp;"','yyyymmdd'),'"&amp;REGLAS!J957&amp;"');")</f>
        <v>INSERT INTO INYCEXT.INYC_CONF_INF_REGLAS (COD_INFORME,TABLA,NOMBRE,REGLA,F_INICIO,F_FIN,DESCRIPCION) VALUES (102.2,'INYC_S4_E_POLIZAS','Comision Cartera','DC-E-COM-Cartera-Importe',TO_DATE('20140101','yyyymmdd'),TO_DATE('22000101','yyyymmdd'),'');</v>
      </c>
      <c r="B956" t="str">
        <f>IF(REGLAS!J957="OBSOLETO","","INSERT INTO INYCEXT.INYC_CONF_INF_REGLAS@tc_link (COD_INFORME,TABLA,NOMBRE,REGLA,F_INICIO,F_FIN,DESCRIPCION) VALUES ("&amp;REGLAS!B957&amp;",'"&amp;REGLAS!C957&amp;"','"&amp;REGLAS!D957&amp;"','"&amp;REGLAS!G957&amp;"',TO_DATE('"&amp;REGLAS!H957&amp;"','yyyymmdd'),TO_DATE('"&amp;REGLAS!I957&amp;"','yyyymmdd'),'"&amp;REGLAS!J957&amp;"');")</f>
        <v>INSERT INTO INYCEXT.INYC_CONF_INF_REGLAS@tc_link (COD_INFORME,TABLA,NOMBRE,REGLA,F_INICIO,F_FIN,DESCRIPCION) VALUES (102.2,'INYC_S4_E_POLIZAS','Comision Cartera','DC-E-COM-Cartera-Importe',TO_DATE('20140101','yyyymmdd'),TO_DATE('22000101','yyyymmdd'),'');</v>
      </c>
    </row>
    <row r="957" spans="1:2" x14ac:dyDescent="0.25">
      <c r="A957" t="str">
        <f>IF(REGLAS!J958="OBSOLETO","","INSERT INTO INYCEXT.INYC_CONF_INF_REGLAS (COD_INFORME,TABLA,NOMBRE,REGLA,F_INICIO,F_FIN,DESCRIPCION) VALUES ("&amp;REGLAS!B958&amp;",'"&amp;REGLAS!C958&amp;"','"&amp;REGLAS!D958&amp;"','"&amp;REGLAS!G958&amp;"',TO_DATE('"&amp;REGLAS!H958&amp;"','yyyymmdd'),TO_DATE('"&amp;REGLAS!I958&amp;"','yyyymmdd'),'"&amp;REGLAS!J958&amp;"');")</f>
        <v>INSERT INTO INYCEXT.INYC_CONF_INF_REGLAS (COD_INFORME,TABLA,NOMBRE,REGLA,F_INICIO,F_FIN,DESCRIPCION) VALUES (102.2,'INYC_S4_E_POLIZAS','Comision Recuperacion','DC-E-COM-Conservacion-Recuperadas',TO_DATE('20140101','yyyymmdd'),TO_DATE('22000101','yyyymmdd'),'');</v>
      </c>
      <c r="B957" t="str">
        <f>IF(REGLAS!J958="OBSOLETO","","INSERT INTO INYCEXT.INYC_CONF_INF_REGLAS@tc_link (COD_INFORME,TABLA,NOMBRE,REGLA,F_INICIO,F_FIN,DESCRIPCION) VALUES ("&amp;REGLAS!B958&amp;",'"&amp;REGLAS!C958&amp;"','"&amp;REGLAS!D958&amp;"','"&amp;REGLAS!G958&amp;"',TO_DATE('"&amp;REGLAS!H958&amp;"','yyyymmdd'),TO_DATE('"&amp;REGLAS!I958&amp;"','yyyymmdd'),'"&amp;REGLAS!J958&amp;"');")</f>
        <v>INSERT INTO INYCEXT.INYC_CONF_INF_REGLAS@tc_link (COD_INFORME,TABLA,NOMBRE,REGLA,F_INICIO,F_FIN,DESCRIPCION) VALUES (102.2,'INYC_S4_E_POLIZAS','Comision Recuperacion','DC-E-COM-Conservacion-Recuperadas',TO_DATE('20140101','yyyymmdd'),TO_DATE('22000101','yyyymmdd'),'');</v>
      </c>
    </row>
    <row r="958" spans="1:2" x14ac:dyDescent="0.25">
      <c r="A958" t="str">
        <f>IF(REGLAS!J959="OBSOLETO","","INSERT INTO INYCEXT.INYC_CONF_INF_REGLAS (COD_INFORME,TABLA,NOMBRE,REGLA,F_INICIO,F_FIN,DESCRIPCION) VALUES ("&amp;REGLAS!B959&amp;",'"&amp;REGLAS!C959&amp;"','"&amp;REGLAS!D959&amp;"','"&amp;REGLAS!G959&amp;"',TO_DATE('"&amp;REGLAS!H959&amp;"','yyyymmdd'),TO_DATE('"&amp;REGLAS!I959&amp;"','yyyymmdd'),'"&amp;REGLAS!J959&amp;"');")</f>
        <v>INSERT INTO INYCEXT.INYC_CONF_INF_REGLAS (COD_INFORME,TABLA,NOMBRE,REGLA,F_INICIO,F_FIN,DESCRIPCION) VALUES (102.2,'INYC_S4_E_POLIZAS','Asistencias','DC-O-COM-ServiciosAsistencia-Importe',TO_DATE('20140101','yyyymmdd'),TO_DATE('22000101','yyyymmdd'),'');</v>
      </c>
      <c r="B958" t="str">
        <f>IF(REGLAS!J959="OBSOLETO","","INSERT INTO INYCEXT.INYC_CONF_INF_REGLAS@tc_link (COD_INFORME,TABLA,NOMBRE,REGLA,F_INICIO,F_FIN,DESCRIPCION) VALUES ("&amp;REGLAS!B959&amp;",'"&amp;REGLAS!C959&amp;"','"&amp;REGLAS!D959&amp;"','"&amp;REGLAS!G959&amp;"',TO_DATE('"&amp;REGLAS!H959&amp;"','yyyymmdd'),TO_DATE('"&amp;REGLAS!I959&amp;"','yyyymmdd'),'"&amp;REGLAS!J959&amp;"');")</f>
        <v>INSERT INTO INYCEXT.INYC_CONF_INF_REGLAS@tc_link (COD_INFORME,TABLA,NOMBRE,REGLA,F_INICIO,F_FIN,DESCRIPCION) VALUES (102.2,'INYC_S4_E_POLIZAS','Asistencias','DC-O-COM-ServiciosAsistencia-Importe',TO_DATE('20140101','yyyymmdd'),TO_DATE('22000101','yyyymmdd'),'');</v>
      </c>
    </row>
    <row r="959" spans="1:2" x14ac:dyDescent="0.25">
      <c r="A959" t="str">
        <f>IF(REGLAS!J960="OBSOLETO","","INSERT INTO INYCEXT.INYC_CONF_INF_REGLAS (COD_INFORME,TABLA,NOMBRE,REGLA,F_INICIO,F_FIN,DESCRIPCION) VALUES ("&amp;REGLAS!B960&amp;",'"&amp;REGLAS!C960&amp;"','"&amp;REGLAS!D960&amp;"','"&amp;REGLAS!G960&amp;"',TO_DATE('"&amp;REGLAS!H960&amp;"','yyyymmdd'),TO_DATE('"&amp;REGLAS!I960&amp;"','yyyymmdd'),'"&amp;REGLAS!J960&amp;"');")</f>
        <v>INSERT INTO INYCEXT.INYC_CONF_INF_REGLAS (COD_INFORME,TABLA,NOMBRE,REGLA,F_INICIO,F_FIN,DESCRIPCION) VALUES (102.2,'INYC_S4_E_POLIZAS','Comision Nueva Produccion','DC-E-COM-AUT-NuevaProduccion-Emision',TO_DATE('20180901','yyyymmdd'),TO_DATE('22000101','yyyymmdd'),'Version 20180730');</v>
      </c>
      <c r="B959" t="str">
        <f>IF(REGLAS!J960="OBSOLETO","","INSERT INTO INYCEXT.INYC_CONF_INF_REGLAS@tc_link (COD_INFORME,TABLA,NOMBRE,REGLA,F_INICIO,F_FIN,DESCRIPCION) VALUES ("&amp;REGLAS!B960&amp;",'"&amp;REGLAS!C960&amp;"','"&amp;REGLAS!D960&amp;"','"&amp;REGLAS!G960&amp;"',TO_DATE('"&amp;REGLAS!H960&amp;"','yyyymmdd'),TO_DATE('"&amp;REGLAS!I960&amp;"','yyyymmdd'),'"&amp;REGLAS!J960&amp;"');")</f>
        <v>INSERT INTO INYCEXT.INYC_CONF_INF_REGLAS@tc_link (COD_INFORME,TABLA,NOMBRE,REGLA,F_INICIO,F_FIN,DESCRIPCION) VALUES (102.2,'INYC_S4_E_POLIZAS','Comision Nueva Produccion','DC-E-COM-AUT-NuevaProduccion-Emision',TO_DATE('20180901','yyyymmdd'),TO_DATE('22000101','yyyymmdd'),'Version 20180730');</v>
      </c>
    </row>
    <row r="960" spans="1:2" x14ac:dyDescent="0.25">
      <c r="A960" t="str">
        <f>IF(REGLAS!J961="OBSOLETO","","INSERT INTO INYCEXT.INYC_CONF_INF_REGLAS (COD_INFORME,TABLA,NOMBRE,REGLA,F_INICIO,F_FIN,DESCRIPCION) VALUES ("&amp;REGLAS!B961&amp;",'"&amp;REGLAS!C961&amp;"','"&amp;REGLAS!D961&amp;"','"&amp;REGLAS!G961&amp;"',TO_DATE('"&amp;REGLAS!H961&amp;"','yyyymmdd'),TO_DATE('"&amp;REGLAS!I961&amp;"','yyyymmdd'),'"&amp;REGLAS!J961&amp;"');")</f>
        <v>INSERT INTO INYCEXT.INYC_CONF_INF_REGLAS (COD_INFORME,TABLA,NOMBRE,REGLA,F_INICIO,F_FIN,DESCRIPCION) VALUES (102.2,'INYC_S4_E_POLIZAS','Comision Nueva Produccion','DC-E-COM-AUT-NuevaProduccion-Suplementos',TO_DATE('20180901','yyyymmdd'),TO_DATE('22000101','yyyymmdd'),'Version 20180730');</v>
      </c>
      <c r="B960" t="str">
        <f>IF(REGLAS!J961="OBSOLETO","","INSERT INTO INYCEXT.INYC_CONF_INF_REGLAS@tc_link (COD_INFORME,TABLA,NOMBRE,REGLA,F_INICIO,F_FIN,DESCRIPCION) VALUES ("&amp;REGLAS!B961&amp;",'"&amp;REGLAS!C961&amp;"','"&amp;REGLAS!D961&amp;"','"&amp;REGLAS!G961&amp;"',TO_DATE('"&amp;REGLAS!H961&amp;"','yyyymmdd'),TO_DATE('"&amp;REGLAS!I961&amp;"','yyyymmdd'),'"&amp;REGLAS!J961&amp;"');")</f>
        <v>INSERT INTO INYCEXT.INYC_CONF_INF_REGLAS@tc_link (COD_INFORME,TABLA,NOMBRE,REGLA,F_INICIO,F_FIN,DESCRIPCION) VALUES (102.2,'INYC_S4_E_POLIZAS','Comision Nueva Produccion','DC-E-COM-AUT-NuevaProduccion-Suplementos',TO_DATE('20180901','yyyymmdd'),TO_DATE('22000101','yyyymmdd'),'Version 20180730');</v>
      </c>
    </row>
    <row r="961" spans="1:2" x14ac:dyDescent="0.25">
      <c r="A961" t="str">
        <f>IF(REGLAS!J962="OBSOLETO","","INSERT INTO INYCEXT.INYC_CONF_INF_REGLAS (COD_INFORME,TABLA,NOMBRE,REGLA,F_INICIO,F_FIN,DESCRIPCION) VALUES ("&amp;REGLAS!B962&amp;",'"&amp;REGLAS!C962&amp;"','"&amp;REGLAS!D962&amp;"','"&amp;REGLAS!G962&amp;"',TO_DATE('"&amp;REGLAS!H962&amp;"','yyyymmdd'),TO_DATE('"&amp;REGLAS!I962&amp;"','yyyymmdd'),'"&amp;REGLAS!J962&amp;"');")</f>
        <v>INSERT INTO INYCEXT.INYC_CONF_INF_REGLAS (COD_INFORME,TABLA,NOMBRE,REGLA,F_INICIO,F_FIN,DESCRIPCION) VALUES (102.2,'INYC_S4_E_POLIZAS','Comision Nueva Produccion','DC-E-COM-AUT-NuevaProduccion-PorcentajeFijo',TO_DATE('20180901','yyyymmdd'),TO_DATE('22000101','yyyymmdd'),'Version 20180730');</v>
      </c>
      <c r="B961" t="str">
        <f>IF(REGLAS!J962="OBSOLETO","","INSERT INTO INYCEXT.INYC_CONF_INF_REGLAS@tc_link (COD_INFORME,TABLA,NOMBRE,REGLA,F_INICIO,F_FIN,DESCRIPCION) VALUES ("&amp;REGLAS!B962&amp;",'"&amp;REGLAS!C962&amp;"','"&amp;REGLAS!D962&amp;"','"&amp;REGLAS!G962&amp;"',TO_DATE('"&amp;REGLAS!H962&amp;"','yyyymmdd'),TO_DATE('"&amp;REGLAS!I962&amp;"','yyyymmdd'),'"&amp;REGLAS!J962&amp;"');")</f>
        <v>INSERT INTO INYCEXT.INYC_CONF_INF_REGLAS@tc_link (COD_INFORME,TABLA,NOMBRE,REGLA,F_INICIO,F_FIN,DESCRIPCION) VALUES (102.2,'INYC_S4_E_POLIZAS','Comision Nueva Produccion','DC-E-COM-AUT-NuevaProduccion-PorcentajeFijo',TO_DATE('20180901','yyyymmdd'),TO_DATE('22000101','yyyymmdd'),'Version 20180730');</v>
      </c>
    </row>
    <row r="962" spans="1:2" x14ac:dyDescent="0.25">
      <c r="A962" t="str">
        <f>IF(REGLAS!J963="OBSOLETO","","INSERT INTO INYCEXT.INYC_CONF_INF_REGLAS (COD_INFORME,TABLA,NOMBRE,REGLA,F_INICIO,F_FIN,DESCRIPCION) VALUES ("&amp;REGLAS!B963&amp;",'"&amp;REGLAS!C963&amp;"','"&amp;REGLAS!D963&amp;"','"&amp;REGLAS!G963&amp;"',TO_DATE('"&amp;REGLAS!H963&amp;"','yyyymmdd'),TO_DATE('"&amp;REGLAS!I963&amp;"','yyyymmdd'),'"&amp;REGLAS!J963&amp;"');")</f>
        <v>INSERT INTO INYCEXT.INYC_CONF_INF_REGLAS (COD_INFORME,TABLA,NOMBRE,REGLA,F_INICIO,F_FIN,DESCRIPCION) VALUES (102.2,'INYC_S4_E_POLIZAS','Comision Nueva Produccion','DC-E-COM-AUT-NuevaProduccion-ComisionCalculada',TO_DATE('20180901','yyyymmdd'),TO_DATE('22000101','yyyymmdd'),'Version 20180730');</v>
      </c>
      <c r="B962" t="str">
        <f>IF(REGLAS!J963="OBSOLETO","","INSERT INTO INYCEXT.INYC_CONF_INF_REGLAS@tc_link (COD_INFORME,TABLA,NOMBRE,REGLA,F_INICIO,F_FIN,DESCRIPCION) VALUES ("&amp;REGLAS!B963&amp;",'"&amp;REGLAS!C963&amp;"','"&amp;REGLAS!D963&amp;"','"&amp;REGLAS!G963&amp;"',TO_DATE('"&amp;REGLAS!H963&amp;"','yyyymmdd'),TO_DATE('"&amp;REGLAS!I963&amp;"','yyyymmdd'),'"&amp;REGLAS!J963&amp;"');")</f>
        <v>INSERT INTO INYCEXT.INYC_CONF_INF_REGLAS@tc_link (COD_INFORME,TABLA,NOMBRE,REGLA,F_INICIO,F_FIN,DESCRIPCION) VALUES (102.2,'INYC_S4_E_POLIZAS','Comision Nueva Produccion','DC-E-COM-AUT-NuevaProduccion-ComisionCalculada',TO_DATE('20180901','yyyymmdd'),TO_DATE('22000101','yyyymmdd'),'Version 20180730');</v>
      </c>
    </row>
    <row r="963" spans="1:2" x14ac:dyDescent="0.25">
      <c r="A963" t="str">
        <f>IF(REGLAS!J964="OBSOLETO","","INSERT INTO INYCEXT.INYC_CONF_INF_REGLAS (COD_INFORME,TABLA,NOMBRE,REGLA,F_INICIO,F_FIN,DESCRIPCION) VALUES ("&amp;REGLAS!B964&amp;",'"&amp;REGLAS!C964&amp;"','"&amp;REGLAS!D964&amp;"','"&amp;REGLAS!G964&amp;"',TO_DATE('"&amp;REGLAS!H964&amp;"','yyyymmdd'),TO_DATE('"&amp;REGLAS!I964&amp;"','yyyymmdd'),'"&amp;REGLAS!J964&amp;"');")</f>
        <v>INSERT INTO INYCEXT.INYC_CONF_INF_REGLAS (COD_INFORME,TABLA,NOMBRE,REGLA,F_INICIO,F_FIN,DESCRIPCION) VALUES (102.2,'INYC_S4_E_POLIZAS','Comision Candidatos','DC-E-COM-AUT-NuevaProduccion-Candidatos',TO_DATE('20180901','yyyymmdd'),TO_DATE('22000101','yyyymmdd'),'Version 20180730');</v>
      </c>
      <c r="B963" t="str">
        <f>IF(REGLAS!J964="OBSOLETO","","INSERT INTO INYCEXT.INYC_CONF_INF_REGLAS@tc_link (COD_INFORME,TABLA,NOMBRE,REGLA,F_INICIO,F_FIN,DESCRIPCION) VALUES ("&amp;REGLAS!B964&amp;",'"&amp;REGLAS!C964&amp;"','"&amp;REGLAS!D964&amp;"','"&amp;REGLAS!G964&amp;"',TO_DATE('"&amp;REGLAS!H964&amp;"','yyyymmdd'),TO_DATE('"&amp;REGLAS!I964&amp;"','yyyymmdd'),'"&amp;REGLAS!J964&amp;"');")</f>
        <v>INSERT INTO INYCEXT.INYC_CONF_INF_REGLAS@tc_link (COD_INFORME,TABLA,NOMBRE,REGLA,F_INICIO,F_FIN,DESCRIPCION) VALUES (102.2,'INYC_S4_E_POLIZAS','Comision Candidatos','DC-E-COM-AUT-NuevaProduccion-Candidatos',TO_DATE('20180901','yyyymmdd'),TO_DATE('22000101','yyyymmdd'),'Version 20180730');</v>
      </c>
    </row>
    <row r="964" spans="1:2" x14ac:dyDescent="0.25">
      <c r="A964" t="str">
        <f>IF(REGLAS!J965="OBSOLETO","","INSERT INTO INYCEXT.INYC_CONF_INF_REGLAS (COD_INFORME,TABLA,NOMBRE,REGLA,F_INICIO,F_FIN,DESCRIPCION) VALUES ("&amp;REGLAS!B965&amp;",'"&amp;REGLAS!C965&amp;"','"&amp;REGLAS!D965&amp;"','"&amp;REGLAS!G965&amp;"',TO_DATE('"&amp;REGLAS!H965&amp;"','yyyymmdd'),TO_DATE('"&amp;REGLAS!I965&amp;"','yyyymmdd'),'"&amp;REGLAS!J965&amp;"');")</f>
        <v>INSERT INTO INYCEXT.INYC_CONF_INF_REGLAS (COD_INFORME,TABLA,NOMBRE,REGLA,F_INICIO,F_FIN,DESCRIPCION) VALUES (102.2,'INYC_S4_E_POLIZAS','Comision Conservacion','DC-E-COM-AUT-GestionCobro',TO_DATE('20180901','yyyymmdd'),TO_DATE('22000101','yyyymmdd'),'Version 20180730');</v>
      </c>
      <c r="B964" t="str">
        <f>IF(REGLAS!J965="OBSOLETO","","INSERT INTO INYCEXT.INYC_CONF_INF_REGLAS@tc_link (COD_INFORME,TABLA,NOMBRE,REGLA,F_INICIO,F_FIN,DESCRIPCION) VALUES ("&amp;REGLAS!B965&amp;",'"&amp;REGLAS!C965&amp;"','"&amp;REGLAS!D965&amp;"','"&amp;REGLAS!G965&amp;"',TO_DATE('"&amp;REGLAS!H965&amp;"','yyyymmdd'),TO_DATE('"&amp;REGLAS!I965&amp;"','yyyymmdd'),'"&amp;REGLAS!J965&amp;"');")</f>
        <v>INSERT INTO INYCEXT.INYC_CONF_INF_REGLAS@tc_link (COD_INFORME,TABLA,NOMBRE,REGLA,F_INICIO,F_FIN,DESCRIPCION) VALUES (102.2,'INYC_S4_E_POLIZAS','Comision Conservacion','DC-E-COM-AUT-GestionCobro',TO_DATE('20180901','yyyymmdd'),TO_DATE('22000101','yyyymmdd'),'Version 20180730');</v>
      </c>
    </row>
    <row r="965" spans="1:2" x14ac:dyDescent="0.25">
      <c r="A965" t="str">
        <f>IF(REGLAS!J966="OBSOLETO","","INSERT INTO INYCEXT.INYC_CONF_INF_REGLAS (COD_INFORME,TABLA,NOMBRE,REGLA,F_INICIO,F_FIN,DESCRIPCION) VALUES ("&amp;REGLAS!B966&amp;",'"&amp;REGLAS!C966&amp;"','"&amp;REGLAS!D966&amp;"','"&amp;REGLAS!G966&amp;"',TO_DATE('"&amp;REGLAS!H966&amp;"','yyyymmdd'),TO_DATE('"&amp;REGLAS!I966&amp;"','yyyymmdd'),'"&amp;REGLAS!J966&amp;"');")</f>
        <v>INSERT INTO INYCEXT.INYC_CONF_INF_REGLAS (COD_INFORME,TABLA,NOMBRE,REGLA,F_INICIO,F_FIN,DESCRIPCION) VALUES (102.2,'INYC_S4_E_POLIZAS','Comision Conservacion','DC-E-COM-AUT-GestionCobro-ComisionCalculada',TO_DATE('20180901','yyyymmdd'),TO_DATE('22000101','yyyymmdd'),'Version 20180730');</v>
      </c>
      <c r="B965" t="str">
        <f>IF(REGLAS!J966="OBSOLETO","","INSERT INTO INYCEXT.INYC_CONF_INF_REGLAS@tc_link (COD_INFORME,TABLA,NOMBRE,REGLA,F_INICIO,F_FIN,DESCRIPCION) VALUES ("&amp;REGLAS!B966&amp;",'"&amp;REGLAS!C966&amp;"','"&amp;REGLAS!D966&amp;"','"&amp;REGLAS!G966&amp;"',TO_DATE('"&amp;REGLAS!H966&amp;"','yyyymmdd'),TO_DATE('"&amp;REGLAS!I966&amp;"','yyyymmdd'),'"&amp;REGLAS!J966&amp;"');")</f>
        <v>INSERT INTO INYCEXT.INYC_CONF_INF_REGLAS@tc_link (COD_INFORME,TABLA,NOMBRE,REGLA,F_INICIO,F_FIN,DESCRIPCION) VALUES (102.2,'INYC_S4_E_POLIZAS','Comision Conservacion','DC-E-COM-AUT-GestionCobro-ComisionCalculada',TO_DATE('20180901','yyyymmdd'),TO_DATE('22000101','yyyymmdd'),'Version 20180730');</v>
      </c>
    </row>
    <row r="966" spans="1:2" x14ac:dyDescent="0.25">
      <c r="A966" t="str">
        <f>IF(REGLAS!J967="OBSOLETO","","INSERT INTO INYCEXT.INYC_CONF_INF_REGLAS (COD_INFORME,TABLA,NOMBRE,REGLA,F_INICIO,F_FIN,DESCRIPCION) VALUES ("&amp;REGLAS!B967&amp;",'"&amp;REGLAS!C967&amp;"','"&amp;REGLAS!D967&amp;"','"&amp;REGLAS!G967&amp;"',TO_DATE('"&amp;REGLAS!H967&amp;"','yyyymmdd'),TO_DATE('"&amp;REGLAS!I967&amp;"','yyyymmdd'),'"&amp;REGLAS!J967&amp;"');")</f>
        <v>INSERT INTO INYCEXT.INYC_CONF_INF_REGLAS (COD_INFORME,TABLA,NOMBRE,REGLA,F_INICIO,F_FIN,DESCRIPCION) VALUES (102.2,'INYC_S4_E_POLIZAS','Comision Conservacion','DC-E-COM-AUT-GestionCobro-PorcentajeFijo',TO_DATE('20180901','yyyymmdd'),TO_DATE('22000101','yyyymmdd'),'Version 20180730');</v>
      </c>
      <c r="B966" t="str">
        <f>IF(REGLAS!J967="OBSOLETO","","INSERT INTO INYCEXT.INYC_CONF_INF_REGLAS@tc_link (COD_INFORME,TABLA,NOMBRE,REGLA,F_INICIO,F_FIN,DESCRIPCION) VALUES ("&amp;REGLAS!B967&amp;",'"&amp;REGLAS!C967&amp;"','"&amp;REGLAS!D967&amp;"','"&amp;REGLAS!G967&amp;"',TO_DATE('"&amp;REGLAS!H967&amp;"','yyyymmdd'),TO_DATE('"&amp;REGLAS!I967&amp;"','yyyymmdd'),'"&amp;REGLAS!J967&amp;"');")</f>
        <v>INSERT INTO INYCEXT.INYC_CONF_INF_REGLAS@tc_link (COD_INFORME,TABLA,NOMBRE,REGLA,F_INICIO,F_FIN,DESCRIPCION) VALUES (102.2,'INYC_S4_E_POLIZAS','Comision Conservacion','DC-E-COM-AUT-GestionCobro-PorcentajeFijo',TO_DATE('20180901','yyyymmdd'),TO_DATE('22000101','yyyymmdd'),'Version 20180730');</v>
      </c>
    </row>
    <row r="967" spans="1:2" x14ac:dyDescent="0.25">
      <c r="A967" t="str">
        <f>IF(REGLAS!J968="OBSOLETO","","INSERT INTO INYCEXT.INYC_CONF_INF_REGLAS (COD_INFORME,TABLA,NOMBRE,REGLA,F_INICIO,F_FIN,DESCRIPCION) VALUES ("&amp;REGLAS!B968&amp;",'"&amp;REGLAS!C968&amp;"','"&amp;REGLAS!D968&amp;"','"&amp;REGLAS!G968&amp;"',TO_DATE('"&amp;REGLAS!H968&amp;"','yyyymmdd'),TO_DATE('"&amp;REGLAS!I968&amp;"','yyyymmdd'),'"&amp;REGLAS!J968&amp;"');")</f>
        <v>INSERT INTO INYCEXT.INYC_CONF_INF_REGLAS (COD_INFORME,TABLA,NOMBRE,REGLA,F_INICIO,F_FIN,DESCRIPCION) VALUES (102.2,'INYC_S4_E_POLIZAS','Comision Conservacion','DC-E-COM-AUT-Conservacion-PorcentajeFijo',TO_DATE('20180901','yyyymmdd'),TO_DATE('22000101','yyyymmdd'),'Version 20180730');</v>
      </c>
      <c r="B967" t="str">
        <f>IF(REGLAS!J968="OBSOLETO","","INSERT INTO INYCEXT.INYC_CONF_INF_REGLAS@tc_link (COD_INFORME,TABLA,NOMBRE,REGLA,F_INICIO,F_FIN,DESCRIPCION) VALUES ("&amp;REGLAS!B968&amp;",'"&amp;REGLAS!C968&amp;"','"&amp;REGLAS!D968&amp;"','"&amp;REGLAS!G968&amp;"',TO_DATE('"&amp;REGLAS!H968&amp;"','yyyymmdd'),TO_DATE('"&amp;REGLAS!I968&amp;"','yyyymmdd'),'"&amp;REGLAS!J968&amp;"');")</f>
        <v>INSERT INTO INYCEXT.INYC_CONF_INF_REGLAS@tc_link (COD_INFORME,TABLA,NOMBRE,REGLA,F_INICIO,F_FIN,DESCRIPCION) VALUES (102.2,'INYC_S4_E_POLIZAS','Comision Conservacion','DC-E-COM-AUT-Conservacion-PorcentajeFijo',TO_DATE('20180901','yyyymmdd'),TO_DATE('22000101','yyyymmdd'),'Version 20180730');</v>
      </c>
    </row>
    <row r="968" spans="1:2" x14ac:dyDescent="0.25">
      <c r="A968" t="str">
        <f>IF(REGLAS!J969="OBSOLETO","","INSERT INTO INYCEXT.INYC_CONF_INF_REGLAS (COD_INFORME,TABLA,NOMBRE,REGLA,F_INICIO,F_FIN,DESCRIPCION) VALUES ("&amp;REGLAS!B969&amp;",'"&amp;REGLAS!C969&amp;"','"&amp;REGLAS!D969&amp;"','"&amp;REGLAS!G969&amp;"',TO_DATE('"&amp;REGLAS!H969&amp;"','yyyymmdd'),TO_DATE('"&amp;REGLAS!I969&amp;"','yyyymmdd'),'"&amp;REGLAS!J969&amp;"');")</f>
        <v>INSERT INTO INYCEXT.INYC_CONF_INF_REGLAS (COD_INFORME,TABLA,NOMBRE,REGLA,F_INICIO,F_FIN,DESCRIPCION) VALUES (102.2,'INYC_S4_E_POLIZAS','Comision Conservacion','DC-E-COM-AUT-Conservacion-ComisionCalculada',TO_DATE('20180901','yyyymmdd'),TO_DATE('22000101','yyyymmdd'),'Version 20180730');</v>
      </c>
      <c r="B968" t="str">
        <f>IF(REGLAS!J969="OBSOLETO","","INSERT INTO INYCEXT.INYC_CONF_INF_REGLAS@tc_link (COD_INFORME,TABLA,NOMBRE,REGLA,F_INICIO,F_FIN,DESCRIPCION) VALUES ("&amp;REGLAS!B969&amp;",'"&amp;REGLAS!C969&amp;"','"&amp;REGLAS!D969&amp;"','"&amp;REGLAS!G969&amp;"',TO_DATE('"&amp;REGLAS!H969&amp;"','yyyymmdd'),TO_DATE('"&amp;REGLAS!I969&amp;"','yyyymmdd'),'"&amp;REGLAS!J969&amp;"');")</f>
        <v>INSERT INTO INYCEXT.INYC_CONF_INF_REGLAS@tc_link (COD_INFORME,TABLA,NOMBRE,REGLA,F_INICIO,F_FIN,DESCRIPCION) VALUES (102.2,'INYC_S4_E_POLIZAS','Comision Conservacion','DC-E-COM-AUT-Conservacion-ComisionCalculada',TO_DATE('20180901','yyyymmdd'),TO_DATE('22000101','yyyymmdd'),'Version 20180730');</v>
      </c>
    </row>
    <row r="969" spans="1:2" x14ac:dyDescent="0.25">
      <c r="A969" t="str">
        <f>IF(REGLAS!J970="OBSOLETO","","INSERT INTO INYCEXT.INYC_CONF_INF_REGLAS (COD_INFORME,TABLA,NOMBRE,REGLA,F_INICIO,F_FIN,DESCRIPCION) VALUES ("&amp;REGLAS!B970&amp;",'"&amp;REGLAS!C970&amp;"','"&amp;REGLAS!D970&amp;"','"&amp;REGLAS!G970&amp;"',TO_DATE('"&amp;REGLAS!H970&amp;"','yyyymmdd'),TO_DATE('"&amp;REGLAS!I970&amp;"','yyyymmdd'),'"&amp;REGLAS!J970&amp;"');")</f>
        <v>INSERT INTO INYCEXT.INYC_CONF_INF_REGLAS (COD_INFORME,TABLA,NOMBRE,REGLA,F_INICIO,F_FIN,DESCRIPCION) VALUES (102.2,'INYC_S4_E_POLIZAS','Comision Conservacion','DC-E-COM-AUT-Conservacion-RecalcularPorcentaje',TO_DATE('20180901','yyyymmdd'),TO_DATE('22000101','yyyymmdd'),'Version 20180730');</v>
      </c>
      <c r="B969" t="str">
        <f>IF(REGLAS!J970="OBSOLETO","","INSERT INTO INYCEXT.INYC_CONF_INF_REGLAS@tc_link (COD_INFORME,TABLA,NOMBRE,REGLA,F_INICIO,F_FIN,DESCRIPCION) VALUES ("&amp;REGLAS!B970&amp;",'"&amp;REGLAS!C970&amp;"','"&amp;REGLAS!D970&amp;"','"&amp;REGLAS!G970&amp;"',TO_DATE('"&amp;REGLAS!H970&amp;"','yyyymmdd'),TO_DATE('"&amp;REGLAS!I970&amp;"','yyyymmdd'),'"&amp;REGLAS!J970&amp;"');")</f>
        <v>INSERT INTO INYCEXT.INYC_CONF_INF_REGLAS@tc_link (COD_INFORME,TABLA,NOMBRE,REGLA,F_INICIO,F_FIN,DESCRIPCION) VALUES (102.2,'INYC_S4_E_POLIZAS','Comision Conservacion','DC-E-COM-AUT-Conservacion-RecalcularPorcentaje',TO_DATE('20180901','yyyymmdd'),TO_DATE('22000101','yyyymmdd'),'Version 20180730');</v>
      </c>
    </row>
    <row r="970" spans="1:2" x14ac:dyDescent="0.25">
      <c r="A970" t="str">
        <f>IF(REGLAS!J971="OBSOLETO","","INSERT INTO INYCEXT.INYC_CONF_INF_REGLAS (COD_INFORME,TABLA,NOMBRE,REGLA,F_INICIO,F_FIN,DESCRIPCION) VALUES ("&amp;REGLAS!B971&amp;",'"&amp;REGLAS!C971&amp;"','"&amp;REGLAS!D971&amp;"','"&amp;REGLAS!G971&amp;"',TO_DATE('"&amp;REGLAS!H971&amp;"','yyyymmdd'),TO_DATE('"&amp;REGLAS!I971&amp;"','yyyymmdd'),'"&amp;REGLAS!J971&amp;"');")</f>
        <v>INSERT INTO INYCEXT.INYC_CONF_INF_REGLAS (COD_INFORME,TABLA,NOMBRE,REGLA,F_INICIO,F_FIN,DESCRIPCION) VALUES (102.2,'INYC_S4_E_POLIZAS','Comision Cartera','DC-E-COM-AUT-Cartera-Porcentaje',TO_DATE('20180901','yyyymmdd'),TO_DATE('22000101','yyyymmdd'),'Version 20180730');</v>
      </c>
      <c r="B970" t="str">
        <f>IF(REGLAS!J971="OBSOLETO","","INSERT INTO INYCEXT.INYC_CONF_INF_REGLAS@tc_link (COD_INFORME,TABLA,NOMBRE,REGLA,F_INICIO,F_FIN,DESCRIPCION) VALUES ("&amp;REGLAS!B971&amp;",'"&amp;REGLAS!C971&amp;"','"&amp;REGLAS!D971&amp;"','"&amp;REGLAS!G971&amp;"',TO_DATE('"&amp;REGLAS!H971&amp;"','yyyymmdd'),TO_DATE('"&amp;REGLAS!I971&amp;"','yyyymmdd'),'"&amp;REGLAS!J971&amp;"');")</f>
        <v>INSERT INTO INYCEXT.INYC_CONF_INF_REGLAS@tc_link (COD_INFORME,TABLA,NOMBRE,REGLA,F_INICIO,F_FIN,DESCRIPCION) VALUES (102.2,'INYC_S4_E_POLIZAS','Comision Cartera','DC-E-COM-AUT-Cartera-Porcentaje',TO_DATE('20180901','yyyymmdd'),TO_DATE('22000101','yyyymmdd'),'Version 20180730');</v>
      </c>
    </row>
    <row r="971" spans="1:2" x14ac:dyDescent="0.25">
      <c r="A971" t="str">
        <f>IF(REGLAS!J972="OBSOLETO","","INSERT INTO INYCEXT.INYC_CONF_INF_REGLAS (COD_INFORME,TABLA,NOMBRE,REGLA,F_INICIO,F_FIN,DESCRIPCION) VALUES ("&amp;REGLAS!B972&amp;",'"&amp;REGLAS!C972&amp;"','"&amp;REGLAS!D972&amp;"','"&amp;REGLAS!G972&amp;"',TO_DATE('"&amp;REGLAS!H972&amp;"','yyyymmdd'),TO_DATE('"&amp;REGLAS!I972&amp;"','yyyymmdd'),'"&amp;REGLAS!J972&amp;"');")</f>
        <v>INSERT INTO INYCEXT.INYC_CONF_INF_REGLAS (COD_INFORME,TABLA,NOMBRE,REGLA,F_INICIO,F_FIN,DESCRIPCION) VALUES (102.2,'INYC_S4_E_POLIZAS','Comision Cartera','DC-E-COM-AUT-Cartera-Importe',TO_DATE('20180901','yyyymmdd'),TO_DATE('22000101','yyyymmdd'),'Version 20180730');</v>
      </c>
      <c r="B971" t="str">
        <f>IF(REGLAS!J972="OBSOLETO","","INSERT INTO INYCEXT.INYC_CONF_INF_REGLAS@tc_link (COD_INFORME,TABLA,NOMBRE,REGLA,F_INICIO,F_FIN,DESCRIPCION) VALUES ("&amp;REGLAS!B972&amp;",'"&amp;REGLAS!C972&amp;"','"&amp;REGLAS!D972&amp;"','"&amp;REGLAS!G972&amp;"',TO_DATE('"&amp;REGLAS!H972&amp;"','yyyymmdd'),TO_DATE('"&amp;REGLAS!I972&amp;"','yyyymmdd'),'"&amp;REGLAS!J972&amp;"');")</f>
        <v>INSERT INTO INYCEXT.INYC_CONF_INF_REGLAS@tc_link (COD_INFORME,TABLA,NOMBRE,REGLA,F_INICIO,F_FIN,DESCRIPCION) VALUES (102.2,'INYC_S4_E_POLIZAS','Comision Cartera','DC-E-COM-AUT-Cartera-Importe',TO_DATE('20180901','yyyymmdd'),TO_DATE('22000101','yyyymmdd'),'Version 20180730');</v>
      </c>
    </row>
    <row r="972" spans="1:2" x14ac:dyDescent="0.25">
      <c r="A972" t="str">
        <f>IF(REGLAS!J973="OBSOLETO","","INSERT INTO INYCEXT.INYC_CONF_INF_REGLAS (COD_INFORME,TABLA,NOMBRE,REGLA,F_INICIO,F_FIN,DESCRIPCION) VALUES ("&amp;REGLAS!B973&amp;",'"&amp;REGLAS!C973&amp;"','"&amp;REGLAS!D973&amp;"','"&amp;REGLAS!G973&amp;"',TO_DATE('"&amp;REGLAS!H973&amp;"','yyyymmdd'),TO_DATE('"&amp;REGLAS!I973&amp;"','yyyymmdd'),'"&amp;REGLAS!J973&amp;"');")</f>
        <v>INSERT INTO INYCEXT.INYC_CONF_INF_REGLAS (COD_INFORME,TABLA,NOMBRE,REGLA,F_INICIO,F_FIN,DESCRIPCION) VALUES (102.2,'INYC_S4_E_POLIZAS','Comision Recuperacion','DC-E-COM-AUT-Conservacion-Recuperadas',TO_DATE('20180901','yyyymmdd'),TO_DATE('22000101','yyyymmdd'),'Version 20180730');</v>
      </c>
      <c r="B972" t="str">
        <f>IF(REGLAS!J973="OBSOLETO","","INSERT INTO INYCEXT.INYC_CONF_INF_REGLAS@tc_link (COD_INFORME,TABLA,NOMBRE,REGLA,F_INICIO,F_FIN,DESCRIPCION) VALUES ("&amp;REGLAS!B973&amp;",'"&amp;REGLAS!C973&amp;"','"&amp;REGLAS!D973&amp;"','"&amp;REGLAS!G973&amp;"',TO_DATE('"&amp;REGLAS!H973&amp;"','yyyymmdd'),TO_DATE('"&amp;REGLAS!I973&amp;"','yyyymmdd'),'"&amp;REGLAS!J973&amp;"');")</f>
        <v>INSERT INTO INYCEXT.INYC_CONF_INF_REGLAS@tc_link (COD_INFORME,TABLA,NOMBRE,REGLA,F_INICIO,F_FIN,DESCRIPCION) VALUES (102.2,'INYC_S4_E_POLIZAS','Comision Recuperacion','DC-E-COM-AUT-Conservacion-Recuperadas',TO_DATE('20180901','yyyymmdd'),TO_DATE('22000101','yyyymmdd'),'Version 20180730');</v>
      </c>
    </row>
    <row r="973" spans="1:2" x14ac:dyDescent="0.25">
      <c r="A973" t="str">
        <f>IF(REGLAS!J974="OBSOLETO","","INSERT INTO INYCEXT.INYC_CONF_INF_REGLAS (COD_INFORME,TABLA,NOMBRE,REGLA,F_INICIO,F_FIN,DESCRIPCION) VALUES ("&amp;REGLAS!B974&amp;",'"&amp;REGLAS!C974&amp;"','"&amp;REGLAS!D974&amp;"','"&amp;REGLAS!G974&amp;"',TO_DATE('"&amp;REGLAS!H974&amp;"','yyyymmdd'),TO_DATE('"&amp;REGLAS!I974&amp;"','yyyymmdd'),'"&amp;REGLAS!J974&amp;"');")</f>
        <v>INSERT INTO INYCEXT.INYC_CONF_INF_REGLAS (COD_INFORME,TABLA,NOMBRE,REGLA,F_INICIO,F_FIN,DESCRIPCION) VALUES (102.2,'INYC_S4_E_POLIZAS','Asistencias','DC-O-COM-AUT-ServiciosAsistencia-Importe',TO_DATE('20180901','yyyymmdd'),TO_DATE('22000101','yyyymmdd'),'Version 20180730');</v>
      </c>
      <c r="B973" t="str">
        <f>IF(REGLAS!J974="OBSOLETO","","INSERT INTO INYCEXT.INYC_CONF_INF_REGLAS@tc_link (COD_INFORME,TABLA,NOMBRE,REGLA,F_INICIO,F_FIN,DESCRIPCION) VALUES ("&amp;REGLAS!B974&amp;",'"&amp;REGLAS!C974&amp;"','"&amp;REGLAS!D974&amp;"','"&amp;REGLAS!G974&amp;"',TO_DATE('"&amp;REGLAS!H974&amp;"','yyyymmdd'),TO_DATE('"&amp;REGLAS!I974&amp;"','yyyymmdd'),'"&amp;REGLAS!J974&amp;"');")</f>
        <v>INSERT INTO INYCEXT.INYC_CONF_INF_REGLAS@tc_link (COD_INFORME,TABLA,NOMBRE,REGLA,F_INICIO,F_FIN,DESCRIPCION) VALUES (102.2,'INYC_S4_E_POLIZAS','Asistencias','DC-O-COM-AUT-ServiciosAsistencia-Importe',TO_DATE('20180901','yyyymmdd'),TO_DATE('22000101','yyyymmdd'),'Version 20180730');</v>
      </c>
    </row>
    <row r="974" spans="1:2" x14ac:dyDescent="0.25">
      <c r="A974" t="str">
        <f>IF(REGLAS!J975="OBSOLETO","","INSERT INTO INYCEXT.INYC_CONF_INF_REGLAS (COD_INFORME,TABLA,NOMBRE,REGLA,F_INICIO,F_FIN,DESCRIPCION) VALUES ("&amp;REGLAS!B975&amp;",'"&amp;REGLAS!C975&amp;"','"&amp;REGLAS!D975&amp;"','"&amp;REGLAS!G975&amp;"',TO_DATE('"&amp;REGLAS!H975&amp;"','yyyymmdd'),TO_DATE('"&amp;REGLAS!I975&amp;"','yyyymmdd'),'"&amp;REGLAS!J975&amp;"');")</f>
        <v>INSERT INTO INYCEXT.INYC_CONF_INF_REGLAS (COD_INFORME,TABLA,NOMBRE,REGLA,F_INICIO,F_FIN,DESCRIPCION) VALUES (102.2,'INYC_S4_E_POLIZAS','Recuperaciones Comision','DC-E-SER-COM',TO_DATE('20200201','yyyymmdd'),TO_DATE('22000101','yyyymmdd'),'Version 20200227');</v>
      </c>
      <c r="B974" t="str">
        <f>IF(REGLAS!J975="OBSOLETO","","INSERT INTO INYCEXT.INYC_CONF_INF_REGLAS@tc_link (COD_INFORME,TABLA,NOMBRE,REGLA,F_INICIO,F_FIN,DESCRIPCION) VALUES ("&amp;REGLAS!B975&amp;",'"&amp;REGLAS!C975&amp;"','"&amp;REGLAS!D975&amp;"','"&amp;REGLAS!G975&amp;"',TO_DATE('"&amp;REGLAS!H975&amp;"','yyyymmdd'),TO_DATE('"&amp;REGLAS!I975&amp;"','yyyymmdd'),'"&amp;REGLAS!J975&amp;"');")</f>
        <v>INSERT INTO INYCEXT.INYC_CONF_INF_REGLAS@tc_link (COD_INFORME,TABLA,NOMBRE,REGLA,F_INICIO,F_FIN,DESCRIPCION) VALUES (102.2,'INYC_S4_E_POLIZAS','Recuperaciones Comision','DC-E-SER-COM',TO_DATE('20200201','yyyymmdd'),TO_DATE('22000101','yyyymmdd'),'Version 20200227');</v>
      </c>
    </row>
    <row r="975" spans="1:2" x14ac:dyDescent="0.25">
      <c r="A975" t="str">
        <f>IF(REGLAS!J976="OBSOLETO","","INSERT INTO INYCEXT.INYC_CONF_INF_REGLAS (COD_INFORME,TABLA,NOMBRE,REGLA,F_INICIO,F_FIN,DESCRIPCION) VALUES ("&amp;REGLAS!B976&amp;",'"&amp;REGLAS!C976&amp;"','"&amp;REGLAS!D976&amp;"','"&amp;REGLAS!G976&amp;"',TO_DATE('"&amp;REGLAS!H976&amp;"','yyyymmdd'),TO_DATE('"&amp;REGLAS!I976&amp;"','yyyymmdd'),'"&amp;REGLAS!J976&amp;"');")</f>
        <v>INSERT INTO INYCEXT.INYC_CONF_INF_REGLAS (COD_INFORME,TABLA,NOMBRE,REGLA,F_INICIO,F_FIN,DESCRIPCION) VALUES (102.2,'INYC_S4_E_POLIZAS','Recuperaciones Gratificacion','DC-E-SER-SUBV',TO_DATE('20200201','yyyymmdd'),TO_DATE('22000101','yyyymmdd'),'Version 20200227');</v>
      </c>
      <c r="B975" t="str">
        <f>IF(REGLAS!J976="OBSOLETO","","INSERT INTO INYCEXT.INYC_CONF_INF_REGLAS@tc_link (COD_INFORME,TABLA,NOMBRE,REGLA,F_INICIO,F_FIN,DESCRIPCION) VALUES ("&amp;REGLAS!B976&amp;",'"&amp;REGLAS!C976&amp;"','"&amp;REGLAS!D976&amp;"','"&amp;REGLAS!G976&amp;"',TO_DATE('"&amp;REGLAS!H976&amp;"','yyyymmdd'),TO_DATE('"&amp;REGLAS!I976&amp;"','yyyymmdd'),'"&amp;REGLAS!J976&amp;"');")</f>
        <v>INSERT INTO INYCEXT.INYC_CONF_INF_REGLAS@tc_link (COD_INFORME,TABLA,NOMBRE,REGLA,F_INICIO,F_FIN,DESCRIPCION) VALUES (102.2,'INYC_S4_E_POLIZAS','Recuperaciones Gratificacion','DC-E-SER-SUBV',TO_DATE('20200201','yyyymmdd'),TO_DATE('22000101','yyyymmdd'),'Version 20200227');</v>
      </c>
    </row>
    <row r="976" spans="1:2" x14ac:dyDescent="0.25">
      <c r="A976" t="str">
        <f>IF(REGLAS!J977="OBSOLETO","","INSERT INTO INYCEXT.INYC_CONF_INF_REGLAS (COD_INFORME,TABLA,NOMBRE,REGLA,F_INICIO,F_FIN,DESCRIPCION) VALUES ("&amp;REGLAS!B977&amp;",'"&amp;REGLAS!C977&amp;"','"&amp;REGLAS!D977&amp;"','"&amp;REGLAS!G977&amp;"',TO_DATE('"&amp;REGLAS!H977&amp;"','yyyymmdd'),TO_DATE('"&amp;REGLAS!I977&amp;"','yyyymmdd'),'"&amp;REGLAS!J977&amp;"');")</f>
        <v>INSERT INTO INYCEXT.INYC_CONF_INF_REGLAS (COD_INFORME,TABLA,NOMBRE,REGLA,F_INICIO,F_FIN,DESCRIPCION) VALUES (102.2,'INYC_S4_E_POLIZAS','Pagos Comerciales','D-E-Pagos-Fijos',TO_DATE('20140101','yyyymmdd'),TO_DATE('22000101','yyyymmdd'),'');</v>
      </c>
      <c r="B976" t="str">
        <f>IF(REGLAS!J977="OBSOLETO","","INSERT INTO INYCEXT.INYC_CONF_INF_REGLAS@tc_link (COD_INFORME,TABLA,NOMBRE,REGLA,F_INICIO,F_FIN,DESCRIPCION) VALUES ("&amp;REGLAS!B977&amp;",'"&amp;REGLAS!C977&amp;"','"&amp;REGLAS!D977&amp;"','"&amp;REGLAS!G977&amp;"',TO_DATE('"&amp;REGLAS!H977&amp;"','yyyymmdd'),TO_DATE('"&amp;REGLAS!I977&amp;"','yyyymmdd'),'"&amp;REGLAS!J977&amp;"');")</f>
        <v>INSERT INTO INYCEXT.INYC_CONF_INF_REGLAS@tc_link (COD_INFORME,TABLA,NOMBRE,REGLA,F_INICIO,F_FIN,DESCRIPCION) VALUES (102.2,'INYC_S4_E_POLIZAS','Pagos Comerciales','D-E-Pagos-Fijos',TO_DATE('20140101','yyyymmdd'),TO_DATE('22000101','yyyymmdd'),'');</v>
      </c>
    </row>
    <row r="977" spans="1:2" x14ac:dyDescent="0.25">
      <c r="A977" t="str">
        <f>IF(REGLAS!J978="OBSOLETO","","INSERT INTO INYCEXT.INYC_CONF_INF_REGLAS (COD_INFORME,TABLA,NOMBRE,REGLA,F_INICIO,F_FIN,DESCRIPCION) VALUES ("&amp;REGLAS!B978&amp;",'"&amp;REGLAS!C978&amp;"','"&amp;REGLAS!D978&amp;"','"&amp;REGLAS!G978&amp;"',TO_DATE('"&amp;REGLAS!H978&amp;"','yyyymmdd'),TO_DATE('"&amp;REGLAS!I978&amp;"','yyyymmdd'),'"&amp;REGLAS!J978&amp;"');")</f>
        <v>INSERT INTO INYCEXT.INYC_CONF_INF_REGLAS (COD_INFORME,TABLA,NOMBRE,REGLA,F_INICIO,F_FIN,DESCRIPCION) VALUES (103.2,'INYC_S5_E_POLIZAS','Diferenciales Eterna','DC-E-GEN-Inspector-NumeroPolizas-998',TO_DATE('20140101','yyyymmdd'),TO_DATE('22000101','yyyymmdd'),'');</v>
      </c>
      <c r="B977" t="str">
        <f>IF(REGLAS!J978="OBSOLETO","","INSERT INTO INYCEXT.INYC_CONF_INF_REGLAS@tc_link (COD_INFORME,TABLA,NOMBRE,REGLA,F_INICIO,F_FIN,DESCRIPCION) VALUES ("&amp;REGLAS!B978&amp;",'"&amp;REGLAS!C978&amp;"','"&amp;REGLAS!D978&amp;"','"&amp;REGLAS!G978&amp;"',TO_DATE('"&amp;REGLAS!H978&amp;"','yyyymmdd'),TO_DATE('"&amp;REGLAS!I978&amp;"','yyyymmdd'),'"&amp;REGLAS!J978&amp;"');")</f>
        <v>INSERT INTO INYCEXT.INYC_CONF_INF_REGLAS@tc_link (COD_INFORME,TABLA,NOMBRE,REGLA,F_INICIO,F_FIN,DESCRIPCION) VALUES (103.2,'INYC_S5_E_POLIZAS','Diferenciales Eterna','DC-E-GEN-Inspector-NumeroPolizas-998',TO_DATE('20140101','yyyymmdd'),TO_DATE('22000101','yyyymmdd'),'');</v>
      </c>
    </row>
    <row r="978" spans="1:2" x14ac:dyDescent="0.25">
      <c r="A978" t="str">
        <f>IF(REGLAS!J979="OBSOLETO","","INSERT INTO INYCEXT.INYC_CONF_INF_REGLAS (COD_INFORME,TABLA,NOMBRE,REGLA,F_INICIO,F_FIN,DESCRIPCION) VALUES ("&amp;REGLAS!B979&amp;",'"&amp;REGLAS!C979&amp;"','"&amp;REGLAS!D979&amp;"','"&amp;REGLAS!G979&amp;"',TO_DATE('"&amp;REGLAS!H979&amp;"','yyyymmdd'),TO_DATE('"&amp;REGLAS!I979&amp;"','yyyymmdd'),'"&amp;REGLAS!J979&amp;"');")</f>
        <v>INSERT INTO INYCEXT.INYC_CONF_INF_REGLAS (COD_INFORME,TABLA,NOMBRE,REGLA,F_INICIO,F_FIN,DESCRIPCION) VALUES (103.2,'INYC_S5_E_POLIZAS','Diferenciales Eterna','IC-E-GEN-Inspector-NumeroPolizas-998',TO_DATE('20140101','yyyymmdd'),TO_DATE('22000101','yyyymmdd'),'');</v>
      </c>
      <c r="B978" t="str">
        <f>IF(REGLAS!J979="OBSOLETO","","INSERT INTO INYCEXT.INYC_CONF_INF_REGLAS@tc_link (COD_INFORME,TABLA,NOMBRE,REGLA,F_INICIO,F_FIN,DESCRIPCION) VALUES ("&amp;REGLAS!B979&amp;",'"&amp;REGLAS!C979&amp;"','"&amp;REGLAS!D979&amp;"','"&amp;REGLAS!G979&amp;"',TO_DATE('"&amp;REGLAS!H979&amp;"','yyyymmdd'),TO_DATE('"&amp;REGLAS!I979&amp;"','yyyymmdd'),'"&amp;REGLAS!J979&amp;"');")</f>
        <v>INSERT INTO INYCEXT.INYC_CONF_INF_REGLAS@tc_link (COD_INFORME,TABLA,NOMBRE,REGLA,F_INICIO,F_FIN,DESCRIPCION) VALUES (103.2,'INYC_S5_E_POLIZAS','Diferenciales Eterna','IC-E-GEN-Inspector-NumeroPolizas-998',TO_DATE('20140101','yyyymmdd'),TO_DATE('22000101','yyyymmdd'),'');</v>
      </c>
    </row>
    <row r="979" spans="1:2" x14ac:dyDescent="0.25">
      <c r="A979" t="str">
        <f>IF(REGLAS!J980="OBSOLETO","","INSERT INTO INYCEXT.INYC_CONF_INF_REGLAS (COD_INFORME,TABLA,NOMBRE,REGLA,F_INICIO,F_FIN,DESCRIPCION) VALUES ("&amp;REGLAS!B980&amp;",'"&amp;REGLAS!C980&amp;"','"&amp;REGLAS!D980&amp;"','"&amp;REGLAS!G980&amp;"',TO_DATE('"&amp;REGLAS!H980&amp;"','yyyymmdd'),TO_DATE('"&amp;REGLAS!I980&amp;"','yyyymmdd'),'"&amp;REGLAS!J980&amp;"');")</f>
        <v>INSERT INTO INYCEXT.INYC_CONF_INF_REGLAS (COD_INFORME,TABLA,NOMBRE,REGLA,F_INICIO,F_FIN,DESCRIPCION) VALUES (103.2,'INYC_S5_E_POLIZAS','Diferenciales Eterna','DC-E-GEN-Inspector-PrimaCorregida-998',TO_DATE('20140101','yyyymmdd'),TO_DATE('22000101','yyyymmdd'),'');</v>
      </c>
      <c r="B979" t="str">
        <f>IF(REGLAS!J980="OBSOLETO","","INSERT INTO INYCEXT.INYC_CONF_INF_REGLAS@tc_link (COD_INFORME,TABLA,NOMBRE,REGLA,F_INICIO,F_FIN,DESCRIPCION) VALUES ("&amp;REGLAS!B980&amp;",'"&amp;REGLAS!C980&amp;"','"&amp;REGLAS!D980&amp;"','"&amp;REGLAS!G980&amp;"',TO_DATE('"&amp;REGLAS!H980&amp;"','yyyymmdd'),TO_DATE('"&amp;REGLAS!I980&amp;"','yyyymmdd'),'"&amp;REGLAS!J980&amp;"');")</f>
        <v>INSERT INTO INYCEXT.INYC_CONF_INF_REGLAS@tc_link (COD_INFORME,TABLA,NOMBRE,REGLA,F_INICIO,F_FIN,DESCRIPCION) VALUES (103.2,'INYC_S5_E_POLIZAS','Diferenciales Eterna','DC-E-GEN-Inspector-PrimaCorregida-998',TO_DATE('20140101','yyyymmdd'),TO_DATE('22000101','yyyymmdd'),'');</v>
      </c>
    </row>
    <row r="980" spans="1:2" x14ac:dyDescent="0.25">
      <c r="A980" t="str">
        <f>IF(REGLAS!J981="OBSOLETO","","INSERT INTO INYCEXT.INYC_CONF_INF_REGLAS (COD_INFORME,TABLA,NOMBRE,REGLA,F_INICIO,F_FIN,DESCRIPCION) VALUES ("&amp;REGLAS!B981&amp;",'"&amp;REGLAS!C981&amp;"','"&amp;REGLAS!D981&amp;"','"&amp;REGLAS!G981&amp;"',TO_DATE('"&amp;REGLAS!H981&amp;"','yyyymmdd'),TO_DATE('"&amp;REGLAS!I981&amp;"','yyyymmdd'),'"&amp;REGLAS!J981&amp;"');")</f>
        <v>INSERT INTO INYCEXT.INYC_CONF_INF_REGLAS (COD_INFORME,TABLA,NOMBRE,REGLA,F_INICIO,F_FIN,DESCRIPCION) VALUES (103.2,'INYC_S5_E_POLIZAS','Diferenciales Eterna','IC-E-GEN-Inspector-PrimaCorregida-998',TO_DATE('20140101','yyyymmdd'),TO_DATE('22000101','yyyymmdd'),'');</v>
      </c>
      <c r="B980" t="str">
        <f>IF(REGLAS!J981="OBSOLETO","","INSERT INTO INYCEXT.INYC_CONF_INF_REGLAS@tc_link (COD_INFORME,TABLA,NOMBRE,REGLA,F_INICIO,F_FIN,DESCRIPCION) VALUES ("&amp;REGLAS!B981&amp;",'"&amp;REGLAS!C981&amp;"','"&amp;REGLAS!D981&amp;"','"&amp;REGLAS!G981&amp;"',TO_DATE('"&amp;REGLAS!H981&amp;"','yyyymmdd'),TO_DATE('"&amp;REGLAS!I981&amp;"','yyyymmdd'),'"&amp;REGLAS!J981&amp;"');")</f>
        <v>INSERT INTO INYCEXT.INYC_CONF_INF_REGLAS@tc_link (COD_INFORME,TABLA,NOMBRE,REGLA,F_INICIO,F_FIN,DESCRIPCION) VALUES (103.2,'INYC_S5_E_POLIZAS','Diferenciales Eterna','IC-E-GEN-Inspector-PrimaCorregida-998',TO_DATE('20140101','yyyymmdd'),TO_DATE('22000101','yyyymmdd'),'');</v>
      </c>
    </row>
    <row r="981" spans="1:2" x14ac:dyDescent="0.25">
      <c r="A981" t="str">
        <f>IF(REGLAS!J982="OBSOLETO","","INSERT INTO INYCEXT.INYC_CONF_INF_REGLAS (COD_INFORME,TABLA,NOMBRE,REGLA,F_INICIO,F_FIN,DESCRIPCION) VALUES ("&amp;REGLAS!B982&amp;",'"&amp;REGLAS!C982&amp;"','"&amp;REGLAS!D982&amp;"','"&amp;REGLAS!G982&amp;"',TO_DATE('"&amp;REGLAS!H982&amp;"','yyyymmdd'),TO_DATE('"&amp;REGLAS!I982&amp;"','yyyymmdd'),'"&amp;REGLAS!J982&amp;"');")</f>
        <v>INSERT INTO INYCEXT.INYC_CONF_INF_REGLAS (COD_INFORME,TABLA,NOMBRE,REGLA,F_INICIO,F_FIN,DESCRIPCION) VALUES (103.2,'INYC_S5_E_POLIZAS','Pagos Comerciales','D-E-Pagos-Fijos',TO_DATE('20140101','yyyymmdd'),TO_DATE('22000101','yyyymmdd'),'');</v>
      </c>
      <c r="B981" t="str">
        <f>IF(REGLAS!J982="OBSOLETO","","INSERT INTO INYCEXT.INYC_CONF_INF_REGLAS@tc_link (COD_INFORME,TABLA,NOMBRE,REGLA,F_INICIO,F_FIN,DESCRIPCION) VALUES ("&amp;REGLAS!B982&amp;",'"&amp;REGLAS!C982&amp;"','"&amp;REGLAS!D982&amp;"','"&amp;REGLAS!G982&amp;"',TO_DATE('"&amp;REGLAS!H982&amp;"','yyyymmdd'),TO_DATE('"&amp;REGLAS!I982&amp;"','yyyymmdd'),'"&amp;REGLAS!J982&amp;"');")</f>
        <v>INSERT INTO INYCEXT.INYC_CONF_INF_REGLAS@tc_link (COD_INFORME,TABLA,NOMBRE,REGLA,F_INICIO,F_FIN,DESCRIPCION) VALUES (103.2,'INYC_S5_E_POLIZAS','Pagos Comerciales','D-E-Pagos-Fijos',TO_DATE('20140101','yyyymmdd'),TO_DATE('22000101','yyyymmdd'),'');</v>
      </c>
    </row>
    <row r="982" spans="1:2" x14ac:dyDescent="0.25">
      <c r="A982" t="str">
        <f>IF(REGLAS!J983="OBSOLETO","","INSERT INTO INYCEXT.INYC_CONF_INF_REGLAS (COD_INFORME,TABLA,NOMBRE,REGLA,F_INICIO,F_FIN,DESCRIPCION) VALUES ("&amp;REGLAS!B983&amp;",'"&amp;REGLAS!C983&amp;"','"&amp;REGLAS!D983&amp;"','"&amp;REGLAS!G983&amp;"',TO_DATE('"&amp;REGLAS!H983&amp;"','yyyymmdd'),TO_DATE('"&amp;REGLAS!I983&amp;"','yyyymmdd'),'"&amp;REGLAS!J983&amp;"');")</f>
        <v>INSERT INTO INYCEXT.INYC_CONF_INF_REGLAS (COD_INFORME,TABLA,NOMBRE,REGLA,F_INICIO,F_FIN,DESCRIPCION) VALUES (103.2,'INYC_S5_E_POLIZAS','DC - Nº Asegurados Agente','DC-E-GEN-Agente-NumAsegurados',TO_DATE('20180101','yyyymmdd'),TO_DATE('22000101','yyyymmdd'),'Version 20180118');</v>
      </c>
      <c r="B982" t="str">
        <f>IF(REGLAS!J983="OBSOLETO","","INSERT INTO INYCEXT.INYC_CONF_INF_REGLAS@tc_link (COD_INFORME,TABLA,NOMBRE,REGLA,F_INICIO,F_FIN,DESCRIPCION) VALUES ("&amp;REGLAS!B983&amp;",'"&amp;REGLAS!C983&amp;"','"&amp;REGLAS!D983&amp;"','"&amp;REGLAS!G983&amp;"',TO_DATE('"&amp;REGLAS!H983&amp;"','yyyymmdd'),TO_DATE('"&amp;REGLAS!I983&amp;"','yyyymmdd'),'"&amp;REGLAS!J983&amp;"');")</f>
        <v>INSERT INTO INYCEXT.INYC_CONF_INF_REGLAS@tc_link (COD_INFORME,TABLA,NOMBRE,REGLA,F_INICIO,F_FIN,DESCRIPCION) VALUES (103.2,'INYC_S5_E_POLIZAS','DC - Nº Asegurados Agente','DC-E-GEN-Agente-NumAsegurados',TO_DATE('20180101','yyyymmdd'),TO_DATE('22000101','yyyymmdd'),'Version 20180118');</v>
      </c>
    </row>
    <row r="983" spans="1:2" x14ac:dyDescent="0.25">
      <c r="A983" t="str">
        <f>IF(REGLAS!J984="OBSOLETO","","INSERT INTO INYCEXT.INYC_CONF_INF_REGLAS (COD_INFORME,TABLA,NOMBRE,REGLA,F_INICIO,F_FIN,DESCRIPCION) VALUES ("&amp;REGLAS!B984&amp;",'"&amp;REGLAS!C984&amp;"','"&amp;REGLAS!D984&amp;"','"&amp;REGLAS!G984&amp;"',TO_DATE('"&amp;REGLAS!H984&amp;"','yyyymmdd'),TO_DATE('"&amp;REGLAS!I984&amp;"','yyyymmdd'),'"&amp;REGLAS!J984&amp;"');")</f>
        <v>INSERT INTO INYCEXT.INYC_CONF_INF_REGLAS (COD_INFORME,TABLA,NOMBRE,REGLA,F_INICIO,F_FIN,DESCRIPCION) VALUES (103.2,'INYC_S5_E_POLIZAS','IC - Nº Asegurados Inspector','IC-E-GEN-Inspector-NumAsegurados',TO_DATE('20180101','yyyymmdd'),TO_DATE('22000101','yyyymmdd'),'Version 20180118');</v>
      </c>
      <c r="B983" t="str">
        <f>IF(REGLAS!J984="OBSOLETO","","INSERT INTO INYCEXT.INYC_CONF_INF_REGLAS@tc_link (COD_INFORME,TABLA,NOMBRE,REGLA,F_INICIO,F_FIN,DESCRIPCION) VALUES ("&amp;REGLAS!B984&amp;",'"&amp;REGLAS!C984&amp;"','"&amp;REGLAS!D984&amp;"','"&amp;REGLAS!G984&amp;"',TO_DATE('"&amp;REGLAS!H984&amp;"','yyyymmdd'),TO_DATE('"&amp;REGLAS!I984&amp;"','yyyymmdd'),'"&amp;REGLAS!J984&amp;"');")</f>
        <v>INSERT INTO INYCEXT.INYC_CONF_INF_REGLAS@tc_link (COD_INFORME,TABLA,NOMBRE,REGLA,F_INICIO,F_FIN,DESCRIPCION) VALUES (103.2,'INYC_S5_E_POLIZAS','IC - Nº Asegurados Inspector','IC-E-GEN-Inspector-NumAsegurados',TO_DATE('20180101','yyyymmdd'),TO_DATE('22000101','yyyymmdd'),'Version 20180118');</v>
      </c>
    </row>
    <row r="984" spans="1:2" x14ac:dyDescent="0.25">
      <c r="A984" t="str">
        <f>IF(REGLAS!J985="OBSOLETO","","INSERT INTO INYCEXT.INYC_CONF_INF_REGLAS (COD_INFORME,TABLA,NOMBRE,REGLA,F_INICIO,F_FIN,DESCRIPCION) VALUES ("&amp;REGLAS!B985&amp;",'"&amp;REGLAS!C985&amp;"','"&amp;REGLAS!D985&amp;"','"&amp;REGLAS!G985&amp;"',TO_DATE('"&amp;REGLAS!H985&amp;"','yyyymmdd'),TO_DATE('"&amp;REGLAS!I985&amp;"','yyyymmdd'),'"&amp;REGLAS!J985&amp;"');")</f>
        <v>INSERT INTO INYCEXT.INYC_CONF_INF_REGLAS (COD_INFORME,TABLA,NOMBRE,REGLA,F_INICIO,F_FIN,DESCRIPCION) VALUES (104.1,'INYC_PEPA_RESUMEN','SM - Nº Pólizas Agente RRTT Mensual','SM-O-GEN-Agente-NumeroPolizas-001-TotalMes',TO_DATE('20140101','yyyymmdd'),TO_DATE('22000101','yyyymmdd'),'');</v>
      </c>
      <c r="B984" t="str">
        <f>IF(REGLAS!J985="OBSOLETO","","INSERT INTO INYCEXT.INYC_CONF_INF_REGLAS@tc_link (COD_INFORME,TABLA,NOMBRE,REGLA,F_INICIO,F_FIN,DESCRIPCION) VALUES ("&amp;REGLAS!B985&amp;",'"&amp;REGLAS!C985&amp;"','"&amp;REGLAS!D985&amp;"','"&amp;REGLAS!G985&amp;"',TO_DATE('"&amp;REGLAS!H985&amp;"','yyyymmdd'),TO_DATE('"&amp;REGLAS!I985&amp;"','yyyymmdd'),'"&amp;REGLAS!J985&amp;"');")</f>
        <v>INSERT INTO INYCEXT.INYC_CONF_INF_REGLAS@tc_link (COD_INFORME,TABLA,NOMBRE,REGLA,F_INICIO,F_FIN,DESCRIPCION) VALUES (104.1,'INYC_PEPA_RESUMEN','SM - Nº Pólizas Agente RRTT Mensual','SM-O-GEN-Agente-NumeroPolizas-001-TotalMes',TO_DATE('20140101','yyyymmdd'),TO_DATE('22000101','yyyymmdd'),'');</v>
      </c>
    </row>
    <row r="985" spans="1:2" x14ac:dyDescent="0.25">
      <c r="A985" t="str">
        <f>IF(REGLAS!J986="OBSOLETO","","INSERT INTO INYCEXT.INYC_CONF_INF_REGLAS (COD_INFORME,TABLA,NOMBRE,REGLA,F_INICIO,F_FIN,DESCRIPCION) VALUES ("&amp;REGLAS!B986&amp;",'"&amp;REGLAS!C986&amp;"','"&amp;REGLAS!D986&amp;"','"&amp;REGLAS!G986&amp;"',TO_DATE('"&amp;REGLAS!H986&amp;"','yyyymmdd'),TO_DATE('"&amp;REGLAS!I986&amp;"','yyyymmdd'),'"&amp;REGLAS!J986&amp;"');")</f>
        <v>INSERT INTO INYCEXT.INYC_CONF_INF_REGLAS (COD_INFORME,TABLA,NOMBRE,REGLA,F_INICIO,F_FIN,DESCRIPCION) VALUES (104.1,'INYC_PEPA_RESUMEN','SM - Nº Pólizas Agente Hogar Mensual','SM-O-GEN-Agente-NumeroPolizas-002-TotalMes',TO_DATE('20140101','yyyymmdd'),TO_DATE('22000101','yyyymmdd'),'');</v>
      </c>
      <c r="B985" t="str">
        <f>IF(REGLAS!J986="OBSOLETO","","INSERT INTO INYCEXT.INYC_CONF_INF_REGLAS@tc_link (COD_INFORME,TABLA,NOMBRE,REGLA,F_INICIO,F_FIN,DESCRIPCION) VALUES ("&amp;REGLAS!B986&amp;",'"&amp;REGLAS!C986&amp;"','"&amp;REGLAS!D986&amp;"','"&amp;REGLAS!G986&amp;"',TO_DATE('"&amp;REGLAS!H986&amp;"','yyyymmdd'),TO_DATE('"&amp;REGLAS!I986&amp;"','yyyymmdd'),'"&amp;REGLAS!J986&amp;"');")</f>
        <v>INSERT INTO INYCEXT.INYC_CONF_INF_REGLAS@tc_link (COD_INFORME,TABLA,NOMBRE,REGLA,F_INICIO,F_FIN,DESCRIPCION) VALUES (104.1,'INYC_PEPA_RESUMEN','SM - Nº Pólizas Agente Hogar Mensual','SM-O-GEN-Agente-NumeroPolizas-002-TotalMes',TO_DATE('20140101','yyyymmdd'),TO_DATE('22000101','yyyymmdd'),'');</v>
      </c>
    </row>
    <row r="986" spans="1:2" x14ac:dyDescent="0.25">
      <c r="A986" t="str">
        <f>IF(REGLAS!J987="OBSOLETO","","INSERT INTO INYCEXT.INYC_CONF_INF_REGLAS (COD_INFORME,TABLA,NOMBRE,REGLA,F_INICIO,F_FIN,DESCRIPCION) VALUES ("&amp;REGLAS!B987&amp;",'"&amp;REGLAS!C987&amp;"','"&amp;REGLAS!D987&amp;"','"&amp;REGLAS!G987&amp;"',TO_DATE('"&amp;REGLAS!H987&amp;"','yyyymmdd'),TO_DATE('"&amp;REGLAS!I987&amp;"','yyyymmdd'),'"&amp;REGLAS!J987&amp;"');")</f>
        <v>INSERT INTO INYCEXT.INYC_CONF_INF_REGLAS (COD_INFORME,TABLA,NOMBRE,REGLA,F_INICIO,F_FIN,DESCRIPCION) VALUES (104.1,'INYC_PEPA_RESUMEN','SM - Nº Pólizas Agente Vida Riesgo Mensual','SM-O-GEN-Agente-NumeroPolizas-003-TotalMes',TO_DATE('20140101','yyyymmdd'),TO_DATE('22000101','yyyymmdd'),'');</v>
      </c>
      <c r="B986" t="str">
        <f>IF(REGLAS!J987="OBSOLETO","","INSERT INTO INYCEXT.INYC_CONF_INF_REGLAS@tc_link (COD_INFORME,TABLA,NOMBRE,REGLA,F_INICIO,F_FIN,DESCRIPCION) VALUES ("&amp;REGLAS!B987&amp;",'"&amp;REGLAS!C987&amp;"','"&amp;REGLAS!D987&amp;"','"&amp;REGLAS!G987&amp;"',TO_DATE('"&amp;REGLAS!H987&amp;"','yyyymmdd'),TO_DATE('"&amp;REGLAS!I987&amp;"','yyyymmdd'),'"&amp;REGLAS!J987&amp;"');")</f>
        <v>INSERT INTO INYCEXT.INYC_CONF_INF_REGLAS@tc_link (COD_INFORME,TABLA,NOMBRE,REGLA,F_INICIO,F_FIN,DESCRIPCION) VALUES (104.1,'INYC_PEPA_RESUMEN','SM - Nº Pólizas Agente Vida Riesgo Mensual','SM-O-GEN-Agente-NumeroPolizas-003-TotalMes',TO_DATE('20140101','yyyymmdd'),TO_DATE('22000101','yyyymmdd'),'');</v>
      </c>
    </row>
    <row r="987" spans="1:2" x14ac:dyDescent="0.25">
      <c r="A987" t="str">
        <f>IF(REGLAS!J988="OBSOLETO","","INSERT INTO INYCEXT.INYC_CONF_INF_REGLAS (COD_INFORME,TABLA,NOMBRE,REGLA,F_INICIO,F_FIN,DESCRIPCION) VALUES ("&amp;REGLAS!B988&amp;",'"&amp;REGLAS!C988&amp;"','"&amp;REGLAS!D988&amp;"','"&amp;REGLAS!G988&amp;"',TO_DATE('"&amp;REGLAS!H988&amp;"','yyyymmdd'),TO_DATE('"&amp;REGLAS!I988&amp;"','yyyymmdd'),'"&amp;REGLAS!J988&amp;"');")</f>
        <v>INSERT INTO INYCEXT.INYC_CONF_INF_REGLAS (COD_INFORME,TABLA,NOMBRE,REGLA,F_INICIO,F_FIN,DESCRIPCION) VALUES (104.1,'INYC_PEPA_RESUMEN','SM - Nº Pólizas Agente Vida Ahorro Mensual','SM-O-GEN-Agente-NumeroPolizas-004-TotalMes',TO_DATE('20140101','yyyymmdd'),TO_DATE('22000101','yyyymmdd'),'');</v>
      </c>
      <c r="B987" t="str">
        <f>IF(REGLAS!J988="OBSOLETO","","INSERT INTO INYCEXT.INYC_CONF_INF_REGLAS@tc_link (COD_INFORME,TABLA,NOMBRE,REGLA,F_INICIO,F_FIN,DESCRIPCION) VALUES ("&amp;REGLAS!B988&amp;",'"&amp;REGLAS!C988&amp;"','"&amp;REGLAS!D988&amp;"','"&amp;REGLAS!G988&amp;"',TO_DATE('"&amp;REGLAS!H988&amp;"','yyyymmdd'),TO_DATE('"&amp;REGLAS!I988&amp;"','yyyymmdd'),'"&amp;REGLAS!J988&amp;"');")</f>
        <v>INSERT INTO INYCEXT.INYC_CONF_INF_REGLAS@tc_link (COD_INFORME,TABLA,NOMBRE,REGLA,F_INICIO,F_FIN,DESCRIPCION) VALUES (104.1,'INYC_PEPA_RESUMEN','SM - Nº Pólizas Agente Vida Ahorro Mensual','SM-O-GEN-Agente-NumeroPolizas-004-TotalMes',TO_DATE('20140101','yyyymmdd'),TO_DATE('22000101','yyyymmdd'),'');</v>
      </c>
    </row>
    <row r="988" spans="1:2" x14ac:dyDescent="0.25">
      <c r="A988" t="str">
        <f>IF(REGLAS!J989="OBSOLETO","","INSERT INTO INYCEXT.INYC_CONF_INF_REGLAS (COD_INFORME,TABLA,NOMBRE,REGLA,F_INICIO,F_FIN,DESCRIPCION) VALUES ("&amp;REGLAS!B989&amp;",'"&amp;REGLAS!C989&amp;"','"&amp;REGLAS!D989&amp;"','"&amp;REGLAS!G989&amp;"',TO_DATE('"&amp;REGLAS!H989&amp;"','yyyymmdd'),TO_DATE('"&amp;REGLAS!I989&amp;"','yyyymmdd'),'"&amp;REGLAS!J989&amp;"');")</f>
        <v>INSERT INTO INYCEXT.INYC_CONF_INF_REGLAS (COD_INFORME,TABLA,NOMBRE,REGLA,F_INICIO,F_FIN,DESCRIPCION) VALUES (104.1,'INYC_PEPA_RESUMEN','SM - Nº Pólizas Agente Accidentes Mensual','SM-O-GEN-Agente-NumeroPolizas-005-TotalMes',TO_DATE('20140101','yyyymmdd'),TO_DATE('22000101','yyyymmdd'),'');</v>
      </c>
      <c r="B988" t="str">
        <f>IF(REGLAS!J989="OBSOLETO","","INSERT INTO INYCEXT.INYC_CONF_INF_REGLAS@tc_link (COD_INFORME,TABLA,NOMBRE,REGLA,F_INICIO,F_FIN,DESCRIPCION) VALUES ("&amp;REGLAS!B989&amp;",'"&amp;REGLAS!C989&amp;"','"&amp;REGLAS!D989&amp;"','"&amp;REGLAS!G989&amp;"',TO_DATE('"&amp;REGLAS!H989&amp;"','yyyymmdd'),TO_DATE('"&amp;REGLAS!I989&amp;"','yyyymmdd'),'"&amp;REGLAS!J989&amp;"');")</f>
        <v>INSERT INTO INYCEXT.INYC_CONF_INF_REGLAS@tc_link (COD_INFORME,TABLA,NOMBRE,REGLA,F_INICIO,F_FIN,DESCRIPCION) VALUES (104.1,'INYC_PEPA_RESUMEN','SM - Nº Pólizas Agente Accidentes Mensual','SM-O-GEN-Agente-NumeroPolizas-005-TotalMes',TO_DATE('20140101','yyyymmdd'),TO_DATE('22000101','yyyymmdd'),'');</v>
      </c>
    </row>
    <row r="989" spans="1:2" x14ac:dyDescent="0.25">
      <c r="A989" t="str">
        <f>IF(REGLAS!J990="OBSOLETO","","INSERT INTO INYCEXT.INYC_CONF_INF_REGLAS (COD_INFORME,TABLA,NOMBRE,REGLA,F_INICIO,F_FIN,DESCRIPCION) VALUES ("&amp;REGLAS!B990&amp;",'"&amp;REGLAS!C990&amp;"','"&amp;REGLAS!D990&amp;"','"&amp;REGLAS!G990&amp;"',TO_DATE('"&amp;REGLAS!H990&amp;"','yyyymmdd'),TO_DATE('"&amp;REGLAS!I990&amp;"','yyyymmdd'),'"&amp;REGLAS!J990&amp;"');")</f>
        <v>INSERT INTO INYCEXT.INYC_CONF_INF_REGLAS (COD_INFORME,TABLA,NOMBRE,REGLA,F_INICIO,F_FIN,DESCRIPCION) VALUES (104.1,'INYC_PEPA_RESUMEN','SM - Nº Pólizas Agente RRPP (excl PU y conv/colec) Mensual','SM-O-GEN-Agente-NumeroPolizas-906-TotalMes',TO_DATE('20140101','yyyymmdd'),TO_DATE('22000101','yyyymmdd'),'');</v>
      </c>
      <c r="B989" t="str">
        <f>IF(REGLAS!J990="OBSOLETO","","INSERT INTO INYCEXT.INYC_CONF_INF_REGLAS@tc_link (COD_INFORME,TABLA,NOMBRE,REGLA,F_INICIO,F_FIN,DESCRIPCION) VALUES ("&amp;REGLAS!B990&amp;",'"&amp;REGLAS!C990&amp;"','"&amp;REGLAS!D990&amp;"','"&amp;REGLAS!G990&amp;"',TO_DATE('"&amp;REGLAS!H990&amp;"','yyyymmdd'),TO_DATE('"&amp;REGLAS!I990&amp;"','yyyymmdd'),'"&amp;REGLAS!J990&amp;"');")</f>
        <v>INSERT INTO INYCEXT.INYC_CONF_INF_REGLAS@tc_link (COD_INFORME,TABLA,NOMBRE,REGLA,F_INICIO,F_FIN,DESCRIPCION) VALUES (104.1,'INYC_PEPA_RESUMEN','SM - Nº Pólizas Agente RRPP (excl PU y conv/colec) Mensual','SM-O-GEN-Agente-NumeroPolizas-906-TotalMes',TO_DATE('20140101','yyyymmdd'),TO_DATE('22000101','yyyymmdd'),'');</v>
      </c>
    </row>
    <row r="990" spans="1:2" x14ac:dyDescent="0.25">
      <c r="A990" t="str">
        <f>IF(REGLAS!J991="OBSOLETO","","INSERT INTO INYCEXT.INYC_CONF_INF_REGLAS (COD_INFORME,TABLA,NOMBRE,REGLA,F_INICIO,F_FIN,DESCRIPCION) VALUES ("&amp;REGLAS!B991&amp;",'"&amp;REGLAS!C991&amp;"','"&amp;REGLAS!D991&amp;"','"&amp;REGLAS!G991&amp;"',TO_DATE('"&amp;REGLAS!H991&amp;"','yyyymmdd'),TO_DATE('"&amp;REGLAS!I991&amp;"','yyyymmdd'),'"&amp;REGLAS!J991&amp;"');")</f>
        <v>INSERT INTO INYCEXT.INYC_CONF_INF_REGLAS (COD_INFORME,TABLA,NOMBRE,REGLA,F_INICIO,F_FIN,DESCRIPCION) VALUES (104.1,'INYC_PEPA_RESUMEN','SM - Nº Pólizas Agente Prod. Prioritarios Mensual','SM-O-GEN-Agente-NumeroPolizas-997-TotalMes',TO_DATE('20140101','yyyymmdd'),TO_DATE('22000101','yyyymmdd'),'');</v>
      </c>
      <c r="B990" t="str">
        <f>IF(REGLAS!J991="OBSOLETO","","INSERT INTO INYCEXT.INYC_CONF_INF_REGLAS@tc_link (COD_INFORME,TABLA,NOMBRE,REGLA,F_INICIO,F_FIN,DESCRIPCION) VALUES ("&amp;REGLAS!B991&amp;",'"&amp;REGLAS!C991&amp;"','"&amp;REGLAS!D991&amp;"','"&amp;REGLAS!G991&amp;"',TO_DATE('"&amp;REGLAS!H991&amp;"','yyyymmdd'),TO_DATE('"&amp;REGLAS!I991&amp;"','yyyymmdd'),'"&amp;REGLAS!J991&amp;"');")</f>
        <v>INSERT INTO INYCEXT.INYC_CONF_INF_REGLAS@tc_link (COD_INFORME,TABLA,NOMBRE,REGLA,F_INICIO,F_FIN,DESCRIPCION) VALUES (104.1,'INYC_PEPA_RESUMEN','SM - Nº Pólizas Agente Prod. Prioritarios Mensual','SM-O-GEN-Agente-NumeroPolizas-997-TotalMes',TO_DATE('20140101','yyyymmdd'),TO_DATE('22000101','yyyymmdd'),'');</v>
      </c>
    </row>
    <row r="991" spans="1:2" x14ac:dyDescent="0.25">
      <c r="A991" t="str">
        <f>IF(REGLAS!J992="OBSOLETO","","INSERT INTO INYCEXT.INYC_CONF_INF_REGLAS (COD_INFORME,TABLA,NOMBRE,REGLA,F_INICIO,F_FIN,DESCRIPCION) VALUES ("&amp;REGLAS!B992&amp;",'"&amp;REGLAS!C992&amp;"','"&amp;REGLAS!D992&amp;"','"&amp;REGLAS!G992&amp;"',TO_DATE('"&amp;REGLAS!H992&amp;"','yyyymmdd'),TO_DATE('"&amp;REGLAS!I992&amp;"','yyyymmdd'),'"&amp;REGLAS!J992&amp;"');")</f>
        <v>INSERT INTO INYCEXT.INYC_CONF_INF_REGLAS (COD_INFORME,TABLA,NOMBRE,REGLA,F_INICIO,F_FIN,DESCRIPCION) VALUES (104.1,'INYC_PEPA_RESUMEN','SM - Nº Pólizas Agente Total Productos Mensual','SM-O-GEN-Agente-NumeroPolizas-998-TotalMes',TO_DATE('20140101','yyyymmdd'),TO_DATE('22000101','yyyymmdd'),'');</v>
      </c>
      <c r="B991" t="str">
        <f>IF(REGLAS!J992="OBSOLETO","","INSERT INTO INYCEXT.INYC_CONF_INF_REGLAS@tc_link (COD_INFORME,TABLA,NOMBRE,REGLA,F_INICIO,F_FIN,DESCRIPCION) VALUES ("&amp;REGLAS!B992&amp;",'"&amp;REGLAS!C992&amp;"','"&amp;REGLAS!D992&amp;"','"&amp;REGLAS!G992&amp;"',TO_DATE('"&amp;REGLAS!H992&amp;"','yyyymmdd'),TO_DATE('"&amp;REGLAS!I992&amp;"','yyyymmdd'),'"&amp;REGLAS!J992&amp;"');")</f>
        <v>INSERT INTO INYCEXT.INYC_CONF_INF_REGLAS@tc_link (COD_INFORME,TABLA,NOMBRE,REGLA,F_INICIO,F_FIN,DESCRIPCION) VALUES (104.1,'INYC_PEPA_RESUMEN','SM - Nº Pólizas Agente Total Productos Mensual','SM-O-GEN-Agente-NumeroPolizas-998-TotalMes',TO_DATE('20140101','yyyymmdd'),TO_DATE('22000101','yyyymmdd'),'');</v>
      </c>
    </row>
    <row r="992" spans="1:2" x14ac:dyDescent="0.25">
      <c r="A992" t="str">
        <f>IF(REGLAS!J993="OBSOLETO","","INSERT INTO INYCEXT.INYC_CONF_INF_REGLAS (COD_INFORME,TABLA,NOMBRE,REGLA,F_INICIO,F_FIN,DESCRIPCION) VALUES ("&amp;REGLAS!B993&amp;",'"&amp;REGLAS!C993&amp;"','"&amp;REGLAS!D993&amp;"','"&amp;REGLAS!G993&amp;"',TO_DATE('"&amp;REGLAS!H993&amp;"','yyyymmdd'),TO_DATE('"&amp;REGLAS!I993&amp;"','yyyymmdd'),'"&amp;REGLAS!J993&amp;"');")</f>
        <v>INSERT INTO INYCEXT.INYC_CONF_INF_REGLAS (COD_INFORME,TABLA,NOMBRE,REGLA,F_INICIO,F_FIN,DESCRIPCION) VALUES (104.1,'INYC_PEPA_RESUMEN','SM - Nº Pólizas Corregidas Agente RRTT Mensual','SM-O-GEN-Agente-NumeroPolizasCorregidas-001-TotalMes',TO_DATE('20140101','yyyymmdd'),TO_DATE('22000101','yyyymmdd'),'');</v>
      </c>
      <c r="B992" t="str">
        <f>IF(REGLAS!J993="OBSOLETO","","INSERT INTO INYCEXT.INYC_CONF_INF_REGLAS@tc_link (COD_INFORME,TABLA,NOMBRE,REGLA,F_INICIO,F_FIN,DESCRIPCION) VALUES ("&amp;REGLAS!B993&amp;",'"&amp;REGLAS!C993&amp;"','"&amp;REGLAS!D993&amp;"','"&amp;REGLAS!G993&amp;"',TO_DATE('"&amp;REGLAS!H993&amp;"','yyyymmdd'),TO_DATE('"&amp;REGLAS!I993&amp;"','yyyymmdd'),'"&amp;REGLAS!J993&amp;"');")</f>
        <v>INSERT INTO INYCEXT.INYC_CONF_INF_REGLAS@tc_link (COD_INFORME,TABLA,NOMBRE,REGLA,F_INICIO,F_FIN,DESCRIPCION) VALUES (104.1,'INYC_PEPA_RESUMEN','SM - Nº Pólizas Corregidas Agente RRTT Mensual','SM-O-GEN-Agente-NumeroPolizasCorregidas-001-TotalMes',TO_DATE('20140101','yyyymmdd'),TO_DATE('22000101','yyyymmdd'),'');</v>
      </c>
    </row>
    <row r="993" spans="1:2" x14ac:dyDescent="0.25">
      <c r="A993" t="str">
        <f>IF(REGLAS!J994="OBSOLETO","","INSERT INTO INYCEXT.INYC_CONF_INF_REGLAS (COD_INFORME,TABLA,NOMBRE,REGLA,F_INICIO,F_FIN,DESCRIPCION) VALUES ("&amp;REGLAS!B994&amp;",'"&amp;REGLAS!C994&amp;"','"&amp;REGLAS!D994&amp;"','"&amp;REGLAS!G994&amp;"',TO_DATE('"&amp;REGLAS!H994&amp;"','yyyymmdd'),TO_DATE('"&amp;REGLAS!I994&amp;"','yyyymmdd'),'"&amp;REGLAS!J994&amp;"');")</f>
        <v>INSERT INTO INYCEXT.INYC_CONF_INF_REGLAS (COD_INFORME,TABLA,NOMBRE,REGLA,F_INICIO,F_FIN,DESCRIPCION) VALUES (104.1,'INYC_PEPA_RESUMEN','SM - Nº Pólizas Corregidas Agente Hogar Mensual','SM-O-GEN-Agente-NumeroPolizasCorregidas-002-TotalMes',TO_DATE('20140101','yyyymmdd'),TO_DATE('22000101','yyyymmdd'),'');</v>
      </c>
      <c r="B993" t="str">
        <f>IF(REGLAS!J994="OBSOLETO","","INSERT INTO INYCEXT.INYC_CONF_INF_REGLAS@tc_link (COD_INFORME,TABLA,NOMBRE,REGLA,F_INICIO,F_FIN,DESCRIPCION) VALUES ("&amp;REGLAS!B994&amp;",'"&amp;REGLAS!C994&amp;"','"&amp;REGLAS!D994&amp;"','"&amp;REGLAS!G994&amp;"',TO_DATE('"&amp;REGLAS!H994&amp;"','yyyymmdd'),TO_DATE('"&amp;REGLAS!I994&amp;"','yyyymmdd'),'"&amp;REGLAS!J994&amp;"');")</f>
        <v>INSERT INTO INYCEXT.INYC_CONF_INF_REGLAS@tc_link (COD_INFORME,TABLA,NOMBRE,REGLA,F_INICIO,F_FIN,DESCRIPCION) VALUES (104.1,'INYC_PEPA_RESUMEN','SM - Nº Pólizas Corregidas Agente Hogar Mensual','SM-O-GEN-Agente-NumeroPolizasCorregidas-002-TotalMes',TO_DATE('20140101','yyyymmdd'),TO_DATE('22000101','yyyymmdd'),'');</v>
      </c>
    </row>
    <row r="994" spans="1:2" x14ac:dyDescent="0.25">
      <c r="A994" t="str">
        <f>IF(REGLAS!J995="OBSOLETO","","INSERT INTO INYCEXT.INYC_CONF_INF_REGLAS (COD_INFORME,TABLA,NOMBRE,REGLA,F_INICIO,F_FIN,DESCRIPCION) VALUES ("&amp;REGLAS!B995&amp;",'"&amp;REGLAS!C995&amp;"','"&amp;REGLAS!D995&amp;"','"&amp;REGLAS!G995&amp;"',TO_DATE('"&amp;REGLAS!H995&amp;"','yyyymmdd'),TO_DATE('"&amp;REGLAS!I995&amp;"','yyyymmdd'),'"&amp;REGLAS!J995&amp;"');")</f>
        <v>INSERT INTO INYCEXT.INYC_CONF_INF_REGLAS (COD_INFORME,TABLA,NOMBRE,REGLA,F_INICIO,F_FIN,DESCRIPCION) VALUES (104.1,'INYC_PEPA_RESUMEN','SM - Nº Pólizas Corregidas Agente Vida Riesgo Mensual','SM-O-GEN-Agente-NumeroPolizasCorregidas-003-TotalMes',TO_DATE('20140101','yyyymmdd'),TO_DATE('22000101','yyyymmdd'),'');</v>
      </c>
      <c r="B994" t="str">
        <f>IF(REGLAS!J995="OBSOLETO","","INSERT INTO INYCEXT.INYC_CONF_INF_REGLAS@tc_link (COD_INFORME,TABLA,NOMBRE,REGLA,F_INICIO,F_FIN,DESCRIPCION) VALUES ("&amp;REGLAS!B995&amp;",'"&amp;REGLAS!C995&amp;"','"&amp;REGLAS!D995&amp;"','"&amp;REGLAS!G995&amp;"',TO_DATE('"&amp;REGLAS!H995&amp;"','yyyymmdd'),TO_DATE('"&amp;REGLAS!I995&amp;"','yyyymmdd'),'"&amp;REGLAS!J995&amp;"');")</f>
        <v>INSERT INTO INYCEXT.INYC_CONF_INF_REGLAS@tc_link (COD_INFORME,TABLA,NOMBRE,REGLA,F_INICIO,F_FIN,DESCRIPCION) VALUES (104.1,'INYC_PEPA_RESUMEN','SM - Nº Pólizas Corregidas Agente Vida Riesgo Mensual','SM-O-GEN-Agente-NumeroPolizasCorregidas-003-TotalMes',TO_DATE('20140101','yyyymmdd'),TO_DATE('22000101','yyyymmdd'),'');</v>
      </c>
    </row>
    <row r="995" spans="1:2" x14ac:dyDescent="0.25">
      <c r="A995" t="str">
        <f>IF(REGLAS!J996="OBSOLETO","","INSERT INTO INYCEXT.INYC_CONF_INF_REGLAS (COD_INFORME,TABLA,NOMBRE,REGLA,F_INICIO,F_FIN,DESCRIPCION) VALUES ("&amp;REGLAS!B996&amp;",'"&amp;REGLAS!C996&amp;"','"&amp;REGLAS!D996&amp;"','"&amp;REGLAS!G996&amp;"',TO_DATE('"&amp;REGLAS!H996&amp;"','yyyymmdd'),TO_DATE('"&amp;REGLAS!I996&amp;"','yyyymmdd'),'"&amp;REGLAS!J996&amp;"');")</f>
        <v>INSERT INTO INYCEXT.INYC_CONF_INF_REGLAS (COD_INFORME,TABLA,NOMBRE,REGLA,F_INICIO,F_FIN,DESCRIPCION) VALUES (104.1,'INYC_PEPA_RESUMEN','SM - Nº Pólizas Corregidas Agente Vida Ahorro Mensual','SM-O-GEN-Agente-NumeroPolizasCorregidas-004-TotalMes',TO_DATE('20140101','yyyymmdd'),TO_DATE('22000101','yyyymmdd'),'');</v>
      </c>
      <c r="B995" t="str">
        <f>IF(REGLAS!J996="OBSOLETO","","INSERT INTO INYCEXT.INYC_CONF_INF_REGLAS@tc_link (COD_INFORME,TABLA,NOMBRE,REGLA,F_INICIO,F_FIN,DESCRIPCION) VALUES ("&amp;REGLAS!B996&amp;",'"&amp;REGLAS!C996&amp;"','"&amp;REGLAS!D996&amp;"','"&amp;REGLAS!G996&amp;"',TO_DATE('"&amp;REGLAS!H996&amp;"','yyyymmdd'),TO_DATE('"&amp;REGLAS!I996&amp;"','yyyymmdd'),'"&amp;REGLAS!J996&amp;"');")</f>
        <v>INSERT INTO INYCEXT.INYC_CONF_INF_REGLAS@tc_link (COD_INFORME,TABLA,NOMBRE,REGLA,F_INICIO,F_FIN,DESCRIPCION) VALUES (104.1,'INYC_PEPA_RESUMEN','SM - Nº Pólizas Corregidas Agente Vida Ahorro Mensual','SM-O-GEN-Agente-NumeroPolizasCorregidas-004-TotalMes',TO_DATE('20140101','yyyymmdd'),TO_DATE('22000101','yyyymmdd'),'');</v>
      </c>
    </row>
    <row r="996" spans="1:2" x14ac:dyDescent="0.25">
      <c r="A996" t="str">
        <f>IF(REGLAS!J997="OBSOLETO","","INSERT INTO INYCEXT.INYC_CONF_INF_REGLAS (COD_INFORME,TABLA,NOMBRE,REGLA,F_INICIO,F_FIN,DESCRIPCION) VALUES ("&amp;REGLAS!B997&amp;",'"&amp;REGLAS!C997&amp;"','"&amp;REGLAS!D997&amp;"','"&amp;REGLAS!G997&amp;"',TO_DATE('"&amp;REGLAS!H997&amp;"','yyyymmdd'),TO_DATE('"&amp;REGLAS!I997&amp;"','yyyymmdd'),'"&amp;REGLAS!J997&amp;"');")</f>
        <v>INSERT INTO INYCEXT.INYC_CONF_INF_REGLAS (COD_INFORME,TABLA,NOMBRE,REGLA,F_INICIO,F_FIN,DESCRIPCION) VALUES (104.1,'INYC_PEPA_RESUMEN','SM - Nº Pólizas Corregidas Agente Accidentes Mensual','SM-O-GEN-Agente-NumeroPolizasCorregidas-005-TotalMes',TO_DATE('20140101','yyyymmdd'),TO_DATE('22000101','yyyymmdd'),'');</v>
      </c>
      <c r="B996" t="str">
        <f>IF(REGLAS!J997="OBSOLETO","","INSERT INTO INYCEXT.INYC_CONF_INF_REGLAS@tc_link (COD_INFORME,TABLA,NOMBRE,REGLA,F_INICIO,F_FIN,DESCRIPCION) VALUES ("&amp;REGLAS!B997&amp;",'"&amp;REGLAS!C997&amp;"','"&amp;REGLAS!D997&amp;"','"&amp;REGLAS!G997&amp;"',TO_DATE('"&amp;REGLAS!H997&amp;"','yyyymmdd'),TO_DATE('"&amp;REGLAS!I997&amp;"','yyyymmdd'),'"&amp;REGLAS!J997&amp;"');")</f>
        <v>INSERT INTO INYCEXT.INYC_CONF_INF_REGLAS@tc_link (COD_INFORME,TABLA,NOMBRE,REGLA,F_INICIO,F_FIN,DESCRIPCION) VALUES (104.1,'INYC_PEPA_RESUMEN','SM - Nº Pólizas Corregidas Agente Accidentes Mensual','SM-O-GEN-Agente-NumeroPolizasCorregidas-005-TotalMes',TO_DATE('20140101','yyyymmdd'),TO_DATE('22000101','yyyymmdd'),'');</v>
      </c>
    </row>
    <row r="997" spans="1:2" x14ac:dyDescent="0.25">
      <c r="A997" t="str">
        <f>IF(REGLAS!J998="OBSOLETO","","INSERT INTO INYCEXT.INYC_CONF_INF_REGLAS (COD_INFORME,TABLA,NOMBRE,REGLA,F_INICIO,F_FIN,DESCRIPCION) VALUES ("&amp;REGLAS!B998&amp;",'"&amp;REGLAS!C998&amp;"','"&amp;REGLAS!D998&amp;"','"&amp;REGLAS!G998&amp;"',TO_DATE('"&amp;REGLAS!H998&amp;"','yyyymmdd'),TO_DATE('"&amp;REGLAS!I998&amp;"','yyyymmdd'),'"&amp;REGLAS!J998&amp;"');")</f>
        <v>INSERT INTO INYCEXT.INYC_CONF_INF_REGLAS (COD_INFORME,TABLA,NOMBRE,REGLA,F_INICIO,F_FIN,DESCRIPCION) VALUES (104.1,'INYC_PEPA_RESUMEN','SM - Nº Pólizas Corregidas Agente RRPP (excl PU y conv/colec) Mensual','SM-O-GEN-Agente-NumeroPolizasCorregidas-906-TotalMes',TO_DATE('20140101','yyyymmdd'),TO_DATE('22000101','yyyymmdd'),'');</v>
      </c>
      <c r="B997" t="str">
        <f>IF(REGLAS!J998="OBSOLETO","","INSERT INTO INYCEXT.INYC_CONF_INF_REGLAS@tc_link (COD_INFORME,TABLA,NOMBRE,REGLA,F_INICIO,F_FIN,DESCRIPCION) VALUES ("&amp;REGLAS!B998&amp;",'"&amp;REGLAS!C998&amp;"','"&amp;REGLAS!D998&amp;"','"&amp;REGLAS!G998&amp;"',TO_DATE('"&amp;REGLAS!H998&amp;"','yyyymmdd'),TO_DATE('"&amp;REGLAS!I998&amp;"','yyyymmdd'),'"&amp;REGLAS!J998&amp;"');")</f>
        <v>INSERT INTO INYCEXT.INYC_CONF_INF_REGLAS@tc_link (COD_INFORME,TABLA,NOMBRE,REGLA,F_INICIO,F_FIN,DESCRIPCION) VALUES (104.1,'INYC_PEPA_RESUMEN','SM - Nº Pólizas Corregidas Agente RRPP (excl PU y conv/colec) Mensual','SM-O-GEN-Agente-NumeroPolizasCorregidas-906-TotalMes',TO_DATE('20140101','yyyymmdd'),TO_DATE('22000101','yyyymmdd'),'');</v>
      </c>
    </row>
    <row r="998" spans="1:2" x14ac:dyDescent="0.25">
      <c r="A998" t="str">
        <f>IF(REGLAS!J999="OBSOLETO","","INSERT INTO INYCEXT.INYC_CONF_INF_REGLAS (COD_INFORME,TABLA,NOMBRE,REGLA,F_INICIO,F_FIN,DESCRIPCION) VALUES ("&amp;REGLAS!B999&amp;",'"&amp;REGLAS!C999&amp;"','"&amp;REGLAS!D999&amp;"','"&amp;REGLAS!G999&amp;"',TO_DATE('"&amp;REGLAS!H999&amp;"','yyyymmdd'),TO_DATE('"&amp;REGLAS!I999&amp;"','yyyymmdd'),'"&amp;REGLAS!J999&amp;"');")</f>
        <v>INSERT INTO INYCEXT.INYC_CONF_INF_REGLAS (COD_INFORME,TABLA,NOMBRE,REGLA,F_INICIO,F_FIN,DESCRIPCION) VALUES (104.1,'INYC_PEPA_RESUMEN','SM - Nº Pólizas Corregidas Agente Prod. Prioritarios Mensual','SM-O-GEN-Agente-NumeroPolizasCorregidas-997-TotalMes',TO_DATE('20140101','yyyymmdd'),TO_DATE('22000101','yyyymmdd'),'');</v>
      </c>
      <c r="B998" t="str">
        <f>IF(REGLAS!J999="OBSOLETO","","INSERT INTO INYCEXT.INYC_CONF_INF_REGLAS@tc_link (COD_INFORME,TABLA,NOMBRE,REGLA,F_INICIO,F_FIN,DESCRIPCION) VALUES ("&amp;REGLAS!B999&amp;",'"&amp;REGLAS!C999&amp;"','"&amp;REGLAS!D999&amp;"','"&amp;REGLAS!G999&amp;"',TO_DATE('"&amp;REGLAS!H999&amp;"','yyyymmdd'),TO_DATE('"&amp;REGLAS!I999&amp;"','yyyymmdd'),'"&amp;REGLAS!J999&amp;"');")</f>
        <v>INSERT INTO INYCEXT.INYC_CONF_INF_REGLAS@tc_link (COD_INFORME,TABLA,NOMBRE,REGLA,F_INICIO,F_FIN,DESCRIPCION) VALUES (104.1,'INYC_PEPA_RESUMEN','SM - Nº Pólizas Corregidas Agente Prod. Prioritarios Mensual','SM-O-GEN-Agente-NumeroPolizasCorregidas-997-TotalMes',TO_DATE('20140101','yyyymmdd'),TO_DATE('22000101','yyyymmdd'),'');</v>
      </c>
    </row>
    <row r="999" spans="1:2" x14ac:dyDescent="0.25">
      <c r="A999" t="str">
        <f>IF(REGLAS!J1000="OBSOLETO","","INSERT INTO INYCEXT.INYC_CONF_INF_REGLAS (COD_INFORME,TABLA,NOMBRE,REGLA,F_INICIO,F_FIN,DESCRIPCION) VALUES ("&amp;REGLAS!B1000&amp;",'"&amp;REGLAS!C1000&amp;"','"&amp;REGLAS!D1000&amp;"','"&amp;REGLAS!G1000&amp;"',TO_DATE('"&amp;REGLAS!H1000&amp;"','yyyymmdd'),TO_DATE('"&amp;REGLAS!I1000&amp;"','yyyymmdd'),'"&amp;REGLAS!J1000&amp;"');")</f>
        <v>INSERT INTO INYCEXT.INYC_CONF_INF_REGLAS (COD_INFORME,TABLA,NOMBRE,REGLA,F_INICIO,F_FIN,DESCRIPCION) VALUES (104.1,'INYC_PEPA_RESUMEN','SM - Nº Pólizas Corregidas Agente Total Productos Mensual','SM-O-GEN-Agente-NumeroPolizasCorregidas-998-TotalMes',TO_DATE('20140101','yyyymmdd'),TO_DATE('22000101','yyyymmdd'),'');</v>
      </c>
      <c r="B999" t="str">
        <f>IF(REGLAS!J1000="OBSOLETO","","INSERT INTO INYCEXT.INYC_CONF_INF_REGLAS@tc_link (COD_INFORME,TABLA,NOMBRE,REGLA,F_INICIO,F_FIN,DESCRIPCION) VALUES ("&amp;REGLAS!B1000&amp;",'"&amp;REGLAS!C1000&amp;"','"&amp;REGLAS!D1000&amp;"','"&amp;REGLAS!G1000&amp;"',TO_DATE('"&amp;REGLAS!H1000&amp;"','yyyymmdd'),TO_DATE('"&amp;REGLAS!I1000&amp;"','yyyymmdd'),'"&amp;REGLAS!J1000&amp;"');")</f>
        <v>INSERT INTO INYCEXT.INYC_CONF_INF_REGLAS@tc_link (COD_INFORME,TABLA,NOMBRE,REGLA,F_INICIO,F_FIN,DESCRIPCION) VALUES (104.1,'INYC_PEPA_RESUMEN','SM - Nº Pólizas Corregidas Agente Total Productos Mensual','SM-O-GEN-Agente-NumeroPolizasCorregidas-998-TotalMes',TO_DATE('20140101','yyyymmdd'),TO_DATE('22000101','yyyymmdd'),'');</v>
      </c>
    </row>
    <row r="1000" spans="1:2" x14ac:dyDescent="0.25">
      <c r="A1000" t="str">
        <f>IF(REGLAS!J1001="OBSOLETO","","INSERT INTO INYCEXT.INYC_CONF_INF_REGLAS (COD_INFORME,TABLA,NOMBRE,REGLA,F_INICIO,F_FIN,DESCRIPCION) VALUES ("&amp;REGLAS!B1001&amp;",'"&amp;REGLAS!C1001&amp;"','"&amp;REGLAS!D1001&amp;"','"&amp;REGLAS!G1001&amp;"',TO_DATE('"&amp;REGLAS!H1001&amp;"','yyyymmdd'),TO_DATE('"&amp;REGLAS!I1001&amp;"','yyyymmdd'),'"&amp;REGLAS!J1001&amp;"');")</f>
        <v>INSERT INTO INYCEXT.INYC_CONF_INF_REGLAS (COD_INFORME,TABLA,NOMBRE,REGLA,F_INICIO,F_FIN,DESCRIPCION) VALUES (104.1,'INYC_PEPA_RESUMEN','SM - Primas Agente RRTT Mensual','SM-O-GEN-Agente-Prima-001-TotalMes',TO_DATE('20140101','yyyymmdd'),TO_DATE('22000101','yyyymmdd'),'');</v>
      </c>
      <c r="B1000" t="str">
        <f>IF(REGLAS!J1001="OBSOLETO","","INSERT INTO INYCEXT.INYC_CONF_INF_REGLAS@tc_link (COD_INFORME,TABLA,NOMBRE,REGLA,F_INICIO,F_FIN,DESCRIPCION) VALUES ("&amp;REGLAS!B1001&amp;",'"&amp;REGLAS!C1001&amp;"','"&amp;REGLAS!D1001&amp;"','"&amp;REGLAS!G1001&amp;"',TO_DATE('"&amp;REGLAS!H1001&amp;"','yyyymmdd'),TO_DATE('"&amp;REGLAS!I1001&amp;"','yyyymmdd'),'"&amp;REGLAS!J1001&amp;"');")</f>
        <v>INSERT INTO INYCEXT.INYC_CONF_INF_REGLAS@tc_link (COD_INFORME,TABLA,NOMBRE,REGLA,F_INICIO,F_FIN,DESCRIPCION) VALUES (104.1,'INYC_PEPA_RESUMEN','SM - Primas Agente RRTT Mensual','SM-O-GEN-Agente-Prima-001-TotalMes',TO_DATE('20140101','yyyymmdd'),TO_DATE('22000101','yyyymmdd'),'');</v>
      </c>
    </row>
    <row r="1001" spans="1:2" x14ac:dyDescent="0.25">
      <c r="A1001" t="str">
        <f>IF(REGLAS!J1002="OBSOLETO","","INSERT INTO INYCEXT.INYC_CONF_INF_REGLAS (COD_INFORME,TABLA,NOMBRE,REGLA,F_INICIO,F_FIN,DESCRIPCION) VALUES ("&amp;REGLAS!B1002&amp;",'"&amp;REGLAS!C1002&amp;"','"&amp;REGLAS!D1002&amp;"','"&amp;REGLAS!G1002&amp;"',TO_DATE('"&amp;REGLAS!H1002&amp;"','yyyymmdd'),TO_DATE('"&amp;REGLAS!I1002&amp;"','yyyymmdd'),'"&amp;REGLAS!J1002&amp;"');")</f>
        <v>INSERT INTO INYCEXT.INYC_CONF_INF_REGLAS (COD_INFORME,TABLA,NOMBRE,REGLA,F_INICIO,F_FIN,DESCRIPCION) VALUES (104.1,'INYC_PEPA_RESUMEN','SM - Primas Agente Hogar Mensual','SM-O-GEN-Agente-Prima-002-TotalMes',TO_DATE('20140101','yyyymmdd'),TO_DATE('22000101','yyyymmdd'),'');</v>
      </c>
      <c r="B1001" t="str">
        <f>IF(REGLAS!J1002="OBSOLETO","","INSERT INTO INYCEXT.INYC_CONF_INF_REGLAS@tc_link (COD_INFORME,TABLA,NOMBRE,REGLA,F_INICIO,F_FIN,DESCRIPCION) VALUES ("&amp;REGLAS!B1002&amp;",'"&amp;REGLAS!C1002&amp;"','"&amp;REGLAS!D1002&amp;"','"&amp;REGLAS!G1002&amp;"',TO_DATE('"&amp;REGLAS!H1002&amp;"','yyyymmdd'),TO_DATE('"&amp;REGLAS!I1002&amp;"','yyyymmdd'),'"&amp;REGLAS!J1002&amp;"');")</f>
        <v>INSERT INTO INYCEXT.INYC_CONF_INF_REGLAS@tc_link (COD_INFORME,TABLA,NOMBRE,REGLA,F_INICIO,F_FIN,DESCRIPCION) VALUES (104.1,'INYC_PEPA_RESUMEN','SM - Primas Agente Hogar Mensual','SM-O-GEN-Agente-Prima-002-TotalMes',TO_DATE('20140101','yyyymmdd'),TO_DATE('22000101','yyyymmdd'),'');</v>
      </c>
    </row>
    <row r="1002" spans="1:2" x14ac:dyDescent="0.25">
      <c r="A1002" t="str">
        <f>IF(REGLAS!J1003="OBSOLETO","","INSERT INTO INYCEXT.INYC_CONF_INF_REGLAS (COD_INFORME,TABLA,NOMBRE,REGLA,F_INICIO,F_FIN,DESCRIPCION) VALUES ("&amp;REGLAS!B1003&amp;",'"&amp;REGLAS!C1003&amp;"','"&amp;REGLAS!D1003&amp;"','"&amp;REGLAS!G1003&amp;"',TO_DATE('"&amp;REGLAS!H1003&amp;"','yyyymmdd'),TO_DATE('"&amp;REGLAS!I1003&amp;"','yyyymmdd'),'"&amp;REGLAS!J1003&amp;"');")</f>
        <v>INSERT INTO INYCEXT.INYC_CONF_INF_REGLAS (COD_INFORME,TABLA,NOMBRE,REGLA,F_INICIO,F_FIN,DESCRIPCION) VALUES (104.1,'INYC_PEPA_RESUMEN','SM - Primas Agente Vida Riesgo Mensual','SM-O-GEN-Agente-Prima-003-TotalMes',TO_DATE('20140101','yyyymmdd'),TO_DATE('22000101','yyyymmdd'),'');</v>
      </c>
      <c r="B1002" t="str">
        <f>IF(REGLAS!J1003="OBSOLETO","","INSERT INTO INYCEXT.INYC_CONF_INF_REGLAS@tc_link (COD_INFORME,TABLA,NOMBRE,REGLA,F_INICIO,F_FIN,DESCRIPCION) VALUES ("&amp;REGLAS!B1003&amp;",'"&amp;REGLAS!C1003&amp;"','"&amp;REGLAS!D1003&amp;"','"&amp;REGLAS!G1003&amp;"',TO_DATE('"&amp;REGLAS!H1003&amp;"','yyyymmdd'),TO_DATE('"&amp;REGLAS!I1003&amp;"','yyyymmdd'),'"&amp;REGLAS!J1003&amp;"');")</f>
        <v>INSERT INTO INYCEXT.INYC_CONF_INF_REGLAS@tc_link (COD_INFORME,TABLA,NOMBRE,REGLA,F_INICIO,F_FIN,DESCRIPCION) VALUES (104.1,'INYC_PEPA_RESUMEN','SM - Primas Agente Vida Riesgo Mensual','SM-O-GEN-Agente-Prima-003-TotalMes',TO_DATE('20140101','yyyymmdd'),TO_DATE('22000101','yyyymmdd'),'');</v>
      </c>
    </row>
    <row r="1003" spans="1:2" x14ac:dyDescent="0.25">
      <c r="A1003" t="str">
        <f>IF(REGLAS!J1004="OBSOLETO","","INSERT INTO INYCEXT.INYC_CONF_INF_REGLAS (COD_INFORME,TABLA,NOMBRE,REGLA,F_INICIO,F_FIN,DESCRIPCION) VALUES ("&amp;REGLAS!B1004&amp;",'"&amp;REGLAS!C1004&amp;"','"&amp;REGLAS!D1004&amp;"','"&amp;REGLAS!G1004&amp;"',TO_DATE('"&amp;REGLAS!H1004&amp;"','yyyymmdd'),TO_DATE('"&amp;REGLAS!I1004&amp;"','yyyymmdd'),'"&amp;REGLAS!J1004&amp;"');")</f>
        <v>INSERT INTO INYCEXT.INYC_CONF_INF_REGLAS (COD_INFORME,TABLA,NOMBRE,REGLA,F_INICIO,F_FIN,DESCRIPCION) VALUES (104.1,'INYC_PEPA_RESUMEN','SM - Primas Agente Vida Ahorro Mensual','SM-O-GEN-Agente-Prima-004-TotalMes',TO_DATE('20140101','yyyymmdd'),TO_DATE('22000101','yyyymmdd'),'');</v>
      </c>
      <c r="B1003" t="str">
        <f>IF(REGLAS!J1004="OBSOLETO","","INSERT INTO INYCEXT.INYC_CONF_INF_REGLAS@tc_link (COD_INFORME,TABLA,NOMBRE,REGLA,F_INICIO,F_FIN,DESCRIPCION) VALUES ("&amp;REGLAS!B1004&amp;",'"&amp;REGLAS!C1004&amp;"','"&amp;REGLAS!D1004&amp;"','"&amp;REGLAS!G1004&amp;"',TO_DATE('"&amp;REGLAS!H1004&amp;"','yyyymmdd'),TO_DATE('"&amp;REGLAS!I1004&amp;"','yyyymmdd'),'"&amp;REGLAS!J1004&amp;"');")</f>
        <v>INSERT INTO INYCEXT.INYC_CONF_INF_REGLAS@tc_link (COD_INFORME,TABLA,NOMBRE,REGLA,F_INICIO,F_FIN,DESCRIPCION) VALUES (104.1,'INYC_PEPA_RESUMEN','SM - Primas Agente Vida Ahorro Mensual','SM-O-GEN-Agente-Prima-004-TotalMes',TO_DATE('20140101','yyyymmdd'),TO_DATE('22000101','yyyymmdd'),'');</v>
      </c>
    </row>
    <row r="1004" spans="1:2" x14ac:dyDescent="0.25">
      <c r="A1004" t="str">
        <f>IF(REGLAS!J1005="OBSOLETO","","INSERT INTO INYCEXT.INYC_CONF_INF_REGLAS (COD_INFORME,TABLA,NOMBRE,REGLA,F_INICIO,F_FIN,DESCRIPCION) VALUES ("&amp;REGLAS!B1005&amp;",'"&amp;REGLAS!C1005&amp;"','"&amp;REGLAS!D1005&amp;"','"&amp;REGLAS!G1005&amp;"',TO_DATE('"&amp;REGLAS!H1005&amp;"','yyyymmdd'),TO_DATE('"&amp;REGLAS!I1005&amp;"','yyyymmdd'),'"&amp;REGLAS!J1005&amp;"');")</f>
        <v>INSERT INTO INYCEXT.INYC_CONF_INF_REGLAS (COD_INFORME,TABLA,NOMBRE,REGLA,F_INICIO,F_FIN,DESCRIPCION) VALUES (104.1,'INYC_PEPA_RESUMEN','SM - Primas Agente Accidentes Mensual','SM-O-GEN-Agente-Prima-005-TotalMes',TO_DATE('20140101','yyyymmdd'),TO_DATE('22000101','yyyymmdd'),'');</v>
      </c>
      <c r="B1004" t="str">
        <f>IF(REGLAS!J1005="OBSOLETO","","INSERT INTO INYCEXT.INYC_CONF_INF_REGLAS@tc_link (COD_INFORME,TABLA,NOMBRE,REGLA,F_INICIO,F_FIN,DESCRIPCION) VALUES ("&amp;REGLAS!B1005&amp;",'"&amp;REGLAS!C1005&amp;"','"&amp;REGLAS!D1005&amp;"','"&amp;REGLAS!G1005&amp;"',TO_DATE('"&amp;REGLAS!H1005&amp;"','yyyymmdd'),TO_DATE('"&amp;REGLAS!I1005&amp;"','yyyymmdd'),'"&amp;REGLAS!J1005&amp;"');")</f>
        <v>INSERT INTO INYCEXT.INYC_CONF_INF_REGLAS@tc_link (COD_INFORME,TABLA,NOMBRE,REGLA,F_INICIO,F_FIN,DESCRIPCION) VALUES (104.1,'INYC_PEPA_RESUMEN','SM - Primas Agente Accidentes Mensual','SM-O-GEN-Agente-Prima-005-TotalMes',TO_DATE('20140101','yyyymmdd'),TO_DATE('22000101','yyyymmdd'),'');</v>
      </c>
    </row>
    <row r="1005" spans="1:2" x14ac:dyDescent="0.25">
      <c r="A1005" t="str">
        <f>IF(REGLAS!J1006="OBSOLETO","","INSERT INTO INYCEXT.INYC_CONF_INF_REGLAS (COD_INFORME,TABLA,NOMBRE,REGLA,F_INICIO,F_FIN,DESCRIPCION) VALUES ("&amp;REGLAS!B1006&amp;",'"&amp;REGLAS!C1006&amp;"','"&amp;REGLAS!D1006&amp;"','"&amp;REGLAS!G1006&amp;"',TO_DATE('"&amp;REGLAS!H1006&amp;"','yyyymmdd'),TO_DATE('"&amp;REGLAS!I1006&amp;"','yyyymmdd'),'"&amp;REGLAS!J1006&amp;"');")</f>
        <v>INSERT INTO INYCEXT.INYC_CONF_INF_REGLAS (COD_INFORME,TABLA,NOMBRE,REGLA,F_INICIO,F_FIN,DESCRIPCION) VALUES (104.1,'INYC_PEPA_RESUMEN','SM - Primas Agente RRPP (excl PU y conv/colec) Mensual','SM-O-GEN-Agente-Prima-906-TotalMes',TO_DATE('20140101','yyyymmdd'),TO_DATE('22000101','yyyymmdd'),'');</v>
      </c>
      <c r="B1005" t="str">
        <f>IF(REGLAS!J1006="OBSOLETO","","INSERT INTO INYCEXT.INYC_CONF_INF_REGLAS@tc_link (COD_INFORME,TABLA,NOMBRE,REGLA,F_INICIO,F_FIN,DESCRIPCION) VALUES ("&amp;REGLAS!B1006&amp;",'"&amp;REGLAS!C1006&amp;"','"&amp;REGLAS!D1006&amp;"','"&amp;REGLAS!G1006&amp;"',TO_DATE('"&amp;REGLAS!H1006&amp;"','yyyymmdd'),TO_DATE('"&amp;REGLAS!I1006&amp;"','yyyymmdd'),'"&amp;REGLAS!J1006&amp;"');")</f>
        <v>INSERT INTO INYCEXT.INYC_CONF_INF_REGLAS@tc_link (COD_INFORME,TABLA,NOMBRE,REGLA,F_INICIO,F_FIN,DESCRIPCION) VALUES (104.1,'INYC_PEPA_RESUMEN','SM - Primas Agente RRPP (excl PU y conv/colec) Mensual','SM-O-GEN-Agente-Prima-906-TotalMes',TO_DATE('20140101','yyyymmdd'),TO_DATE('22000101','yyyymmdd'),'');</v>
      </c>
    </row>
    <row r="1006" spans="1:2" x14ac:dyDescent="0.25">
      <c r="A1006" t="str">
        <f>IF(REGLAS!J1007="OBSOLETO","","INSERT INTO INYCEXT.INYC_CONF_INF_REGLAS (COD_INFORME,TABLA,NOMBRE,REGLA,F_INICIO,F_FIN,DESCRIPCION) VALUES ("&amp;REGLAS!B1007&amp;",'"&amp;REGLAS!C1007&amp;"','"&amp;REGLAS!D1007&amp;"','"&amp;REGLAS!G1007&amp;"',TO_DATE('"&amp;REGLAS!H1007&amp;"','yyyymmdd'),TO_DATE('"&amp;REGLAS!I1007&amp;"','yyyymmdd'),'"&amp;REGLAS!J1007&amp;"');")</f>
        <v>INSERT INTO INYCEXT.INYC_CONF_INF_REGLAS (COD_INFORME,TABLA,NOMBRE,REGLA,F_INICIO,F_FIN,DESCRIPCION) VALUES (104.1,'INYC_PEPA_RESUMEN','SM - Primas Agente Prod. Prioritarios Mensual','SM-O-GEN-Agente-Prima-997-TotalMes',TO_DATE('20140101','yyyymmdd'),TO_DATE('22000101','yyyymmdd'),'');</v>
      </c>
      <c r="B1006" t="str">
        <f>IF(REGLAS!J1007="OBSOLETO","","INSERT INTO INYCEXT.INYC_CONF_INF_REGLAS@tc_link (COD_INFORME,TABLA,NOMBRE,REGLA,F_INICIO,F_FIN,DESCRIPCION) VALUES ("&amp;REGLAS!B1007&amp;",'"&amp;REGLAS!C1007&amp;"','"&amp;REGLAS!D1007&amp;"','"&amp;REGLAS!G1007&amp;"',TO_DATE('"&amp;REGLAS!H1007&amp;"','yyyymmdd'),TO_DATE('"&amp;REGLAS!I1007&amp;"','yyyymmdd'),'"&amp;REGLAS!J1007&amp;"');")</f>
        <v>INSERT INTO INYCEXT.INYC_CONF_INF_REGLAS@tc_link (COD_INFORME,TABLA,NOMBRE,REGLA,F_INICIO,F_FIN,DESCRIPCION) VALUES (104.1,'INYC_PEPA_RESUMEN','SM - Primas Agente Prod. Prioritarios Mensual','SM-O-GEN-Agente-Prima-997-TotalMes',TO_DATE('20140101','yyyymmdd'),TO_DATE('22000101','yyyymmdd'),'');</v>
      </c>
    </row>
    <row r="1007" spans="1:2" x14ac:dyDescent="0.25">
      <c r="A1007" t="str">
        <f>IF(REGLAS!J1008="OBSOLETO","","INSERT INTO INYCEXT.INYC_CONF_INF_REGLAS (COD_INFORME,TABLA,NOMBRE,REGLA,F_INICIO,F_FIN,DESCRIPCION) VALUES ("&amp;REGLAS!B1008&amp;",'"&amp;REGLAS!C1008&amp;"','"&amp;REGLAS!D1008&amp;"','"&amp;REGLAS!G1008&amp;"',TO_DATE('"&amp;REGLAS!H1008&amp;"','yyyymmdd'),TO_DATE('"&amp;REGLAS!I1008&amp;"','yyyymmdd'),'"&amp;REGLAS!J1008&amp;"');")</f>
        <v>INSERT INTO INYCEXT.INYC_CONF_INF_REGLAS (COD_INFORME,TABLA,NOMBRE,REGLA,F_INICIO,F_FIN,DESCRIPCION) VALUES (104.1,'INYC_PEPA_RESUMEN','SM - Primas Agente Total Productos Mensual','SM-O-GEN-Agente-Prima-998-TotalMes',TO_DATE('20140101','yyyymmdd'),TO_DATE('22000101','yyyymmdd'),'');</v>
      </c>
      <c r="B1007" t="str">
        <f>IF(REGLAS!J1008="OBSOLETO","","INSERT INTO INYCEXT.INYC_CONF_INF_REGLAS@tc_link (COD_INFORME,TABLA,NOMBRE,REGLA,F_INICIO,F_FIN,DESCRIPCION) VALUES ("&amp;REGLAS!B1008&amp;",'"&amp;REGLAS!C1008&amp;"','"&amp;REGLAS!D1008&amp;"','"&amp;REGLAS!G1008&amp;"',TO_DATE('"&amp;REGLAS!H1008&amp;"','yyyymmdd'),TO_DATE('"&amp;REGLAS!I1008&amp;"','yyyymmdd'),'"&amp;REGLAS!J1008&amp;"');")</f>
        <v>INSERT INTO INYCEXT.INYC_CONF_INF_REGLAS@tc_link (COD_INFORME,TABLA,NOMBRE,REGLA,F_INICIO,F_FIN,DESCRIPCION) VALUES (104.1,'INYC_PEPA_RESUMEN','SM - Primas Agente Total Productos Mensual','SM-O-GEN-Agente-Prima-998-TotalMes',TO_DATE('20140101','yyyymmdd'),TO_DATE('22000101','yyyymmdd'),'');</v>
      </c>
    </row>
    <row r="1008" spans="1:2" x14ac:dyDescent="0.25">
      <c r="A1008" t="str">
        <f>IF(REGLAS!J1009="OBSOLETO","","INSERT INTO INYCEXT.INYC_CONF_INF_REGLAS (COD_INFORME,TABLA,NOMBRE,REGLA,F_INICIO,F_FIN,DESCRIPCION) VALUES ("&amp;REGLAS!B1009&amp;",'"&amp;REGLAS!C1009&amp;"','"&amp;REGLAS!D1009&amp;"','"&amp;REGLAS!G1009&amp;"',TO_DATE('"&amp;REGLAS!H1009&amp;"','yyyymmdd'),TO_DATE('"&amp;REGLAS!I1009&amp;"','yyyymmdd'),'"&amp;REGLAS!J1009&amp;"');")</f>
        <v>INSERT INTO INYCEXT.INYC_CONF_INF_REGLAS (COD_INFORME,TABLA,NOMBRE,REGLA,F_INICIO,F_FIN,DESCRIPCION) VALUES (104.1,'INYC_PEPA_RESUMEN','SM - Nº Asegurados Agente Mensual','SM-O-GEN-Agente-NumAsegurados-TotalMes',TO_DATE('20180101','yyyymmdd'),TO_DATE('22000101','yyyymmdd'),'Version 20180116');</v>
      </c>
      <c r="B1008" t="str">
        <f>IF(REGLAS!J1009="OBSOLETO","","INSERT INTO INYCEXT.INYC_CONF_INF_REGLAS@tc_link (COD_INFORME,TABLA,NOMBRE,REGLA,F_INICIO,F_FIN,DESCRIPCION) VALUES ("&amp;REGLAS!B1009&amp;",'"&amp;REGLAS!C1009&amp;"','"&amp;REGLAS!D1009&amp;"','"&amp;REGLAS!G1009&amp;"',TO_DATE('"&amp;REGLAS!H1009&amp;"','yyyymmdd'),TO_DATE('"&amp;REGLAS!I1009&amp;"','yyyymmdd'),'"&amp;REGLAS!J1009&amp;"');")</f>
        <v>INSERT INTO INYCEXT.INYC_CONF_INF_REGLAS@tc_link (COD_INFORME,TABLA,NOMBRE,REGLA,F_INICIO,F_FIN,DESCRIPCION) VALUES (104.1,'INYC_PEPA_RESUMEN','SM - Nº Asegurados Agente Mensual','SM-O-GEN-Agente-NumAsegurados-TotalMes',TO_DATE('20180101','yyyymmdd'),TO_DATE('22000101','yyyymmdd'),'Version 20180116');</v>
      </c>
    </row>
    <row r="1009" spans="1:2" x14ac:dyDescent="0.25">
      <c r="A1009" t="str">
        <f>IF(REGLAS!J1010="OBSOLETO","","INSERT INTO INYCEXT.INYC_CONF_INF_REGLAS (COD_INFORME,TABLA,NOMBRE,REGLA,F_INICIO,F_FIN,DESCRIPCION) VALUES ("&amp;REGLAS!B1010&amp;",'"&amp;REGLAS!C1010&amp;"','"&amp;REGLAS!D1010&amp;"','"&amp;REGLAS!G1010&amp;"',TO_DATE('"&amp;REGLAS!H1010&amp;"','yyyymmdd'),TO_DATE('"&amp;REGLAS!I1010&amp;"','yyyymmdd'),'"&amp;REGLAS!J1010&amp;"');")</f>
        <v>INSERT INTO INYCEXT.INYC_CONF_INF_REGLAS (COD_INFORME,TABLA,NOMBRE,REGLA,F_INICIO,F_FIN,DESCRIPCION) VALUES (104.1,'INYC_PEPA_RESUMEN','SM - Nº Asegurados Agente Anual','SM-O-GEN-Agente-NumAsegurados-TotalAnual',TO_DATE('20180101','yyyymmdd'),TO_DATE('22000101','yyyymmdd'),'Version 20180116');</v>
      </c>
      <c r="B1009" t="str">
        <f>IF(REGLAS!J1010="OBSOLETO","","INSERT INTO INYCEXT.INYC_CONF_INF_REGLAS@tc_link (COD_INFORME,TABLA,NOMBRE,REGLA,F_INICIO,F_FIN,DESCRIPCION) VALUES ("&amp;REGLAS!B1010&amp;",'"&amp;REGLAS!C1010&amp;"','"&amp;REGLAS!D1010&amp;"','"&amp;REGLAS!G1010&amp;"',TO_DATE('"&amp;REGLAS!H1010&amp;"','yyyymmdd'),TO_DATE('"&amp;REGLAS!I1010&amp;"','yyyymmdd'),'"&amp;REGLAS!J1010&amp;"');")</f>
        <v>INSERT INTO INYCEXT.INYC_CONF_INF_REGLAS@tc_link (COD_INFORME,TABLA,NOMBRE,REGLA,F_INICIO,F_FIN,DESCRIPCION) VALUES (104.1,'INYC_PEPA_RESUMEN','SM - Nº Asegurados Agente Anual','SM-O-GEN-Agente-NumAsegurados-TotalAnual',TO_DATE('20180101','yyyymmdd'),TO_DATE('22000101','yyyymmdd'),'Version 20180116');</v>
      </c>
    </row>
    <row r="1010" spans="1:2" x14ac:dyDescent="0.25">
      <c r="A1010" t="str">
        <f>IF(REGLAS!J1011="OBSOLETO","","INSERT INTO INYCEXT.INYC_CONF_INF_REGLAS (COD_INFORME,TABLA,NOMBRE,REGLA,F_INICIO,F_FIN,DESCRIPCION) VALUES ("&amp;REGLAS!B1011&amp;",'"&amp;REGLAS!C1011&amp;"','"&amp;REGLAS!D1011&amp;"','"&amp;REGLAS!G1011&amp;"',TO_DATE('"&amp;REGLAS!H1011&amp;"','yyyymmdd'),TO_DATE('"&amp;REGLAS!I1011&amp;"','yyyymmdd'),'"&amp;REGLAS!J1011&amp;"');")</f>
        <v>INSERT INTO INYCEXT.INYC_CONF_INF_REGLAS (COD_INFORME,TABLA,NOMBRE,REGLA,F_INICIO,F_FIN,DESCRIPCION) VALUES (104.1,'INYC_PEPA_RESUMEN','SM - Nº Pólizas Agente RRTT Anual','SM-O-GEN-Agente-NumeroPolizas-001-TotalAnual',TO_DATE('20140101','yyyymmdd'),TO_DATE('22000101','yyyymmdd'),'');</v>
      </c>
      <c r="B1010" t="str">
        <f>IF(REGLAS!J1011="OBSOLETO","","INSERT INTO INYCEXT.INYC_CONF_INF_REGLAS@tc_link (COD_INFORME,TABLA,NOMBRE,REGLA,F_INICIO,F_FIN,DESCRIPCION) VALUES ("&amp;REGLAS!B1011&amp;",'"&amp;REGLAS!C1011&amp;"','"&amp;REGLAS!D1011&amp;"','"&amp;REGLAS!G1011&amp;"',TO_DATE('"&amp;REGLAS!H1011&amp;"','yyyymmdd'),TO_DATE('"&amp;REGLAS!I1011&amp;"','yyyymmdd'),'"&amp;REGLAS!J1011&amp;"');")</f>
        <v>INSERT INTO INYCEXT.INYC_CONF_INF_REGLAS@tc_link (COD_INFORME,TABLA,NOMBRE,REGLA,F_INICIO,F_FIN,DESCRIPCION) VALUES (104.1,'INYC_PEPA_RESUMEN','SM - Nº Pólizas Agente RRTT Anual','SM-O-GEN-Agente-NumeroPolizas-001-TotalAnual',TO_DATE('20140101','yyyymmdd'),TO_DATE('22000101','yyyymmdd'),'');</v>
      </c>
    </row>
    <row r="1011" spans="1:2" x14ac:dyDescent="0.25">
      <c r="A1011" t="str">
        <f>IF(REGLAS!J1012="OBSOLETO","","INSERT INTO INYCEXT.INYC_CONF_INF_REGLAS (COD_INFORME,TABLA,NOMBRE,REGLA,F_INICIO,F_FIN,DESCRIPCION) VALUES ("&amp;REGLAS!B1012&amp;",'"&amp;REGLAS!C1012&amp;"','"&amp;REGLAS!D1012&amp;"','"&amp;REGLAS!G1012&amp;"',TO_DATE('"&amp;REGLAS!H1012&amp;"','yyyymmdd'),TO_DATE('"&amp;REGLAS!I1012&amp;"','yyyymmdd'),'"&amp;REGLAS!J1012&amp;"');")</f>
        <v>INSERT INTO INYCEXT.INYC_CONF_INF_REGLAS (COD_INFORME,TABLA,NOMBRE,REGLA,F_INICIO,F_FIN,DESCRIPCION) VALUES (104.1,'INYC_PEPA_RESUMEN','SM - Nº Pólizas Agente Hogar Anual','SM-O-GEN-Agente-NumeroPolizas-002-TotalAnual',TO_DATE('20140101','yyyymmdd'),TO_DATE('22000101','yyyymmdd'),'');</v>
      </c>
      <c r="B1011" t="str">
        <f>IF(REGLAS!J1012="OBSOLETO","","INSERT INTO INYCEXT.INYC_CONF_INF_REGLAS@tc_link (COD_INFORME,TABLA,NOMBRE,REGLA,F_INICIO,F_FIN,DESCRIPCION) VALUES ("&amp;REGLAS!B1012&amp;",'"&amp;REGLAS!C1012&amp;"','"&amp;REGLAS!D1012&amp;"','"&amp;REGLAS!G1012&amp;"',TO_DATE('"&amp;REGLAS!H1012&amp;"','yyyymmdd'),TO_DATE('"&amp;REGLAS!I1012&amp;"','yyyymmdd'),'"&amp;REGLAS!J1012&amp;"');")</f>
        <v>INSERT INTO INYCEXT.INYC_CONF_INF_REGLAS@tc_link (COD_INFORME,TABLA,NOMBRE,REGLA,F_INICIO,F_FIN,DESCRIPCION) VALUES (104.1,'INYC_PEPA_RESUMEN','SM - Nº Pólizas Agente Hogar Anual','SM-O-GEN-Agente-NumeroPolizas-002-TotalAnual',TO_DATE('20140101','yyyymmdd'),TO_DATE('22000101','yyyymmdd'),'');</v>
      </c>
    </row>
    <row r="1012" spans="1:2" x14ac:dyDescent="0.25">
      <c r="A1012" t="str">
        <f>IF(REGLAS!J1013="OBSOLETO","","INSERT INTO INYCEXT.INYC_CONF_INF_REGLAS (COD_INFORME,TABLA,NOMBRE,REGLA,F_INICIO,F_FIN,DESCRIPCION) VALUES ("&amp;REGLAS!B1013&amp;",'"&amp;REGLAS!C1013&amp;"','"&amp;REGLAS!D1013&amp;"','"&amp;REGLAS!G1013&amp;"',TO_DATE('"&amp;REGLAS!H1013&amp;"','yyyymmdd'),TO_DATE('"&amp;REGLAS!I1013&amp;"','yyyymmdd'),'"&amp;REGLAS!J1013&amp;"');")</f>
        <v>INSERT INTO INYCEXT.INYC_CONF_INF_REGLAS (COD_INFORME,TABLA,NOMBRE,REGLA,F_INICIO,F_FIN,DESCRIPCION) VALUES (104.1,'INYC_PEPA_RESUMEN','SM - Nº Pólizas Agente Vida Riesgo Anual','SM-O-GEN-Agente-NumeroPolizas-003-TotalAnual',TO_DATE('20140101','yyyymmdd'),TO_DATE('22000101','yyyymmdd'),'');</v>
      </c>
      <c r="B1012" t="str">
        <f>IF(REGLAS!J1013="OBSOLETO","","INSERT INTO INYCEXT.INYC_CONF_INF_REGLAS@tc_link (COD_INFORME,TABLA,NOMBRE,REGLA,F_INICIO,F_FIN,DESCRIPCION) VALUES ("&amp;REGLAS!B1013&amp;",'"&amp;REGLAS!C1013&amp;"','"&amp;REGLAS!D1013&amp;"','"&amp;REGLAS!G1013&amp;"',TO_DATE('"&amp;REGLAS!H1013&amp;"','yyyymmdd'),TO_DATE('"&amp;REGLAS!I1013&amp;"','yyyymmdd'),'"&amp;REGLAS!J1013&amp;"');")</f>
        <v>INSERT INTO INYCEXT.INYC_CONF_INF_REGLAS@tc_link (COD_INFORME,TABLA,NOMBRE,REGLA,F_INICIO,F_FIN,DESCRIPCION) VALUES (104.1,'INYC_PEPA_RESUMEN','SM - Nº Pólizas Agente Vida Riesgo Anual','SM-O-GEN-Agente-NumeroPolizas-003-TotalAnual',TO_DATE('20140101','yyyymmdd'),TO_DATE('22000101','yyyymmdd'),'');</v>
      </c>
    </row>
    <row r="1013" spans="1:2" x14ac:dyDescent="0.25">
      <c r="A1013" t="str">
        <f>IF(REGLAS!J1014="OBSOLETO","","INSERT INTO INYCEXT.INYC_CONF_INF_REGLAS (COD_INFORME,TABLA,NOMBRE,REGLA,F_INICIO,F_FIN,DESCRIPCION) VALUES ("&amp;REGLAS!B1014&amp;",'"&amp;REGLAS!C1014&amp;"','"&amp;REGLAS!D1014&amp;"','"&amp;REGLAS!G1014&amp;"',TO_DATE('"&amp;REGLAS!H1014&amp;"','yyyymmdd'),TO_DATE('"&amp;REGLAS!I1014&amp;"','yyyymmdd'),'"&amp;REGLAS!J1014&amp;"');")</f>
        <v>INSERT INTO INYCEXT.INYC_CONF_INF_REGLAS (COD_INFORME,TABLA,NOMBRE,REGLA,F_INICIO,F_FIN,DESCRIPCION) VALUES (104.1,'INYC_PEPA_RESUMEN','SM - Nº Pólizas Agente Vida Ahorro Anual','SM-O-GEN-Agente-NumeroPolizas-004-TotalAnual',TO_DATE('20140101','yyyymmdd'),TO_DATE('22000101','yyyymmdd'),'');</v>
      </c>
      <c r="B1013" t="str">
        <f>IF(REGLAS!J1014="OBSOLETO","","INSERT INTO INYCEXT.INYC_CONF_INF_REGLAS@tc_link (COD_INFORME,TABLA,NOMBRE,REGLA,F_INICIO,F_FIN,DESCRIPCION) VALUES ("&amp;REGLAS!B1014&amp;",'"&amp;REGLAS!C1014&amp;"','"&amp;REGLAS!D1014&amp;"','"&amp;REGLAS!G1014&amp;"',TO_DATE('"&amp;REGLAS!H1014&amp;"','yyyymmdd'),TO_DATE('"&amp;REGLAS!I1014&amp;"','yyyymmdd'),'"&amp;REGLAS!J1014&amp;"');")</f>
        <v>INSERT INTO INYCEXT.INYC_CONF_INF_REGLAS@tc_link (COD_INFORME,TABLA,NOMBRE,REGLA,F_INICIO,F_FIN,DESCRIPCION) VALUES (104.1,'INYC_PEPA_RESUMEN','SM - Nº Pólizas Agente Vida Ahorro Anual','SM-O-GEN-Agente-NumeroPolizas-004-TotalAnual',TO_DATE('20140101','yyyymmdd'),TO_DATE('22000101','yyyymmdd'),'');</v>
      </c>
    </row>
    <row r="1014" spans="1:2" x14ac:dyDescent="0.25">
      <c r="A1014" t="str">
        <f>IF(REGLAS!J1015="OBSOLETO","","INSERT INTO INYCEXT.INYC_CONF_INF_REGLAS (COD_INFORME,TABLA,NOMBRE,REGLA,F_INICIO,F_FIN,DESCRIPCION) VALUES ("&amp;REGLAS!B1015&amp;",'"&amp;REGLAS!C1015&amp;"','"&amp;REGLAS!D1015&amp;"','"&amp;REGLAS!G1015&amp;"',TO_DATE('"&amp;REGLAS!H1015&amp;"','yyyymmdd'),TO_DATE('"&amp;REGLAS!I1015&amp;"','yyyymmdd'),'"&amp;REGLAS!J1015&amp;"');")</f>
        <v>INSERT INTO INYCEXT.INYC_CONF_INF_REGLAS (COD_INFORME,TABLA,NOMBRE,REGLA,F_INICIO,F_FIN,DESCRIPCION) VALUES (104.1,'INYC_PEPA_RESUMEN','SM - Nº Pólizas Agente Accidentes Anual','SM-O-GEN-Agente-NumeroPolizas-005-TotalAnual',TO_DATE('20140101','yyyymmdd'),TO_DATE('22000101','yyyymmdd'),'');</v>
      </c>
      <c r="B1014" t="str">
        <f>IF(REGLAS!J1015="OBSOLETO","","INSERT INTO INYCEXT.INYC_CONF_INF_REGLAS@tc_link (COD_INFORME,TABLA,NOMBRE,REGLA,F_INICIO,F_FIN,DESCRIPCION) VALUES ("&amp;REGLAS!B1015&amp;",'"&amp;REGLAS!C1015&amp;"','"&amp;REGLAS!D1015&amp;"','"&amp;REGLAS!G1015&amp;"',TO_DATE('"&amp;REGLAS!H1015&amp;"','yyyymmdd'),TO_DATE('"&amp;REGLAS!I1015&amp;"','yyyymmdd'),'"&amp;REGLAS!J1015&amp;"');")</f>
        <v>INSERT INTO INYCEXT.INYC_CONF_INF_REGLAS@tc_link (COD_INFORME,TABLA,NOMBRE,REGLA,F_INICIO,F_FIN,DESCRIPCION) VALUES (104.1,'INYC_PEPA_RESUMEN','SM - Nº Pólizas Agente Accidentes Anual','SM-O-GEN-Agente-NumeroPolizas-005-TotalAnual',TO_DATE('20140101','yyyymmdd'),TO_DATE('22000101','yyyymmdd'),'');</v>
      </c>
    </row>
    <row r="1015" spans="1:2" x14ac:dyDescent="0.25">
      <c r="A1015" t="str">
        <f>IF(REGLAS!J1016="OBSOLETO","","INSERT INTO INYCEXT.INYC_CONF_INF_REGLAS (COD_INFORME,TABLA,NOMBRE,REGLA,F_INICIO,F_FIN,DESCRIPCION) VALUES ("&amp;REGLAS!B1016&amp;",'"&amp;REGLAS!C1016&amp;"','"&amp;REGLAS!D1016&amp;"','"&amp;REGLAS!G1016&amp;"',TO_DATE('"&amp;REGLAS!H1016&amp;"','yyyymmdd'),TO_DATE('"&amp;REGLAS!I1016&amp;"','yyyymmdd'),'"&amp;REGLAS!J1016&amp;"');")</f>
        <v>INSERT INTO INYCEXT.INYC_CONF_INF_REGLAS (COD_INFORME,TABLA,NOMBRE,REGLA,F_INICIO,F_FIN,DESCRIPCION) VALUES (104.1,'INYC_PEPA_RESUMEN','SM - Nº Pólizas Agente RRPP (excl PU y conv/colec) Anual','SM-O-GEN-Agente-NumeroPolizas-906-TotalAnual',TO_DATE('20140101','yyyymmdd'),TO_DATE('22000101','yyyymmdd'),'');</v>
      </c>
      <c r="B1015" t="str">
        <f>IF(REGLAS!J1016="OBSOLETO","","INSERT INTO INYCEXT.INYC_CONF_INF_REGLAS@tc_link (COD_INFORME,TABLA,NOMBRE,REGLA,F_INICIO,F_FIN,DESCRIPCION) VALUES ("&amp;REGLAS!B1016&amp;",'"&amp;REGLAS!C1016&amp;"','"&amp;REGLAS!D1016&amp;"','"&amp;REGLAS!G1016&amp;"',TO_DATE('"&amp;REGLAS!H1016&amp;"','yyyymmdd'),TO_DATE('"&amp;REGLAS!I1016&amp;"','yyyymmdd'),'"&amp;REGLAS!J1016&amp;"');")</f>
        <v>INSERT INTO INYCEXT.INYC_CONF_INF_REGLAS@tc_link (COD_INFORME,TABLA,NOMBRE,REGLA,F_INICIO,F_FIN,DESCRIPCION) VALUES (104.1,'INYC_PEPA_RESUMEN','SM - Nº Pólizas Agente RRPP (excl PU y conv/colec) Anual','SM-O-GEN-Agente-NumeroPolizas-906-TotalAnual',TO_DATE('20140101','yyyymmdd'),TO_DATE('22000101','yyyymmdd'),'');</v>
      </c>
    </row>
    <row r="1016" spans="1:2" x14ac:dyDescent="0.25">
      <c r="A1016" t="str">
        <f>IF(REGLAS!J1017="OBSOLETO","","INSERT INTO INYCEXT.INYC_CONF_INF_REGLAS (COD_INFORME,TABLA,NOMBRE,REGLA,F_INICIO,F_FIN,DESCRIPCION) VALUES ("&amp;REGLAS!B1017&amp;",'"&amp;REGLAS!C1017&amp;"','"&amp;REGLAS!D1017&amp;"','"&amp;REGLAS!G1017&amp;"',TO_DATE('"&amp;REGLAS!H1017&amp;"','yyyymmdd'),TO_DATE('"&amp;REGLAS!I1017&amp;"','yyyymmdd'),'"&amp;REGLAS!J1017&amp;"');")</f>
        <v>INSERT INTO INYCEXT.INYC_CONF_INF_REGLAS (COD_INFORME,TABLA,NOMBRE,REGLA,F_INICIO,F_FIN,DESCRIPCION) VALUES (104.1,'INYC_PEPA_RESUMEN','SM - Nº Pólizas Agente Prod. Prioritarios Anual','SM-O-GEN-Agente-NumeroPolizas-997-TotalAnual',TO_DATE('20140101','yyyymmdd'),TO_DATE('22000101','yyyymmdd'),'');</v>
      </c>
      <c r="B1016" t="str">
        <f>IF(REGLAS!J1017="OBSOLETO","","INSERT INTO INYCEXT.INYC_CONF_INF_REGLAS@tc_link (COD_INFORME,TABLA,NOMBRE,REGLA,F_INICIO,F_FIN,DESCRIPCION) VALUES ("&amp;REGLAS!B1017&amp;",'"&amp;REGLAS!C1017&amp;"','"&amp;REGLAS!D1017&amp;"','"&amp;REGLAS!G1017&amp;"',TO_DATE('"&amp;REGLAS!H1017&amp;"','yyyymmdd'),TO_DATE('"&amp;REGLAS!I1017&amp;"','yyyymmdd'),'"&amp;REGLAS!J1017&amp;"');")</f>
        <v>INSERT INTO INYCEXT.INYC_CONF_INF_REGLAS@tc_link (COD_INFORME,TABLA,NOMBRE,REGLA,F_INICIO,F_FIN,DESCRIPCION) VALUES (104.1,'INYC_PEPA_RESUMEN','SM - Nº Pólizas Agente Prod. Prioritarios Anual','SM-O-GEN-Agente-NumeroPolizas-997-TotalAnual',TO_DATE('20140101','yyyymmdd'),TO_DATE('22000101','yyyymmdd'),'');</v>
      </c>
    </row>
    <row r="1017" spans="1:2" x14ac:dyDescent="0.25">
      <c r="A1017" t="str">
        <f>IF(REGLAS!J1018="OBSOLETO","","INSERT INTO INYCEXT.INYC_CONF_INF_REGLAS (COD_INFORME,TABLA,NOMBRE,REGLA,F_INICIO,F_FIN,DESCRIPCION) VALUES ("&amp;REGLAS!B1018&amp;",'"&amp;REGLAS!C1018&amp;"','"&amp;REGLAS!D1018&amp;"','"&amp;REGLAS!G1018&amp;"',TO_DATE('"&amp;REGLAS!H1018&amp;"','yyyymmdd'),TO_DATE('"&amp;REGLAS!I1018&amp;"','yyyymmdd'),'"&amp;REGLAS!J1018&amp;"');")</f>
        <v>INSERT INTO INYCEXT.INYC_CONF_INF_REGLAS (COD_INFORME,TABLA,NOMBRE,REGLA,F_INICIO,F_FIN,DESCRIPCION) VALUES (104.1,'INYC_PEPA_RESUMEN','SM - Nº Pólizas Agente Total Productos Anual','SM-O-GEN-Agente-NumeroPolizas-998-TotalAnual',TO_DATE('20140101','yyyymmdd'),TO_DATE('22000101','yyyymmdd'),'');</v>
      </c>
      <c r="B1017" t="str">
        <f>IF(REGLAS!J1018="OBSOLETO","","INSERT INTO INYCEXT.INYC_CONF_INF_REGLAS@tc_link (COD_INFORME,TABLA,NOMBRE,REGLA,F_INICIO,F_FIN,DESCRIPCION) VALUES ("&amp;REGLAS!B1018&amp;",'"&amp;REGLAS!C1018&amp;"','"&amp;REGLAS!D1018&amp;"','"&amp;REGLAS!G1018&amp;"',TO_DATE('"&amp;REGLAS!H1018&amp;"','yyyymmdd'),TO_DATE('"&amp;REGLAS!I1018&amp;"','yyyymmdd'),'"&amp;REGLAS!J1018&amp;"');")</f>
        <v>INSERT INTO INYCEXT.INYC_CONF_INF_REGLAS@tc_link (COD_INFORME,TABLA,NOMBRE,REGLA,F_INICIO,F_FIN,DESCRIPCION) VALUES (104.1,'INYC_PEPA_RESUMEN','SM - Nº Pólizas Agente Total Productos Anual','SM-O-GEN-Agente-NumeroPolizas-998-TotalAnual',TO_DATE('20140101','yyyymmdd'),TO_DATE('22000101','yyyymmdd'),'');</v>
      </c>
    </row>
    <row r="1018" spans="1:2" x14ac:dyDescent="0.25">
      <c r="A1018" t="str">
        <f>IF(REGLAS!J1019="OBSOLETO","","INSERT INTO INYCEXT.INYC_CONF_INF_REGLAS (COD_INFORME,TABLA,NOMBRE,REGLA,F_INICIO,F_FIN,DESCRIPCION) VALUES ("&amp;REGLAS!B1019&amp;",'"&amp;REGLAS!C1019&amp;"','"&amp;REGLAS!D1019&amp;"','"&amp;REGLAS!G1019&amp;"',TO_DATE('"&amp;REGLAS!H1019&amp;"','yyyymmdd'),TO_DATE('"&amp;REGLAS!I1019&amp;"','yyyymmdd'),'"&amp;REGLAS!J1019&amp;"');")</f>
        <v>INSERT INTO INYCEXT.INYC_CONF_INF_REGLAS (COD_INFORME,TABLA,NOMBRE,REGLA,F_INICIO,F_FIN,DESCRIPCION) VALUES (104.1,'INYC_PEPA_RESUMEN','SM - Nº Pólizas Corregidas Agente RRTT Anual','SM-O-GEN-Agente-NumeroPolizasCorregidas-001-TotalAnual',TO_DATE('20140101','yyyymmdd'),TO_DATE('22000101','yyyymmdd'),'');</v>
      </c>
      <c r="B1018" t="str">
        <f>IF(REGLAS!J1019="OBSOLETO","","INSERT INTO INYCEXT.INYC_CONF_INF_REGLAS@tc_link (COD_INFORME,TABLA,NOMBRE,REGLA,F_INICIO,F_FIN,DESCRIPCION) VALUES ("&amp;REGLAS!B1019&amp;",'"&amp;REGLAS!C1019&amp;"','"&amp;REGLAS!D1019&amp;"','"&amp;REGLAS!G1019&amp;"',TO_DATE('"&amp;REGLAS!H1019&amp;"','yyyymmdd'),TO_DATE('"&amp;REGLAS!I1019&amp;"','yyyymmdd'),'"&amp;REGLAS!J1019&amp;"');")</f>
        <v>INSERT INTO INYCEXT.INYC_CONF_INF_REGLAS@tc_link (COD_INFORME,TABLA,NOMBRE,REGLA,F_INICIO,F_FIN,DESCRIPCION) VALUES (104.1,'INYC_PEPA_RESUMEN','SM - Nº Pólizas Corregidas Agente RRTT Anual','SM-O-GEN-Agente-NumeroPolizasCorregidas-001-TotalAnual',TO_DATE('20140101','yyyymmdd'),TO_DATE('22000101','yyyymmdd'),'');</v>
      </c>
    </row>
    <row r="1019" spans="1:2" x14ac:dyDescent="0.25">
      <c r="A1019" t="str">
        <f>IF(REGLAS!J1020="OBSOLETO","","INSERT INTO INYCEXT.INYC_CONF_INF_REGLAS (COD_INFORME,TABLA,NOMBRE,REGLA,F_INICIO,F_FIN,DESCRIPCION) VALUES ("&amp;REGLAS!B1020&amp;",'"&amp;REGLAS!C1020&amp;"','"&amp;REGLAS!D1020&amp;"','"&amp;REGLAS!G1020&amp;"',TO_DATE('"&amp;REGLAS!H1020&amp;"','yyyymmdd'),TO_DATE('"&amp;REGLAS!I1020&amp;"','yyyymmdd'),'"&amp;REGLAS!J1020&amp;"');")</f>
        <v>INSERT INTO INYCEXT.INYC_CONF_INF_REGLAS (COD_INFORME,TABLA,NOMBRE,REGLA,F_INICIO,F_FIN,DESCRIPCION) VALUES (104.1,'INYC_PEPA_RESUMEN','SM - Nº Pólizas Corregidas Agente Hogar Anual','SM-O-GEN-Agente-NumeroPolizasCorregidas-002-TotalAnual',TO_DATE('20140101','yyyymmdd'),TO_DATE('22000101','yyyymmdd'),'');</v>
      </c>
      <c r="B1019" t="str">
        <f>IF(REGLAS!J1020="OBSOLETO","","INSERT INTO INYCEXT.INYC_CONF_INF_REGLAS@tc_link (COD_INFORME,TABLA,NOMBRE,REGLA,F_INICIO,F_FIN,DESCRIPCION) VALUES ("&amp;REGLAS!B1020&amp;",'"&amp;REGLAS!C1020&amp;"','"&amp;REGLAS!D1020&amp;"','"&amp;REGLAS!G1020&amp;"',TO_DATE('"&amp;REGLAS!H1020&amp;"','yyyymmdd'),TO_DATE('"&amp;REGLAS!I1020&amp;"','yyyymmdd'),'"&amp;REGLAS!J1020&amp;"');")</f>
        <v>INSERT INTO INYCEXT.INYC_CONF_INF_REGLAS@tc_link (COD_INFORME,TABLA,NOMBRE,REGLA,F_INICIO,F_FIN,DESCRIPCION) VALUES (104.1,'INYC_PEPA_RESUMEN','SM - Nº Pólizas Corregidas Agente Hogar Anual','SM-O-GEN-Agente-NumeroPolizasCorregidas-002-TotalAnual',TO_DATE('20140101','yyyymmdd'),TO_DATE('22000101','yyyymmdd'),'');</v>
      </c>
    </row>
    <row r="1020" spans="1:2" x14ac:dyDescent="0.25">
      <c r="A1020" t="str">
        <f>IF(REGLAS!J1021="OBSOLETO","","INSERT INTO INYCEXT.INYC_CONF_INF_REGLAS (COD_INFORME,TABLA,NOMBRE,REGLA,F_INICIO,F_FIN,DESCRIPCION) VALUES ("&amp;REGLAS!B1021&amp;",'"&amp;REGLAS!C1021&amp;"','"&amp;REGLAS!D1021&amp;"','"&amp;REGLAS!G1021&amp;"',TO_DATE('"&amp;REGLAS!H1021&amp;"','yyyymmdd'),TO_DATE('"&amp;REGLAS!I1021&amp;"','yyyymmdd'),'"&amp;REGLAS!J1021&amp;"');")</f>
        <v>INSERT INTO INYCEXT.INYC_CONF_INF_REGLAS (COD_INFORME,TABLA,NOMBRE,REGLA,F_INICIO,F_FIN,DESCRIPCION) VALUES (104.1,'INYC_PEPA_RESUMEN','SM - Nº Pólizas Corregidas Agente Vida Riesgo Anual','SM-O-GEN-Agente-NumeroPolizasCorregidas-003-TotalAnual',TO_DATE('20140101','yyyymmdd'),TO_DATE('22000101','yyyymmdd'),'');</v>
      </c>
      <c r="B1020" t="str">
        <f>IF(REGLAS!J1021="OBSOLETO","","INSERT INTO INYCEXT.INYC_CONF_INF_REGLAS@tc_link (COD_INFORME,TABLA,NOMBRE,REGLA,F_INICIO,F_FIN,DESCRIPCION) VALUES ("&amp;REGLAS!B1021&amp;",'"&amp;REGLAS!C1021&amp;"','"&amp;REGLAS!D1021&amp;"','"&amp;REGLAS!G1021&amp;"',TO_DATE('"&amp;REGLAS!H1021&amp;"','yyyymmdd'),TO_DATE('"&amp;REGLAS!I1021&amp;"','yyyymmdd'),'"&amp;REGLAS!J1021&amp;"');")</f>
        <v>INSERT INTO INYCEXT.INYC_CONF_INF_REGLAS@tc_link (COD_INFORME,TABLA,NOMBRE,REGLA,F_INICIO,F_FIN,DESCRIPCION) VALUES (104.1,'INYC_PEPA_RESUMEN','SM - Nº Pólizas Corregidas Agente Vida Riesgo Anual','SM-O-GEN-Agente-NumeroPolizasCorregidas-003-TotalAnual',TO_DATE('20140101','yyyymmdd'),TO_DATE('22000101','yyyymmdd'),'');</v>
      </c>
    </row>
    <row r="1021" spans="1:2" x14ac:dyDescent="0.25">
      <c r="A1021" t="str">
        <f>IF(REGLAS!J1022="OBSOLETO","","INSERT INTO INYCEXT.INYC_CONF_INF_REGLAS (COD_INFORME,TABLA,NOMBRE,REGLA,F_INICIO,F_FIN,DESCRIPCION) VALUES ("&amp;REGLAS!B1022&amp;",'"&amp;REGLAS!C1022&amp;"','"&amp;REGLAS!D1022&amp;"','"&amp;REGLAS!G1022&amp;"',TO_DATE('"&amp;REGLAS!H1022&amp;"','yyyymmdd'),TO_DATE('"&amp;REGLAS!I1022&amp;"','yyyymmdd'),'"&amp;REGLAS!J1022&amp;"');")</f>
        <v>INSERT INTO INYCEXT.INYC_CONF_INF_REGLAS (COD_INFORME,TABLA,NOMBRE,REGLA,F_INICIO,F_FIN,DESCRIPCION) VALUES (104.1,'INYC_PEPA_RESUMEN','SM - Nº Pólizas Corregidas Agente Vida Ahorro Anual','SM-O-GEN-Agente-NumeroPolizasCorregidas-004-TotalAnual',TO_DATE('20140101','yyyymmdd'),TO_DATE('22000101','yyyymmdd'),'');</v>
      </c>
      <c r="B1021" t="str">
        <f>IF(REGLAS!J1022="OBSOLETO","","INSERT INTO INYCEXT.INYC_CONF_INF_REGLAS@tc_link (COD_INFORME,TABLA,NOMBRE,REGLA,F_INICIO,F_FIN,DESCRIPCION) VALUES ("&amp;REGLAS!B1022&amp;",'"&amp;REGLAS!C1022&amp;"','"&amp;REGLAS!D1022&amp;"','"&amp;REGLAS!G1022&amp;"',TO_DATE('"&amp;REGLAS!H1022&amp;"','yyyymmdd'),TO_DATE('"&amp;REGLAS!I1022&amp;"','yyyymmdd'),'"&amp;REGLAS!J1022&amp;"');")</f>
        <v>INSERT INTO INYCEXT.INYC_CONF_INF_REGLAS@tc_link (COD_INFORME,TABLA,NOMBRE,REGLA,F_INICIO,F_FIN,DESCRIPCION) VALUES (104.1,'INYC_PEPA_RESUMEN','SM - Nº Pólizas Corregidas Agente Vida Ahorro Anual','SM-O-GEN-Agente-NumeroPolizasCorregidas-004-TotalAnual',TO_DATE('20140101','yyyymmdd'),TO_DATE('22000101','yyyymmdd'),'');</v>
      </c>
    </row>
    <row r="1022" spans="1:2" x14ac:dyDescent="0.25">
      <c r="A1022" t="str">
        <f>IF(REGLAS!J1023="OBSOLETO","","INSERT INTO INYCEXT.INYC_CONF_INF_REGLAS (COD_INFORME,TABLA,NOMBRE,REGLA,F_INICIO,F_FIN,DESCRIPCION) VALUES ("&amp;REGLAS!B1023&amp;",'"&amp;REGLAS!C1023&amp;"','"&amp;REGLAS!D1023&amp;"','"&amp;REGLAS!G1023&amp;"',TO_DATE('"&amp;REGLAS!H1023&amp;"','yyyymmdd'),TO_DATE('"&amp;REGLAS!I1023&amp;"','yyyymmdd'),'"&amp;REGLAS!J1023&amp;"');")</f>
        <v>INSERT INTO INYCEXT.INYC_CONF_INF_REGLAS (COD_INFORME,TABLA,NOMBRE,REGLA,F_INICIO,F_FIN,DESCRIPCION) VALUES (104.1,'INYC_PEPA_RESUMEN','SM - Nº Pólizas Corregidas Agente Accidentes Anual','SM-O-GEN-Agente-NumeroPolizasCorregidas-005-TotalAnual',TO_DATE('20140101','yyyymmdd'),TO_DATE('22000101','yyyymmdd'),'');</v>
      </c>
      <c r="B1022" t="str">
        <f>IF(REGLAS!J1023="OBSOLETO","","INSERT INTO INYCEXT.INYC_CONF_INF_REGLAS@tc_link (COD_INFORME,TABLA,NOMBRE,REGLA,F_INICIO,F_FIN,DESCRIPCION) VALUES ("&amp;REGLAS!B1023&amp;",'"&amp;REGLAS!C1023&amp;"','"&amp;REGLAS!D1023&amp;"','"&amp;REGLAS!G1023&amp;"',TO_DATE('"&amp;REGLAS!H1023&amp;"','yyyymmdd'),TO_DATE('"&amp;REGLAS!I1023&amp;"','yyyymmdd'),'"&amp;REGLAS!J1023&amp;"');")</f>
        <v>INSERT INTO INYCEXT.INYC_CONF_INF_REGLAS@tc_link (COD_INFORME,TABLA,NOMBRE,REGLA,F_INICIO,F_FIN,DESCRIPCION) VALUES (104.1,'INYC_PEPA_RESUMEN','SM - Nº Pólizas Corregidas Agente Accidentes Anual','SM-O-GEN-Agente-NumeroPolizasCorregidas-005-TotalAnual',TO_DATE('20140101','yyyymmdd'),TO_DATE('22000101','yyyymmdd'),'');</v>
      </c>
    </row>
    <row r="1023" spans="1:2" x14ac:dyDescent="0.25">
      <c r="A1023" t="str">
        <f>IF(REGLAS!J1024="OBSOLETO","","INSERT INTO INYCEXT.INYC_CONF_INF_REGLAS (COD_INFORME,TABLA,NOMBRE,REGLA,F_INICIO,F_FIN,DESCRIPCION) VALUES ("&amp;REGLAS!B1024&amp;",'"&amp;REGLAS!C1024&amp;"','"&amp;REGLAS!D1024&amp;"','"&amp;REGLAS!G1024&amp;"',TO_DATE('"&amp;REGLAS!H1024&amp;"','yyyymmdd'),TO_DATE('"&amp;REGLAS!I1024&amp;"','yyyymmdd'),'"&amp;REGLAS!J1024&amp;"');")</f>
        <v>INSERT INTO INYCEXT.INYC_CONF_INF_REGLAS (COD_INFORME,TABLA,NOMBRE,REGLA,F_INICIO,F_FIN,DESCRIPCION) VALUES (104.1,'INYC_PEPA_RESUMEN','SM - Nº Pólizas Corregidas Agente RRPP (excl PU y conv/colec) Anual','SM-O-GEN-Agente-NumeroPolizasCorregidas-906-TotalAnual',TO_DATE('20140101','yyyymmdd'),TO_DATE('22000101','yyyymmdd'),'');</v>
      </c>
      <c r="B1023" t="str">
        <f>IF(REGLAS!J1024="OBSOLETO","","INSERT INTO INYCEXT.INYC_CONF_INF_REGLAS@tc_link (COD_INFORME,TABLA,NOMBRE,REGLA,F_INICIO,F_FIN,DESCRIPCION) VALUES ("&amp;REGLAS!B1024&amp;",'"&amp;REGLAS!C1024&amp;"','"&amp;REGLAS!D1024&amp;"','"&amp;REGLAS!G1024&amp;"',TO_DATE('"&amp;REGLAS!H1024&amp;"','yyyymmdd'),TO_DATE('"&amp;REGLAS!I1024&amp;"','yyyymmdd'),'"&amp;REGLAS!J1024&amp;"');")</f>
        <v>INSERT INTO INYCEXT.INYC_CONF_INF_REGLAS@tc_link (COD_INFORME,TABLA,NOMBRE,REGLA,F_INICIO,F_FIN,DESCRIPCION) VALUES (104.1,'INYC_PEPA_RESUMEN','SM - Nº Pólizas Corregidas Agente RRPP (excl PU y conv/colec) Anual','SM-O-GEN-Agente-NumeroPolizasCorregidas-906-TotalAnual',TO_DATE('20140101','yyyymmdd'),TO_DATE('22000101','yyyymmdd'),'');</v>
      </c>
    </row>
    <row r="1024" spans="1:2" x14ac:dyDescent="0.25">
      <c r="A1024" t="str">
        <f>IF(REGLAS!J1025="OBSOLETO","","INSERT INTO INYCEXT.INYC_CONF_INF_REGLAS (COD_INFORME,TABLA,NOMBRE,REGLA,F_INICIO,F_FIN,DESCRIPCION) VALUES ("&amp;REGLAS!B1025&amp;",'"&amp;REGLAS!C1025&amp;"','"&amp;REGLAS!D1025&amp;"','"&amp;REGLAS!G1025&amp;"',TO_DATE('"&amp;REGLAS!H1025&amp;"','yyyymmdd'),TO_DATE('"&amp;REGLAS!I1025&amp;"','yyyymmdd'),'"&amp;REGLAS!J1025&amp;"');")</f>
        <v>INSERT INTO INYCEXT.INYC_CONF_INF_REGLAS (COD_INFORME,TABLA,NOMBRE,REGLA,F_INICIO,F_FIN,DESCRIPCION) VALUES (104.1,'INYC_PEPA_RESUMEN','SM - Nº Pólizas Corregidas Agente Prod. Prioritarios Anual','SM-O-GEN-Agente-NumeroPolizasCorregidas-997-TotalAnual',TO_DATE('20140101','yyyymmdd'),TO_DATE('22000101','yyyymmdd'),'');</v>
      </c>
      <c r="B1024" t="str">
        <f>IF(REGLAS!J1025="OBSOLETO","","INSERT INTO INYCEXT.INYC_CONF_INF_REGLAS@tc_link (COD_INFORME,TABLA,NOMBRE,REGLA,F_INICIO,F_FIN,DESCRIPCION) VALUES ("&amp;REGLAS!B1025&amp;",'"&amp;REGLAS!C1025&amp;"','"&amp;REGLAS!D1025&amp;"','"&amp;REGLAS!G1025&amp;"',TO_DATE('"&amp;REGLAS!H1025&amp;"','yyyymmdd'),TO_DATE('"&amp;REGLAS!I1025&amp;"','yyyymmdd'),'"&amp;REGLAS!J1025&amp;"');")</f>
        <v>INSERT INTO INYCEXT.INYC_CONF_INF_REGLAS@tc_link (COD_INFORME,TABLA,NOMBRE,REGLA,F_INICIO,F_FIN,DESCRIPCION) VALUES (104.1,'INYC_PEPA_RESUMEN','SM - Nº Pólizas Corregidas Agente Prod. Prioritarios Anual','SM-O-GEN-Agente-NumeroPolizasCorregidas-997-TotalAnual',TO_DATE('20140101','yyyymmdd'),TO_DATE('22000101','yyyymmdd'),'');</v>
      </c>
    </row>
    <row r="1025" spans="1:2" x14ac:dyDescent="0.25">
      <c r="A1025" t="str">
        <f>IF(REGLAS!J1026="OBSOLETO","","INSERT INTO INYCEXT.INYC_CONF_INF_REGLAS (COD_INFORME,TABLA,NOMBRE,REGLA,F_INICIO,F_FIN,DESCRIPCION) VALUES ("&amp;REGLAS!B1026&amp;",'"&amp;REGLAS!C1026&amp;"','"&amp;REGLAS!D1026&amp;"','"&amp;REGLAS!G1026&amp;"',TO_DATE('"&amp;REGLAS!H1026&amp;"','yyyymmdd'),TO_DATE('"&amp;REGLAS!I1026&amp;"','yyyymmdd'),'"&amp;REGLAS!J1026&amp;"');")</f>
        <v>INSERT INTO INYCEXT.INYC_CONF_INF_REGLAS (COD_INFORME,TABLA,NOMBRE,REGLA,F_INICIO,F_FIN,DESCRIPCION) VALUES (104.1,'INYC_PEPA_RESUMEN','SM - Nº Pólizas Corregidas Agente Total Productos Anual','SM-O-GEN-Agente-NumeroPolizasCorregidas-998-TotalAnual',TO_DATE('20140101','yyyymmdd'),TO_DATE('22000101','yyyymmdd'),'');</v>
      </c>
      <c r="B1025" t="str">
        <f>IF(REGLAS!J1026="OBSOLETO","","INSERT INTO INYCEXT.INYC_CONF_INF_REGLAS@tc_link (COD_INFORME,TABLA,NOMBRE,REGLA,F_INICIO,F_FIN,DESCRIPCION) VALUES ("&amp;REGLAS!B1026&amp;",'"&amp;REGLAS!C1026&amp;"','"&amp;REGLAS!D1026&amp;"','"&amp;REGLAS!G1026&amp;"',TO_DATE('"&amp;REGLAS!H1026&amp;"','yyyymmdd'),TO_DATE('"&amp;REGLAS!I1026&amp;"','yyyymmdd'),'"&amp;REGLAS!J1026&amp;"');")</f>
        <v>INSERT INTO INYCEXT.INYC_CONF_INF_REGLAS@tc_link (COD_INFORME,TABLA,NOMBRE,REGLA,F_INICIO,F_FIN,DESCRIPCION) VALUES (104.1,'INYC_PEPA_RESUMEN','SM - Nº Pólizas Corregidas Agente Total Productos Anual','SM-O-GEN-Agente-NumeroPolizasCorregidas-998-TotalAnual',TO_DATE('20140101','yyyymmdd'),TO_DATE('22000101','yyyymmdd'),'');</v>
      </c>
    </row>
    <row r="1026" spans="1:2" x14ac:dyDescent="0.25">
      <c r="A1026" t="str">
        <f>IF(REGLAS!J1027="OBSOLETO","","INSERT INTO INYCEXT.INYC_CONF_INF_REGLAS (COD_INFORME,TABLA,NOMBRE,REGLA,F_INICIO,F_FIN,DESCRIPCION) VALUES ("&amp;REGLAS!B1027&amp;",'"&amp;REGLAS!C1027&amp;"','"&amp;REGLAS!D1027&amp;"','"&amp;REGLAS!G1027&amp;"',TO_DATE('"&amp;REGLAS!H1027&amp;"','yyyymmdd'),TO_DATE('"&amp;REGLAS!I1027&amp;"','yyyymmdd'),'"&amp;REGLAS!J1027&amp;"');")</f>
        <v>INSERT INTO INYCEXT.INYC_CONF_INF_REGLAS (COD_INFORME,TABLA,NOMBRE,REGLA,F_INICIO,F_FIN,DESCRIPCION) VALUES (104.1,'INYC_PEPA_RESUMEN','SM - Primas Agente RRTT Anual','SM-O-GEN-Agente-Prima-001-TotalAnual',TO_DATE('20140101','yyyymmdd'),TO_DATE('22000101','yyyymmdd'),'');</v>
      </c>
      <c r="B1026" t="str">
        <f>IF(REGLAS!J1027="OBSOLETO","","INSERT INTO INYCEXT.INYC_CONF_INF_REGLAS@tc_link (COD_INFORME,TABLA,NOMBRE,REGLA,F_INICIO,F_FIN,DESCRIPCION) VALUES ("&amp;REGLAS!B1027&amp;",'"&amp;REGLAS!C1027&amp;"','"&amp;REGLAS!D1027&amp;"','"&amp;REGLAS!G1027&amp;"',TO_DATE('"&amp;REGLAS!H1027&amp;"','yyyymmdd'),TO_DATE('"&amp;REGLAS!I1027&amp;"','yyyymmdd'),'"&amp;REGLAS!J1027&amp;"');")</f>
        <v>INSERT INTO INYCEXT.INYC_CONF_INF_REGLAS@tc_link (COD_INFORME,TABLA,NOMBRE,REGLA,F_INICIO,F_FIN,DESCRIPCION) VALUES (104.1,'INYC_PEPA_RESUMEN','SM - Primas Agente RRTT Anual','SM-O-GEN-Agente-Prima-001-TotalAnual',TO_DATE('20140101','yyyymmdd'),TO_DATE('22000101','yyyymmdd'),'');</v>
      </c>
    </row>
    <row r="1027" spans="1:2" x14ac:dyDescent="0.25">
      <c r="A1027" t="str">
        <f>IF(REGLAS!J1028="OBSOLETO","","INSERT INTO INYCEXT.INYC_CONF_INF_REGLAS (COD_INFORME,TABLA,NOMBRE,REGLA,F_INICIO,F_FIN,DESCRIPCION) VALUES ("&amp;REGLAS!B1028&amp;",'"&amp;REGLAS!C1028&amp;"','"&amp;REGLAS!D1028&amp;"','"&amp;REGLAS!G1028&amp;"',TO_DATE('"&amp;REGLAS!H1028&amp;"','yyyymmdd'),TO_DATE('"&amp;REGLAS!I1028&amp;"','yyyymmdd'),'"&amp;REGLAS!J1028&amp;"');")</f>
        <v>INSERT INTO INYCEXT.INYC_CONF_INF_REGLAS (COD_INFORME,TABLA,NOMBRE,REGLA,F_INICIO,F_FIN,DESCRIPCION) VALUES (104.1,'INYC_PEPA_RESUMEN','SM - Primas Agente Hogar Anual','SM-O-GEN-Agente-Prima-002-TotalAnual',TO_DATE('20140101','yyyymmdd'),TO_DATE('22000101','yyyymmdd'),'');</v>
      </c>
      <c r="B1027" t="str">
        <f>IF(REGLAS!J1028="OBSOLETO","","INSERT INTO INYCEXT.INYC_CONF_INF_REGLAS@tc_link (COD_INFORME,TABLA,NOMBRE,REGLA,F_INICIO,F_FIN,DESCRIPCION) VALUES ("&amp;REGLAS!B1028&amp;",'"&amp;REGLAS!C1028&amp;"','"&amp;REGLAS!D1028&amp;"','"&amp;REGLAS!G1028&amp;"',TO_DATE('"&amp;REGLAS!H1028&amp;"','yyyymmdd'),TO_DATE('"&amp;REGLAS!I1028&amp;"','yyyymmdd'),'"&amp;REGLAS!J1028&amp;"');")</f>
        <v>INSERT INTO INYCEXT.INYC_CONF_INF_REGLAS@tc_link (COD_INFORME,TABLA,NOMBRE,REGLA,F_INICIO,F_FIN,DESCRIPCION) VALUES (104.1,'INYC_PEPA_RESUMEN','SM - Primas Agente Hogar Anual','SM-O-GEN-Agente-Prima-002-TotalAnual',TO_DATE('20140101','yyyymmdd'),TO_DATE('22000101','yyyymmdd'),'');</v>
      </c>
    </row>
    <row r="1028" spans="1:2" x14ac:dyDescent="0.25">
      <c r="A1028" t="str">
        <f>IF(REGLAS!J1029="OBSOLETO","","INSERT INTO INYCEXT.INYC_CONF_INF_REGLAS (COD_INFORME,TABLA,NOMBRE,REGLA,F_INICIO,F_FIN,DESCRIPCION) VALUES ("&amp;REGLAS!B1029&amp;",'"&amp;REGLAS!C1029&amp;"','"&amp;REGLAS!D1029&amp;"','"&amp;REGLAS!G1029&amp;"',TO_DATE('"&amp;REGLAS!H1029&amp;"','yyyymmdd'),TO_DATE('"&amp;REGLAS!I1029&amp;"','yyyymmdd'),'"&amp;REGLAS!J1029&amp;"');")</f>
        <v>INSERT INTO INYCEXT.INYC_CONF_INF_REGLAS (COD_INFORME,TABLA,NOMBRE,REGLA,F_INICIO,F_FIN,DESCRIPCION) VALUES (104.1,'INYC_PEPA_RESUMEN','SM - Primas Agente Vida Riesgo Anual','SM-O-GEN-Agente-Prima-003-TotalAnual',TO_DATE('20140101','yyyymmdd'),TO_DATE('22000101','yyyymmdd'),'');</v>
      </c>
      <c r="B1028" t="str">
        <f>IF(REGLAS!J1029="OBSOLETO","","INSERT INTO INYCEXT.INYC_CONF_INF_REGLAS@tc_link (COD_INFORME,TABLA,NOMBRE,REGLA,F_INICIO,F_FIN,DESCRIPCION) VALUES ("&amp;REGLAS!B1029&amp;",'"&amp;REGLAS!C1029&amp;"','"&amp;REGLAS!D1029&amp;"','"&amp;REGLAS!G1029&amp;"',TO_DATE('"&amp;REGLAS!H1029&amp;"','yyyymmdd'),TO_DATE('"&amp;REGLAS!I1029&amp;"','yyyymmdd'),'"&amp;REGLAS!J1029&amp;"');")</f>
        <v>INSERT INTO INYCEXT.INYC_CONF_INF_REGLAS@tc_link (COD_INFORME,TABLA,NOMBRE,REGLA,F_INICIO,F_FIN,DESCRIPCION) VALUES (104.1,'INYC_PEPA_RESUMEN','SM - Primas Agente Vida Riesgo Anual','SM-O-GEN-Agente-Prima-003-TotalAnual',TO_DATE('20140101','yyyymmdd'),TO_DATE('22000101','yyyymmdd'),'');</v>
      </c>
    </row>
    <row r="1029" spans="1:2" x14ac:dyDescent="0.25">
      <c r="A1029" t="str">
        <f>IF(REGLAS!J1030="OBSOLETO","","INSERT INTO INYCEXT.INYC_CONF_INF_REGLAS (COD_INFORME,TABLA,NOMBRE,REGLA,F_INICIO,F_FIN,DESCRIPCION) VALUES ("&amp;REGLAS!B1030&amp;",'"&amp;REGLAS!C1030&amp;"','"&amp;REGLAS!D1030&amp;"','"&amp;REGLAS!G1030&amp;"',TO_DATE('"&amp;REGLAS!H1030&amp;"','yyyymmdd'),TO_DATE('"&amp;REGLAS!I1030&amp;"','yyyymmdd'),'"&amp;REGLAS!J1030&amp;"');")</f>
        <v>INSERT INTO INYCEXT.INYC_CONF_INF_REGLAS (COD_INFORME,TABLA,NOMBRE,REGLA,F_INICIO,F_FIN,DESCRIPCION) VALUES (104.1,'INYC_PEPA_RESUMEN','SM - Primas Agente Vida Ahorro Anual','SM-O-GEN-Agente-Prima-004-TotalAnual',TO_DATE('20140101','yyyymmdd'),TO_DATE('22000101','yyyymmdd'),'');</v>
      </c>
      <c r="B1029" t="str">
        <f>IF(REGLAS!J1030="OBSOLETO","","INSERT INTO INYCEXT.INYC_CONF_INF_REGLAS@tc_link (COD_INFORME,TABLA,NOMBRE,REGLA,F_INICIO,F_FIN,DESCRIPCION) VALUES ("&amp;REGLAS!B1030&amp;",'"&amp;REGLAS!C1030&amp;"','"&amp;REGLAS!D1030&amp;"','"&amp;REGLAS!G1030&amp;"',TO_DATE('"&amp;REGLAS!H1030&amp;"','yyyymmdd'),TO_DATE('"&amp;REGLAS!I1030&amp;"','yyyymmdd'),'"&amp;REGLAS!J1030&amp;"');")</f>
        <v>INSERT INTO INYCEXT.INYC_CONF_INF_REGLAS@tc_link (COD_INFORME,TABLA,NOMBRE,REGLA,F_INICIO,F_FIN,DESCRIPCION) VALUES (104.1,'INYC_PEPA_RESUMEN','SM - Primas Agente Vida Ahorro Anual','SM-O-GEN-Agente-Prima-004-TotalAnual',TO_DATE('20140101','yyyymmdd'),TO_DATE('22000101','yyyymmdd'),'');</v>
      </c>
    </row>
    <row r="1030" spans="1:2" x14ac:dyDescent="0.25">
      <c r="A1030" t="str">
        <f>IF(REGLAS!J1031="OBSOLETO","","INSERT INTO INYCEXT.INYC_CONF_INF_REGLAS (COD_INFORME,TABLA,NOMBRE,REGLA,F_INICIO,F_FIN,DESCRIPCION) VALUES ("&amp;REGLAS!B1031&amp;",'"&amp;REGLAS!C1031&amp;"','"&amp;REGLAS!D1031&amp;"','"&amp;REGLAS!G1031&amp;"',TO_DATE('"&amp;REGLAS!H1031&amp;"','yyyymmdd'),TO_DATE('"&amp;REGLAS!I1031&amp;"','yyyymmdd'),'"&amp;REGLAS!J1031&amp;"');")</f>
        <v>INSERT INTO INYCEXT.INYC_CONF_INF_REGLAS (COD_INFORME,TABLA,NOMBRE,REGLA,F_INICIO,F_FIN,DESCRIPCION) VALUES (104.1,'INYC_PEPA_RESUMEN','SM - Primas Agente Accidentes Anual','SM-O-GEN-Agente-Prima-005-TotalAnual',TO_DATE('20140101','yyyymmdd'),TO_DATE('22000101','yyyymmdd'),'');</v>
      </c>
      <c r="B1030" t="str">
        <f>IF(REGLAS!J1031="OBSOLETO","","INSERT INTO INYCEXT.INYC_CONF_INF_REGLAS@tc_link (COD_INFORME,TABLA,NOMBRE,REGLA,F_INICIO,F_FIN,DESCRIPCION) VALUES ("&amp;REGLAS!B1031&amp;",'"&amp;REGLAS!C1031&amp;"','"&amp;REGLAS!D1031&amp;"','"&amp;REGLAS!G1031&amp;"',TO_DATE('"&amp;REGLAS!H1031&amp;"','yyyymmdd'),TO_DATE('"&amp;REGLAS!I1031&amp;"','yyyymmdd'),'"&amp;REGLAS!J1031&amp;"');")</f>
        <v>INSERT INTO INYCEXT.INYC_CONF_INF_REGLAS@tc_link (COD_INFORME,TABLA,NOMBRE,REGLA,F_INICIO,F_FIN,DESCRIPCION) VALUES (104.1,'INYC_PEPA_RESUMEN','SM - Primas Agente Accidentes Anual','SM-O-GEN-Agente-Prima-005-TotalAnual',TO_DATE('20140101','yyyymmdd'),TO_DATE('22000101','yyyymmdd'),'');</v>
      </c>
    </row>
    <row r="1031" spans="1:2" x14ac:dyDescent="0.25">
      <c r="A1031" t="str">
        <f>IF(REGLAS!J1032="OBSOLETO","","INSERT INTO INYCEXT.INYC_CONF_INF_REGLAS (COD_INFORME,TABLA,NOMBRE,REGLA,F_INICIO,F_FIN,DESCRIPCION) VALUES ("&amp;REGLAS!B1032&amp;",'"&amp;REGLAS!C1032&amp;"','"&amp;REGLAS!D1032&amp;"','"&amp;REGLAS!G1032&amp;"',TO_DATE('"&amp;REGLAS!H1032&amp;"','yyyymmdd'),TO_DATE('"&amp;REGLAS!I1032&amp;"','yyyymmdd'),'"&amp;REGLAS!J1032&amp;"');")</f>
        <v>INSERT INTO INYCEXT.INYC_CONF_INF_REGLAS (COD_INFORME,TABLA,NOMBRE,REGLA,F_INICIO,F_FIN,DESCRIPCION) VALUES (104.1,'INYC_PEPA_RESUMEN','SM - Primas Agente RRPP (excl PU y conv/colec) Anual','SM-O-GEN-Agente-Prima-906-TotalAnual',TO_DATE('20140101','yyyymmdd'),TO_DATE('22000101','yyyymmdd'),'');</v>
      </c>
      <c r="B1031" t="str">
        <f>IF(REGLAS!J1032="OBSOLETO","","INSERT INTO INYCEXT.INYC_CONF_INF_REGLAS@tc_link (COD_INFORME,TABLA,NOMBRE,REGLA,F_INICIO,F_FIN,DESCRIPCION) VALUES ("&amp;REGLAS!B1032&amp;",'"&amp;REGLAS!C1032&amp;"','"&amp;REGLAS!D1032&amp;"','"&amp;REGLAS!G1032&amp;"',TO_DATE('"&amp;REGLAS!H1032&amp;"','yyyymmdd'),TO_DATE('"&amp;REGLAS!I1032&amp;"','yyyymmdd'),'"&amp;REGLAS!J1032&amp;"');")</f>
        <v>INSERT INTO INYCEXT.INYC_CONF_INF_REGLAS@tc_link (COD_INFORME,TABLA,NOMBRE,REGLA,F_INICIO,F_FIN,DESCRIPCION) VALUES (104.1,'INYC_PEPA_RESUMEN','SM - Primas Agente RRPP (excl PU y conv/colec) Anual','SM-O-GEN-Agente-Prima-906-TotalAnual',TO_DATE('20140101','yyyymmdd'),TO_DATE('22000101','yyyymmdd'),'');</v>
      </c>
    </row>
    <row r="1032" spans="1:2" x14ac:dyDescent="0.25">
      <c r="A1032" t="str">
        <f>IF(REGLAS!J1033="OBSOLETO","","INSERT INTO INYCEXT.INYC_CONF_INF_REGLAS (COD_INFORME,TABLA,NOMBRE,REGLA,F_INICIO,F_FIN,DESCRIPCION) VALUES ("&amp;REGLAS!B1033&amp;",'"&amp;REGLAS!C1033&amp;"','"&amp;REGLAS!D1033&amp;"','"&amp;REGLAS!G1033&amp;"',TO_DATE('"&amp;REGLAS!H1033&amp;"','yyyymmdd'),TO_DATE('"&amp;REGLAS!I1033&amp;"','yyyymmdd'),'"&amp;REGLAS!J1033&amp;"');")</f>
        <v>INSERT INTO INYCEXT.INYC_CONF_INF_REGLAS (COD_INFORME,TABLA,NOMBRE,REGLA,F_INICIO,F_FIN,DESCRIPCION) VALUES (104.1,'INYC_PEPA_RESUMEN','SM - Primas Agente Prod. Prioritarios Anual','SM-O-GEN-Agente-Prima-997-TotalAnual',TO_DATE('20140101','yyyymmdd'),TO_DATE('22000101','yyyymmdd'),'');</v>
      </c>
      <c r="B1032" t="str">
        <f>IF(REGLAS!J1033="OBSOLETO","","INSERT INTO INYCEXT.INYC_CONF_INF_REGLAS@tc_link (COD_INFORME,TABLA,NOMBRE,REGLA,F_INICIO,F_FIN,DESCRIPCION) VALUES ("&amp;REGLAS!B1033&amp;",'"&amp;REGLAS!C1033&amp;"','"&amp;REGLAS!D1033&amp;"','"&amp;REGLAS!G1033&amp;"',TO_DATE('"&amp;REGLAS!H1033&amp;"','yyyymmdd'),TO_DATE('"&amp;REGLAS!I1033&amp;"','yyyymmdd'),'"&amp;REGLAS!J1033&amp;"');")</f>
        <v>INSERT INTO INYCEXT.INYC_CONF_INF_REGLAS@tc_link (COD_INFORME,TABLA,NOMBRE,REGLA,F_INICIO,F_FIN,DESCRIPCION) VALUES (104.1,'INYC_PEPA_RESUMEN','SM - Primas Agente Prod. Prioritarios Anual','SM-O-GEN-Agente-Prima-997-TotalAnual',TO_DATE('20140101','yyyymmdd'),TO_DATE('22000101','yyyymmdd'),'');</v>
      </c>
    </row>
    <row r="1033" spans="1:2" x14ac:dyDescent="0.25">
      <c r="A1033" t="str">
        <f>IF(REGLAS!J1034="OBSOLETO","","INSERT INTO INYCEXT.INYC_CONF_INF_REGLAS (COD_INFORME,TABLA,NOMBRE,REGLA,F_INICIO,F_FIN,DESCRIPCION) VALUES ("&amp;REGLAS!B1034&amp;",'"&amp;REGLAS!C1034&amp;"','"&amp;REGLAS!D1034&amp;"','"&amp;REGLAS!G1034&amp;"',TO_DATE('"&amp;REGLAS!H1034&amp;"','yyyymmdd'),TO_DATE('"&amp;REGLAS!I1034&amp;"','yyyymmdd'),'"&amp;REGLAS!J1034&amp;"');")</f>
        <v>INSERT INTO INYCEXT.INYC_CONF_INF_REGLAS (COD_INFORME,TABLA,NOMBRE,REGLA,F_INICIO,F_FIN,DESCRIPCION) VALUES (104.1,'INYC_PEPA_RESUMEN','SM - Primas Agente Total Productos Anual','SM-O-GEN-Agente-Prima-998-TotalAnual',TO_DATE('20140101','yyyymmdd'),TO_DATE('22000101','yyyymmdd'),'');</v>
      </c>
      <c r="B1033" t="str">
        <f>IF(REGLAS!J1034="OBSOLETO","","INSERT INTO INYCEXT.INYC_CONF_INF_REGLAS@tc_link (COD_INFORME,TABLA,NOMBRE,REGLA,F_INICIO,F_FIN,DESCRIPCION) VALUES ("&amp;REGLAS!B1034&amp;",'"&amp;REGLAS!C1034&amp;"','"&amp;REGLAS!D1034&amp;"','"&amp;REGLAS!G1034&amp;"',TO_DATE('"&amp;REGLAS!H1034&amp;"','yyyymmdd'),TO_DATE('"&amp;REGLAS!I1034&amp;"','yyyymmdd'),'"&amp;REGLAS!J1034&amp;"');")</f>
        <v>INSERT INTO INYCEXT.INYC_CONF_INF_REGLAS@tc_link (COD_INFORME,TABLA,NOMBRE,REGLA,F_INICIO,F_FIN,DESCRIPCION) VALUES (104.1,'INYC_PEPA_RESUMEN','SM - Primas Agente Total Productos Anual','SM-O-GEN-Agente-Prima-998-TotalAnual',TO_DATE('20140101','yyyymmdd'),TO_DATE('22000101','yyyymmdd'),'');</v>
      </c>
    </row>
    <row r="1034" spans="1:2" x14ac:dyDescent="0.25">
      <c r="A1034" t="str">
        <f>IF(REGLAS!J1035="OBSOLETO","","INSERT INTO INYCEXT.INYC_CONF_INF_REGLAS (COD_INFORME,TABLA,NOMBRE,REGLA,F_INICIO,F_FIN,DESCRIPCION) VALUES ("&amp;REGLAS!B1035&amp;",'"&amp;REGLAS!C1035&amp;"','"&amp;REGLAS!D1035&amp;"','"&amp;REGLAS!G1035&amp;"',TO_DATE('"&amp;REGLAS!H1035&amp;"','yyyymmdd'),TO_DATE('"&amp;REGLAS!I1035&amp;"','yyyymmdd'),'"&amp;REGLAS!J1035&amp;"');")</f>
        <v>INSERT INTO INYCEXT.INYC_CONF_INF_REGLAS (COD_INFORME,TABLA,NOMBRE,REGLA,F_INICIO,F_FIN,DESCRIPCION) VALUES (104.2,'INYC_PEPA_DETALLE','Polizas','DC-O-GEN-Agente-NumeroPolizas-998',TO_DATE('20140101','yyyymmdd'),TO_DATE('22000101','yyyymmdd'),'Version 20180118');</v>
      </c>
      <c r="B1034" t="str">
        <f>IF(REGLAS!J1035="OBSOLETO","","INSERT INTO INYCEXT.INYC_CONF_INF_REGLAS@tc_link (COD_INFORME,TABLA,NOMBRE,REGLA,F_INICIO,F_FIN,DESCRIPCION) VALUES ("&amp;REGLAS!B1035&amp;",'"&amp;REGLAS!C1035&amp;"','"&amp;REGLAS!D1035&amp;"','"&amp;REGLAS!G1035&amp;"',TO_DATE('"&amp;REGLAS!H1035&amp;"','yyyymmdd'),TO_DATE('"&amp;REGLAS!I1035&amp;"','yyyymmdd'),'"&amp;REGLAS!J1035&amp;"');")</f>
        <v>INSERT INTO INYCEXT.INYC_CONF_INF_REGLAS@tc_link (COD_INFORME,TABLA,NOMBRE,REGLA,F_INICIO,F_FIN,DESCRIPCION) VALUES (104.2,'INYC_PEPA_DETALLE','Polizas','DC-O-GEN-Agente-NumeroPolizas-998',TO_DATE('20140101','yyyymmdd'),TO_DATE('22000101','yyyymmdd'),'Version 20180118');</v>
      </c>
    </row>
    <row r="1035" spans="1:2" x14ac:dyDescent="0.25">
      <c r="A1035" t="str">
        <f>IF(REGLAS!J1036="OBSOLETO","","INSERT INTO INYCEXT.INYC_CONF_INF_REGLAS (COD_INFORME,TABLA,NOMBRE,REGLA,F_INICIO,F_FIN,DESCRIPCION) VALUES ("&amp;REGLAS!B1036&amp;",'"&amp;REGLAS!C1036&amp;"','"&amp;REGLAS!D1036&amp;"','"&amp;REGLAS!G1036&amp;"',TO_DATE('"&amp;REGLAS!H1036&amp;"','yyyymmdd'),TO_DATE('"&amp;REGLAS!I1036&amp;"','yyyymmdd'),'"&amp;REGLAS!J1036&amp;"');")</f>
        <v>INSERT INTO INYCEXT.INYC_CONF_INF_REGLAS (COD_INFORME,TABLA,NOMBRE,REGLA,F_INICIO,F_FIN,DESCRIPCION) VALUES (104.2,'INYC_PEPA_DETALLE','Renovaciones','DC-O-GEN-Agente-NumeroPolizas-998-Renov',TO_DATE('20140101','yyyymmdd'),TO_DATE('22000101','yyyymmdd'),'Version 20180118');</v>
      </c>
      <c r="B1035" t="str">
        <f>IF(REGLAS!J1036="OBSOLETO","","INSERT INTO INYCEXT.INYC_CONF_INF_REGLAS@tc_link (COD_INFORME,TABLA,NOMBRE,REGLA,F_INICIO,F_FIN,DESCRIPCION) VALUES ("&amp;REGLAS!B1036&amp;",'"&amp;REGLAS!C1036&amp;"','"&amp;REGLAS!D1036&amp;"','"&amp;REGLAS!G1036&amp;"',TO_DATE('"&amp;REGLAS!H1036&amp;"','yyyymmdd'),TO_DATE('"&amp;REGLAS!I1036&amp;"','yyyymmdd'),'"&amp;REGLAS!J1036&amp;"');")</f>
        <v>INSERT INTO INYCEXT.INYC_CONF_INF_REGLAS@tc_link (COD_INFORME,TABLA,NOMBRE,REGLA,F_INICIO,F_FIN,DESCRIPCION) VALUES (104.2,'INYC_PEPA_DETALLE','Renovaciones','DC-O-GEN-Agente-NumeroPolizas-998-Renov',TO_DATE('20140101','yyyymmdd'),TO_DATE('22000101','yyyymmdd'),'Version 20180118');</v>
      </c>
    </row>
    <row r="1036" spans="1:2" x14ac:dyDescent="0.25">
      <c r="A1036" t="str">
        <f>IF(REGLAS!J1037="OBSOLETO","","INSERT INTO INYCEXT.INYC_CONF_INF_REGLAS (COD_INFORME,TABLA,NOMBRE,REGLA,F_INICIO,F_FIN,DESCRIPCION) VALUES ("&amp;REGLAS!B1037&amp;",'"&amp;REGLAS!C1037&amp;"','"&amp;REGLAS!D1037&amp;"','"&amp;REGLAS!G1037&amp;"',TO_DATE('"&amp;REGLAS!H1037&amp;"','yyyymmdd'),TO_DATE('"&amp;REGLAS!I1037&amp;"','yyyymmdd'),'"&amp;REGLAS!J1037&amp;"');")</f>
        <v>INSERT INTO INYCEXT.INYC_CONF_INF_REGLAS (COD_INFORME,TABLA,NOMBRE,REGLA,F_INICIO,F_FIN,DESCRIPCION) VALUES (104.2,'INYC_PEPA_DETALLE','Recuperaciones','DC-O-GEN-Agente-NumeroPolizas-998-Recup',TO_DATE('20140101','yyyymmdd'),TO_DATE('22000101','yyyymmdd'),'Version 20180118');</v>
      </c>
      <c r="B1036" t="str">
        <f>IF(REGLAS!J1037="OBSOLETO","","INSERT INTO INYCEXT.INYC_CONF_INF_REGLAS@tc_link (COD_INFORME,TABLA,NOMBRE,REGLA,F_INICIO,F_FIN,DESCRIPCION) VALUES ("&amp;REGLAS!B1037&amp;",'"&amp;REGLAS!C1037&amp;"','"&amp;REGLAS!D1037&amp;"','"&amp;REGLAS!G1037&amp;"',TO_DATE('"&amp;REGLAS!H1037&amp;"','yyyymmdd'),TO_DATE('"&amp;REGLAS!I1037&amp;"','yyyymmdd'),'"&amp;REGLAS!J1037&amp;"');")</f>
        <v>INSERT INTO INYCEXT.INYC_CONF_INF_REGLAS@tc_link (COD_INFORME,TABLA,NOMBRE,REGLA,F_INICIO,F_FIN,DESCRIPCION) VALUES (104.2,'INYC_PEPA_DETALLE','Recuperaciones','DC-O-GEN-Agente-NumeroPolizas-998-Recup',TO_DATE('20140101','yyyymmdd'),TO_DATE('22000101','yyyymmdd'),'Version 20180118');</v>
      </c>
    </row>
    <row r="1037" spans="1:2" x14ac:dyDescent="0.25">
      <c r="A1037" t="str">
        <f>IF(REGLAS!J1038="OBSOLETO","","INSERT INTO INYCEXT.INYC_CONF_INF_REGLAS (COD_INFORME,TABLA,NOMBRE,REGLA,F_INICIO,F_FIN,DESCRIPCION) VALUES ("&amp;REGLAS!B1038&amp;",'"&amp;REGLAS!C1038&amp;"','"&amp;REGLAS!D1038&amp;"','"&amp;REGLAS!G1038&amp;"',TO_DATE('"&amp;REGLAS!H1038&amp;"','yyyymmdd'),TO_DATE('"&amp;REGLAS!I1038&amp;"','yyyymmdd'),'"&amp;REGLAS!J1038&amp;"');")</f>
        <v>INSERT INTO INYCEXT.INYC_CONF_INF_REGLAS (COD_INFORME,TABLA,NOMBRE,REGLA,F_INICIO,F_FIN,DESCRIPCION) VALUES (104.2,'INYC_PEPA_DETALLE','Primas','DC-O-GEN-Agente-Prima-998',TO_DATE('20140101','yyyymmdd'),TO_DATE('22000101','yyyymmdd'),'Version 20180118');</v>
      </c>
      <c r="B1037" t="str">
        <f>IF(REGLAS!J1038="OBSOLETO","","INSERT INTO INYCEXT.INYC_CONF_INF_REGLAS@tc_link (COD_INFORME,TABLA,NOMBRE,REGLA,F_INICIO,F_FIN,DESCRIPCION) VALUES ("&amp;REGLAS!B1038&amp;",'"&amp;REGLAS!C1038&amp;"','"&amp;REGLAS!D1038&amp;"','"&amp;REGLAS!G1038&amp;"',TO_DATE('"&amp;REGLAS!H1038&amp;"','yyyymmdd'),TO_DATE('"&amp;REGLAS!I1038&amp;"','yyyymmdd'),'"&amp;REGLAS!J1038&amp;"');")</f>
        <v>INSERT INTO INYCEXT.INYC_CONF_INF_REGLAS@tc_link (COD_INFORME,TABLA,NOMBRE,REGLA,F_INICIO,F_FIN,DESCRIPCION) VALUES (104.2,'INYC_PEPA_DETALLE','Primas','DC-O-GEN-Agente-Prima-998',TO_DATE('20140101','yyyymmdd'),TO_DATE('22000101','yyyymmdd'),'Version 20180118');</v>
      </c>
    </row>
    <row r="1038" spans="1:2" x14ac:dyDescent="0.25">
      <c r="A1038" t="str">
        <f>IF(REGLAS!J1039="OBSOLETO","","INSERT INTO INYCEXT.INYC_CONF_INF_REGLAS (COD_INFORME,TABLA,NOMBRE,REGLA,F_INICIO,F_FIN,DESCRIPCION) VALUES ("&amp;REGLAS!B1039&amp;",'"&amp;REGLAS!C1039&amp;"','"&amp;REGLAS!D1039&amp;"','"&amp;REGLAS!G1039&amp;"',TO_DATE('"&amp;REGLAS!H1039&amp;"','yyyymmdd'),TO_DATE('"&amp;REGLAS!I1039&amp;"','yyyymmdd'),'"&amp;REGLAS!J1039&amp;"');")</f>
        <v>INSERT INTO INYCEXT.INYC_CONF_INF_REGLAS (COD_INFORME,TABLA,NOMBRE,REGLA,F_INICIO,F_FIN,DESCRIPCION) VALUES (104.2,'INYC_PEPA_DETALLE','Polizas Propias Agentes con Grupo','DC-O-GEN-Inspector-NumeroPolizas-998',TO_DATE('20140101','yyyymmdd'),TO_DATE('22000101','yyyymmdd'),'Version 20180118');</v>
      </c>
      <c r="B1038" t="str">
        <f>IF(REGLAS!J1039="OBSOLETO","","INSERT INTO INYCEXT.INYC_CONF_INF_REGLAS@tc_link (COD_INFORME,TABLA,NOMBRE,REGLA,F_INICIO,F_FIN,DESCRIPCION) VALUES ("&amp;REGLAS!B1039&amp;",'"&amp;REGLAS!C1039&amp;"','"&amp;REGLAS!D1039&amp;"','"&amp;REGLAS!G1039&amp;"',TO_DATE('"&amp;REGLAS!H1039&amp;"','yyyymmdd'),TO_DATE('"&amp;REGLAS!I1039&amp;"','yyyymmdd'),'"&amp;REGLAS!J1039&amp;"');")</f>
        <v>INSERT INTO INYCEXT.INYC_CONF_INF_REGLAS@tc_link (COD_INFORME,TABLA,NOMBRE,REGLA,F_INICIO,F_FIN,DESCRIPCION) VALUES (104.2,'INYC_PEPA_DETALLE','Polizas Propias Agentes con Grupo','DC-O-GEN-Inspector-NumeroPolizas-998',TO_DATE('20140101','yyyymmdd'),TO_DATE('22000101','yyyymmdd'),'Version 20180118');</v>
      </c>
    </row>
    <row r="1039" spans="1:2" x14ac:dyDescent="0.25">
      <c r="A1039" t="str">
        <f>IF(REGLAS!J1040="OBSOLETO","","INSERT INTO INYCEXT.INYC_CONF_INF_REGLAS (COD_INFORME,TABLA,NOMBRE,REGLA,F_INICIO,F_FIN,DESCRIPCION) VALUES ("&amp;REGLAS!B1040&amp;",'"&amp;REGLAS!C1040&amp;"','"&amp;REGLAS!D1040&amp;"','"&amp;REGLAS!G1040&amp;"',TO_DATE('"&amp;REGLAS!H1040&amp;"','yyyymmdd'),TO_DATE('"&amp;REGLAS!I1040&amp;"','yyyymmdd'),'"&amp;REGLAS!J1040&amp;"');")</f>
        <v>INSERT INTO INYCEXT.INYC_CONF_INF_REGLAS (COD_INFORME,TABLA,NOMBRE,REGLA,F_INICIO,F_FIN,DESCRIPCION) VALUES (104.2,'INYC_PEPA_DETALLE','Primas Corregidas Propias Agentes con Grupo','DC-O-GEN-Inspector-PrimaCorregida-998',TO_DATE('20140101','yyyymmdd'),TO_DATE('22000101','yyyymmdd'),'Version 20180118');</v>
      </c>
      <c r="B1039" t="str">
        <f>IF(REGLAS!J1040="OBSOLETO","","INSERT INTO INYCEXT.INYC_CONF_INF_REGLAS@tc_link (COD_INFORME,TABLA,NOMBRE,REGLA,F_INICIO,F_FIN,DESCRIPCION) VALUES ("&amp;REGLAS!B1040&amp;",'"&amp;REGLAS!C1040&amp;"','"&amp;REGLAS!D1040&amp;"','"&amp;REGLAS!G1040&amp;"',TO_DATE('"&amp;REGLAS!H1040&amp;"','yyyymmdd'),TO_DATE('"&amp;REGLAS!I1040&amp;"','yyyymmdd'),'"&amp;REGLAS!J1040&amp;"');")</f>
        <v>INSERT INTO INYCEXT.INYC_CONF_INF_REGLAS@tc_link (COD_INFORME,TABLA,NOMBRE,REGLA,F_INICIO,F_FIN,DESCRIPCION) VALUES (104.2,'INYC_PEPA_DETALLE','Primas Corregidas Propias Agentes con Grupo','DC-O-GEN-Inspector-PrimaCorregida-998',TO_DATE('20140101','yyyymmdd'),TO_DATE('22000101','yyyymmdd'),'Version 20180118');</v>
      </c>
    </row>
    <row r="1040" spans="1:2" x14ac:dyDescent="0.25">
      <c r="A1040" t="str">
        <f>IF(REGLAS!J1041="OBSOLETO","","INSERT INTO INYCEXT.INYC_CONF_INF_REGLAS (COD_INFORME,TABLA,NOMBRE,REGLA,F_INICIO,F_FIN,DESCRIPCION) VALUES ("&amp;REGLAS!B1041&amp;",'"&amp;REGLAS!C1041&amp;"','"&amp;REGLAS!D1041&amp;"','"&amp;REGLAS!G1041&amp;"',TO_DATE('"&amp;REGLAS!H1041&amp;"','yyyymmdd'),TO_DATE('"&amp;REGLAS!I1041&amp;"','yyyymmdd'),'"&amp;REGLAS!J1041&amp;"');")</f>
        <v>INSERT INTO INYCEXT.INYC_CONF_INF_REGLAS (COD_INFORME,TABLA,NOMBRE,REGLA,F_INICIO,F_FIN,DESCRIPCION) VALUES (105.1,'INYC_PEPI_RESUMEN','SM - Nº Pólizas Inspector RRTT Mensual','SM-O-GEN-Inspector-NumeroPolizas-001-TotalMes',TO_DATE('20140101','yyyymmdd'),TO_DATE('22000101','yyyymmdd'),'');</v>
      </c>
      <c r="B1040" t="str">
        <f>IF(REGLAS!J1041="OBSOLETO","","INSERT INTO INYCEXT.INYC_CONF_INF_REGLAS@tc_link (COD_INFORME,TABLA,NOMBRE,REGLA,F_INICIO,F_FIN,DESCRIPCION) VALUES ("&amp;REGLAS!B1041&amp;",'"&amp;REGLAS!C1041&amp;"','"&amp;REGLAS!D1041&amp;"','"&amp;REGLAS!G1041&amp;"',TO_DATE('"&amp;REGLAS!H1041&amp;"','yyyymmdd'),TO_DATE('"&amp;REGLAS!I1041&amp;"','yyyymmdd'),'"&amp;REGLAS!J1041&amp;"');")</f>
        <v>INSERT INTO INYCEXT.INYC_CONF_INF_REGLAS@tc_link (COD_INFORME,TABLA,NOMBRE,REGLA,F_INICIO,F_FIN,DESCRIPCION) VALUES (105.1,'INYC_PEPI_RESUMEN','SM - Nº Pólizas Inspector RRTT Mensual','SM-O-GEN-Inspector-NumeroPolizas-001-TotalMes',TO_DATE('20140101','yyyymmdd'),TO_DATE('22000101','yyyymmdd'),'');</v>
      </c>
    </row>
    <row r="1041" spans="1:2" x14ac:dyDescent="0.25">
      <c r="A1041" t="str">
        <f>IF(REGLAS!J1042="OBSOLETO","","INSERT INTO INYCEXT.INYC_CONF_INF_REGLAS (COD_INFORME,TABLA,NOMBRE,REGLA,F_INICIO,F_FIN,DESCRIPCION) VALUES ("&amp;REGLAS!B1042&amp;",'"&amp;REGLAS!C1042&amp;"','"&amp;REGLAS!D1042&amp;"','"&amp;REGLAS!G1042&amp;"',TO_DATE('"&amp;REGLAS!H1042&amp;"','yyyymmdd'),TO_DATE('"&amp;REGLAS!I1042&amp;"','yyyymmdd'),'"&amp;REGLAS!J1042&amp;"');")</f>
        <v>INSERT INTO INYCEXT.INYC_CONF_INF_REGLAS (COD_INFORME,TABLA,NOMBRE,REGLA,F_INICIO,F_FIN,DESCRIPCION) VALUES (105.1,'INYC_PEPI_RESUMEN','SM - Nº Pólizas Inspector Hogar Mensual','SM-O-GEN-Inspector-NumeroPolizas-002-TotalMes',TO_DATE('20140101','yyyymmdd'),TO_DATE('22000101','yyyymmdd'),'');</v>
      </c>
      <c r="B1041" t="str">
        <f>IF(REGLAS!J1042="OBSOLETO","","INSERT INTO INYCEXT.INYC_CONF_INF_REGLAS@tc_link (COD_INFORME,TABLA,NOMBRE,REGLA,F_INICIO,F_FIN,DESCRIPCION) VALUES ("&amp;REGLAS!B1042&amp;",'"&amp;REGLAS!C1042&amp;"','"&amp;REGLAS!D1042&amp;"','"&amp;REGLAS!G1042&amp;"',TO_DATE('"&amp;REGLAS!H1042&amp;"','yyyymmdd'),TO_DATE('"&amp;REGLAS!I1042&amp;"','yyyymmdd'),'"&amp;REGLAS!J1042&amp;"');")</f>
        <v>INSERT INTO INYCEXT.INYC_CONF_INF_REGLAS@tc_link (COD_INFORME,TABLA,NOMBRE,REGLA,F_INICIO,F_FIN,DESCRIPCION) VALUES (105.1,'INYC_PEPI_RESUMEN','SM - Nº Pólizas Inspector Hogar Mensual','SM-O-GEN-Inspector-NumeroPolizas-002-TotalMes',TO_DATE('20140101','yyyymmdd'),TO_DATE('22000101','yyyymmdd'),'');</v>
      </c>
    </row>
    <row r="1042" spans="1:2" x14ac:dyDescent="0.25">
      <c r="A1042" t="str">
        <f>IF(REGLAS!J1043="OBSOLETO","","INSERT INTO INYCEXT.INYC_CONF_INF_REGLAS (COD_INFORME,TABLA,NOMBRE,REGLA,F_INICIO,F_FIN,DESCRIPCION) VALUES ("&amp;REGLAS!B1043&amp;",'"&amp;REGLAS!C1043&amp;"','"&amp;REGLAS!D1043&amp;"','"&amp;REGLAS!G1043&amp;"',TO_DATE('"&amp;REGLAS!H1043&amp;"','yyyymmdd'),TO_DATE('"&amp;REGLAS!I1043&amp;"','yyyymmdd'),'"&amp;REGLAS!J1043&amp;"');")</f>
        <v>INSERT INTO INYCEXT.INYC_CONF_INF_REGLAS (COD_INFORME,TABLA,NOMBRE,REGLA,F_INICIO,F_FIN,DESCRIPCION) VALUES (105.1,'INYC_PEPI_RESUMEN','SM - Nº Pólizas Inspector Vida Riesgo Mensual','SM-O-GEN-Inspector-NumeroPolizas-003-TotalMes',TO_DATE('20140101','yyyymmdd'),TO_DATE('22000101','yyyymmdd'),'');</v>
      </c>
      <c r="B1042" t="str">
        <f>IF(REGLAS!J1043="OBSOLETO","","INSERT INTO INYCEXT.INYC_CONF_INF_REGLAS@tc_link (COD_INFORME,TABLA,NOMBRE,REGLA,F_INICIO,F_FIN,DESCRIPCION) VALUES ("&amp;REGLAS!B1043&amp;",'"&amp;REGLAS!C1043&amp;"','"&amp;REGLAS!D1043&amp;"','"&amp;REGLAS!G1043&amp;"',TO_DATE('"&amp;REGLAS!H1043&amp;"','yyyymmdd'),TO_DATE('"&amp;REGLAS!I1043&amp;"','yyyymmdd'),'"&amp;REGLAS!J1043&amp;"');")</f>
        <v>INSERT INTO INYCEXT.INYC_CONF_INF_REGLAS@tc_link (COD_INFORME,TABLA,NOMBRE,REGLA,F_INICIO,F_FIN,DESCRIPCION) VALUES (105.1,'INYC_PEPI_RESUMEN','SM - Nº Pólizas Inspector Vida Riesgo Mensual','SM-O-GEN-Inspector-NumeroPolizas-003-TotalMes',TO_DATE('20140101','yyyymmdd'),TO_DATE('22000101','yyyymmdd'),'');</v>
      </c>
    </row>
    <row r="1043" spans="1:2" x14ac:dyDescent="0.25">
      <c r="A1043" t="str">
        <f>IF(REGLAS!J1044="OBSOLETO","","INSERT INTO INYCEXT.INYC_CONF_INF_REGLAS (COD_INFORME,TABLA,NOMBRE,REGLA,F_INICIO,F_FIN,DESCRIPCION) VALUES ("&amp;REGLAS!B1044&amp;",'"&amp;REGLAS!C1044&amp;"','"&amp;REGLAS!D1044&amp;"','"&amp;REGLAS!G1044&amp;"',TO_DATE('"&amp;REGLAS!H1044&amp;"','yyyymmdd'),TO_DATE('"&amp;REGLAS!I1044&amp;"','yyyymmdd'),'"&amp;REGLAS!J1044&amp;"');")</f>
        <v>INSERT INTO INYCEXT.INYC_CONF_INF_REGLAS (COD_INFORME,TABLA,NOMBRE,REGLA,F_INICIO,F_FIN,DESCRIPCION) VALUES (105.1,'INYC_PEPI_RESUMEN','SM - Nº Pólizas Inspector Vida Ahorro Mensual','SM-O-GEN-Inspector-NumeroPolizas-004-TotalMes',TO_DATE('20140101','yyyymmdd'),TO_DATE('22000101','yyyymmdd'),'');</v>
      </c>
      <c r="B1043" t="str">
        <f>IF(REGLAS!J1044="OBSOLETO","","INSERT INTO INYCEXT.INYC_CONF_INF_REGLAS@tc_link (COD_INFORME,TABLA,NOMBRE,REGLA,F_INICIO,F_FIN,DESCRIPCION) VALUES ("&amp;REGLAS!B1044&amp;",'"&amp;REGLAS!C1044&amp;"','"&amp;REGLAS!D1044&amp;"','"&amp;REGLAS!G1044&amp;"',TO_DATE('"&amp;REGLAS!H1044&amp;"','yyyymmdd'),TO_DATE('"&amp;REGLAS!I1044&amp;"','yyyymmdd'),'"&amp;REGLAS!J1044&amp;"');")</f>
        <v>INSERT INTO INYCEXT.INYC_CONF_INF_REGLAS@tc_link (COD_INFORME,TABLA,NOMBRE,REGLA,F_INICIO,F_FIN,DESCRIPCION) VALUES (105.1,'INYC_PEPI_RESUMEN','SM - Nº Pólizas Inspector Vida Ahorro Mensual','SM-O-GEN-Inspector-NumeroPolizas-004-TotalMes',TO_DATE('20140101','yyyymmdd'),TO_DATE('22000101','yyyymmdd'),'');</v>
      </c>
    </row>
    <row r="1044" spans="1:2" x14ac:dyDescent="0.25">
      <c r="A1044" t="str">
        <f>IF(REGLAS!J1045="OBSOLETO","","INSERT INTO INYCEXT.INYC_CONF_INF_REGLAS (COD_INFORME,TABLA,NOMBRE,REGLA,F_INICIO,F_FIN,DESCRIPCION) VALUES ("&amp;REGLAS!B1045&amp;",'"&amp;REGLAS!C1045&amp;"','"&amp;REGLAS!D1045&amp;"','"&amp;REGLAS!G1045&amp;"',TO_DATE('"&amp;REGLAS!H1045&amp;"','yyyymmdd'),TO_DATE('"&amp;REGLAS!I1045&amp;"','yyyymmdd'),'"&amp;REGLAS!J1045&amp;"');")</f>
        <v>INSERT INTO INYCEXT.INYC_CONF_INF_REGLAS (COD_INFORME,TABLA,NOMBRE,REGLA,F_INICIO,F_FIN,DESCRIPCION) VALUES (105.1,'INYC_PEPI_RESUMEN','SM - Nº Pólizas Inspector Accidentes Mensual','SM-O-GEN-Inspector-NumeroPolizas-005-TotalMes',TO_DATE('20140101','yyyymmdd'),TO_DATE('22000101','yyyymmdd'),'');</v>
      </c>
      <c r="B1044" t="str">
        <f>IF(REGLAS!J1045="OBSOLETO","","INSERT INTO INYCEXT.INYC_CONF_INF_REGLAS@tc_link (COD_INFORME,TABLA,NOMBRE,REGLA,F_INICIO,F_FIN,DESCRIPCION) VALUES ("&amp;REGLAS!B1045&amp;",'"&amp;REGLAS!C1045&amp;"','"&amp;REGLAS!D1045&amp;"','"&amp;REGLAS!G1045&amp;"',TO_DATE('"&amp;REGLAS!H1045&amp;"','yyyymmdd'),TO_DATE('"&amp;REGLAS!I1045&amp;"','yyyymmdd'),'"&amp;REGLAS!J1045&amp;"');")</f>
        <v>INSERT INTO INYCEXT.INYC_CONF_INF_REGLAS@tc_link (COD_INFORME,TABLA,NOMBRE,REGLA,F_INICIO,F_FIN,DESCRIPCION) VALUES (105.1,'INYC_PEPI_RESUMEN','SM - Nº Pólizas Inspector Accidentes Mensual','SM-O-GEN-Inspector-NumeroPolizas-005-TotalMes',TO_DATE('20140101','yyyymmdd'),TO_DATE('22000101','yyyymmdd'),'');</v>
      </c>
    </row>
    <row r="1045" spans="1:2" x14ac:dyDescent="0.25">
      <c r="A1045" t="str">
        <f>IF(REGLAS!J1046="OBSOLETO","","INSERT INTO INYCEXT.INYC_CONF_INF_REGLAS (COD_INFORME,TABLA,NOMBRE,REGLA,F_INICIO,F_FIN,DESCRIPCION) VALUES ("&amp;REGLAS!B1046&amp;",'"&amp;REGLAS!C1046&amp;"','"&amp;REGLAS!D1046&amp;"','"&amp;REGLAS!G1046&amp;"',TO_DATE('"&amp;REGLAS!H1046&amp;"','yyyymmdd'),TO_DATE('"&amp;REGLAS!I1046&amp;"','yyyymmdd'),'"&amp;REGLAS!J1046&amp;"');")</f>
        <v>INSERT INTO INYCEXT.INYC_CONF_INF_REGLAS (COD_INFORME,TABLA,NOMBRE,REGLA,F_INICIO,F_FIN,DESCRIPCION) VALUES (105.1,'INYC_PEPI_RESUMEN','SM - Nº Pólizas Inspector Resto Productos Mensual','SM-O-GEN-Inspector-NumeroPolizas-006-TotalMes',TO_DATE('20140101','yyyymmdd'),TO_DATE('22000101','yyyymmdd'),'');</v>
      </c>
      <c r="B1045" t="str">
        <f>IF(REGLAS!J1046="OBSOLETO","","INSERT INTO INYCEXT.INYC_CONF_INF_REGLAS@tc_link (COD_INFORME,TABLA,NOMBRE,REGLA,F_INICIO,F_FIN,DESCRIPCION) VALUES ("&amp;REGLAS!B1046&amp;",'"&amp;REGLAS!C1046&amp;"','"&amp;REGLAS!D1046&amp;"','"&amp;REGLAS!G1046&amp;"',TO_DATE('"&amp;REGLAS!H1046&amp;"','yyyymmdd'),TO_DATE('"&amp;REGLAS!I1046&amp;"','yyyymmdd'),'"&amp;REGLAS!J1046&amp;"');")</f>
        <v>INSERT INTO INYCEXT.INYC_CONF_INF_REGLAS@tc_link (COD_INFORME,TABLA,NOMBRE,REGLA,F_INICIO,F_FIN,DESCRIPCION) VALUES (105.1,'INYC_PEPI_RESUMEN','SM - Nº Pólizas Inspector Resto Productos Mensual','SM-O-GEN-Inspector-NumeroPolizas-006-TotalMes',TO_DATE('20140101','yyyymmdd'),TO_DATE('22000101','yyyymmdd'),'');</v>
      </c>
    </row>
    <row r="1046" spans="1:2" x14ac:dyDescent="0.25">
      <c r="A1046" t="str">
        <f>IF(REGLAS!J1047="OBSOLETO","","INSERT INTO INYCEXT.INYC_CONF_INF_REGLAS (COD_INFORME,TABLA,NOMBRE,REGLA,F_INICIO,F_FIN,DESCRIPCION) VALUES ("&amp;REGLAS!B1047&amp;",'"&amp;REGLAS!C1047&amp;"','"&amp;REGLAS!D1047&amp;"','"&amp;REGLAS!G1047&amp;"',TO_DATE('"&amp;REGLAS!H1047&amp;"','yyyymmdd'),TO_DATE('"&amp;REGLAS!I1047&amp;"','yyyymmdd'),'"&amp;REGLAS!J1047&amp;"');")</f>
        <v>INSERT INTO INYCEXT.INYC_CONF_INF_REGLAS (COD_INFORME,TABLA,NOMBRE,REGLA,F_INICIO,F_FIN,DESCRIPCION) VALUES (105.1,'INYC_PEPI_RESUMEN','SM - Nº Pólizas Inspector Ocaso Oro Mensual','SM-O-GEN-Inspector-NumeroPolizas-007-TotalMes',TO_DATE('20140101','yyyymmdd'),TO_DATE('22000101','yyyymmdd'),'');</v>
      </c>
      <c r="B1046" t="str">
        <f>IF(REGLAS!J1047="OBSOLETO","","INSERT INTO INYCEXT.INYC_CONF_INF_REGLAS@tc_link (COD_INFORME,TABLA,NOMBRE,REGLA,F_INICIO,F_FIN,DESCRIPCION) VALUES ("&amp;REGLAS!B1047&amp;",'"&amp;REGLAS!C1047&amp;"','"&amp;REGLAS!D1047&amp;"','"&amp;REGLAS!G1047&amp;"',TO_DATE('"&amp;REGLAS!H1047&amp;"','yyyymmdd'),TO_DATE('"&amp;REGLAS!I1047&amp;"','yyyymmdd'),'"&amp;REGLAS!J1047&amp;"');")</f>
        <v>INSERT INTO INYCEXT.INYC_CONF_INF_REGLAS@tc_link (COD_INFORME,TABLA,NOMBRE,REGLA,F_INICIO,F_FIN,DESCRIPCION) VALUES (105.1,'INYC_PEPI_RESUMEN','SM - Nº Pólizas Inspector Ocaso Oro Mensual','SM-O-GEN-Inspector-NumeroPolizas-007-TotalMes',TO_DATE('20140101','yyyymmdd'),TO_DATE('22000101','yyyymmdd'),'');</v>
      </c>
    </row>
    <row r="1047" spans="1:2" x14ac:dyDescent="0.25">
      <c r="A1047" t="str">
        <f>IF(REGLAS!J1048="OBSOLETO","","INSERT INTO INYCEXT.INYC_CONF_INF_REGLAS (COD_INFORME,TABLA,NOMBRE,REGLA,F_INICIO,F_FIN,DESCRIPCION) VALUES ("&amp;REGLAS!B1048&amp;",'"&amp;REGLAS!C1048&amp;"','"&amp;REGLAS!D1048&amp;"','"&amp;REGLAS!G1048&amp;"',TO_DATE('"&amp;REGLAS!H1048&amp;"','yyyymmdd'),TO_DATE('"&amp;REGLAS!I1048&amp;"','yyyymmdd'),'"&amp;REGLAS!J1048&amp;"');")</f>
        <v>INSERT INTO INYCEXT.INYC_CONF_INF_REGLAS (COD_INFORME,TABLA,NOMBRE,REGLA,F_INICIO,F_FIN,DESCRIPCION) VALUES (105.1,'INYC_PEPI_RESUMEN','SM - Nº Pólizas Inspector Comunidades Mensual','SM-O-GEN-Inspector-NumeroPolizas-008-TotalMes',TO_DATE('20140101','yyyymmdd'),TO_DATE('22000101','yyyymmdd'),'');</v>
      </c>
      <c r="B1047" t="str">
        <f>IF(REGLAS!J1048="OBSOLETO","","INSERT INTO INYCEXT.INYC_CONF_INF_REGLAS@tc_link (COD_INFORME,TABLA,NOMBRE,REGLA,F_INICIO,F_FIN,DESCRIPCION) VALUES ("&amp;REGLAS!B1048&amp;",'"&amp;REGLAS!C1048&amp;"','"&amp;REGLAS!D1048&amp;"','"&amp;REGLAS!G1048&amp;"',TO_DATE('"&amp;REGLAS!H1048&amp;"','yyyymmdd'),TO_DATE('"&amp;REGLAS!I1048&amp;"','yyyymmdd'),'"&amp;REGLAS!J1048&amp;"');")</f>
        <v>INSERT INTO INYCEXT.INYC_CONF_INF_REGLAS@tc_link (COD_INFORME,TABLA,NOMBRE,REGLA,F_INICIO,F_FIN,DESCRIPCION) VALUES (105.1,'INYC_PEPI_RESUMEN','SM - Nº Pólizas Inspector Comunidades Mensual','SM-O-GEN-Inspector-NumeroPolizas-008-TotalMes',TO_DATE('20140101','yyyymmdd'),TO_DATE('22000101','yyyymmdd'),'');</v>
      </c>
    </row>
    <row r="1048" spans="1:2" x14ac:dyDescent="0.25">
      <c r="A1048" t="str">
        <f>IF(REGLAS!J1049="OBSOLETO","","INSERT INTO INYCEXT.INYC_CONF_INF_REGLAS (COD_INFORME,TABLA,NOMBRE,REGLA,F_INICIO,F_FIN,DESCRIPCION) VALUES ("&amp;REGLAS!B1049&amp;",'"&amp;REGLAS!C1049&amp;"','"&amp;REGLAS!D1049&amp;"','"&amp;REGLAS!G1049&amp;"',TO_DATE('"&amp;REGLAS!H1049&amp;"','yyyymmdd'),TO_DATE('"&amp;REGLAS!I1049&amp;"','yyyymmdd'),'"&amp;REGLAS!J1049&amp;"');")</f>
        <v>INSERT INTO INYCEXT.INYC_CONF_INF_REGLAS (COD_INFORME,TABLA,NOMBRE,REGLA,F_INICIO,F_FIN,DESCRIPCION) VALUES (105.1,'INYC_PEPI_RESUMEN','SM - Nº Pólizas Inspector Pyme Express Mensual','SM-O-GEN-Inspector-NumeroPolizas-009-TotalMes',TO_DATE('20140101','yyyymmdd'),TO_DATE('22000101','yyyymmdd'),'');</v>
      </c>
      <c r="B1048" t="str">
        <f>IF(REGLAS!J1049="OBSOLETO","","INSERT INTO INYCEXT.INYC_CONF_INF_REGLAS@tc_link (COD_INFORME,TABLA,NOMBRE,REGLA,F_INICIO,F_FIN,DESCRIPCION) VALUES ("&amp;REGLAS!B1049&amp;",'"&amp;REGLAS!C1049&amp;"','"&amp;REGLAS!D1049&amp;"','"&amp;REGLAS!G1049&amp;"',TO_DATE('"&amp;REGLAS!H1049&amp;"','yyyymmdd'),TO_DATE('"&amp;REGLAS!I1049&amp;"','yyyymmdd'),'"&amp;REGLAS!J1049&amp;"');")</f>
        <v>INSERT INTO INYCEXT.INYC_CONF_INF_REGLAS@tc_link (COD_INFORME,TABLA,NOMBRE,REGLA,F_INICIO,F_FIN,DESCRIPCION) VALUES (105.1,'INYC_PEPI_RESUMEN','SM - Nº Pólizas Inspector Pyme Express Mensual','SM-O-GEN-Inspector-NumeroPolizas-009-TotalMes',TO_DATE('20140101','yyyymmdd'),TO_DATE('22000101','yyyymmdd'),'');</v>
      </c>
    </row>
    <row r="1049" spans="1:2" x14ac:dyDescent="0.25">
      <c r="A1049" t="str">
        <f>IF(REGLAS!J1050="OBSOLETO","","INSERT INTO INYCEXT.INYC_CONF_INF_REGLAS (COD_INFORME,TABLA,NOMBRE,REGLA,F_INICIO,F_FIN,DESCRIPCION) VALUES ("&amp;REGLAS!B1050&amp;",'"&amp;REGLAS!C1050&amp;"','"&amp;REGLAS!D1050&amp;"','"&amp;REGLAS!G1050&amp;"',TO_DATE('"&amp;REGLAS!H1050&amp;"','yyyymmdd'),TO_DATE('"&amp;REGLAS!I1050&amp;"','yyyymmdd'),'"&amp;REGLAS!J1050&amp;"');")</f>
        <v>INSERT INTO INYCEXT.INYC_CONF_INF_REGLAS (COD_INFORME,TABLA,NOMBRE,REGLA,F_INICIO,F_FIN,DESCRIPCION) VALUES (105.1,'INYC_PEPI_RESUMEN','SM - Nº Pólizas Inspector RRPP (excl PU y conv/colec) Mensual','SM-O-GEN-Inspector-NumeroPolizas-906-TotalMes',TO_DATE('20140101','yyyymmdd'),TO_DATE('22000101','yyyymmdd'),'');</v>
      </c>
      <c r="B1049" t="str">
        <f>IF(REGLAS!J1050="OBSOLETO","","INSERT INTO INYCEXT.INYC_CONF_INF_REGLAS@tc_link (COD_INFORME,TABLA,NOMBRE,REGLA,F_INICIO,F_FIN,DESCRIPCION) VALUES ("&amp;REGLAS!B1050&amp;",'"&amp;REGLAS!C1050&amp;"','"&amp;REGLAS!D1050&amp;"','"&amp;REGLAS!G1050&amp;"',TO_DATE('"&amp;REGLAS!H1050&amp;"','yyyymmdd'),TO_DATE('"&amp;REGLAS!I1050&amp;"','yyyymmdd'),'"&amp;REGLAS!J1050&amp;"');")</f>
        <v>INSERT INTO INYCEXT.INYC_CONF_INF_REGLAS@tc_link (COD_INFORME,TABLA,NOMBRE,REGLA,F_INICIO,F_FIN,DESCRIPCION) VALUES (105.1,'INYC_PEPI_RESUMEN','SM - Nº Pólizas Inspector RRPP (excl PU y conv/colec) Mensual','SM-O-GEN-Inspector-NumeroPolizas-906-TotalMes',TO_DATE('20140101','yyyymmdd'),TO_DATE('22000101','yyyymmdd'),'');</v>
      </c>
    </row>
    <row r="1050" spans="1:2" x14ac:dyDescent="0.25">
      <c r="A1050" t="str">
        <f>IF(REGLAS!J1051="OBSOLETO","","INSERT INTO INYCEXT.INYC_CONF_INF_REGLAS (COD_INFORME,TABLA,NOMBRE,REGLA,F_INICIO,F_FIN,DESCRIPCION) VALUES ("&amp;REGLAS!B1051&amp;",'"&amp;REGLAS!C1051&amp;"','"&amp;REGLAS!D1051&amp;"','"&amp;REGLAS!G1051&amp;"',TO_DATE('"&amp;REGLAS!H1051&amp;"','yyyymmdd'),TO_DATE('"&amp;REGLAS!I1051&amp;"','yyyymmdd'),'"&amp;REGLAS!J1051&amp;"');")</f>
        <v>INSERT INTO INYCEXT.INYC_CONF_INF_REGLAS (COD_INFORME,TABLA,NOMBRE,REGLA,F_INICIO,F_FIN,DESCRIPCION) VALUES (105.1,'INYC_PEPI_RESUMEN','SM - Nº Pólizas Inspector Prod. Prioritarios Mensual','SM-O-GEN-Inspector-NumeroPolizas-997-TotalMes',TO_DATE('20140101','yyyymmdd'),TO_DATE('22000101','yyyymmdd'),'');</v>
      </c>
      <c r="B1050" t="str">
        <f>IF(REGLAS!J1051="OBSOLETO","","INSERT INTO INYCEXT.INYC_CONF_INF_REGLAS@tc_link (COD_INFORME,TABLA,NOMBRE,REGLA,F_INICIO,F_FIN,DESCRIPCION) VALUES ("&amp;REGLAS!B1051&amp;",'"&amp;REGLAS!C1051&amp;"','"&amp;REGLAS!D1051&amp;"','"&amp;REGLAS!G1051&amp;"',TO_DATE('"&amp;REGLAS!H1051&amp;"','yyyymmdd'),TO_DATE('"&amp;REGLAS!I1051&amp;"','yyyymmdd'),'"&amp;REGLAS!J1051&amp;"');")</f>
        <v>INSERT INTO INYCEXT.INYC_CONF_INF_REGLAS@tc_link (COD_INFORME,TABLA,NOMBRE,REGLA,F_INICIO,F_FIN,DESCRIPCION) VALUES (105.1,'INYC_PEPI_RESUMEN','SM - Nº Pólizas Inspector Prod. Prioritarios Mensual','SM-O-GEN-Inspector-NumeroPolizas-997-TotalMes',TO_DATE('20140101','yyyymmdd'),TO_DATE('22000101','yyyymmdd'),'');</v>
      </c>
    </row>
    <row r="1051" spans="1:2" x14ac:dyDescent="0.25">
      <c r="A1051" t="str">
        <f>IF(REGLAS!J1052="OBSOLETO","","INSERT INTO INYCEXT.INYC_CONF_INF_REGLAS (COD_INFORME,TABLA,NOMBRE,REGLA,F_INICIO,F_FIN,DESCRIPCION) VALUES ("&amp;REGLAS!B1052&amp;",'"&amp;REGLAS!C1052&amp;"','"&amp;REGLAS!D1052&amp;"','"&amp;REGLAS!G1052&amp;"',TO_DATE('"&amp;REGLAS!H1052&amp;"','yyyymmdd'),TO_DATE('"&amp;REGLAS!I1052&amp;"','yyyymmdd'),'"&amp;REGLAS!J1052&amp;"');")</f>
        <v>INSERT INTO INYCEXT.INYC_CONF_INF_REGLAS (COD_INFORME,TABLA,NOMBRE,REGLA,F_INICIO,F_FIN,DESCRIPCION) VALUES (105.1,'INYC_PEPI_RESUMEN','SM - Nº Pólizas Inspector Total Productos Mensual','SM-O-GEN-Inspector-NumeroPolizas-998-TotalMes',TO_DATE('20140101','yyyymmdd'),TO_DATE('22000101','yyyymmdd'),'');</v>
      </c>
      <c r="B1051" t="str">
        <f>IF(REGLAS!J1052="OBSOLETO","","INSERT INTO INYCEXT.INYC_CONF_INF_REGLAS@tc_link (COD_INFORME,TABLA,NOMBRE,REGLA,F_INICIO,F_FIN,DESCRIPCION) VALUES ("&amp;REGLAS!B1052&amp;",'"&amp;REGLAS!C1052&amp;"','"&amp;REGLAS!D1052&amp;"','"&amp;REGLAS!G1052&amp;"',TO_DATE('"&amp;REGLAS!H1052&amp;"','yyyymmdd'),TO_DATE('"&amp;REGLAS!I1052&amp;"','yyyymmdd'),'"&amp;REGLAS!J1052&amp;"');")</f>
        <v>INSERT INTO INYCEXT.INYC_CONF_INF_REGLAS@tc_link (COD_INFORME,TABLA,NOMBRE,REGLA,F_INICIO,F_FIN,DESCRIPCION) VALUES (105.1,'INYC_PEPI_RESUMEN','SM - Nº Pólizas Inspector Total Productos Mensual','SM-O-GEN-Inspector-NumeroPolizas-998-TotalMes',TO_DATE('20140101','yyyymmdd'),TO_DATE('22000101','yyyymmdd'),'');</v>
      </c>
    </row>
    <row r="1052" spans="1:2" x14ac:dyDescent="0.25">
      <c r="A1052" t="str">
        <f>IF(REGLAS!J1053="OBSOLETO","","INSERT INTO INYCEXT.INYC_CONF_INF_REGLAS (COD_INFORME,TABLA,NOMBRE,REGLA,F_INICIO,F_FIN,DESCRIPCION) VALUES ("&amp;REGLAS!B1053&amp;",'"&amp;REGLAS!C1053&amp;"','"&amp;REGLAS!D1053&amp;"','"&amp;REGLAS!G1053&amp;"',TO_DATE('"&amp;REGLAS!H1053&amp;"','yyyymmdd'),TO_DATE('"&amp;REGLAS!I1053&amp;"','yyyymmdd'),'"&amp;REGLAS!J1053&amp;"');")</f>
        <v>INSERT INTO INYCEXT.INYC_CONF_INF_REGLAS (COD_INFORME,TABLA,NOMBRE,REGLA,F_INICIO,F_FIN,DESCRIPCION) VALUES (105.1,'INYC_PEPI_RESUMEN','SM - Nº Pólizas Corregidas Inspector RRTT Mensual','SM-O-GEN-Inspector-NumeroPolizasCorregidas-001-TotalMes',TO_DATE('20180101','yyyymmdd'),TO_DATE('22000101','yyyymmdd'),'Version 20180116');</v>
      </c>
      <c r="B1052" t="str">
        <f>IF(REGLAS!J1053="OBSOLETO","","INSERT INTO INYCEXT.INYC_CONF_INF_REGLAS@tc_link (COD_INFORME,TABLA,NOMBRE,REGLA,F_INICIO,F_FIN,DESCRIPCION) VALUES ("&amp;REGLAS!B1053&amp;",'"&amp;REGLAS!C1053&amp;"','"&amp;REGLAS!D1053&amp;"','"&amp;REGLAS!G1053&amp;"',TO_DATE('"&amp;REGLAS!H1053&amp;"','yyyymmdd'),TO_DATE('"&amp;REGLAS!I1053&amp;"','yyyymmdd'),'"&amp;REGLAS!J1053&amp;"');")</f>
        <v>INSERT INTO INYCEXT.INYC_CONF_INF_REGLAS@tc_link (COD_INFORME,TABLA,NOMBRE,REGLA,F_INICIO,F_FIN,DESCRIPCION) VALUES (105.1,'INYC_PEPI_RESUMEN','SM - Nº Pólizas Corregidas Inspector RRTT Mensual','SM-O-GEN-Inspector-NumeroPolizasCorregidas-001-TotalMes',TO_DATE('20180101','yyyymmdd'),TO_DATE('22000101','yyyymmdd'),'Version 20180116');</v>
      </c>
    </row>
    <row r="1053" spans="1:2" x14ac:dyDescent="0.25">
      <c r="A1053" t="str">
        <f>IF(REGLAS!J1054="OBSOLETO","","INSERT INTO INYCEXT.INYC_CONF_INF_REGLAS (COD_INFORME,TABLA,NOMBRE,REGLA,F_INICIO,F_FIN,DESCRIPCION) VALUES ("&amp;REGLAS!B1054&amp;",'"&amp;REGLAS!C1054&amp;"','"&amp;REGLAS!D1054&amp;"','"&amp;REGLAS!G1054&amp;"',TO_DATE('"&amp;REGLAS!H1054&amp;"','yyyymmdd'),TO_DATE('"&amp;REGLAS!I1054&amp;"','yyyymmdd'),'"&amp;REGLAS!J1054&amp;"');")</f>
        <v>INSERT INTO INYCEXT.INYC_CONF_INF_REGLAS (COD_INFORME,TABLA,NOMBRE,REGLA,F_INICIO,F_FIN,DESCRIPCION) VALUES (105.1,'INYC_PEPI_RESUMEN','SM - Nº Pólizas Corregidas Inspector Hogar Mensual','SM-O-GEN-Inspector-NumeroPolizasCorregidas-002-TotalMes',TO_DATE('20180101','yyyymmdd'),TO_DATE('22000101','yyyymmdd'),'Version 20180116');</v>
      </c>
      <c r="B1053" t="str">
        <f>IF(REGLAS!J1054="OBSOLETO","","INSERT INTO INYCEXT.INYC_CONF_INF_REGLAS@tc_link (COD_INFORME,TABLA,NOMBRE,REGLA,F_INICIO,F_FIN,DESCRIPCION) VALUES ("&amp;REGLAS!B1054&amp;",'"&amp;REGLAS!C1054&amp;"','"&amp;REGLAS!D1054&amp;"','"&amp;REGLAS!G1054&amp;"',TO_DATE('"&amp;REGLAS!H1054&amp;"','yyyymmdd'),TO_DATE('"&amp;REGLAS!I1054&amp;"','yyyymmdd'),'"&amp;REGLAS!J1054&amp;"');")</f>
        <v>INSERT INTO INYCEXT.INYC_CONF_INF_REGLAS@tc_link (COD_INFORME,TABLA,NOMBRE,REGLA,F_INICIO,F_FIN,DESCRIPCION) VALUES (105.1,'INYC_PEPI_RESUMEN','SM - Nº Pólizas Corregidas Inspector Hogar Mensual','SM-O-GEN-Inspector-NumeroPolizasCorregidas-002-TotalMes',TO_DATE('20180101','yyyymmdd'),TO_DATE('22000101','yyyymmdd'),'Version 20180116');</v>
      </c>
    </row>
    <row r="1054" spans="1:2" x14ac:dyDescent="0.25">
      <c r="A1054" t="str">
        <f>IF(REGLAS!J1055="OBSOLETO","","INSERT INTO INYCEXT.INYC_CONF_INF_REGLAS (COD_INFORME,TABLA,NOMBRE,REGLA,F_INICIO,F_FIN,DESCRIPCION) VALUES ("&amp;REGLAS!B1055&amp;",'"&amp;REGLAS!C1055&amp;"','"&amp;REGLAS!D1055&amp;"','"&amp;REGLAS!G1055&amp;"',TO_DATE('"&amp;REGLAS!H1055&amp;"','yyyymmdd'),TO_DATE('"&amp;REGLAS!I1055&amp;"','yyyymmdd'),'"&amp;REGLAS!J1055&amp;"');")</f>
        <v>INSERT INTO INYCEXT.INYC_CONF_INF_REGLAS (COD_INFORME,TABLA,NOMBRE,REGLA,F_INICIO,F_FIN,DESCRIPCION) VALUES (105.1,'INYC_PEPI_RESUMEN','SM - Nº Pólizas Corregidas Inspector Vida Riesgo Mensual','SM-O-GEN-Inspector-NumeroPolizasCorregidas-003-TotalMes',TO_DATE('20180101','yyyymmdd'),TO_DATE('22000101','yyyymmdd'),'Version 20180116');</v>
      </c>
      <c r="B1054" t="str">
        <f>IF(REGLAS!J1055="OBSOLETO","","INSERT INTO INYCEXT.INYC_CONF_INF_REGLAS@tc_link (COD_INFORME,TABLA,NOMBRE,REGLA,F_INICIO,F_FIN,DESCRIPCION) VALUES ("&amp;REGLAS!B1055&amp;",'"&amp;REGLAS!C1055&amp;"','"&amp;REGLAS!D1055&amp;"','"&amp;REGLAS!G1055&amp;"',TO_DATE('"&amp;REGLAS!H1055&amp;"','yyyymmdd'),TO_DATE('"&amp;REGLAS!I1055&amp;"','yyyymmdd'),'"&amp;REGLAS!J1055&amp;"');")</f>
        <v>INSERT INTO INYCEXT.INYC_CONF_INF_REGLAS@tc_link (COD_INFORME,TABLA,NOMBRE,REGLA,F_INICIO,F_FIN,DESCRIPCION) VALUES (105.1,'INYC_PEPI_RESUMEN','SM - Nº Pólizas Corregidas Inspector Vida Riesgo Mensual','SM-O-GEN-Inspector-NumeroPolizasCorregidas-003-TotalMes',TO_DATE('20180101','yyyymmdd'),TO_DATE('22000101','yyyymmdd'),'Version 20180116');</v>
      </c>
    </row>
    <row r="1055" spans="1:2" x14ac:dyDescent="0.25">
      <c r="A1055" t="str">
        <f>IF(REGLAS!J1056="OBSOLETO","","INSERT INTO INYCEXT.INYC_CONF_INF_REGLAS (COD_INFORME,TABLA,NOMBRE,REGLA,F_INICIO,F_FIN,DESCRIPCION) VALUES ("&amp;REGLAS!B1056&amp;",'"&amp;REGLAS!C1056&amp;"','"&amp;REGLAS!D1056&amp;"','"&amp;REGLAS!G1056&amp;"',TO_DATE('"&amp;REGLAS!H1056&amp;"','yyyymmdd'),TO_DATE('"&amp;REGLAS!I1056&amp;"','yyyymmdd'),'"&amp;REGLAS!J1056&amp;"');")</f>
        <v>INSERT INTO INYCEXT.INYC_CONF_INF_REGLAS (COD_INFORME,TABLA,NOMBRE,REGLA,F_INICIO,F_FIN,DESCRIPCION) VALUES (105.1,'INYC_PEPI_RESUMEN','SM - Nº Pólizas Corregidas Inspector Vida Ahorro Mensual','SM-O-GEN-Inspector-NumeroPolizasCorregidas-004-TotalMes',TO_DATE('20180101','yyyymmdd'),TO_DATE('22000101','yyyymmdd'),'Version 20180116');</v>
      </c>
      <c r="B1055" t="str">
        <f>IF(REGLAS!J1056="OBSOLETO","","INSERT INTO INYCEXT.INYC_CONF_INF_REGLAS@tc_link (COD_INFORME,TABLA,NOMBRE,REGLA,F_INICIO,F_FIN,DESCRIPCION) VALUES ("&amp;REGLAS!B1056&amp;",'"&amp;REGLAS!C1056&amp;"','"&amp;REGLAS!D1056&amp;"','"&amp;REGLAS!G1056&amp;"',TO_DATE('"&amp;REGLAS!H1056&amp;"','yyyymmdd'),TO_DATE('"&amp;REGLAS!I1056&amp;"','yyyymmdd'),'"&amp;REGLAS!J1056&amp;"');")</f>
        <v>INSERT INTO INYCEXT.INYC_CONF_INF_REGLAS@tc_link (COD_INFORME,TABLA,NOMBRE,REGLA,F_INICIO,F_FIN,DESCRIPCION) VALUES (105.1,'INYC_PEPI_RESUMEN','SM - Nº Pólizas Corregidas Inspector Vida Ahorro Mensual','SM-O-GEN-Inspector-NumeroPolizasCorregidas-004-TotalMes',TO_DATE('20180101','yyyymmdd'),TO_DATE('22000101','yyyymmdd'),'Version 20180116');</v>
      </c>
    </row>
    <row r="1056" spans="1:2" x14ac:dyDescent="0.25">
      <c r="A1056" t="str">
        <f>IF(REGLAS!J1057="OBSOLETO","","INSERT INTO INYCEXT.INYC_CONF_INF_REGLAS (COD_INFORME,TABLA,NOMBRE,REGLA,F_INICIO,F_FIN,DESCRIPCION) VALUES ("&amp;REGLAS!B1057&amp;",'"&amp;REGLAS!C1057&amp;"','"&amp;REGLAS!D1057&amp;"','"&amp;REGLAS!G1057&amp;"',TO_DATE('"&amp;REGLAS!H1057&amp;"','yyyymmdd'),TO_DATE('"&amp;REGLAS!I1057&amp;"','yyyymmdd'),'"&amp;REGLAS!J1057&amp;"');")</f>
        <v>INSERT INTO INYCEXT.INYC_CONF_INF_REGLAS (COD_INFORME,TABLA,NOMBRE,REGLA,F_INICIO,F_FIN,DESCRIPCION) VALUES (105.1,'INYC_PEPI_RESUMEN','SM - Nº Pólizas Corregidas Inspector Accidentes Mensual','SM-O-GEN-Inspector-NumeroPolizasCorregidas-005-TotalMes',TO_DATE('20180101','yyyymmdd'),TO_DATE('22000101','yyyymmdd'),'Version 20180116');</v>
      </c>
      <c r="B1056" t="str">
        <f>IF(REGLAS!J1057="OBSOLETO","","INSERT INTO INYCEXT.INYC_CONF_INF_REGLAS@tc_link (COD_INFORME,TABLA,NOMBRE,REGLA,F_INICIO,F_FIN,DESCRIPCION) VALUES ("&amp;REGLAS!B1057&amp;",'"&amp;REGLAS!C1057&amp;"','"&amp;REGLAS!D1057&amp;"','"&amp;REGLAS!G1057&amp;"',TO_DATE('"&amp;REGLAS!H1057&amp;"','yyyymmdd'),TO_DATE('"&amp;REGLAS!I1057&amp;"','yyyymmdd'),'"&amp;REGLAS!J1057&amp;"');")</f>
        <v>INSERT INTO INYCEXT.INYC_CONF_INF_REGLAS@tc_link (COD_INFORME,TABLA,NOMBRE,REGLA,F_INICIO,F_FIN,DESCRIPCION) VALUES (105.1,'INYC_PEPI_RESUMEN','SM - Nº Pólizas Corregidas Inspector Accidentes Mensual','SM-O-GEN-Inspector-NumeroPolizasCorregidas-005-TotalMes',TO_DATE('20180101','yyyymmdd'),TO_DATE('22000101','yyyymmdd'),'Version 20180116');</v>
      </c>
    </row>
    <row r="1057" spans="1:2" x14ac:dyDescent="0.25">
      <c r="A1057" t="str">
        <f>IF(REGLAS!J1058="OBSOLETO","","INSERT INTO INYCEXT.INYC_CONF_INF_REGLAS (COD_INFORME,TABLA,NOMBRE,REGLA,F_INICIO,F_FIN,DESCRIPCION) VALUES ("&amp;REGLAS!B1058&amp;",'"&amp;REGLAS!C1058&amp;"','"&amp;REGLAS!D1058&amp;"','"&amp;REGLAS!G1058&amp;"',TO_DATE('"&amp;REGLAS!H1058&amp;"','yyyymmdd'),TO_DATE('"&amp;REGLAS!I1058&amp;"','yyyymmdd'),'"&amp;REGLAS!J1058&amp;"');")</f>
        <v>INSERT INTO INYCEXT.INYC_CONF_INF_REGLAS (COD_INFORME,TABLA,NOMBRE,REGLA,F_INICIO,F_FIN,DESCRIPCION) VALUES (105.1,'INYC_PEPI_RESUMEN','SM - Nº Pólizas Corregidas Inspector Resto Productos Mensual','SM-O-GEN-Inspector-NumeroPolizasCorregidas-006-TotalMes',TO_DATE('20180101','yyyymmdd'),TO_DATE('22000101','yyyymmdd'),'Version 20180116');</v>
      </c>
      <c r="B1057" t="str">
        <f>IF(REGLAS!J1058="OBSOLETO","","INSERT INTO INYCEXT.INYC_CONF_INF_REGLAS@tc_link (COD_INFORME,TABLA,NOMBRE,REGLA,F_INICIO,F_FIN,DESCRIPCION) VALUES ("&amp;REGLAS!B1058&amp;",'"&amp;REGLAS!C1058&amp;"','"&amp;REGLAS!D1058&amp;"','"&amp;REGLAS!G1058&amp;"',TO_DATE('"&amp;REGLAS!H1058&amp;"','yyyymmdd'),TO_DATE('"&amp;REGLAS!I1058&amp;"','yyyymmdd'),'"&amp;REGLAS!J1058&amp;"');")</f>
        <v>INSERT INTO INYCEXT.INYC_CONF_INF_REGLAS@tc_link (COD_INFORME,TABLA,NOMBRE,REGLA,F_INICIO,F_FIN,DESCRIPCION) VALUES (105.1,'INYC_PEPI_RESUMEN','SM - Nº Pólizas Corregidas Inspector Resto Productos Mensual','SM-O-GEN-Inspector-NumeroPolizasCorregidas-006-TotalMes',TO_DATE('20180101','yyyymmdd'),TO_DATE('22000101','yyyymmdd'),'Version 20180116');</v>
      </c>
    </row>
    <row r="1058" spans="1:2" x14ac:dyDescent="0.25">
      <c r="A1058" t="str">
        <f>IF(REGLAS!J1059="OBSOLETO","","INSERT INTO INYCEXT.INYC_CONF_INF_REGLAS (COD_INFORME,TABLA,NOMBRE,REGLA,F_INICIO,F_FIN,DESCRIPCION) VALUES ("&amp;REGLAS!B1059&amp;",'"&amp;REGLAS!C1059&amp;"','"&amp;REGLAS!D1059&amp;"','"&amp;REGLAS!G1059&amp;"',TO_DATE('"&amp;REGLAS!H1059&amp;"','yyyymmdd'),TO_DATE('"&amp;REGLAS!I1059&amp;"','yyyymmdd'),'"&amp;REGLAS!J1059&amp;"');")</f>
        <v>INSERT INTO INYCEXT.INYC_CONF_INF_REGLAS (COD_INFORME,TABLA,NOMBRE,REGLA,F_INICIO,F_FIN,DESCRIPCION) VALUES (105.1,'INYC_PEPI_RESUMEN','SM - Nº Pólizas Corregidas Inspector Ocaso Oro Mensual','SM-O-GEN-Inspector-NumeroPolizasCorregidas-007-TotalMes',TO_DATE('20140101','yyyymmdd'),TO_DATE('22000101','yyyymmdd'),'Version 20180116');</v>
      </c>
      <c r="B1058" t="str">
        <f>IF(REGLAS!J1059="OBSOLETO","","INSERT INTO INYCEXT.INYC_CONF_INF_REGLAS@tc_link (COD_INFORME,TABLA,NOMBRE,REGLA,F_INICIO,F_FIN,DESCRIPCION) VALUES ("&amp;REGLAS!B1059&amp;",'"&amp;REGLAS!C1059&amp;"','"&amp;REGLAS!D1059&amp;"','"&amp;REGLAS!G1059&amp;"',TO_DATE('"&amp;REGLAS!H1059&amp;"','yyyymmdd'),TO_DATE('"&amp;REGLAS!I1059&amp;"','yyyymmdd'),'"&amp;REGLAS!J1059&amp;"');")</f>
        <v>INSERT INTO INYCEXT.INYC_CONF_INF_REGLAS@tc_link (COD_INFORME,TABLA,NOMBRE,REGLA,F_INICIO,F_FIN,DESCRIPCION) VALUES (105.1,'INYC_PEPI_RESUMEN','SM - Nº Pólizas Corregidas Inspector Ocaso Oro Mensual','SM-O-GEN-Inspector-NumeroPolizasCorregidas-007-TotalMes',TO_DATE('20140101','yyyymmdd'),TO_DATE('22000101','yyyymmdd'),'Version 20180116');</v>
      </c>
    </row>
    <row r="1059" spans="1:2" x14ac:dyDescent="0.25">
      <c r="A1059" t="str">
        <f>IF(REGLAS!J1060="OBSOLETO","","INSERT INTO INYCEXT.INYC_CONF_INF_REGLAS (COD_INFORME,TABLA,NOMBRE,REGLA,F_INICIO,F_FIN,DESCRIPCION) VALUES ("&amp;REGLAS!B1060&amp;",'"&amp;REGLAS!C1060&amp;"','"&amp;REGLAS!D1060&amp;"','"&amp;REGLAS!G1060&amp;"',TO_DATE('"&amp;REGLAS!H1060&amp;"','yyyymmdd'),TO_DATE('"&amp;REGLAS!I1060&amp;"','yyyymmdd'),'"&amp;REGLAS!J1060&amp;"');")</f>
        <v>INSERT INTO INYCEXT.INYC_CONF_INF_REGLAS (COD_INFORME,TABLA,NOMBRE,REGLA,F_INICIO,F_FIN,DESCRIPCION) VALUES (105.1,'INYC_PEPI_RESUMEN','SM - Nº Pólizas Corregidas Inspector Comunidades Mensual','SM-O-GEN-Inspector-NumeroPolizasCorregidas-008-TotalMes',TO_DATE('20180101','yyyymmdd'),TO_DATE('22000101','yyyymmdd'),'Version 20180116');</v>
      </c>
      <c r="B1059" t="str">
        <f>IF(REGLAS!J1060="OBSOLETO","","INSERT INTO INYCEXT.INYC_CONF_INF_REGLAS@tc_link (COD_INFORME,TABLA,NOMBRE,REGLA,F_INICIO,F_FIN,DESCRIPCION) VALUES ("&amp;REGLAS!B1060&amp;",'"&amp;REGLAS!C1060&amp;"','"&amp;REGLAS!D1060&amp;"','"&amp;REGLAS!G1060&amp;"',TO_DATE('"&amp;REGLAS!H1060&amp;"','yyyymmdd'),TO_DATE('"&amp;REGLAS!I1060&amp;"','yyyymmdd'),'"&amp;REGLAS!J1060&amp;"');")</f>
        <v>INSERT INTO INYCEXT.INYC_CONF_INF_REGLAS@tc_link (COD_INFORME,TABLA,NOMBRE,REGLA,F_INICIO,F_FIN,DESCRIPCION) VALUES (105.1,'INYC_PEPI_RESUMEN','SM - Nº Pólizas Corregidas Inspector Comunidades Mensual','SM-O-GEN-Inspector-NumeroPolizasCorregidas-008-TotalMes',TO_DATE('20180101','yyyymmdd'),TO_DATE('22000101','yyyymmdd'),'Version 20180116');</v>
      </c>
    </row>
    <row r="1060" spans="1:2" x14ac:dyDescent="0.25">
      <c r="A1060" t="str">
        <f>IF(REGLAS!J1061="OBSOLETO","","INSERT INTO INYCEXT.INYC_CONF_INF_REGLAS (COD_INFORME,TABLA,NOMBRE,REGLA,F_INICIO,F_FIN,DESCRIPCION) VALUES ("&amp;REGLAS!B1061&amp;",'"&amp;REGLAS!C1061&amp;"','"&amp;REGLAS!D1061&amp;"','"&amp;REGLAS!G1061&amp;"',TO_DATE('"&amp;REGLAS!H1061&amp;"','yyyymmdd'),TO_DATE('"&amp;REGLAS!I1061&amp;"','yyyymmdd'),'"&amp;REGLAS!J1061&amp;"');")</f>
        <v>INSERT INTO INYCEXT.INYC_CONF_INF_REGLAS (COD_INFORME,TABLA,NOMBRE,REGLA,F_INICIO,F_FIN,DESCRIPCION) VALUES (105.1,'INYC_PEPI_RESUMEN','SM - Nº Pólizas Corregidas Inspector Pyme Express Mensual','SM-O-GEN-Inspector-NumeroPolizasCorregidas-009-TotalMes',TO_DATE('20180101','yyyymmdd'),TO_DATE('22000101','yyyymmdd'),'Version 20180116');</v>
      </c>
      <c r="B1060" t="str">
        <f>IF(REGLAS!J1061="OBSOLETO","","INSERT INTO INYCEXT.INYC_CONF_INF_REGLAS@tc_link (COD_INFORME,TABLA,NOMBRE,REGLA,F_INICIO,F_FIN,DESCRIPCION) VALUES ("&amp;REGLAS!B1061&amp;",'"&amp;REGLAS!C1061&amp;"','"&amp;REGLAS!D1061&amp;"','"&amp;REGLAS!G1061&amp;"',TO_DATE('"&amp;REGLAS!H1061&amp;"','yyyymmdd'),TO_DATE('"&amp;REGLAS!I1061&amp;"','yyyymmdd'),'"&amp;REGLAS!J1061&amp;"');")</f>
        <v>INSERT INTO INYCEXT.INYC_CONF_INF_REGLAS@tc_link (COD_INFORME,TABLA,NOMBRE,REGLA,F_INICIO,F_FIN,DESCRIPCION) VALUES (105.1,'INYC_PEPI_RESUMEN','SM - Nº Pólizas Corregidas Inspector Pyme Express Mensual','SM-O-GEN-Inspector-NumeroPolizasCorregidas-009-TotalMes',TO_DATE('20180101','yyyymmdd'),TO_DATE('22000101','yyyymmdd'),'Version 20180116');</v>
      </c>
    </row>
    <row r="1061" spans="1:2" x14ac:dyDescent="0.25">
      <c r="A1061" t="str">
        <f>IF(REGLAS!J1062="OBSOLETO","","INSERT INTO INYCEXT.INYC_CONF_INF_REGLAS (COD_INFORME,TABLA,NOMBRE,REGLA,F_INICIO,F_FIN,DESCRIPCION) VALUES ("&amp;REGLAS!B1062&amp;",'"&amp;REGLAS!C1062&amp;"','"&amp;REGLAS!D1062&amp;"','"&amp;REGLAS!G1062&amp;"',TO_DATE('"&amp;REGLAS!H1062&amp;"','yyyymmdd'),TO_DATE('"&amp;REGLAS!I1062&amp;"','yyyymmdd'),'"&amp;REGLAS!J1062&amp;"');")</f>
        <v>INSERT INTO INYCEXT.INYC_CONF_INF_REGLAS (COD_INFORME,TABLA,NOMBRE,REGLA,F_INICIO,F_FIN,DESCRIPCION) VALUES (105.1,'INYC_PEPI_RESUMEN','SM - Nº Pólizas Corregidas Inspector RRPP (excl PU y conv/colec) Mensual','SM-O-GEN-Inspector-NumeroPolizasCorregidas-906-TotalMes',TO_DATE('20180101','yyyymmdd'),TO_DATE('22000101','yyyymmdd'),'Version 20180116');</v>
      </c>
      <c r="B1061" t="str">
        <f>IF(REGLAS!J1062="OBSOLETO","","INSERT INTO INYCEXT.INYC_CONF_INF_REGLAS@tc_link (COD_INFORME,TABLA,NOMBRE,REGLA,F_INICIO,F_FIN,DESCRIPCION) VALUES ("&amp;REGLAS!B1062&amp;",'"&amp;REGLAS!C1062&amp;"','"&amp;REGLAS!D1062&amp;"','"&amp;REGLAS!G1062&amp;"',TO_DATE('"&amp;REGLAS!H1062&amp;"','yyyymmdd'),TO_DATE('"&amp;REGLAS!I1062&amp;"','yyyymmdd'),'"&amp;REGLAS!J1062&amp;"');")</f>
        <v>INSERT INTO INYCEXT.INYC_CONF_INF_REGLAS@tc_link (COD_INFORME,TABLA,NOMBRE,REGLA,F_INICIO,F_FIN,DESCRIPCION) VALUES (105.1,'INYC_PEPI_RESUMEN','SM - Nº Pólizas Corregidas Inspector RRPP (excl PU y conv/colec) Mensual','SM-O-GEN-Inspector-NumeroPolizasCorregidas-906-TotalMes',TO_DATE('20180101','yyyymmdd'),TO_DATE('22000101','yyyymmdd'),'Version 20180116');</v>
      </c>
    </row>
    <row r="1062" spans="1:2" x14ac:dyDescent="0.25">
      <c r="A1062" t="str">
        <f>IF(REGLAS!J1063="OBSOLETO","","INSERT INTO INYCEXT.INYC_CONF_INF_REGLAS (COD_INFORME,TABLA,NOMBRE,REGLA,F_INICIO,F_FIN,DESCRIPCION) VALUES ("&amp;REGLAS!B1063&amp;",'"&amp;REGLAS!C1063&amp;"','"&amp;REGLAS!D1063&amp;"','"&amp;REGLAS!G1063&amp;"',TO_DATE('"&amp;REGLAS!H1063&amp;"','yyyymmdd'),TO_DATE('"&amp;REGLAS!I1063&amp;"','yyyymmdd'),'"&amp;REGLAS!J1063&amp;"');")</f>
        <v>INSERT INTO INYCEXT.INYC_CONF_INF_REGLAS (COD_INFORME,TABLA,NOMBRE,REGLA,F_INICIO,F_FIN,DESCRIPCION) VALUES (105.1,'INYC_PEPI_RESUMEN','SM - Nº Pólizas Corregidas Inspector Prod. Prioritarios Mensual','SM-O-GEN-Inspector-NumeroPolizasCorregidas-997-TotalMes',TO_DATE('20180101','yyyymmdd'),TO_DATE('22000101','yyyymmdd'),'Version 20180116');</v>
      </c>
      <c r="B1062" t="str">
        <f>IF(REGLAS!J1063="OBSOLETO","","INSERT INTO INYCEXT.INYC_CONF_INF_REGLAS@tc_link (COD_INFORME,TABLA,NOMBRE,REGLA,F_INICIO,F_FIN,DESCRIPCION) VALUES ("&amp;REGLAS!B1063&amp;",'"&amp;REGLAS!C1063&amp;"','"&amp;REGLAS!D1063&amp;"','"&amp;REGLAS!G1063&amp;"',TO_DATE('"&amp;REGLAS!H1063&amp;"','yyyymmdd'),TO_DATE('"&amp;REGLAS!I1063&amp;"','yyyymmdd'),'"&amp;REGLAS!J1063&amp;"');")</f>
        <v>INSERT INTO INYCEXT.INYC_CONF_INF_REGLAS@tc_link (COD_INFORME,TABLA,NOMBRE,REGLA,F_INICIO,F_FIN,DESCRIPCION) VALUES (105.1,'INYC_PEPI_RESUMEN','SM - Nº Pólizas Corregidas Inspector Prod. Prioritarios Mensual','SM-O-GEN-Inspector-NumeroPolizasCorregidas-997-TotalMes',TO_DATE('20180101','yyyymmdd'),TO_DATE('22000101','yyyymmdd'),'Version 20180116');</v>
      </c>
    </row>
    <row r="1063" spans="1:2" x14ac:dyDescent="0.25">
      <c r="A1063" t="str">
        <f>IF(REGLAS!J1064="OBSOLETO","","INSERT INTO INYCEXT.INYC_CONF_INF_REGLAS (COD_INFORME,TABLA,NOMBRE,REGLA,F_INICIO,F_FIN,DESCRIPCION) VALUES ("&amp;REGLAS!B1064&amp;",'"&amp;REGLAS!C1064&amp;"','"&amp;REGLAS!D1064&amp;"','"&amp;REGLAS!G1064&amp;"',TO_DATE('"&amp;REGLAS!H1064&amp;"','yyyymmdd'),TO_DATE('"&amp;REGLAS!I1064&amp;"','yyyymmdd'),'"&amp;REGLAS!J1064&amp;"');")</f>
        <v>INSERT INTO INYCEXT.INYC_CONF_INF_REGLAS (COD_INFORME,TABLA,NOMBRE,REGLA,F_INICIO,F_FIN,DESCRIPCION) VALUES (105.1,'INYC_PEPI_RESUMEN','SM - Nº Pólizas Corregidas Inspector Total Productos Mensual','SM-O-GEN-Inspector-NumeroPolizasCorregidas-998-TotalMes',TO_DATE('20180101','yyyymmdd'),TO_DATE('22000101','yyyymmdd'),'Version 20180116');</v>
      </c>
      <c r="B1063" t="str">
        <f>IF(REGLAS!J1064="OBSOLETO","","INSERT INTO INYCEXT.INYC_CONF_INF_REGLAS@tc_link (COD_INFORME,TABLA,NOMBRE,REGLA,F_INICIO,F_FIN,DESCRIPCION) VALUES ("&amp;REGLAS!B1064&amp;",'"&amp;REGLAS!C1064&amp;"','"&amp;REGLAS!D1064&amp;"','"&amp;REGLAS!G1064&amp;"',TO_DATE('"&amp;REGLAS!H1064&amp;"','yyyymmdd'),TO_DATE('"&amp;REGLAS!I1064&amp;"','yyyymmdd'),'"&amp;REGLAS!J1064&amp;"');")</f>
        <v>INSERT INTO INYCEXT.INYC_CONF_INF_REGLAS@tc_link (COD_INFORME,TABLA,NOMBRE,REGLA,F_INICIO,F_FIN,DESCRIPCION) VALUES (105.1,'INYC_PEPI_RESUMEN','SM - Nº Pólizas Corregidas Inspector Total Productos Mensual','SM-O-GEN-Inspector-NumeroPolizasCorregidas-998-TotalMes',TO_DATE('20180101','yyyymmdd'),TO_DATE('22000101','yyyymmdd'),'Version 20180116');</v>
      </c>
    </row>
    <row r="1064" spans="1:2" x14ac:dyDescent="0.25">
      <c r="A1064" t="str">
        <f>IF(REGLAS!J1065="OBSOLETO","","INSERT INTO INYCEXT.INYC_CONF_INF_REGLAS (COD_INFORME,TABLA,NOMBRE,REGLA,F_INICIO,F_FIN,DESCRIPCION) VALUES ("&amp;REGLAS!B1065&amp;",'"&amp;REGLAS!C1065&amp;"','"&amp;REGLAS!D1065&amp;"','"&amp;REGLAS!G1065&amp;"',TO_DATE('"&amp;REGLAS!H1065&amp;"','yyyymmdd'),TO_DATE('"&amp;REGLAS!I1065&amp;"','yyyymmdd'),'"&amp;REGLAS!J1065&amp;"');")</f>
        <v>INSERT INTO INYCEXT.INYC_CONF_INF_REGLAS (COD_INFORME,TABLA,NOMBRE,REGLA,F_INICIO,F_FIN,DESCRIPCION) VALUES (105.1,'INYC_PEPI_RESUMEN','SM - Prima Inspector RRTT Mensual','SM-O-GEN-Inspector-Prima-001-TotalMes',TO_DATE('20140101','yyyymmdd'),TO_DATE('22000101','yyyymmdd'),'');</v>
      </c>
      <c r="B1064" t="str">
        <f>IF(REGLAS!J1065="OBSOLETO","","INSERT INTO INYCEXT.INYC_CONF_INF_REGLAS@tc_link (COD_INFORME,TABLA,NOMBRE,REGLA,F_INICIO,F_FIN,DESCRIPCION) VALUES ("&amp;REGLAS!B1065&amp;",'"&amp;REGLAS!C1065&amp;"','"&amp;REGLAS!D1065&amp;"','"&amp;REGLAS!G1065&amp;"',TO_DATE('"&amp;REGLAS!H1065&amp;"','yyyymmdd'),TO_DATE('"&amp;REGLAS!I1065&amp;"','yyyymmdd'),'"&amp;REGLAS!J1065&amp;"');")</f>
        <v>INSERT INTO INYCEXT.INYC_CONF_INF_REGLAS@tc_link (COD_INFORME,TABLA,NOMBRE,REGLA,F_INICIO,F_FIN,DESCRIPCION) VALUES (105.1,'INYC_PEPI_RESUMEN','SM - Prima Inspector RRTT Mensual','SM-O-GEN-Inspector-Prima-001-TotalMes',TO_DATE('20140101','yyyymmdd'),TO_DATE('22000101','yyyymmdd'),'');</v>
      </c>
    </row>
    <row r="1065" spans="1:2" x14ac:dyDescent="0.25">
      <c r="A1065" t="str">
        <f>IF(REGLAS!J1066="OBSOLETO","","INSERT INTO INYCEXT.INYC_CONF_INF_REGLAS (COD_INFORME,TABLA,NOMBRE,REGLA,F_INICIO,F_FIN,DESCRIPCION) VALUES ("&amp;REGLAS!B1066&amp;",'"&amp;REGLAS!C1066&amp;"','"&amp;REGLAS!D1066&amp;"','"&amp;REGLAS!G1066&amp;"',TO_DATE('"&amp;REGLAS!H1066&amp;"','yyyymmdd'),TO_DATE('"&amp;REGLAS!I1066&amp;"','yyyymmdd'),'"&amp;REGLAS!J1066&amp;"');")</f>
        <v>INSERT INTO INYCEXT.INYC_CONF_INF_REGLAS (COD_INFORME,TABLA,NOMBRE,REGLA,F_INICIO,F_FIN,DESCRIPCION) VALUES (105.1,'INYC_PEPI_RESUMEN','SM - Prima Inspector Hogar Mensual','SM-O-GEN-Inspector-Prima-002-TotalMes',TO_DATE('20140101','yyyymmdd'),TO_DATE('22000101','yyyymmdd'),'');</v>
      </c>
      <c r="B1065" t="str">
        <f>IF(REGLAS!J1066="OBSOLETO","","INSERT INTO INYCEXT.INYC_CONF_INF_REGLAS@tc_link (COD_INFORME,TABLA,NOMBRE,REGLA,F_INICIO,F_FIN,DESCRIPCION) VALUES ("&amp;REGLAS!B1066&amp;",'"&amp;REGLAS!C1066&amp;"','"&amp;REGLAS!D1066&amp;"','"&amp;REGLAS!G1066&amp;"',TO_DATE('"&amp;REGLAS!H1066&amp;"','yyyymmdd'),TO_DATE('"&amp;REGLAS!I1066&amp;"','yyyymmdd'),'"&amp;REGLAS!J1066&amp;"');")</f>
        <v>INSERT INTO INYCEXT.INYC_CONF_INF_REGLAS@tc_link (COD_INFORME,TABLA,NOMBRE,REGLA,F_INICIO,F_FIN,DESCRIPCION) VALUES (105.1,'INYC_PEPI_RESUMEN','SM - Prima Inspector Hogar Mensual','SM-O-GEN-Inspector-Prima-002-TotalMes',TO_DATE('20140101','yyyymmdd'),TO_DATE('22000101','yyyymmdd'),'');</v>
      </c>
    </row>
    <row r="1066" spans="1:2" x14ac:dyDescent="0.25">
      <c r="A1066" t="str">
        <f>IF(REGLAS!J1067="OBSOLETO","","INSERT INTO INYCEXT.INYC_CONF_INF_REGLAS (COD_INFORME,TABLA,NOMBRE,REGLA,F_INICIO,F_FIN,DESCRIPCION) VALUES ("&amp;REGLAS!B1067&amp;",'"&amp;REGLAS!C1067&amp;"','"&amp;REGLAS!D1067&amp;"','"&amp;REGLAS!G1067&amp;"',TO_DATE('"&amp;REGLAS!H1067&amp;"','yyyymmdd'),TO_DATE('"&amp;REGLAS!I1067&amp;"','yyyymmdd'),'"&amp;REGLAS!J1067&amp;"');")</f>
        <v>INSERT INTO INYCEXT.INYC_CONF_INF_REGLAS (COD_INFORME,TABLA,NOMBRE,REGLA,F_INICIO,F_FIN,DESCRIPCION) VALUES (105.1,'INYC_PEPI_RESUMEN','SM - Prima Inspector Vida Riesgo Mensual','SM-O-GEN-Inspector-Prima-003-TotalMes',TO_DATE('20140101','yyyymmdd'),TO_DATE('22000101','yyyymmdd'),'');</v>
      </c>
      <c r="B1066" t="str">
        <f>IF(REGLAS!J1067="OBSOLETO","","INSERT INTO INYCEXT.INYC_CONF_INF_REGLAS@tc_link (COD_INFORME,TABLA,NOMBRE,REGLA,F_INICIO,F_FIN,DESCRIPCION) VALUES ("&amp;REGLAS!B1067&amp;",'"&amp;REGLAS!C1067&amp;"','"&amp;REGLAS!D1067&amp;"','"&amp;REGLAS!G1067&amp;"',TO_DATE('"&amp;REGLAS!H1067&amp;"','yyyymmdd'),TO_DATE('"&amp;REGLAS!I1067&amp;"','yyyymmdd'),'"&amp;REGLAS!J1067&amp;"');")</f>
        <v>INSERT INTO INYCEXT.INYC_CONF_INF_REGLAS@tc_link (COD_INFORME,TABLA,NOMBRE,REGLA,F_INICIO,F_FIN,DESCRIPCION) VALUES (105.1,'INYC_PEPI_RESUMEN','SM - Prima Inspector Vida Riesgo Mensual','SM-O-GEN-Inspector-Prima-003-TotalMes',TO_DATE('20140101','yyyymmdd'),TO_DATE('22000101','yyyymmdd'),'');</v>
      </c>
    </row>
    <row r="1067" spans="1:2" x14ac:dyDescent="0.25">
      <c r="A1067" t="str">
        <f>IF(REGLAS!J1068="OBSOLETO","","INSERT INTO INYCEXT.INYC_CONF_INF_REGLAS (COD_INFORME,TABLA,NOMBRE,REGLA,F_INICIO,F_FIN,DESCRIPCION) VALUES ("&amp;REGLAS!B1068&amp;",'"&amp;REGLAS!C1068&amp;"','"&amp;REGLAS!D1068&amp;"','"&amp;REGLAS!G1068&amp;"',TO_DATE('"&amp;REGLAS!H1068&amp;"','yyyymmdd'),TO_DATE('"&amp;REGLAS!I1068&amp;"','yyyymmdd'),'"&amp;REGLAS!J1068&amp;"');")</f>
        <v>INSERT INTO INYCEXT.INYC_CONF_INF_REGLAS (COD_INFORME,TABLA,NOMBRE,REGLA,F_INICIO,F_FIN,DESCRIPCION) VALUES (105.1,'INYC_PEPI_RESUMEN','SM - Prima Inspector Vida Ahorro Mensual','SM-O-GEN-Inspector-Prima-004-TotalMes',TO_DATE('20140101','yyyymmdd'),TO_DATE('22000101','yyyymmdd'),'');</v>
      </c>
      <c r="B1067" t="str">
        <f>IF(REGLAS!J1068="OBSOLETO","","INSERT INTO INYCEXT.INYC_CONF_INF_REGLAS@tc_link (COD_INFORME,TABLA,NOMBRE,REGLA,F_INICIO,F_FIN,DESCRIPCION) VALUES ("&amp;REGLAS!B1068&amp;",'"&amp;REGLAS!C1068&amp;"','"&amp;REGLAS!D1068&amp;"','"&amp;REGLAS!G1068&amp;"',TO_DATE('"&amp;REGLAS!H1068&amp;"','yyyymmdd'),TO_DATE('"&amp;REGLAS!I1068&amp;"','yyyymmdd'),'"&amp;REGLAS!J1068&amp;"');")</f>
        <v>INSERT INTO INYCEXT.INYC_CONF_INF_REGLAS@tc_link (COD_INFORME,TABLA,NOMBRE,REGLA,F_INICIO,F_FIN,DESCRIPCION) VALUES (105.1,'INYC_PEPI_RESUMEN','SM - Prima Inspector Vida Ahorro Mensual','SM-O-GEN-Inspector-Prima-004-TotalMes',TO_DATE('20140101','yyyymmdd'),TO_DATE('22000101','yyyymmdd'),'');</v>
      </c>
    </row>
    <row r="1068" spans="1:2" x14ac:dyDescent="0.25">
      <c r="A1068" t="str">
        <f>IF(REGLAS!J1069="OBSOLETO","","INSERT INTO INYCEXT.INYC_CONF_INF_REGLAS (COD_INFORME,TABLA,NOMBRE,REGLA,F_INICIO,F_FIN,DESCRIPCION) VALUES ("&amp;REGLAS!B1069&amp;",'"&amp;REGLAS!C1069&amp;"','"&amp;REGLAS!D1069&amp;"','"&amp;REGLAS!G1069&amp;"',TO_DATE('"&amp;REGLAS!H1069&amp;"','yyyymmdd'),TO_DATE('"&amp;REGLAS!I1069&amp;"','yyyymmdd'),'"&amp;REGLAS!J1069&amp;"');")</f>
        <v>INSERT INTO INYCEXT.INYC_CONF_INF_REGLAS (COD_INFORME,TABLA,NOMBRE,REGLA,F_INICIO,F_FIN,DESCRIPCION) VALUES (105.1,'INYC_PEPI_RESUMEN','SM - Prima Inspector Accidentes Mensual','SM-O-GEN-Inspector-Prima-005-TotalMes',TO_DATE('20140101','yyyymmdd'),TO_DATE('22000101','yyyymmdd'),'');</v>
      </c>
      <c r="B1068" t="str">
        <f>IF(REGLAS!J1069="OBSOLETO","","INSERT INTO INYCEXT.INYC_CONF_INF_REGLAS@tc_link (COD_INFORME,TABLA,NOMBRE,REGLA,F_INICIO,F_FIN,DESCRIPCION) VALUES ("&amp;REGLAS!B1069&amp;",'"&amp;REGLAS!C1069&amp;"','"&amp;REGLAS!D1069&amp;"','"&amp;REGLAS!G1069&amp;"',TO_DATE('"&amp;REGLAS!H1069&amp;"','yyyymmdd'),TO_DATE('"&amp;REGLAS!I1069&amp;"','yyyymmdd'),'"&amp;REGLAS!J1069&amp;"');")</f>
        <v>INSERT INTO INYCEXT.INYC_CONF_INF_REGLAS@tc_link (COD_INFORME,TABLA,NOMBRE,REGLA,F_INICIO,F_FIN,DESCRIPCION) VALUES (105.1,'INYC_PEPI_RESUMEN','SM - Prima Inspector Accidentes Mensual','SM-O-GEN-Inspector-Prima-005-TotalMes',TO_DATE('20140101','yyyymmdd'),TO_DATE('22000101','yyyymmdd'),'');</v>
      </c>
    </row>
    <row r="1069" spans="1:2" x14ac:dyDescent="0.25">
      <c r="A1069" t="str">
        <f>IF(REGLAS!J1070="OBSOLETO","","INSERT INTO INYCEXT.INYC_CONF_INF_REGLAS (COD_INFORME,TABLA,NOMBRE,REGLA,F_INICIO,F_FIN,DESCRIPCION) VALUES ("&amp;REGLAS!B1070&amp;",'"&amp;REGLAS!C1070&amp;"','"&amp;REGLAS!D1070&amp;"','"&amp;REGLAS!G1070&amp;"',TO_DATE('"&amp;REGLAS!H1070&amp;"','yyyymmdd'),TO_DATE('"&amp;REGLAS!I1070&amp;"','yyyymmdd'),'"&amp;REGLAS!J1070&amp;"');")</f>
        <v>INSERT INTO INYCEXT.INYC_CONF_INF_REGLAS (COD_INFORME,TABLA,NOMBRE,REGLA,F_INICIO,F_FIN,DESCRIPCION) VALUES (105.1,'INYC_PEPI_RESUMEN','SM - Prima Inspector Resto Productos Mensual','SM-O-GEN-Inspector-Prima-006-TotalMes',TO_DATE('20140101','yyyymmdd'),TO_DATE('22000101','yyyymmdd'),'');</v>
      </c>
      <c r="B1069" t="str">
        <f>IF(REGLAS!J1070="OBSOLETO","","INSERT INTO INYCEXT.INYC_CONF_INF_REGLAS@tc_link (COD_INFORME,TABLA,NOMBRE,REGLA,F_INICIO,F_FIN,DESCRIPCION) VALUES ("&amp;REGLAS!B1070&amp;",'"&amp;REGLAS!C1070&amp;"','"&amp;REGLAS!D1070&amp;"','"&amp;REGLAS!G1070&amp;"',TO_DATE('"&amp;REGLAS!H1070&amp;"','yyyymmdd'),TO_DATE('"&amp;REGLAS!I1070&amp;"','yyyymmdd'),'"&amp;REGLAS!J1070&amp;"');")</f>
        <v>INSERT INTO INYCEXT.INYC_CONF_INF_REGLAS@tc_link (COD_INFORME,TABLA,NOMBRE,REGLA,F_INICIO,F_FIN,DESCRIPCION) VALUES (105.1,'INYC_PEPI_RESUMEN','SM - Prima Inspector Resto Productos Mensual','SM-O-GEN-Inspector-Prima-006-TotalMes',TO_DATE('20140101','yyyymmdd'),TO_DATE('22000101','yyyymmdd'),'');</v>
      </c>
    </row>
    <row r="1070" spans="1:2" x14ac:dyDescent="0.25">
      <c r="A1070" t="str">
        <f>IF(REGLAS!J1071="OBSOLETO","","INSERT INTO INYCEXT.INYC_CONF_INF_REGLAS (COD_INFORME,TABLA,NOMBRE,REGLA,F_INICIO,F_FIN,DESCRIPCION) VALUES ("&amp;REGLAS!B1071&amp;",'"&amp;REGLAS!C1071&amp;"','"&amp;REGLAS!D1071&amp;"','"&amp;REGLAS!G1071&amp;"',TO_DATE('"&amp;REGLAS!H1071&amp;"','yyyymmdd'),TO_DATE('"&amp;REGLAS!I1071&amp;"','yyyymmdd'),'"&amp;REGLAS!J1071&amp;"');")</f>
        <v>INSERT INTO INYCEXT.INYC_CONF_INF_REGLAS (COD_INFORME,TABLA,NOMBRE,REGLA,F_INICIO,F_FIN,DESCRIPCION) VALUES (105.1,'INYC_PEPI_RESUMEN','SM - Prima Inspector OCASO Oro Mensual','SM-O-GEN-Inspector-Prima-007-TotalMes',TO_DATE('20140101','yyyymmdd'),TO_DATE('22000101','yyyymmdd'),'');</v>
      </c>
      <c r="B1070" t="str">
        <f>IF(REGLAS!J1071="OBSOLETO","","INSERT INTO INYCEXT.INYC_CONF_INF_REGLAS@tc_link (COD_INFORME,TABLA,NOMBRE,REGLA,F_INICIO,F_FIN,DESCRIPCION) VALUES ("&amp;REGLAS!B1071&amp;",'"&amp;REGLAS!C1071&amp;"','"&amp;REGLAS!D1071&amp;"','"&amp;REGLAS!G1071&amp;"',TO_DATE('"&amp;REGLAS!H1071&amp;"','yyyymmdd'),TO_DATE('"&amp;REGLAS!I1071&amp;"','yyyymmdd'),'"&amp;REGLAS!J1071&amp;"');")</f>
        <v>INSERT INTO INYCEXT.INYC_CONF_INF_REGLAS@tc_link (COD_INFORME,TABLA,NOMBRE,REGLA,F_INICIO,F_FIN,DESCRIPCION) VALUES (105.1,'INYC_PEPI_RESUMEN','SM - Prima Inspector OCASO Oro Mensual','SM-O-GEN-Inspector-Prima-007-TotalMes',TO_DATE('20140101','yyyymmdd'),TO_DATE('22000101','yyyymmdd'),'');</v>
      </c>
    </row>
    <row r="1071" spans="1:2" x14ac:dyDescent="0.25">
      <c r="A1071" t="str">
        <f>IF(REGLAS!J1072="OBSOLETO","","INSERT INTO INYCEXT.INYC_CONF_INF_REGLAS (COD_INFORME,TABLA,NOMBRE,REGLA,F_INICIO,F_FIN,DESCRIPCION) VALUES ("&amp;REGLAS!B1072&amp;",'"&amp;REGLAS!C1072&amp;"','"&amp;REGLAS!D1072&amp;"','"&amp;REGLAS!G1072&amp;"',TO_DATE('"&amp;REGLAS!H1072&amp;"','yyyymmdd'),TO_DATE('"&amp;REGLAS!I1072&amp;"','yyyymmdd'),'"&amp;REGLAS!J1072&amp;"');")</f>
        <v>INSERT INTO INYCEXT.INYC_CONF_INF_REGLAS (COD_INFORME,TABLA,NOMBRE,REGLA,F_INICIO,F_FIN,DESCRIPCION) VALUES (105.1,'INYC_PEPI_RESUMEN','SM - Prima Inspector Comunidades Mensual','SM-O-GEN-Inspector-Prima-008-TotalMes',TO_DATE('20140101','yyyymmdd'),TO_DATE('22000101','yyyymmdd'),'');</v>
      </c>
      <c r="B1071" t="str">
        <f>IF(REGLAS!J1072="OBSOLETO","","INSERT INTO INYCEXT.INYC_CONF_INF_REGLAS@tc_link (COD_INFORME,TABLA,NOMBRE,REGLA,F_INICIO,F_FIN,DESCRIPCION) VALUES ("&amp;REGLAS!B1072&amp;",'"&amp;REGLAS!C1072&amp;"','"&amp;REGLAS!D1072&amp;"','"&amp;REGLAS!G1072&amp;"',TO_DATE('"&amp;REGLAS!H1072&amp;"','yyyymmdd'),TO_DATE('"&amp;REGLAS!I1072&amp;"','yyyymmdd'),'"&amp;REGLAS!J1072&amp;"');")</f>
        <v>INSERT INTO INYCEXT.INYC_CONF_INF_REGLAS@tc_link (COD_INFORME,TABLA,NOMBRE,REGLA,F_INICIO,F_FIN,DESCRIPCION) VALUES (105.1,'INYC_PEPI_RESUMEN','SM - Prima Inspector Comunidades Mensual','SM-O-GEN-Inspector-Prima-008-TotalMes',TO_DATE('20140101','yyyymmdd'),TO_DATE('22000101','yyyymmdd'),'');</v>
      </c>
    </row>
    <row r="1072" spans="1:2" x14ac:dyDescent="0.25">
      <c r="A1072" t="str">
        <f>IF(REGLAS!J1073="OBSOLETO","","INSERT INTO INYCEXT.INYC_CONF_INF_REGLAS (COD_INFORME,TABLA,NOMBRE,REGLA,F_INICIO,F_FIN,DESCRIPCION) VALUES ("&amp;REGLAS!B1073&amp;",'"&amp;REGLAS!C1073&amp;"','"&amp;REGLAS!D1073&amp;"','"&amp;REGLAS!G1073&amp;"',TO_DATE('"&amp;REGLAS!H1073&amp;"','yyyymmdd'),TO_DATE('"&amp;REGLAS!I1073&amp;"','yyyymmdd'),'"&amp;REGLAS!J1073&amp;"');")</f>
        <v>INSERT INTO INYCEXT.INYC_CONF_INF_REGLAS (COD_INFORME,TABLA,NOMBRE,REGLA,F_INICIO,F_FIN,DESCRIPCION) VALUES (105.1,'INYC_PEPI_RESUMEN','SM - Prima Inspector Pyme Express Mensual','SM-O-GEN-Inspector-Prima-009-TotalMes',TO_DATE('20140101','yyyymmdd'),TO_DATE('22000101','yyyymmdd'),'');</v>
      </c>
      <c r="B1072" t="str">
        <f>IF(REGLAS!J1073="OBSOLETO","","INSERT INTO INYCEXT.INYC_CONF_INF_REGLAS@tc_link (COD_INFORME,TABLA,NOMBRE,REGLA,F_INICIO,F_FIN,DESCRIPCION) VALUES ("&amp;REGLAS!B1073&amp;",'"&amp;REGLAS!C1073&amp;"','"&amp;REGLAS!D1073&amp;"','"&amp;REGLAS!G1073&amp;"',TO_DATE('"&amp;REGLAS!H1073&amp;"','yyyymmdd'),TO_DATE('"&amp;REGLAS!I1073&amp;"','yyyymmdd'),'"&amp;REGLAS!J1073&amp;"');")</f>
        <v>INSERT INTO INYCEXT.INYC_CONF_INF_REGLAS@tc_link (COD_INFORME,TABLA,NOMBRE,REGLA,F_INICIO,F_FIN,DESCRIPCION) VALUES (105.1,'INYC_PEPI_RESUMEN','SM - Prima Inspector Pyme Express Mensual','SM-O-GEN-Inspector-Prima-009-TotalMes',TO_DATE('20140101','yyyymmdd'),TO_DATE('22000101','yyyymmdd'),'');</v>
      </c>
    </row>
    <row r="1073" spans="1:2" x14ac:dyDescent="0.25">
      <c r="A1073" t="str">
        <f>IF(REGLAS!J1074="OBSOLETO","","INSERT INTO INYCEXT.INYC_CONF_INF_REGLAS (COD_INFORME,TABLA,NOMBRE,REGLA,F_INICIO,F_FIN,DESCRIPCION) VALUES ("&amp;REGLAS!B1074&amp;",'"&amp;REGLAS!C1074&amp;"','"&amp;REGLAS!D1074&amp;"','"&amp;REGLAS!G1074&amp;"',TO_DATE('"&amp;REGLAS!H1074&amp;"','yyyymmdd'),TO_DATE('"&amp;REGLAS!I1074&amp;"','yyyymmdd'),'"&amp;REGLAS!J1074&amp;"');")</f>
        <v>INSERT INTO INYCEXT.INYC_CONF_INF_REGLAS (COD_INFORME,TABLA,NOMBRE,REGLA,F_INICIO,F_FIN,DESCRIPCION) VALUES (105.1,'INYC_PEPI_RESUMEN','SM - Prima Inspector RRPP (excl PU y conv/colec) Mensual','SM-O-GEN-Inspector-Prima-906-TotalMes',TO_DATE('20140101','yyyymmdd'),TO_DATE('22000101','yyyymmdd'),'');</v>
      </c>
      <c r="B1073" t="str">
        <f>IF(REGLAS!J1074="OBSOLETO","","INSERT INTO INYCEXT.INYC_CONF_INF_REGLAS@tc_link (COD_INFORME,TABLA,NOMBRE,REGLA,F_INICIO,F_FIN,DESCRIPCION) VALUES ("&amp;REGLAS!B1074&amp;",'"&amp;REGLAS!C1074&amp;"','"&amp;REGLAS!D1074&amp;"','"&amp;REGLAS!G1074&amp;"',TO_DATE('"&amp;REGLAS!H1074&amp;"','yyyymmdd'),TO_DATE('"&amp;REGLAS!I1074&amp;"','yyyymmdd'),'"&amp;REGLAS!J1074&amp;"');")</f>
        <v>INSERT INTO INYCEXT.INYC_CONF_INF_REGLAS@tc_link (COD_INFORME,TABLA,NOMBRE,REGLA,F_INICIO,F_FIN,DESCRIPCION) VALUES (105.1,'INYC_PEPI_RESUMEN','SM - Prima Inspector RRPP (excl PU y conv/colec) Mensual','SM-O-GEN-Inspector-Prima-906-TotalMes',TO_DATE('20140101','yyyymmdd'),TO_DATE('22000101','yyyymmdd'),'');</v>
      </c>
    </row>
    <row r="1074" spans="1:2" x14ac:dyDescent="0.25">
      <c r="A1074" t="str">
        <f>IF(REGLAS!J1075="OBSOLETO","","INSERT INTO INYCEXT.INYC_CONF_INF_REGLAS (COD_INFORME,TABLA,NOMBRE,REGLA,F_INICIO,F_FIN,DESCRIPCION) VALUES ("&amp;REGLAS!B1075&amp;",'"&amp;REGLAS!C1075&amp;"','"&amp;REGLAS!D1075&amp;"','"&amp;REGLAS!G1075&amp;"',TO_DATE('"&amp;REGLAS!H1075&amp;"','yyyymmdd'),TO_DATE('"&amp;REGLAS!I1075&amp;"','yyyymmdd'),'"&amp;REGLAS!J1075&amp;"');")</f>
        <v>INSERT INTO INYCEXT.INYC_CONF_INF_REGLAS (COD_INFORME,TABLA,NOMBRE,REGLA,F_INICIO,F_FIN,DESCRIPCION) VALUES (105.1,'INYC_PEPI_RESUMEN','SM - Prima Inspector Prod. Prioritarios Mensual','SM-O-GEN-Inspector-Prima-997-TotalMes',TO_DATE('20140101','yyyymmdd'),TO_DATE('22000101','yyyymmdd'),'');</v>
      </c>
      <c r="B1074" t="str">
        <f>IF(REGLAS!J1075="OBSOLETO","","INSERT INTO INYCEXT.INYC_CONF_INF_REGLAS@tc_link (COD_INFORME,TABLA,NOMBRE,REGLA,F_INICIO,F_FIN,DESCRIPCION) VALUES ("&amp;REGLAS!B1075&amp;",'"&amp;REGLAS!C1075&amp;"','"&amp;REGLAS!D1075&amp;"','"&amp;REGLAS!G1075&amp;"',TO_DATE('"&amp;REGLAS!H1075&amp;"','yyyymmdd'),TO_DATE('"&amp;REGLAS!I1075&amp;"','yyyymmdd'),'"&amp;REGLAS!J1075&amp;"');")</f>
        <v>INSERT INTO INYCEXT.INYC_CONF_INF_REGLAS@tc_link (COD_INFORME,TABLA,NOMBRE,REGLA,F_INICIO,F_FIN,DESCRIPCION) VALUES (105.1,'INYC_PEPI_RESUMEN','SM - Prima Inspector Prod. Prioritarios Mensual','SM-O-GEN-Inspector-Prima-997-TotalMes',TO_DATE('20140101','yyyymmdd'),TO_DATE('22000101','yyyymmdd'),'');</v>
      </c>
    </row>
    <row r="1075" spans="1:2" x14ac:dyDescent="0.25">
      <c r="A1075" t="str">
        <f>IF(REGLAS!J1076="OBSOLETO","","INSERT INTO INYCEXT.INYC_CONF_INF_REGLAS (COD_INFORME,TABLA,NOMBRE,REGLA,F_INICIO,F_FIN,DESCRIPCION) VALUES ("&amp;REGLAS!B1076&amp;",'"&amp;REGLAS!C1076&amp;"','"&amp;REGLAS!D1076&amp;"','"&amp;REGLAS!G1076&amp;"',TO_DATE('"&amp;REGLAS!H1076&amp;"','yyyymmdd'),TO_DATE('"&amp;REGLAS!I1076&amp;"','yyyymmdd'),'"&amp;REGLAS!J1076&amp;"');")</f>
        <v>INSERT INTO INYCEXT.INYC_CONF_INF_REGLAS (COD_INFORME,TABLA,NOMBRE,REGLA,F_INICIO,F_FIN,DESCRIPCION) VALUES (105.1,'INYC_PEPI_RESUMEN','SM - Prima Inspector Total Productos Mensual','SM-O-GEN-Inspector-Prima-998-TotalMes',TO_DATE('20140101','yyyymmdd'),TO_DATE('22000101','yyyymmdd'),'');</v>
      </c>
      <c r="B1075" t="str">
        <f>IF(REGLAS!J1076="OBSOLETO","","INSERT INTO INYCEXT.INYC_CONF_INF_REGLAS@tc_link (COD_INFORME,TABLA,NOMBRE,REGLA,F_INICIO,F_FIN,DESCRIPCION) VALUES ("&amp;REGLAS!B1076&amp;",'"&amp;REGLAS!C1076&amp;"','"&amp;REGLAS!D1076&amp;"','"&amp;REGLAS!G1076&amp;"',TO_DATE('"&amp;REGLAS!H1076&amp;"','yyyymmdd'),TO_DATE('"&amp;REGLAS!I1076&amp;"','yyyymmdd'),'"&amp;REGLAS!J1076&amp;"');")</f>
        <v>INSERT INTO INYCEXT.INYC_CONF_INF_REGLAS@tc_link (COD_INFORME,TABLA,NOMBRE,REGLA,F_INICIO,F_FIN,DESCRIPCION) VALUES (105.1,'INYC_PEPI_RESUMEN','SM - Prima Inspector Total Productos Mensual','SM-O-GEN-Inspector-Prima-998-TotalMes',TO_DATE('20140101','yyyymmdd'),TO_DATE('22000101','yyyymmdd'),'');</v>
      </c>
    </row>
    <row r="1076" spans="1:2" x14ac:dyDescent="0.25">
      <c r="A1076" t="str">
        <f>IF(REGLAS!J1077="OBSOLETO","","INSERT INTO INYCEXT.INYC_CONF_INF_REGLAS (COD_INFORME,TABLA,NOMBRE,REGLA,F_INICIO,F_FIN,DESCRIPCION) VALUES ("&amp;REGLAS!B1077&amp;",'"&amp;REGLAS!C1077&amp;"','"&amp;REGLAS!D1077&amp;"','"&amp;REGLAS!G1077&amp;"',TO_DATE('"&amp;REGLAS!H1077&amp;"','yyyymmdd'),TO_DATE('"&amp;REGLAS!I1077&amp;"','yyyymmdd'),'"&amp;REGLAS!J1077&amp;"');")</f>
        <v>INSERT INTO INYCEXT.INYC_CONF_INF_REGLAS (COD_INFORME,TABLA,NOMBRE,REGLA,F_INICIO,F_FIN,DESCRIPCION) VALUES (105.1,'INYC_PEPI_RESUMEN','SM - Prima Inspector RRTT Mensual','SM-O-GEN-Inspector-PrimaCorregida-001-TotalMes',TO_DATE('20140101','yyyymmdd'),TO_DATE('22000101','yyyymmdd'),'');</v>
      </c>
      <c r="B1076" t="str">
        <f>IF(REGLAS!J1077="OBSOLETO","","INSERT INTO INYCEXT.INYC_CONF_INF_REGLAS@tc_link (COD_INFORME,TABLA,NOMBRE,REGLA,F_INICIO,F_FIN,DESCRIPCION) VALUES ("&amp;REGLAS!B1077&amp;",'"&amp;REGLAS!C1077&amp;"','"&amp;REGLAS!D1077&amp;"','"&amp;REGLAS!G1077&amp;"',TO_DATE('"&amp;REGLAS!H1077&amp;"','yyyymmdd'),TO_DATE('"&amp;REGLAS!I1077&amp;"','yyyymmdd'),'"&amp;REGLAS!J1077&amp;"');")</f>
        <v>INSERT INTO INYCEXT.INYC_CONF_INF_REGLAS@tc_link (COD_INFORME,TABLA,NOMBRE,REGLA,F_INICIO,F_FIN,DESCRIPCION) VALUES (105.1,'INYC_PEPI_RESUMEN','SM - Prima Inspector RRTT Mensual','SM-O-GEN-Inspector-PrimaCorregida-001-TotalMes',TO_DATE('20140101','yyyymmdd'),TO_DATE('22000101','yyyymmdd'),'');</v>
      </c>
    </row>
    <row r="1077" spans="1:2" x14ac:dyDescent="0.25">
      <c r="A1077" t="str">
        <f>IF(REGLAS!J1078="OBSOLETO","","INSERT INTO INYCEXT.INYC_CONF_INF_REGLAS (COD_INFORME,TABLA,NOMBRE,REGLA,F_INICIO,F_FIN,DESCRIPCION) VALUES ("&amp;REGLAS!B1078&amp;",'"&amp;REGLAS!C1078&amp;"','"&amp;REGLAS!D1078&amp;"','"&amp;REGLAS!G1078&amp;"',TO_DATE('"&amp;REGLAS!H1078&amp;"','yyyymmdd'),TO_DATE('"&amp;REGLAS!I1078&amp;"','yyyymmdd'),'"&amp;REGLAS!J1078&amp;"');")</f>
        <v>INSERT INTO INYCEXT.INYC_CONF_INF_REGLAS (COD_INFORME,TABLA,NOMBRE,REGLA,F_INICIO,F_FIN,DESCRIPCION) VALUES (105.1,'INYC_PEPI_RESUMEN','SM - Prima Corregida Inspector Hogar Mensual','SM-O-GEN-Inspector-PrimaCorregida-002-TotalMes',TO_DATE('20140101','yyyymmdd'),TO_DATE('22000101','yyyymmdd'),'');</v>
      </c>
      <c r="B1077" t="str">
        <f>IF(REGLAS!J1078="OBSOLETO","","INSERT INTO INYCEXT.INYC_CONF_INF_REGLAS@tc_link (COD_INFORME,TABLA,NOMBRE,REGLA,F_INICIO,F_FIN,DESCRIPCION) VALUES ("&amp;REGLAS!B1078&amp;",'"&amp;REGLAS!C1078&amp;"','"&amp;REGLAS!D1078&amp;"','"&amp;REGLAS!G1078&amp;"',TO_DATE('"&amp;REGLAS!H1078&amp;"','yyyymmdd'),TO_DATE('"&amp;REGLAS!I1078&amp;"','yyyymmdd'),'"&amp;REGLAS!J1078&amp;"');")</f>
        <v>INSERT INTO INYCEXT.INYC_CONF_INF_REGLAS@tc_link (COD_INFORME,TABLA,NOMBRE,REGLA,F_INICIO,F_FIN,DESCRIPCION) VALUES (105.1,'INYC_PEPI_RESUMEN','SM - Prima Corregida Inspector Hogar Mensual','SM-O-GEN-Inspector-PrimaCorregida-002-TotalMes',TO_DATE('20140101','yyyymmdd'),TO_DATE('22000101','yyyymmdd'),'');</v>
      </c>
    </row>
    <row r="1078" spans="1:2" x14ac:dyDescent="0.25">
      <c r="A1078" t="str">
        <f>IF(REGLAS!J1079="OBSOLETO","","INSERT INTO INYCEXT.INYC_CONF_INF_REGLAS (COD_INFORME,TABLA,NOMBRE,REGLA,F_INICIO,F_FIN,DESCRIPCION) VALUES ("&amp;REGLAS!B1079&amp;",'"&amp;REGLAS!C1079&amp;"','"&amp;REGLAS!D1079&amp;"','"&amp;REGLAS!G1079&amp;"',TO_DATE('"&amp;REGLAS!H1079&amp;"','yyyymmdd'),TO_DATE('"&amp;REGLAS!I1079&amp;"','yyyymmdd'),'"&amp;REGLAS!J1079&amp;"');")</f>
        <v>INSERT INTO INYCEXT.INYC_CONF_INF_REGLAS (COD_INFORME,TABLA,NOMBRE,REGLA,F_INICIO,F_FIN,DESCRIPCION) VALUES (105.1,'INYC_PEPI_RESUMEN','SM - Prima Corregida Inspector Vida Riesgo Mensual','SM-O-GEN-Inspector-PrimaCorregida-003-TotalMes',TO_DATE('20140101','yyyymmdd'),TO_DATE('22000101','yyyymmdd'),'');</v>
      </c>
      <c r="B1078" t="str">
        <f>IF(REGLAS!J1079="OBSOLETO","","INSERT INTO INYCEXT.INYC_CONF_INF_REGLAS@tc_link (COD_INFORME,TABLA,NOMBRE,REGLA,F_INICIO,F_FIN,DESCRIPCION) VALUES ("&amp;REGLAS!B1079&amp;",'"&amp;REGLAS!C1079&amp;"','"&amp;REGLAS!D1079&amp;"','"&amp;REGLAS!G1079&amp;"',TO_DATE('"&amp;REGLAS!H1079&amp;"','yyyymmdd'),TO_DATE('"&amp;REGLAS!I1079&amp;"','yyyymmdd'),'"&amp;REGLAS!J1079&amp;"');")</f>
        <v>INSERT INTO INYCEXT.INYC_CONF_INF_REGLAS@tc_link (COD_INFORME,TABLA,NOMBRE,REGLA,F_INICIO,F_FIN,DESCRIPCION) VALUES (105.1,'INYC_PEPI_RESUMEN','SM - Prima Corregida Inspector Vida Riesgo Mensual','SM-O-GEN-Inspector-PrimaCorregida-003-TotalMes',TO_DATE('20140101','yyyymmdd'),TO_DATE('22000101','yyyymmdd'),'');</v>
      </c>
    </row>
    <row r="1079" spans="1:2" x14ac:dyDescent="0.25">
      <c r="A1079" t="str">
        <f>IF(REGLAS!J1080="OBSOLETO","","INSERT INTO INYCEXT.INYC_CONF_INF_REGLAS (COD_INFORME,TABLA,NOMBRE,REGLA,F_INICIO,F_FIN,DESCRIPCION) VALUES ("&amp;REGLAS!B1080&amp;",'"&amp;REGLAS!C1080&amp;"','"&amp;REGLAS!D1080&amp;"','"&amp;REGLAS!G1080&amp;"',TO_DATE('"&amp;REGLAS!H1080&amp;"','yyyymmdd'),TO_DATE('"&amp;REGLAS!I1080&amp;"','yyyymmdd'),'"&amp;REGLAS!J1080&amp;"');")</f>
        <v>INSERT INTO INYCEXT.INYC_CONF_INF_REGLAS (COD_INFORME,TABLA,NOMBRE,REGLA,F_INICIO,F_FIN,DESCRIPCION) VALUES (105.1,'INYC_PEPI_RESUMEN','SM - Prima Corregida Inspector Vida Ahorro Mensual','SM-O-GEN-Inspector-PrimaCorregida-004-TotalMes',TO_DATE('20140101','yyyymmdd'),TO_DATE('22000101','yyyymmdd'),'');</v>
      </c>
      <c r="B1079" t="str">
        <f>IF(REGLAS!J1080="OBSOLETO","","INSERT INTO INYCEXT.INYC_CONF_INF_REGLAS@tc_link (COD_INFORME,TABLA,NOMBRE,REGLA,F_INICIO,F_FIN,DESCRIPCION) VALUES ("&amp;REGLAS!B1080&amp;",'"&amp;REGLAS!C1080&amp;"','"&amp;REGLAS!D1080&amp;"','"&amp;REGLAS!G1080&amp;"',TO_DATE('"&amp;REGLAS!H1080&amp;"','yyyymmdd'),TO_DATE('"&amp;REGLAS!I1080&amp;"','yyyymmdd'),'"&amp;REGLAS!J1080&amp;"');")</f>
        <v>INSERT INTO INYCEXT.INYC_CONF_INF_REGLAS@tc_link (COD_INFORME,TABLA,NOMBRE,REGLA,F_INICIO,F_FIN,DESCRIPCION) VALUES (105.1,'INYC_PEPI_RESUMEN','SM - Prima Corregida Inspector Vida Ahorro Mensual','SM-O-GEN-Inspector-PrimaCorregida-004-TotalMes',TO_DATE('20140101','yyyymmdd'),TO_DATE('22000101','yyyymmdd'),'');</v>
      </c>
    </row>
    <row r="1080" spans="1:2" x14ac:dyDescent="0.25">
      <c r="A1080" t="str">
        <f>IF(REGLAS!J1081="OBSOLETO","","INSERT INTO INYCEXT.INYC_CONF_INF_REGLAS (COD_INFORME,TABLA,NOMBRE,REGLA,F_INICIO,F_FIN,DESCRIPCION) VALUES ("&amp;REGLAS!B1081&amp;",'"&amp;REGLAS!C1081&amp;"','"&amp;REGLAS!D1081&amp;"','"&amp;REGLAS!G1081&amp;"',TO_DATE('"&amp;REGLAS!H1081&amp;"','yyyymmdd'),TO_DATE('"&amp;REGLAS!I1081&amp;"','yyyymmdd'),'"&amp;REGLAS!J1081&amp;"');")</f>
        <v>INSERT INTO INYCEXT.INYC_CONF_INF_REGLAS (COD_INFORME,TABLA,NOMBRE,REGLA,F_INICIO,F_FIN,DESCRIPCION) VALUES (105.1,'INYC_PEPI_RESUMEN','SM - Prima Corregida Inspector Accidentes Mensual','SM-O-GEN-Inspector-PrimaCorregida-005-TotalMes',TO_DATE('20140101','yyyymmdd'),TO_DATE('22000101','yyyymmdd'),'');</v>
      </c>
      <c r="B1080" t="str">
        <f>IF(REGLAS!J1081="OBSOLETO","","INSERT INTO INYCEXT.INYC_CONF_INF_REGLAS@tc_link (COD_INFORME,TABLA,NOMBRE,REGLA,F_INICIO,F_FIN,DESCRIPCION) VALUES ("&amp;REGLAS!B1081&amp;",'"&amp;REGLAS!C1081&amp;"','"&amp;REGLAS!D1081&amp;"','"&amp;REGLAS!G1081&amp;"',TO_DATE('"&amp;REGLAS!H1081&amp;"','yyyymmdd'),TO_DATE('"&amp;REGLAS!I1081&amp;"','yyyymmdd'),'"&amp;REGLAS!J1081&amp;"');")</f>
        <v>INSERT INTO INYCEXT.INYC_CONF_INF_REGLAS@tc_link (COD_INFORME,TABLA,NOMBRE,REGLA,F_INICIO,F_FIN,DESCRIPCION) VALUES (105.1,'INYC_PEPI_RESUMEN','SM - Prima Corregida Inspector Accidentes Mensual','SM-O-GEN-Inspector-PrimaCorregida-005-TotalMes',TO_DATE('20140101','yyyymmdd'),TO_DATE('22000101','yyyymmdd'),'');</v>
      </c>
    </row>
    <row r="1081" spans="1:2" x14ac:dyDescent="0.25">
      <c r="A1081" t="str">
        <f>IF(REGLAS!J1082="OBSOLETO","","INSERT INTO INYCEXT.INYC_CONF_INF_REGLAS (COD_INFORME,TABLA,NOMBRE,REGLA,F_INICIO,F_FIN,DESCRIPCION) VALUES ("&amp;REGLAS!B1082&amp;",'"&amp;REGLAS!C1082&amp;"','"&amp;REGLAS!D1082&amp;"','"&amp;REGLAS!G1082&amp;"',TO_DATE('"&amp;REGLAS!H1082&amp;"','yyyymmdd'),TO_DATE('"&amp;REGLAS!I1082&amp;"','yyyymmdd'),'"&amp;REGLAS!J1082&amp;"');")</f>
        <v>INSERT INTO INYCEXT.INYC_CONF_INF_REGLAS (COD_INFORME,TABLA,NOMBRE,REGLA,F_INICIO,F_FIN,DESCRIPCION) VALUES (105.1,'INYC_PEPI_RESUMEN','SM - Prima Corregida Inspector Resto Productos Mensual','SM-O-GEN-Inspector-PrimaCorregida-006-TotalMes',TO_DATE('20140101','yyyymmdd'),TO_DATE('22000101','yyyymmdd'),'');</v>
      </c>
      <c r="B1081" t="str">
        <f>IF(REGLAS!J1082="OBSOLETO","","INSERT INTO INYCEXT.INYC_CONF_INF_REGLAS@tc_link (COD_INFORME,TABLA,NOMBRE,REGLA,F_INICIO,F_FIN,DESCRIPCION) VALUES ("&amp;REGLAS!B1082&amp;",'"&amp;REGLAS!C1082&amp;"','"&amp;REGLAS!D1082&amp;"','"&amp;REGLAS!G1082&amp;"',TO_DATE('"&amp;REGLAS!H1082&amp;"','yyyymmdd'),TO_DATE('"&amp;REGLAS!I1082&amp;"','yyyymmdd'),'"&amp;REGLAS!J1082&amp;"');")</f>
        <v>INSERT INTO INYCEXT.INYC_CONF_INF_REGLAS@tc_link (COD_INFORME,TABLA,NOMBRE,REGLA,F_INICIO,F_FIN,DESCRIPCION) VALUES (105.1,'INYC_PEPI_RESUMEN','SM - Prima Corregida Inspector Resto Productos Mensual','SM-O-GEN-Inspector-PrimaCorregida-006-TotalMes',TO_DATE('20140101','yyyymmdd'),TO_DATE('22000101','yyyymmdd'),'');</v>
      </c>
    </row>
    <row r="1082" spans="1:2" x14ac:dyDescent="0.25">
      <c r="A1082" t="str">
        <f>IF(REGLAS!J1083="OBSOLETO","","INSERT INTO INYCEXT.INYC_CONF_INF_REGLAS (COD_INFORME,TABLA,NOMBRE,REGLA,F_INICIO,F_FIN,DESCRIPCION) VALUES ("&amp;REGLAS!B1083&amp;",'"&amp;REGLAS!C1083&amp;"','"&amp;REGLAS!D1083&amp;"','"&amp;REGLAS!G1083&amp;"',TO_DATE('"&amp;REGLAS!H1083&amp;"','yyyymmdd'),TO_DATE('"&amp;REGLAS!I1083&amp;"','yyyymmdd'),'"&amp;REGLAS!J1083&amp;"');")</f>
        <v>INSERT INTO INYCEXT.INYC_CONF_INF_REGLAS (COD_INFORME,TABLA,NOMBRE,REGLA,F_INICIO,F_FIN,DESCRIPCION) VALUES (105.1,'INYC_PEPI_RESUMEN','SM - Prima Corregida Inspector OCASO Oro Mensual','SM-O-GEN-Inspector-PrimaCorregida-007-TotalMes',TO_DATE('20140101','yyyymmdd'),TO_DATE('22000101','yyyymmdd'),'');</v>
      </c>
      <c r="B1082" t="str">
        <f>IF(REGLAS!J1083="OBSOLETO","","INSERT INTO INYCEXT.INYC_CONF_INF_REGLAS@tc_link (COD_INFORME,TABLA,NOMBRE,REGLA,F_INICIO,F_FIN,DESCRIPCION) VALUES ("&amp;REGLAS!B1083&amp;",'"&amp;REGLAS!C1083&amp;"','"&amp;REGLAS!D1083&amp;"','"&amp;REGLAS!G1083&amp;"',TO_DATE('"&amp;REGLAS!H1083&amp;"','yyyymmdd'),TO_DATE('"&amp;REGLAS!I1083&amp;"','yyyymmdd'),'"&amp;REGLAS!J1083&amp;"');")</f>
        <v>INSERT INTO INYCEXT.INYC_CONF_INF_REGLAS@tc_link (COD_INFORME,TABLA,NOMBRE,REGLA,F_INICIO,F_FIN,DESCRIPCION) VALUES (105.1,'INYC_PEPI_RESUMEN','SM - Prima Corregida Inspector OCASO Oro Mensual','SM-O-GEN-Inspector-PrimaCorregida-007-TotalMes',TO_DATE('20140101','yyyymmdd'),TO_DATE('22000101','yyyymmdd'),'');</v>
      </c>
    </row>
    <row r="1083" spans="1:2" x14ac:dyDescent="0.25">
      <c r="A1083" t="str">
        <f>IF(REGLAS!J1084="OBSOLETO","","INSERT INTO INYCEXT.INYC_CONF_INF_REGLAS (COD_INFORME,TABLA,NOMBRE,REGLA,F_INICIO,F_FIN,DESCRIPCION) VALUES ("&amp;REGLAS!B1084&amp;",'"&amp;REGLAS!C1084&amp;"','"&amp;REGLAS!D1084&amp;"','"&amp;REGLAS!G1084&amp;"',TO_DATE('"&amp;REGLAS!H1084&amp;"','yyyymmdd'),TO_DATE('"&amp;REGLAS!I1084&amp;"','yyyymmdd'),'"&amp;REGLAS!J1084&amp;"');")</f>
        <v>INSERT INTO INYCEXT.INYC_CONF_INF_REGLAS (COD_INFORME,TABLA,NOMBRE,REGLA,F_INICIO,F_FIN,DESCRIPCION) VALUES (105.1,'INYC_PEPI_RESUMEN','SM - Prima Corregida Inspector Comunidades Mensual','SM-O-GEN-Inspector-PrimaCorregida-008-TotalMes',TO_DATE('20140101','yyyymmdd'),TO_DATE('22000101','yyyymmdd'),'');</v>
      </c>
      <c r="B1083" t="str">
        <f>IF(REGLAS!J1084="OBSOLETO","","INSERT INTO INYCEXT.INYC_CONF_INF_REGLAS@tc_link (COD_INFORME,TABLA,NOMBRE,REGLA,F_INICIO,F_FIN,DESCRIPCION) VALUES ("&amp;REGLAS!B1084&amp;",'"&amp;REGLAS!C1084&amp;"','"&amp;REGLAS!D1084&amp;"','"&amp;REGLAS!G1084&amp;"',TO_DATE('"&amp;REGLAS!H1084&amp;"','yyyymmdd'),TO_DATE('"&amp;REGLAS!I1084&amp;"','yyyymmdd'),'"&amp;REGLAS!J1084&amp;"');")</f>
        <v>INSERT INTO INYCEXT.INYC_CONF_INF_REGLAS@tc_link (COD_INFORME,TABLA,NOMBRE,REGLA,F_INICIO,F_FIN,DESCRIPCION) VALUES (105.1,'INYC_PEPI_RESUMEN','SM - Prima Corregida Inspector Comunidades Mensual','SM-O-GEN-Inspector-PrimaCorregida-008-TotalMes',TO_DATE('20140101','yyyymmdd'),TO_DATE('22000101','yyyymmdd'),'');</v>
      </c>
    </row>
    <row r="1084" spans="1:2" x14ac:dyDescent="0.25">
      <c r="A1084" t="str">
        <f>IF(REGLAS!J1085="OBSOLETO","","INSERT INTO INYCEXT.INYC_CONF_INF_REGLAS (COD_INFORME,TABLA,NOMBRE,REGLA,F_INICIO,F_FIN,DESCRIPCION) VALUES ("&amp;REGLAS!B1085&amp;",'"&amp;REGLAS!C1085&amp;"','"&amp;REGLAS!D1085&amp;"','"&amp;REGLAS!G1085&amp;"',TO_DATE('"&amp;REGLAS!H1085&amp;"','yyyymmdd'),TO_DATE('"&amp;REGLAS!I1085&amp;"','yyyymmdd'),'"&amp;REGLAS!J1085&amp;"');")</f>
        <v>INSERT INTO INYCEXT.INYC_CONF_INF_REGLAS (COD_INFORME,TABLA,NOMBRE,REGLA,F_INICIO,F_FIN,DESCRIPCION) VALUES (105.1,'INYC_PEPI_RESUMEN','SM - Prima Corregida Inspector Pyme Express Mensual','SM-O-GEN-Inspector-PrimaCorregida-009-TotalMes',TO_DATE('20140101','yyyymmdd'),TO_DATE('22000101','yyyymmdd'),'');</v>
      </c>
      <c r="B1084" t="str">
        <f>IF(REGLAS!J1085="OBSOLETO","","INSERT INTO INYCEXT.INYC_CONF_INF_REGLAS@tc_link (COD_INFORME,TABLA,NOMBRE,REGLA,F_INICIO,F_FIN,DESCRIPCION) VALUES ("&amp;REGLAS!B1085&amp;",'"&amp;REGLAS!C1085&amp;"','"&amp;REGLAS!D1085&amp;"','"&amp;REGLAS!G1085&amp;"',TO_DATE('"&amp;REGLAS!H1085&amp;"','yyyymmdd'),TO_DATE('"&amp;REGLAS!I1085&amp;"','yyyymmdd'),'"&amp;REGLAS!J1085&amp;"');")</f>
        <v>INSERT INTO INYCEXT.INYC_CONF_INF_REGLAS@tc_link (COD_INFORME,TABLA,NOMBRE,REGLA,F_INICIO,F_FIN,DESCRIPCION) VALUES (105.1,'INYC_PEPI_RESUMEN','SM - Prima Corregida Inspector Pyme Express Mensual','SM-O-GEN-Inspector-PrimaCorregida-009-TotalMes',TO_DATE('20140101','yyyymmdd'),TO_DATE('22000101','yyyymmdd'),'');</v>
      </c>
    </row>
    <row r="1085" spans="1:2" x14ac:dyDescent="0.25">
      <c r="A1085" t="str">
        <f>IF(REGLAS!J1086="OBSOLETO","","INSERT INTO INYCEXT.INYC_CONF_INF_REGLAS (COD_INFORME,TABLA,NOMBRE,REGLA,F_INICIO,F_FIN,DESCRIPCION) VALUES ("&amp;REGLAS!B1086&amp;",'"&amp;REGLAS!C1086&amp;"','"&amp;REGLAS!D1086&amp;"','"&amp;REGLAS!G1086&amp;"',TO_DATE('"&amp;REGLAS!H1086&amp;"','yyyymmdd'),TO_DATE('"&amp;REGLAS!I1086&amp;"','yyyymmdd'),'"&amp;REGLAS!J1086&amp;"');")</f>
        <v>INSERT INTO INYCEXT.INYC_CONF_INF_REGLAS (COD_INFORME,TABLA,NOMBRE,REGLA,F_INICIO,F_FIN,DESCRIPCION) VALUES (105.1,'INYC_PEPI_RESUMEN','SM - Prima Corregida Inspector RRPP (excl PU y conv/colec) Mensual','SM-O-GEN-Inspector-PrimaCorregida-906-TotalMes',TO_DATE('20140101','yyyymmdd'),TO_DATE('22000101','yyyymmdd'),'');</v>
      </c>
      <c r="B1085" t="str">
        <f>IF(REGLAS!J1086="OBSOLETO","","INSERT INTO INYCEXT.INYC_CONF_INF_REGLAS@tc_link (COD_INFORME,TABLA,NOMBRE,REGLA,F_INICIO,F_FIN,DESCRIPCION) VALUES ("&amp;REGLAS!B1086&amp;",'"&amp;REGLAS!C1086&amp;"','"&amp;REGLAS!D1086&amp;"','"&amp;REGLAS!G1086&amp;"',TO_DATE('"&amp;REGLAS!H1086&amp;"','yyyymmdd'),TO_DATE('"&amp;REGLAS!I1086&amp;"','yyyymmdd'),'"&amp;REGLAS!J1086&amp;"');")</f>
        <v>INSERT INTO INYCEXT.INYC_CONF_INF_REGLAS@tc_link (COD_INFORME,TABLA,NOMBRE,REGLA,F_INICIO,F_FIN,DESCRIPCION) VALUES (105.1,'INYC_PEPI_RESUMEN','SM - Prima Corregida Inspector RRPP (excl PU y conv/colec) Mensual','SM-O-GEN-Inspector-PrimaCorregida-906-TotalMes',TO_DATE('20140101','yyyymmdd'),TO_DATE('22000101','yyyymmdd'),'');</v>
      </c>
    </row>
    <row r="1086" spans="1:2" x14ac:dyDescent="0.25">
      <c r="A1086" t="str">
        <f>IF(REGLAS!J1087="OBSOLETO","","INSERT INTO INYCEXT.INYC_CONF_INF_REGLAS (COD_INFORME,TABLA,NOMBRE,REGLA,F_INICIO,F_FIN,DESCRIPCION) VALUES ("&amp;REGLAS!B1087&amp;",'"&amp;REGLAS!C1087&amp;"','"&amp;REGLAS!D1087&amp;"','"&amp;REGLAS!G1087&amp;"',TO_DATE('"&amp;REGLAS!H1087&amp;"','yyyymmdd'),TO_DATE('"&amp;REGLAS!I1087&amp;"','yyyymmdd'),'"&amp;REGLAS!J1087&amp;"');")</f>
        <v>INSERT INTO INYCEXT.INYC_CONF_INF_REGLAS (COD_INFORME,TABLA,NOMBRE,REGLA,F_INICIO,F_FIN,DESCRIPCION) VALUES (105.1,'INYC_PEPI_RESUMEN','SM - Prima Corregida Inspector Prod. Prioritarios Mensual','SM-O-GEN-Inspector-PrimaCorregida-997-TotalMes',TO_DATE('20140101','yyyymmdd'),TO_DATE('22000101','yyyymmdd'),'');</v>
      </c>
      <c r="B1086" t="str">
        <f>IF(REGLAS!J1087="OBSOLETO","","INSERT INTO INYCEXT.INYC_CONF_INF_REGLAS@tc_link (COD_INFORME,TABLA,NOMBRE,REGLA,F_INICIO,F_FIN,DESCRIPCION) VALUES ("&amp;REGLAS!B1087&amp;",'"&amp;REGLAS!C1087&amp;"','"&amp;REGLAS!D1087&amp;"','"&amp;REGLAS!G1087&amp;"',TO_DATE('"&amp;REGLAS!H1087&amp;"','yyyymmdd'),TO_DATE('"&amp;REGLAS!I1087&amp;"','yyyymmdd'),'"&amp;REGLAS!J1087&amp;"');")</f>
        <v>INSERT INTO INYCEXT.INYC_CONF_INF_REGLAS@tc_link (COD_INFORME,TABLA,NOMBRE,REGLA,F_INICIO,F_FIN,DESCRIPCION) VALUES (105.1,'INYC_PEPI_RESUMEN','SM - Prima Corregida Inspector Prod. Prioritarios Mensual','SM-O-GEN-Inspector-PrimaCorregida-997-TotalMes',TO_DATE('20140101','yyyymmdd'),TO_DATE('22000101','yyyymmdd'),'');</v>
      </c>
    </row>
    <row r="1087" spans="1:2" x14ac:dyDescent="0.25">
      <c r="A1087" t="str">
        <f>IF(REGLAS!J1088="OBSOLETO","","INSERT INTO INYCEXT.INYC_CONF_INF_REGLAS (COD_INFORME,TABLA,NOMBRE,REGLA,F_INICIO,F_FIN,DESCRIPCION) VALUES ("&amp;REGLAS!B1088&amp;",'"&amp;REGLAS!C1088&amp;"','"&amp;REGLAS!D1088&amp;"','"&amp;REGLAS!G1088&amp;"',TO_DATE('"&amp;REGLAS!H1088&amp;"','yyyymmdd'),TO_DATE('"&amp;REGLAS!I1088&amp;"','yyyymmdd'),'"&amp;REGLAS!J1088&amp;"');")</f>
        <v>INSERT INTO INYCEXT.INYC_CONF_INF_REGLAS (COD_INFORME,TABLA,NOMBRE,REGLA,F_INICIO,F_FIN,DESCRIPCION) VALUES (105.1,'INYC_PEPI_RESUMEN','SM - Prima Corregida Inspector Total Productos Mensual','SM-O-GEN-Inspector-PrimaCorregida-998-TotalMes',TO_DATE('20140101','yyyymmdd'),TO_DATE('22000101','yyyymmdd'),'');</v>
      </c>
      <c r="B1087" t="str">
        <f>IF(REGLAS!J1088="OBSOLETO","","INSERT INTO INYCEXT.INYC_CONF_INF_REGLAS@tc_link (COD_INFORME,TABLA,NOMBRE,REGLA,F_INICIO,F_FIN,DESCRIPCION) VALUES ("&amp;REGLAS!B1088&amp;",'"&amp;REGLAS!C1088&amp;"','"&amp;REGLAS!D1088&amp;"','"&amp;REGLAS!G1088&amp;"',TO_DATE('"&amp;REGLAS!H1088&amp;"','yyyymmdd'),TO_DATE('"&amp;REGLAS!I1088&amp;"','yyyymmdd'),'"&amp;REGLAS!J1088&amp;"');")</f>
        <v>INSERT INTO INYCEXT.INYC_CONF_INF_REGLAS@tc_link (COD_INFORME,TABLA,NOMBRE,REGLA,F_INICIO,F_FIN,DESCRIPCION) VALUES (105.1,'INYC_PEPI_RESUMEN','SM - Prima Corregida Inspector Total Productos Mensual','SM-O-GEN-Inspector-PrimaCorregida-998-TotalMes',TO_DATE('20140101','yyyymmdd'),TO_DATE('22000101','yyyymmdd'),'');</v>
      </c>
    </row>
    <row r="1088" spans="1:2" x14ac:dyDescent="0.25">
      <c r="A1088" t="str">
        <f>IF(REGLAS!J1089="OBSOLETO","","INSERT INTO INYCEXT.INYC_CONF_INF_REGLAS (COD_INFORME,TABLA,NOMBRE,REGLA,F_INICIO,F_FIN,DESCRIPCION) VALUES ("&amp;REGLAS!B1089&amp;",'"&amp;REGLAS!C1089&amp;"','"&amp;REGLAS!D1089&amp;"','"&amp;REGLAS!G1089&amp;"',TO_DATE('"&amp;REGLAS!H1089&amp;"','yyyymmdd'),TO_DATE('"&amp;REGLAS!I1089&amp;"','yyyymmdd'),'"&amp;REGLAS!J1089&amp;"');")</f>
        <v>INSERT INTO INYCEXT.INYC_CONF_INF_REGLAS (COD_INFORME,TABLA,NOMBRE,REGLA,F_INICIO,F_FIN,DESCRIPCION) VALUES (105.1,'INYC_PEPI_RESUMEN','SM - Nº Asegurados Inspector Mensual','SM-O-GEN-Inspector-NumAsegurados-TotalMes',TO_DATE('20180101','yyyymmdd'),TO_DATE('22000101','yyyymmdd'),'Version 20180116');</v>
      </c>
      <c r="B1088" t="str">
        <f>IF(REGLAS!J1089="OBSOLETO","","INSERT INTO INYCEXT.INYC_CONF_INF_REGLAS@tc_link (COD_INFORME,TABLA,NOMBRE,REGLA,F_INICIO,F_FIN,DESCRIPCION) VALUES ("&amp;REGLAS!B1089&amp;",'"&amp;REGLAS!C1089&amp;"','"&amp;REGLAS!D1089&amp;"','"&amp;REGLAS!G1089&amp;"',TO_DATE('"&amp;REGLAS!H1089&amp;"','yyyymmdd'),TO_DATE('"&amp;REGLAS!I1089&amp;"','yyyymmdd'),'"&amp;REGLAS!J1089&amp;"');")</f>
        <v>INSERT INTO INYCEXT.INYC_CONF_INF_REGLAS@tc_link (COD_INFORME,TABLA,NOMBRE,REGLA,F_INICIO,F_FIN,DESCRIPCION) VALUES (105.1,'INYC_PEPI_RESUMEN','SM - Nº Asegurados Inspector Mensual','SM-O-GEN-Inspector-NumAsegurados-TotalMes',TO_DATE('20180101','yyyymmdd'),TO_DATE('22000101','yyyymmdd'),'Version 20180116');</v>
      </c>
    </row>
    <row r="1089" spans="1:2" x14ac:dyDescent="0.25">
      <c r="A1089" t="str">
        <f>IF(REGLAS!J1090="OBSOLETO","","INSERT INTO INYCEXT.INYC_CONF_INF_REGLAS (COD_INFORME,TABLA,NOMBRE,REGLA,F_INICIO,F_FIN,DESCRIPCION) VALUES ("&amp;REGLAS!B1090&amp;",'"&amp;REGLAS!C1090&amp;"','"&amp;REGLAS!D1090&amp;"','"&amp;REGLAS!G1090&amp;"',TO_DATE('"&amp;REGLAS!H1090&amp;"','yyyymmdd'),TO_DATE('"&amp;REGLAS!I1090&amp;"','yyyymmdd'),'"&amp;REGLAS!J1090&amp;"');")</f>
        <v>INSERT INTO INYCEXT.INYC_CONF_INF_REGLAS (COD_INFORME,TABLA,NOMBRE,REGLA,F_INICIO,F_FIN,DESCRIPCION) VALUES (105.1,'INYC_PEPI_RESUMEN','SM - Nº Asegurados Inspector Anual','SM-O-GEN-Inspector-NumAsegurados-TotalAnual',TO_DATE('20180101','yyyymmdd'),TO_DATE('22000101','yyyymmdd'),'Version 20180116');</v>
      </c>
      <c r="B1089" t="str">
        <f>IF(REGLAS!J1090="OBSOLETO","","INSERT INTO INYCEXT.INYC_CONF_INF_REGLAS@tc_link (COD_INFORME,TABLA,NOMBRE,REGLA,F_INICIO,F_FIN,DESCRIPCION) VALUES ("&amp;REGLAS!B1090&amp;",'"&amp;REGLAS!C1090&amp;"','"&amp;REGLAS!D1090&amp;"','"&amp;REGLAS!G1090&amp;"',TO_DATE('"&amp;REGLAS!H1090&amp;"','yyyymmdd'),TO_DATE('"&amp;REGLAS!I1090&amp;"','yyyymmdd'),'"&amp;REGLAS!J1090&amp;"');")</f>
        <v>INSERT INTO INYCEXT.INYC_CONF_INF_REGLAS@tc_link (COD_INFORME,TABLA,NOMBRE,REGLA,F_INICIO,F_FIN,DESCRIPCION) VALUES (105.1,'INYC_PEPI_RESUMEN','SM - Nº Asegurados Inspector Anual','SM-O-GEN-Inspector-NumAsegurados-TotalAnual',TO_DATE('20180101','yyyymmdd'),TO_DATE('22000101','yyyymmdd'),'Version 20180116');</v>
      </c>
    </row>
    <row r="1090" spans="1:2" x14ac:dyDescent="0.25">
      <c r="A1090" t="str">
        <f>IF(REGLAS!J1091="OBSOLETO","","INSERT INTO INYCEXT.INYC_CONF_INF_REGLAS (COD_INFORME,TABLA,NOMBRE,REGLA,F_INICIO,F_FIN,DESCRIPCION) VALUES ("&amp;REGLAS!B1091&amp;",'"&amp;REGLAS!C1091&amp;"','"&amp;REGLAS!D1091&amp;"','"&amp;REGLAS!G1091&amp;"',TO_DATE('"&amp;REGLAS!H1091&amp;"','yyyymmdd'),TO_DATE('"&amp;REGLAS!I1091&amp;"','yyyymmdd'),'"&amp;REGLAS!J1091&amp;"');")</f>
        <v>INSERT INTO INYCEXT.INYC_CONF_INF_REGLAS (COD_INFORME,TABLA,NOMBRE,REGLA,F_INICIO,F_FIN,DESCRIPCION) VALUES (105.1,'INYC_PEPI_RESUMEN','SM - Nº Pólizas Inspector RRTT Anual','SM-O-GEN-Inspector-NumeroPolizas-001-TotalAnual',TO_DATE('20140101','yyyymmdd'),TO_DATE('22000101','yyyymmdd'),'');</v>
      </c>
      <c r="B1090" t="str">
        <f>IF(REGLAS!J1091="OBSOLETO","","INSERT INTO INYCEXT.INYC_CONF_INF_REGLAS@tc_link (COD_INFORME,TABLA,NOMBRE,REGLA,F_INICIO,F_FIN,DESCRIPCION) VALUES ("&amp;REGLAS!B1091&amp;",'"&amp;REGLAS!C1091&amp;"','"&amp;REGLAS!D1091&amp;"','"&amp;REGLAS!G1091&amp;"',TO_DATE('"&amp;REGLAS!H1091&amp;"','yyyymmdd'),TO_DATE('"&amp;REGLAS!I1091&amp;"','yyyymmdd'),'"&amp;REGLAS!J1091&amp;"');")</f>
        <v>INSERT INTO INYCEXT.INYC_CONF_INF_REGLAS@tc_link (COD_INFORME,TABLA,NOMBRE,REGLA,F_INICIO,F_FIN,DESCRIPCION) VALUES (105.1,'INYC_PEPI_RESUMEN','SM - Nº Pólizas Inspector RRTT Anual','SM-O-GEN-Inspector-NumeroPolizas-001-TotalAnual',TO_DATE('20140101','yyyymmdd'),TO_DATE('22000101','yyyymmdd'),'');</v>
      </c>
    </row>
    <row r="1091" spans="1:2" x14ac:dyDescent="0.25">
      <c r="A1091" t="str">
        <f>IF(REGLAS!J1092="OBSOLETO","","INSERT INTO INYCEXT.INYC_CONF_INF_REGLAS (COD_INFORME,TABLA,NOMBRE,REGLA,F_INICIO,F_FIN,DESCRIPCION) VALUES ("&amp;REGLAS!B1092&amp;",'"&amp;REGLAS!C1092&amp;"','"&amp;REGLAS!D1092&amp;"','"&amp;REGLAS!G1092&amp;"',TO_DATE('"&amp;REGLAS!H1092&amp;"','yyyymmdd'),TO_DATE('"&amp;REGLAS!I1092&amp;"','yyyymmdd'),'"&amp;REGLAS!J1092&amp;"');")</f>
        <v>INSERT INTO INYCEXT.INYC_CONF_INF_REGLAS (COD_INFORME,TABLA,NOMBRE,REGLA,F_INICIO,F_FIN,DESCRIPCION) VALUES (105.1,'INYC_PEPI_RESUMEN','SM - Nº Pólizas Inspector Hogar Anual','SM-O-GEN-Inspector-NumeroPolizas-002-TotalAnual',TO_DATE('20140101','yyyymmdd'),TO_DATE('22000101','yyyymmdd'),'');</v>
      </c>
      <c r="B1091" t="str">
        <f>IF(REGLAS!J1092="OBSOLETO","","INSERT INTO INYCEXT.INYC_CONF_INF_REGLAS@tc_link (COD_INFORME,TABLA,NOMBRE,REGLA,F_INICIO,F_FIN,DESCRIPCION) VALUES ("&amp;REGLAS!B1092&amp;",'"&amp;REGLAS!C1092&amp;"','"&amp;REGLAS!D1092&amp;"','"&amp;REGLAS!G1092&amp;"',TO_DATE('"&amp;REGLAS!H1092&amp;"','yyyymmdd'),TO_DATE('"&amp;REGLAS!I1092&amp;"','yyyymmdd'),'"&amp;REGLAS!J1092&amp;"');")</f>
        <v>INSERT INTO INYCEXT.INYC_CONF_INF_REGLAS@tc_link (COD_INFORME,TABLA,NOMBRE,REGLA,F_INICIO,F_FIN,DESCRIPCION) VALUES (105.1,'INYC_PEPI_RESUMEN','SM - Nº Pólizas Inspector Hogar Anual','SM-O-GEN-Inspector-NumeroPolizas-002-TotalAnual',TO_DATE('20140101','yyyymmdd'),TO_DATE('22000101','yyyymmdd'),'');</v>
      </c>
    </row>
    <row r="1092" spans="1:2" x14ac:dyDescent="0.25">
      <c r="A1092" t="str">
        <f>IF(REGLAS!J1093="OBSOLETO","","INSERT INTO INYCEXT.INYC_CONF_INF_REGLAS (COD_INFORME,TABLA,NOMBRE,REGLA,F_INICIO,F_FIN,DESCRIPCION) VALUES ("&amp;REGLAS!B1093&amp;",'"&amp;REGLAS!C1093&amp;"','"&amp;REGLAS!D1093&amp;"','"&amp;REGLAS!G1093&amp;"',TO_DATE('"&amp;REGLAS!H1093&amp;"','yyyymmdd'),TO_DATE('"&amp;REGLAS!I1093&amp;"','yyyymmdd'),'"&amp;REGLAS!J1093&amp;"');")</f>
        <v>INSERT INTO INYCEXT.INYC_CONF_INF_REGLAS (COD_INFORME,TABLA,NOMBRE,REGLA,F_INICIO,F_FIN,DESCRIPCION) VALUES (105.1,'INYC_PEPI_RESUMEN','SM - Nº Pólizas Inspector Vida Riesgo Anual','SM-O-GEN-Inspector-NumeroPolizas-003-TotalAnual',TO_DATE('20140101','yyyymmdd'),TO_DATE('22000101','yyyymmdd'),'');</v>
      </c>
      <c r="B1092" t="str">
        <f>IF(REGLAS!J1093="OBSOLETO","","INSERT INTO INYCEXT.INYC_CONF_INF_REGLAS@tc_link (COD_INFORME,TABLA,NOMBRE,REGLA,F_INICIO,F_FIN,DESCRIPCION) VALUES ("&amp;REGLAS!B1093&amp;",'"&amp;REGLAS!C1093&amp;"','"&amp;REGLAS!D1093&amp;"','"&amp;REGLAS!G1093&amp;"',TO_DATE('"&amp;REGLAS!H1093&amp;"','yyyymmdd'),TO_DATE('"&amp;REGLAS!I1093&amp;"','yyyymmdd'),'"&amp;REGLAS!J1093&amp;"');")</f>
        <v>INSERT INTO INYCEXT.INYC_CONF_INF_REGLAS@tc_link (COD_INFORME,TABLA,NOMBRE,REGLA,F_INICIO,F_FIN,DESCRIPCION) VALUES (105.1,'INYC_PEPI_RESUMEN','SM - Nº Pólizas Inspector Vida Riesgo Anual','SM-O-GEN-Inspector-NumeroPolizas-003-TotalAnual',TO_DATE('20140101','yyyymmdd'),TO_DATE('22000101','yyyymmdd'),'');</v>
      </c>
    </row>
    <row r="1093" spans="1:2" x14ac:dyDescent="0.25">
      <c r="A1093" t="str">
        <f>IF(REGLAS!J1094="OBSOLETO","","INSERT INTO INYCEXT.INYC_CONF_INF_REGLAS (COD_INFORME,TABLA,NOMBRE,REGLA,F_INICIO,F_FIN,DESCRIPCION) VALUES ("&amp;REGLAS!B1094&amp;",'"&amp;REGLAS!C1094&amp;"','"&amp;REGLAS!D1094&amp;"','"&amp;REGLAS!G1094&amp;"',TO_DATE('"&amp;REGLAS!H1094&amp;"','yyyymmdd'),TO_DATE('"&amp;REGLAS!I1094&amp;"','yyyymmdd'),'"&amp;REGLAS!J1094&amp;"');")</f>
        <v>INSERT INTO INYCEXT.INYC_CONF_INF_REGLAS (COD_INFORME,TABLA,NOMBRE,REGLA,F_INICIO,F_FIN,DESCRIPCION) VALUES (105.1,'INYC_PEPI_RESUMEN','SM - Nº Pólizas Inspector Vida Ahorro Anual','SM-O-GEN-Inspector-NumeroPolizas-004-TotalAnual',TO_DATE('20140101','yyyymmdd'),TO_DATE('22000101','yyyymmdd'),'');</v>
      </c>
      <c r="B1093" t="str">
        <f>IF(REGLAS!J1094="OBSOLETO","","INSERT INTO INYCEXT.INYC_CONF_INF_REGLAS@tc_link (COD_INFORME,TABLA,NOMBRE,REGLA,F_INICIO,F_FIN,DESCRIPCION) VALUES ("&amp;REGLAS!B1094&amp;",'"&amp;REGLAS!C1094&amp;"','"&amp;REGLAS!D1094&amp;"','"&amp;REGLAS!G1094&amp;"',TO_DATE('"&amp;REGLAS!H1094&amp;"','yyyymmdd'),TO_DATE('"&amp;REGLAS!I1094&amp;"','yyyymmdd'),'"&amp;REGLAS!J1094&amp;"');")</f>
        <v>INSERT INTO INYCEXT.INYC_CONF_INF_REGLAS@tc_link (COD_INFORME,TABLA,NOMBRE,REGLA,F_INICIO,F_FIN,DESCRIPCION) VALUES (105.1,'INYC_PEPI_RESUMEN','SM - Nº Pólizas Inspector Vida Ahorro Anual','SM-O-GEN-Inspector-NumeroPolizas-004-TotalAnual',TO_DATE('20140101','yyyymmdd'),TO_DATE('22000101','yyyymmdd'),'');</v>
      </c>
    </row>
    <row r="1094" spans="1:2" x14ac:dyDescent="0.25">
      <c r="A1094" t="str">
        <f>IF(REGLAS!J1095="OBSOLETO","","INSERT INTO INYCEXT.INYC_CONF_INF_REGLAS (COD_INFORME,TABLA,NOMBRE,REGLA,F_INICIO,F_FIN,DESCRIPCION) VALUES ("&amp;REGLAS!B1095&amp;",'"&amp;REGLAS!C1095&amp;"','"&amp;REGLAS!D1095&amp;"','"&amp;REGLAS!G1095&amp;"',TO_DATE('"&amp;REGLAS!H1095&amp;"','yyyymmdd'),TO_DATE('"&amp;REGLAS!I1095&amp;"','yyyymmdd'),'"&amp;REGLAS!J1095&amp;"');")</f>
        <v>INSERT INTO INYCEXT.INYC_CONF_INF_REGLAS (COD_INFORME,TABLA,NOMBRE,REGLA,F_INICIO,F_FIN,DESCRIPCION) VALUES (105.1,'INYC_PEPI_RESUMEN','SM - Nº Pólizas Inspector Accidentes Anual','SM-O-GEN-Inspector-NumeroPolizas-005-TotalAnual',TO_DATE('20140101','yyyymmdd'),TO_DATE('22000101','yyyymmdd'),'');</v>
      </c>
      <c r="B1094" t="str">
        <f>IF(REGLAS!J1095="OBSOLETO","","INSERT INTO INYCEXT.INYC_CONF_INF_REGLAS@tc_link (COD_INFORME,TABLA,NOMBRE,REGLA,F_INICIO,F_FIN,DESCRIPCION) VALUES ("&amp;REGLAS!B1095&amp;",'"&amp;REGLAS!C1095&amp;"','"&amp;REGLAS!D1095&amp;"','"&amp;REGLAS!G1095&amp;"',TO_DATE('"&amp;REGLAS!H1095&amp;"','yyyymmdd'),TO_DATE('"&amp;REGLAS!I1095&amp;"','yyyymmdd'),'"&amp;REGLAS!J1095&amp;"');")</f>
        <v>INSERT INTO INYCEXT.INYC_CONF_INF_REGLAS@tc_link (COD_INFORME,TABLA,NOMBRE,REGLA,F_INICIO,F_FIN,DESCRIPCION) VALUES (105.1,'INYC_PEPI_RESUMEN','SM - Nº Pólizas Inspector Accidentes Anual','SM-O-GEN-Inspector-NumeroPolizas-005-TotalAnual',TO_DATE('20140101','yyyymmdd'),TO_DATE('22000101','yyyymmdd'),'');</v>
      </c>
    </row>
    <row r="1095" spans="1:2" x14ac:dyDescent="0.25">
      <c r="A1095" t="str">
        <f>IF(REGLAS!J1096="OBSOLETO","","INSERT INTO INYCEXT.INYC_CONF_INF_REGLAS (COD_INFORME,TABLA,NOMBRE,REGLA,F_INICIO,F_FIN,DESCRIPCION) VALUES ("&amp;REGLAS!B1096&amp;",'"&amp;REGLAS!C1096&amp;"','"&amp;REGLAS!D1096&amp;"','"&amp;REGLAS!G1096&amp;"',TO_DATE('"&amp;REGLAS!H1096&amp;"','yyyymmdd'),TO_DATE('"&amp;REGLAS!I1096&amp;"','yyyymmdd'),'"&amp;REGLAS!J1096&amp;"');")</f>
        <v>INSERT INTO INYCEXT.INYC_CONF_INF_REGLAS (COD_INFORME,TABLA,NOMBRE,REGLA,F_INICIO,F_FIN,DESCRIPCION) VALUES (105.1,'INYC_PEPI_RESUMEN','SM - Nº Pólizas Inspector Resto Productos Anual','SM-O-GEN-Inspector-NumeroPolizas-006-TotalAnual',TO_DATE('20140101','yyyymmdd'),TO_DATE('22000101','yyyymmdd'),'');</v>
      </c>
      <c r="B1095" t="str">
        <f>IF(REGLAS!J1096="OBSOLETO","","INSERT INTO INYCEXT.INYC_CONF_INF_REGLAS@tc_link (COD_INFORME,TABLA,NOMBRE,REGLA,F_INICIO,F_FIN,DESCRIPCION) VALUES ("&amp;REGLAS!B1096&amp;",'"&amp;REGLAS!C1096&amp;"','"&amp;REGLAS!D1096&amp;"','"&amp;REGLAS!G1096&amp;"',TO_DATE('"&amp;REGLAS!H1096&amp;"','yyyymmdd'),TO_DATE('"&amp;REGLAS!I1096&amp;"','yyyymmdd'),'"&amp;REGLAS!J1096&amp;"');")</f>
        <v>INSERT INTO INYCEXT.INYC_CONF_INF_REGLAS@tc_link (COD_INFORME,TABLA,NOMBRE,REGLA,F_INICIO,F_FIN,DESCRIPCION) VALUES (105.1,'INYC_PEPI_RESUMEN','SM - Nº Pólizas Inspector Resto Productos Anual','SM-O-GEN-Inspector-NumeroPolizas-006-TotalAnual',TO_DATE('20140101','yyyymmdd'),TO_DATE('22000101','yyyymmdd'),'');</v>
      </c>
    </row>
    <row r="1096" spans="1:2" x14ac:dyDescent="0.25">
      <c r="A1096" t="str">
        <f>IF(REGLAS!J1097="OBSOLETO","","INSERT INTO INYCEXT.INYC_CONF_INF_REGLAS (COD_INFORME,TABLA,NOMBRE,REGLA,F_INICIO,F_FIN,DESCRIPCION) VALUES ("&amp;REGLAS!B1097&amp;",'"&amp;REGLAS!C1097&amp;"','"&amp;REGLAS!D1097&amp;"','"&amp;REGLAS!G1097&amp;"',TO_DATE('"&amp;REGLAS!H1097&amp;"','yyyymmdd'),TO_DATE('"&amp;REGLAS!I1097&amp;"','yyyymmdd'),'"&amp;REGLAS!J1097&amp;"');")</f>
        <v>INSERT INTO INYCEXT.INYC_CONF_INF_REGLAS (COD_INFORME,TABLA,NOMBRE,REGLA,F_INICIO,F_FIN,DESCRIPCION) VALUES (105.1,'INYC_PEPI_RESUMEN','SM - Nº Pólizas Inspector Ocaso Oro Anual','SM-O-GEN-Inspector-NumeroPolizas-007-TotalAnual',TO_DATE('20140101','yyyymmdd'),TO_DATE('22000101','yyyymmdd'),'');</v>
      </c>
      <c r="B1096" t="str">
        <f>IF(REGLAS!J1097="OBSOLETO","","INSERT INTO INYCEXT.INYC_CONF_INF_REGLAS@tc_link (COD_INFORME,TABLA,NOMBRE,REGLA,F_INICIO,F_FIN,DESCRIPCION) VALUES ("&amp;REGLAS!B1097&amp;",'"&amp;REGLAS!C1097&amp;"','"&amp;REGLAS!D1097&amp;"','"&amp;REGLAS!G1097&amp;"',TO_DATE('"&amp;REGLAS!H1097&amp;"','yyyymmdd'),TO_DATE('"&amp;REGLAS!I1097&amp;"','yyyymmdd'),'"&amp;REGLAS!J1097&amp;"');")</f>
        <v>INSERT INTO INYCEXT.INYC_CONF_INF_REGLAS@tc_link (COD_INFORME,TABLA,NOMBRE,REGLA,F_INICIO,F_FIN,DESCRIPCION) VALUES (105.1,'INYC_PEPI_RESUMEN','SM - Nº Pólizas Inspector Ocaso Oro Anual','SM-O-GEN-Inspector-NumeroPolizas-007-TotalAnual',TO_DATE('20140101','yyyymmdd'),TO_DATE('22000101','yyyymmdd'),'');</v>
      </c>
    </row>
    <row r="1097" spans="1:2" x14ac:dyDescent="0.25">
      <c r="A1097" t="str">
        <f>IF(REGLAS!J1098="OBSOLETO","","INSERT INTO INYCEXT.INYC_CONF_INF_REGLAS (COD_INFORME,TABLA,NOMBRE,REGLA,F_INICIO,F_FIN,DESCRIPCION) VALUES ("&amp;REGLAS!B1098&amp;",'"&amp;REGLAS!C1098&amp;"','"&amp;REGLAS!D1098&amp;"','"&amp;REGLAS!G1098&amp;"',TO_DATE('"&amp;REGLAS!H1098&amp;"','yyyymmdd'),TO_DATE('"&amp;REGLAS!I1098&amp;"','yyyymmdd'),'"&amp;REGLAS!J1098&amp;"');")</f>
        <v>INSERT INTO INYCEXT.INYC_CONF_INF_REGLAS (COD_INFORME,TABLA,NOMBRE,REGLA,F_INICIO,F_FIN,DESCRIPCION) VALUES (105.1,'INYC_PEPI_RESUMEN','SM - Nº Pólizas Inspector Comunidades Anual','SM-O-GEN-Inspector-NumeroPolizas-008-TotalAnual',TO_DATE('20140101','yyyymmdd'),TO_DATE('22000101','yyyymmdd'),'');</v>
      </c>
      <c r="B1097" t="str">
        <f>IF(REGLAS!J1098="OBSOLETO","","INSERT INTO INYCEXT.INYC_CONF_INF_REGLAS@tc_link (COD_INFORME,TABLA,NOMBRE,REGLA,F_INICIO,F_FIN,DESCRIPCION) VALUES ("&amp;REGLAS!B1098&amp;",'"&amp;REGLAS!C1098&amp;"','"&amp;REGLAS!D1098&amp;"','"&amp;REGLAS!G1098&amp;"',TO_DATE('"&amp;REGLAS!H1098&amp;"','yyyymmdd'),TO_DATE('"&amp;REGLAS!I1098&amp;"','yyyymmdd'),'"&amp;REGLAS!J1098&amp;"');")</f>
        <v>INSERT INTO INYCEXT.INYC_CONF_INF_REGLAS@tc_link (COD_INFORME,TABLA,NOMBRE,REGLA,F_INICIO,F_FIN,DESCRIPCION) VALUES (105.1,'INYC_PEPI_RESUMEN','SM - Nº Pólizas Inspector Comunidades Anual','SM-O-GEN-Inspector-NumeroPolizas-008-TotalAnual',TO_DATE('20140101','yyyymmdd'),TO_DATE('22000101','yyyymmdd'),'');</v>
      </c>
    </row>
    <row r="1098" spans="1:2" x14ac:dyDescent="0.25">
      <c r="A1098" t="str">
        <f>IF(REGLAS!J1099="OBSOLETO","","INSERT INTO INYCEXT.INYC_CONF_INF_REGLAS (COD_INFORME,TABLA,NOMBRE,REGLA,F_INICIO,F_FIN,DESCRIPCION) VALUES ("&amp;REGLAS!B1099&amp;",'"&amp;REGLAS!C1099&amp;"','"&amp;REGLAS!D1099&amp;"','"&amp;REGLAS!G1099&amp;"',TO_DATE('"&amp;REGLAS!H1099&amp;"','yyyymmdd'),TO_DATE('"&amp;REGLAS!I1099&amp;"','yyyymmdd'),'"&amp;REGLAS!J1099&amp;"');")</f>
        <v>INSERT INTO INYCEXT.INYC_CONF_INF_REGLAS (COD_INFORME,TABLA,NOMBRE,REGLA,F_INICIO,F_FIN,DESCRIPCION) VALUES (105.1,'INYC_PEPI_RESUMEN','SM - Nº Pólizas Inspector Pyme Express Anual','SM-O-GEN-Inspector-NumeroPolizas-009-TotalAnual',TO_DATE('20140101','yyyymmdd'),TO_DATE('22000101','yyyymmdd'),'');</v>
      </c>
      <c r="B1098" t="str">
        <f>IF(REGLAS!J1099="OBSOLETO","","INSERT INTO INYCEXT.INYC_CONF_INF_REGLAS@tc_link (COD_INFORME,TABLA,NOMBRE,REGLA,F_INICIO,F_FIN,DESCRIPCION) VALUES ("&amp;REGLAS!B1099&amp;",'"&amp;REGLAS!C1099&amp;"','"&amp;REGLAS!D1099&amp;"','"&amp;REGLAS!G1099&amp;"',TO_DATE('"&amp;REGLAS!H1099&amp;"','yyyymmdd'),TO_DATE('"&amp;REGLAS!I1099&amp;"','yyyymmdd'),'"&amp;REGLAS!J1099&amp;"');")</f>
        <v>INSERT INTO INYCEXT.INYC_CONF_INF_REGLAS@tc_link (COD_INFORME,TABLA,NOMBRE,REGLA,F_INICIO,F_FIN,DESCRIPCION) VALUES (105.1,'INYC_PEPI_RESUMEN','SM - Nº Pólizas Inspector Pyme Express Anual','SM-O-GEN-Inspector-NumeroPolizas-009-TotalAnual',TO_DATE('20140101','yyyymmdd'),TO_DATE('22000101','yyyymmdd'),'');</v>
      </c>
    </row>
    <row r="1099" spans="1:2" x14ac:dyDescent="0.25">
      <c r="A1099" t="str">
        <f>IF(REGLAS!J1100="OBSOLETO","","INSERT INTO INYCEXT.INYC_CONF_INF_REGLAS (COD_INFORME,TABLA,NOMBRE,REGLA,F_INICIO,F_FIN,DESCRIPCION) VALUES ("&amp;REGLAS!B1100&amp;",'"&amp;REGLAS!C1100&amp;"','"&amp;REGLAS!D1100&amp;"','"&amp;REGLAS!G1100&amp;"',TO_DATE('"&amp;REGLAS!H1100&amp;"','yyyymmdd'),TO_DATE('"&amp;REGLAS!I1100&amp;"','yyyymmdd'),'"&amp;REGLAS!J1100&amp;"');")</f>
        <v>INSERT INTO INYCEXT.INYC_CONF_INF_REGLAS (COD_INFORME,TABLA,NOMBRE,REGLA,F_INICIO,F_FIN,DESCRIPCION) VALUES (105.1,'INYC_PEPI_RESUMEN','SM - Nº Pólizas Inspector RRPP (excl PU y conv/colec) Anual','SM-O-GEN-Inspector-NumeroPolizas-906-TotalAnual',TO_DATE('20140101','yyyymmdd'),TO_DATE('22000101','yyyymmdd'),'');</v>
      </c>
      <c r="B1099" t="str">
        <f>IF(REGLAS!J1100="OBSOLETO","","INSERT INTO INYCEXT.INYC_CONF_INF_REGLAS@tc_link (COD_INFORME,TABLA,NOMBRE,REGLA,F_INICIO,F_FIN,DESCRIPCION) VALUES ("&amp;REGLAS!B1100&amp;",'"&amp;REGLAS!C1100&amp;"','"&amp;REGLAS!D1100&amp;"','"&amp;REGLAS!G1100&amp;"',TO_DATE('"&amp;REGLAS!H1100&amp;"','yyyymmdd'),TO_DATE('"&amp;REGLAS!I1100&amp;"','yyyymmdd'),'"&amp;REGLAS!J1100&amp;"');")</f>
        <v>INSERT INTO INYCEXT.INYC_CONF_INF_REGLAS@tc_link (COD_INFORME,TABLA,NOMBRE,REGLA,F_INICIO,F_FIN,DESCRIPCION) VALUES (105.1,'INYC_PEPI_RESUMEN','SM - Nº Pólizas Inspector RRPP (excl PU y conv/colec) Anual','SM-O-GEN-Inspector-NumeroPolizas-906-TotalAnual',TO_DATE('20140101','yyyymmdd'),TO_DATE('22000101','yyyymmdd'),'');</v>
      </c>
    </row>
    <row r="1100" spans="1:2" x14ac:dyDescent="0.25">
      <c r="A1100" t="str">
        <f>IF(REGLAS!J1101="OBSOLETO","","INSERT INTO INYCEXT.INYC_CONF_INF_REGLAS (COD_INFORME,TABLA,NOMBRE,REGLA,F_INICIO,F_FIN,DESCRIPCION) VALUES ("&amp;REGLAS!B1101&amp;",'"&amp;REGLAS!C1101&amp;"','"&amp;REGLAS!D1101&amp;"','"&amp;REGLAS!G1101&amp;"',TO_DATE('"&amp;REGLAS!H1101&amp;"','yyyymmdd'),TO_DATE('"&amp;REGLAS!I1101&amp;"','yyyymmdd'),'"&amp;REGLAS!J1101&amp;"');")</f>
        <v>INSERT INTO INYCEXT.INYC_CONF_INF_REGLAS (COD_INFORME,TABLA,NOMBRE,REGLA,F_INICIO,F_FIN,DESCRIPCION) VALUES (105.1,'INYC_PEPI_RESUMEN','SM - Nº Pólizas Inspector Prod. Prioritarios Anual','SM-O-GEN-Inspector-NumeroPolizas-997-TotalAnual',TO_DATE('20140101','yyyymmdd'),TO_DATE('22000101','yyyymmdd'),'');</v>
      </c>
      <c r="B1100" t="str">
        <f>IF(REGLAS!J1101="OBSOLETO","","INSERT INTO INYCEXT.INYC_CONF_INF_REGLAS@tc_link (COD_INFORME,TABLA,NOMBRE,REGLA,F_INICIO,F_FIN,DESCRIPCION) VALUES ("&amp;REGLAS!B1101&amp;",'"&amp;REGLAS!C1101&amp;"','"&amp;REGLAS!D1101&amp;"','"&amp;REGLAS!G1101&amp;"',TO_DATE('"&amp;REGLAS!H1101&amp;"','yyyymmdd'),TO_DATE('"&amp;REGLAS!I1101&amp;"','yyyymmdd'),'"&amp;REGLAS!J1101&amp;"');")</f>
        <v>INSERT INTO INYCEXT.INYC_CONF_INF_REGLAS@tc_link (COD_INFORME,TABLA,NOMBRE,REGLA,F_INICIO,F_FIN,DESCRIPCION) VALUES (105.1,'INYC_PEPI_RESUMEN','SM - Nº Pólizas Inspector Prod. Prioritarios Anual','SM-O-GEN-Inspector-NumeroPolizas-997-TotalAnual',TO_DATE('20140101','yyyymmdd'),TO_DATE('22000101','yyyymmdd'),'');</v>
      </c>
    </row>
    <row r="1101" spans="1:2" x14ac:dyDescent="0.25">
      <c r="A1101" t="str">
        <f>IF(REGLAS!J1102="OBSOLETO","","INSERT INTO INYCEXT.INYC_CONF_INF_REGLAS (COD_INFORME,TABLA,NOMBRE,REGLA,F_INICIO,F_FIN,DESCRIPCION) VALUES ("&amp;REGLAS!B1102&amp;",'"&amp;REGLAS!C1102&amp;"','"&amp;REGLAS!D1102&amp;"','"&amp;REGLAS!G1102&amp;"',TO_DATE('"&amp;REGLAS!H1102&amp;"','yyyymmdd'),TO_DATE('"&amp;REGLAS!I1102&amp;"','yyyymmdd'),'"&amp;REGLAS!J1102&amp;"');")</f>
        <v>INSERT INTO INYCEXT.INYC_CONF_INF_REGLAS (COD_INFORME,TABLA,NOMBRE,REGLA,F_INICIO,F_FIN,DESCRIPCION) VALUES (105.1,'INYC_PEPI_RESUMEN','SM - Nº Pólizas Inspector Total Productos Anual','SM-O-GEN-Inspector-NumeroPolizas-998-TotalAnual',TO_DATE('20140101','yyyymmdd'),TO_DATE('22000101','yyyymmdd'),'');</v>
      </c>
      <c r="B1101" t="str">
        <f>IF(REGLAS!J1102="OBSOLETO","","INSERT INTO INYCEXT.INYC_CONF_INF_REGLAS@tc_link (COD_INFORME,TABLA,NOMBRE,REGLA,F_INICIO,F_FIN,DESCRIPCION) VALUES ("&amp;REGLAS!B1102&amp;",'"&amp;REGLAS!C1102&amp;"','"&amp;REGLAS!D1102&amp;"','"&amp;REGLAS!G1102&amp;"',TO_DATE('"&amp;REGLAS!H1102&amp;"','yyyymmdd'),TO_DATE('"&amp;REGLAS!I1102&amp;"','yyyymmdd'),'"&amp;REGLAS!J1102&amp;"');")</f>
        <v>INSERT INTO INYCEXT.INYC_CONF_INF_REGLAS@tc_link (COD_INFORME,TABLA,NOMBRE,REGLA,F_INICIO,F_FIN,DESCRIPCION) VALUES (105.1,'INYC_PEPI_RESUMEN','SM - Nº Pólizas Inspector Total Productos Anual','SM-O-GEN-Inspector-NumeroPolizas-998-TotalAnual',TO_DATE('20140101','yyyymmdd'),TO_DATE('22000101','yyyymmdd'),'');</v>
      </c>
    </row>
    <row r="1102" spans="1:2" x14ac:dyDescent="0.25">
      <c r="A1102" t="str">
        <f>IF(REGLAS!J1103="OBSOLETO","","INSERT INTO INYCEXT.INYC_CONF_INF_REGLAS (COD_INFORME,TABLA,NOMBRE,REGLA,F_INICIO,F_FIN,DESCRIPCION) VALUES ("&amp;REGLAS!B1103&amp;",'"&amp;REGLAS!C1103&amp;"','"&amp;REGLAS!D1103&amp;"','"&amp;REGLAS!G1103&amp;"',TO_DATE('"&amp;REGLAS!H1103&amp;"','yyyymmdd'),TO_DATE('"&amp;REGLAS!I1103&amp;"','yyyymmdd'),'"&amp;REGLAS!J1103&amp;"');")</f>
        <v>INSERT INTO INYCEXT.INYC_CONF_INF_REGLAS (COD_INFORME,TABLA,NOMBRE,REGLA,F_INICIO,F_FIN,DESCRIPCION) VALUES (105.1,'INYC_PEPI_RESUMEN','SM - Nº Pólizas Corregidas Inspector RRTT Anual','SM-O-GEN-Inspector-NumeroPolizasCorregidas-001-TotalAnual',TO_DATE('20180101','yyyymmdd'),TO_DATE('22000101','yyyymmdd'),'Version 20180116');</v>
      </c>
      <c r="B1102" t="str">
        <f>IF(REGLAS!J1103="OBSOLETO","","INSERT INTO INYCEXT.INYC_CONF_INF_REGLAS@tc_link (COD_INFORME,TABLA,NOMBRE,REGLA,F_INICIO,F_FIN,DESCRIPCION) VALUES ("&amp;REGLAS!B1103&amp;",'"&amp;REGLAS!C1103&amp;"','"&amp;REGLAS!D1103&amp;"','"&amp;REGLAS!G1103&amp;"',TO_DATE('"&amp;REGLAS!H1103&amp;"','yyyymmdd'),TO_DATE('"&amp;REGLAS!I1103&amp;"','yyyymmdd'),'"&amp;REGLAS!J1103&amp;"');")</f>
        <v>INSERT INTO INYCEXT.INYC_CONF_INF_REGLAS@tc_link (COD_INFORME,TABLA,NOMBRE,REGLA,F_INICIO,F_FIN,DESCRIPCION) VALUES (105.1,'INYC_PEPI_RESUMEN','SM - Nº Pólizas Corregidas Inspector RRTT Anual','SM-O-GEN-Inspector-NumeroPolizasCorregidas-001-TotalAnual',TO_DATE('20180101','yyyymmdd'),TO_DATE('22000101','yyyymmdd'),'Version 20180116');</v>
      </c>
    </row>
    <row r="1103" spans="1:2" x14ac:dyDescent="0.25">
      <c r="A1103" t="str">
        <f>IF(REGLAS!J1104="OBSOLETO","","INSERT INTO INYCEXT.INYC_CONF_INF_REGLAS (COD_INFORME,TABLA,NOMBRE,REGLA,F_INICIO,F_FIN,DESCRIPCION) VALUES ("&amp;REGLAS!B1104&amp;",'"&amp;REGLAS!C1104&amp;"','"&amp;REGLAS!D1104&amp;"','"&amp;REGLAS!G1104&amp;"',TO_DATE('"&amp;REGLAS!H1104&amp;"','yyyymmdd'),TO_DATE('"&amp;REGLAS!I1104&amp;"','yyyymmdd'),'"&amp;REGLAS!J1104&amp;"');")</f>
        <v>INSERT INTO INYCEXT.INYC_CONF_INF_REGLAS (COD_INFORME,TABLA,NOMBRE,REGLA,F_INICIO,F_FIN,DESCRIPCION) VALUES (105.1,'INYC_PEPI_RESUMEN','SM - Nº Pólizas Corregidas Inspector Hogar Anual','SM-O-GEN-Inspector-NumeroPolizasCorregidas-002-TotalAnual',TO_DATE('20180101','yyyymmdd'),TO_DATE('22000101','yyyymmdd'),'Version 20180116');</v>
      </c>
      <c r="B1103" t="str">
        <f>IF(REGLAS!J1104="OBSOLETO","","INSERT INTO INYCEXT.INYC_CONF_INF_REGLAS@tc_link (COD_INFORME,TABLA,NOMBRE,REGLA,F_INICIO,F_FIN,DESCRIPCION) VALUES ("&amp;REGLAS!B1104&amp;",'"&amp;REGLAS!C1104&amp;"','"&amp;REGLAS!D1104&amp;"','"&amp;REGLAS!G1104&amp;"',TO_DATE('"&amp;REGLAS!H1104&amp;"','yyyymmdd'),TO_DATE('"&amp;REGLAS!I1104&amp;"','yyyymmdd'),'"&amp;REGLAS!J1104&amp;"');")</f>
        <v>INSERT INTO INYCEXT.INYC_CONF_INF_REGLAS@tc_link (COD_INFORME,TABLA,NOMBRE,REGLA,F_INICIO,F_FIN,DESCRIPCION) VALUES (105.1,'INYC_PEPI_RESUMEN','SM - Nº Pólizas Corregidas Inspector Hogar Anual','SM-O-GEN-Inspector-NumeroPolizasCorregidas-002-TotalAnual',TO_DATE('20180101','yyyymmdd'),TO_DATE('22000101','yyyymmdd'),'Version 20180116');</v>
      </c>
    </row>
    <row r="1104" spans="1:2" x14ac:dyDescent="0.25">
      <c r="A1104" t="str">
        <f>IF(REGLAS!J1105="OBSOLETO","","INSERT INTO INYCEXT.INYC_CONF_INF_REGLAS (COD_INFORME,TABLA,NOMBRE,REGLA,F_INICIO,F_FIN,DESCRIPCION) VALUES ("&amp;REGLAS!B1105&amp;",'"&amp;REGLAS!C1105&amp;"','"&amp;REGLAS!D1105&amp;"','"&amp;REGLAS!G1105&amp;"',TO_DATE('"&amp;REGLAS!H1105&amp;"','yyyymmdd'),TO_DATE('"&amp;REGLAS!I1105&amp;"','yyyymmdd'),'"&amp;REGLAS!J1105&amp;"');")</f>
        <v>INSERT INTO INYCEXT.INYC_CONF_INF_REGLAS (COD_INFORME,TABLA,NOMBRE,REGLA,F_INICIO,F_FIN,DESCRIPCION) VALUES (105.1,'INYC_PEPI_RESUMEN','SM - Nº Pólizas Corregidas Inspector Vida Riesgo Anual','SM-O-GEN-Inspector-NumeroPolizasCorregidas-003-TotalAnual',TO_DATE('20180101','yyyymmdd'),TO_DATE('22000101','yyyymmdd'),'Version 20180116');</v>
      </c>
      <c r="B1104" t="str">
        <f>IF(REGLAS!J1105="OBSOLETO","","INSERT INTO INYCEXT.INYC_CONF_INF_REGLAS@tc_link (COD_INFORME,TABLA,NOMBRE,REGLA,F_INICIO,F_FIN,DESCRIPCION) VALUES ("&amp;REGLAS!B1105&amp;",'"&amp;REGLAS!C1105&amp;"','"&amp;REGLAS!D1105&amp;"','"&amp;REGLAS!G1105&amp;"',TO_DATE('"&amp;REGLAS!H1105&amp;"','yyyymmdd'),TO_DATE('"&amp;REGLAS!I1105&amp;"','yyyymmdd'),'"&amp;REGLAS!J1105&amp;"');")</f>
        <v>INSERT INTO INYCEXT.INYC_CONF_INF_REGLAS@tc_link (COD_INFORME,TABLA,NOMBRE,REGLA,F_INICIO,F_FIN,DESCRIPCION) VALUES (105.1,'INYC_PEPI_RESUMEN','SM - Nº Pólizas Corregidas Inspector Vida Riesgo Anual','SM-O-GEN-Inspector-NumeroPolizasCorregidas-003-TotalAnual',TO_DATE('20180101','yyyymmdd'),TO_DATE('22000101','yyyymmdd'),'Version 20180116');</v>
      </c>
    </row>
    <row r="1105" spans="1:2" x14ac:dyDescent="0.25">
      <c r="A1105" t="str">
        <f>IF(REGLAS!J1106="OBSOLETO","","INSERT INTO INYCEXT.INYC_CONF_INF_REGLAS (COD_INFORME,TABLA,NOMBRE,REGLA,F_INICIO,F_FIN,DESCRIPCION) VALUES ("&amp;REGLAS!B1106&amp;",'"&amp;REGLAS!C1106&amp;"','"&amp;REGLAS!D1106&amp;"','"&amp;REGLAS!G1106&amp;"',TO_DATE('"&amp;REGLAS!H1106&amp;"','yyyymmdd'),TO_DATE('"&amp;REGLAS!I1106&amp;"','yyyymmdd'),'"&amp;REGLAS!J1106&amp;"');")</f>
        <v>INSERT INTO INYCEXT.INYC_CONF_INF_REGLAS (COD_INFORME,TABLA,NOMBRE,REGLA,F_INICIO,F_FIN,DESCRIPCION) VALUES (105.1,'INYC_PEPI_RESUMEN','SM - Nº Pólizas Corregidas Inspector Vida Ahorro Anual','SM-O-GEN-Inspector-NumeroPolizasCorregidas-004-TotalAnual',TO_DATE('20180101','yyyymmdd'),TO_DATE('22000101','yyyymmdd'),'Version 20180116');</v>
      </c>
      <c r="B1105" t="str">
        <f>IF(REGLAS!J1106="OBSOLETO","","INSERT INTO INYCEXT.INYC_CONF_INF_REGLAS@tc_link (COD_INFORME,TABLA,NOMBRE,REGLA,F_INICIO,F_FIN,DESCRIPCION) VALUES ("&amp;REGLAS!B1106&amp;",'"&amp;REGLAS!C1106&amp;"','"&amp;REGLAS!D1106&amp;"','"&amp;REGLAS!G1106&amp;"',TO_DATE('"&amp;REGLAS!H1106&amp;"','yyyymmdd'),TO_DATE('"&amp;REGLAS!I1106&amp;"','yyyymmdd'),'"&amp;REGLAS!J1106&amp;"');")</f>
        <v>INSERT INTO INYCEXT.INYC_CONF_INF_REGLAS@tc_link (COD_INFORME,TABLA,NOMBRE,REGLA,F_INICIO,F_FIN,DESCRIPCION) VALUES (105.1,'INYC_PEPI_RESUMEN','SM - Nº Pólizas Corregidas Inspector Vida Ahorro Anual','SM-O-GEN-Inspector-NumeroPolizasCorregidas-004-TotalAnual',TO_DATE('20180101','yyyymmdd'),TO_DATE('22000101','yyyymmdd'),'Version 20180116');</v>
      </c>
    </row>
    <row r="1106" spans="1:2" x14ac:dyDescent="0.25">
      <c r="A1106" t="str">
        <f>IF(REGLAS!J1107="OBSOLETO","","INSERT INTO INYCEXT.INYC_CONF_INF_REGLAS (COD_INFORME,TABLA,NOMBRE,REGLA,F_INICIO,F_FIN,DESCRIPCION) VALUES ("&amp;REGLAS!B1107&amp;",'"&amp;REGLAS!C1107&amp;"','"&amp;REGLAS!D1107&amp;"','"&amp;REGLAS!G1107&amp;"',TO_DATE('"&amp;REGLAS!H1107&amp;"','yyyymmdd'),TO_DATE('"&amp;REGLAS!I1107&amp;"','yyyymmdd'),'"&amp;REGLAS!J1107&amp;"');")</f>
        <v>INSERT INTO INYCEXT.INYC_CONF_INF_REGLAS (COD_INFORME,TABLA,NOMBRE,REGLA,F_INICIO,F_FIN,DESCRIPCION) VALUES (105.1,'INYC_PEPI_RESUMEN','SM - Nº Pólizas Corregidas Inspector Accidentes Anual','SM-O-GEN-Inspector-NumeroPolizasCorregidas-005-TotalAnual',TO_DATE('20180101','yyyymmdd'),TO_DATE('22000101','yyyymmdd'),'Version 20180116');</v>
      </c>
      <c r="B1106" t="str">
        <f>IF(REGLAS!J1107="OBSOLETO","","INSERT INTO INYCEXT.INYC_CONF_INF_REGLAS@tc_link (COD_INFORME,TABLA,NOMBRE,REGLA,F_INICIO,F_FIN,DESCRIPCION) VALUES ("&amp;REGLAS!B1107&amp;",'"&amp;REGLAS!C1107&amp;"','"&amp;REGLAS!D1107&amp;"','"&amp;REGLAS!G1107&amp;"',TO_DATE('"&amp;REGLAS!H1107&amp;"','yyyymmdd'),TO_DATE('"&amp;REGLAS!I1107&amp;"','yyyymmdd'),'"&amp;REGLAS!J1107&amp;"');")</f>
        <v>INSERT INTO INYCEXT.INYC_CONF_INF_REGLAS@tc_link (COD_INFORME,TABLA,NOMBRE,REGLA,F_INICIO,F_FIN,DESCRIPCION) VALUES (105.1,'INYC_PEPI_RESUMEN','SM - Nº Pólizas Corregidas Inspector Accidentes Anual','SM-O-GEN-Inspector-NumeroPolizasCorregidas-005-TotalAnual',TO_DATE('20180101','yyyymmdd'),TO_DATE('22000101','yyyymmdd'),'Version 20180116');</v>
      </c>
    </row>
    <row r="1107" spans="1:2" x14ac:dyDescent="0.25">
      <c r="A1107" t="str">
        <f>IF(REGLAS!J1108="OBSOLETO","","INSERT INTO INYCEXT.INYC_CONF_INF_REGLAS (COD_INFORME,TABLA,NOMBRE,REGLA,F_INICIO,F_FIN,DESCRIPCION) VALUES ("&amp;REGLAS!B1108&amp;",'"&amp;REGLAS!C1108&amp;"','"&amp;REGLAS!D1108&amp;"','"&amp;REGLAS!G1108&amp;"',TO_DATE('"&amp;REGLAS!H1108&amp;"','yyyymmdd'),TO_DATE('"&amp;REGLAS!I1108&amp;"','yyyymmdd'),'"&amp;REGLAS!J1108&amp;"');")</f>
        <v>INSERT INTO INYCEXT.INYC_CONF_INF_REGLAS (COD_INFORME,TABLA,NOMBRE,REGLA,F_INICIO,F_FIN,DESCRIPCION) VALUES (105.1,'INYC_PEPI_RESUMEN','SM - Nº Pólizas Corregidas Inspector Resto Productos Anual','SM-O-GEN-Inspector-NumeroPolizasCorregidas-006-TotalAnual',TO_DATE('20180101','yyyymmdd'),TO_DATE('22000101','yyyymmdd'),'Version 20180116');</v>
      </c>
      <c r="B1107" t="str">
        <f>IF(REGLAS!J1108="OBSOLETO","","INSERT INTO INYCEXT.INYC_CONF_INF_REGLAS@tc_link (COD_INFORME,TABLA,NOMBRE,REGLA,F_INICIO,F_FIN,DESCRIPCION) VALUES ("&amp;REGLAS!B1108&amp;",'"&amp;REGLAS!C1108&amp;"','"&amp;REGLAS!D1108&amp;"','"&amp;REGLAS!G1108&amp;"',TO_DATE('"&amp;REGLAS!H1108&amp;"','yyyymmdd'),TO_DATE('"&amp;REGLAS!I1108&amp;"','yyyymmdd'),'"&amp;REGLAS!J1108&amp;"');")</f>
        <v>INSERT INTO INYCEXT.INYC_CONF_INF_REGLAS@tc_link (COD_INFORME,TABLA,NOMBRE,REGLA,F_INICIO,F_FIN,DESCRIPCION) VALUES (105.1,'INYC_PEPI_RESUMEN','SM - Nº Pólizas Corregidas Inspector Resto Productos Anual','SM-O-GEN-Inspector-NumeroPolizasCorregidas-006-TotalAnual',TO_DATE('20180101','yyyymmdd'),TO_DATE('22000101','yyyymmdd'),'Version 20180116');</v>
      </c>
    </row>
    <row r="1108" spans="1:2" x14ac:dyDescent="0.25">
      <c r="A1108" t="str">
        <f>IF(REGLAS!J1109="OBSOLETO","","INSERT INTO INYCEXT.INYC_CONF_INF_REGLAS (COD_INFORME,TABLA,NOMBRE,REGLA,F_INICIO,F_FIN,DESCRIPCION) VALUES ("&amp;REGLAS!B1109&amp;",'"&amp;REGLAS!C1109&amp;"','"&amp;REGLAS!D1109&amp;"','"&amp;REGLAS!G1109&amp;"',TO_DATE('"&amp;REGLAS!H1109&amp;"','yyyymmdd'),TO_DATE('"&amp;REGLAS!I1109&amp;"','yyyymmdd'),'"&amp;REGLAS!J1109&amp;"');")</f>
        <v>INSERT INTO INYCEXT.INYC_CONF_INF_REGLAS (COD_INFORME,TABLA,NOMBRE,REGLA,F_INICIO,F_FIN,DESCRIPCION) VALUES (105.1,'INYC_PEPI_RESUMEN','SM - Nº Pólizas Corregidas Inspector Ocaso Oro Anual','SM-O-GEN-Inspector-NumeroPolizasCorregidas-007-TotalAnual',TO_DATE('20180101','yyyymmdd'),TO_DATE('22000101','yyyymmdd'),'Version 20180116');</v>
      </c>
      <c r="B1108" t="str">
        <f>IF(REGLAS!J1109="OBSOLETO","","INSERT INTO INYCEXT.INYC_CONF_INF_REGLAS@tc_link (COD_INFORME,TABLA,NOMBRE,REGLA,F_INICIO,F_FIN,DESCRIPCION) VALUES ("&amp;REGLAS!B1109&amp;",'"&amp;REGLAS!C1109&amp;"','"&amp;REGLAS!D1109&amp;"','"&amp;REGLAS!G1109&amp;"',TO_DATE('"&amp;REGLAS!H1109&amp;"','yyyymmdd'),TO_DATE('"&amp;REGLAS!I1109&amp;"','yyyymmdd'),'"&amp;REGLAS!J1109&amp;"');")</f>
        <v>INSERT INTO INYCEXT.INYC_CONF_INF_REGLAS@tc_link (COD_INFORME,TABLA,NOMBRE,REGLA,F_INICIO,F_FIN,DESCRIPCION) VALUES (105.1,'INYC_PEPI_RESUMEN','SM - Nº Pólizas Corregidas Inspector Ocaso Oro Anual','SM-O-GEN-Inspector-NumeroPolizasCorregidas-007-TotalAnual',TO_DATE('20180101','yyyymmdd'),TO_DATE('22000101','yyyymmdd'),'Version 20180116');</v>
      </c>
    </row>
    <row r="1109" spans="1:2" x14ac:dyDescent="0.25">
      <c r="A1109" t="str">
        <f>IF(REGLAS!J1110="OBSOLETO","","INSERT INTO INYCEXT.INYC_CONF_INF_REGLAS (COD_INFORME,TABLA,NOMBRE,REGLA,F_INICIO,F_FIN,DESCRIPCION) VALUES ("&amp;REGLAS!B1110&amp;",'"&amp;REGLAS!C1110&amp;"','"&amp;REGLAS!D1110&amp;"','"&amp;REGLAS!G1110&amp;"',TO_DATE('"&amp;REGLAS!H1110&amp;"','yyyymmdd'),TO_DATE('"&amp;REGLAS!I1110&amp;"','yyyymmdd'),'"&amp;REGLAS!J1110&amp;"');")</f>
        <v>INSERT INTO INYCEXT.INYC_CONF_INF_REGLAS (COD_INFORME,TABLA,NOMBRE,REGLA,F_INICIO,F_FIN,DESCRIPCION) VALUES (105.1,'INYC_PEPI_RESUMEN','SM - Nº Pólizas Corregidas Inspector Comunidades Anual','SM-O-GEN-Inspector-NumeroPolizasCorregidas-008-TotalAnual',TO_DATE('20180101','yyyymmdd'),TO_DATE('22000101','yyyymmdd'),'Version 20180116');</v>
      </c>
      <c r="B1109" t="str">
        <f>IF(REGLAS!J1110="OBSOLETO","","INSERT INTO INYCEXT.INYC_CONF_INF_REGLAS@tc_link (COD_INFORME,TABLA,NOMBRE,REGLA,F_INICIO,F_FIN,DESCRIPCION) VALUES ("&amp;REGLAS!B1110&amp;",'"&amp;REGLAS!C1110&amp;"','"&amp;REGLAS!D1110&amp;"','"&amp;REGLAS!G1110&amp;"',TO_DATE('"&amp;REGLAS!H1110&amp;"','yyyymmdd'),TO_DATE('"&amp;REGLAS!I1110&amp;"','yyyymmdd'),'"&amp;REGLAS!J1110&amp;"');")</f>
        <v>INSERT INTO INYCEXT.INYC_CONF_INF_REGLAS@tc_link (COD_INFORME,TABLA,NOMBRE,REGLA,F_INICIO,F_FIN,DESCRIPCION) VALUES (105.1,'INYC_PEPI_RESUMEN','SM - Nº Pólizas Corregidas Inspector Comunidades Anual','SM-O-GEN-Inspector-NumeroPolizasCorregidas-008-TotalAnual',TO_DATE('20180101','yyyymmdd'),TO_DATE('22000101','yyyymmdd'),'Version 20180116');</v>
      </c>
    </row>
    <row r="1110" spans="1:2" x14ac:dyDescent="0.25">
      <c r="A1110" t="str">
        <f>IF(REGLAS!J1111="OBSOLETO","","INSERT INTO INYCEXT.INYC_CONF_INF_REGLAS (COD_INFORME,TABLA,NOMBRE,REGLA,F_INICIO,F_FIN,DESCRIPCION) VALUES ("&amp;REGLAS!B1111&amp;",'"&amp;REGLAS!C1111&amp;"','"&amp;REGLAS!D1111&amp;"','"&amp;REGLAS!G1111&amp;"',TO_DATE('"&amp;REGLAS!H1111&amp;"','yyyymmdd'),TO_DATE('"&amp;REGLAS!I1111&amp;"','yyyymmdd'),'"&amp;REGLAS!J1111&amp;"');")</f>
        <v>INSERT INTO INYCEXT.INYC_CONF_INF_REGLAS (COD_INFORME,TABLA,NOMBRE,REGLA,F_INICIO,F_FIN,DESCRIPCION) VALUES (105.1,'INYC_PEPI_RESUMEN','SM - Nº Pólizas Corregidas Inspector Pyme Express Anual','SM-O-GEN-Inspector-NumeroPolizasCorregidas-009-TotalAnual',TO_DATE('20180101','yyyymmdd'),TO_DATE('22000101','yyyymmdd'),'Version 20180116');</v>
      </c>
      <c r="B1110" t="str">
        <f>IF(REGLAS!J1111="OBSOLETO","","INSERT INTO INYCEXT.INYC_CONF_INF_REGLAS@tc_link (COD_INFORME,TABLA,NOMBRE,REGLA,F_INICIO,F_FIN,DESCRIPCION) VALUES ("&amp;REGLAS!B1111&amp;",'"&amp;REGLAS!C1111&amp;"','"&amp;REGLAS!D1111&amp;"','"&amp;REGLAS!G1111&amp;"',TO_DATE('"&amp;REGLAS!H1111&amp;"','yyyymmdd'),TO_DATE('"&amp;REGLAS!I1111&amp;"','yyyymmdd'),'"&amp;REGLAS!J1111&amp;"');")</f>
        <v>INSERT INTO INYCEXT.INYC_CONF_INF_REGLAS@tc_link (COD_INFORME,TABLA,NOMBRE,REGLA,F_INICIO,F_FIN,DESCRIPCION) VALUES (105.1,'INYC_PEPI_RESUMEN','SM - Nº Pólizas Corregidas Inspector Pyme Express Anual','SM-O-GEN-Inspector-NumeroPolizasCorregidas-009-TotalAnual',TO_DATE('20180101','yyyymmdd'),TO_DATE('22000101','yyyymmdd'),'Version 20180116');</v>
      </c>
    </row>
    <row r="1111" spans="1:2" x14ac:dyDescent="0.25">
      <c r="A1111" t="str">
        <f>IF(REGLAS!J1112="OBSOLETO","","INSERT INTO INYCEXT.INYC_CONF_INF_REGLAS (COD_INFORME,TABLA,NOMBRE,REGLA,F_INICIO,F_FIN,DESCRIPCION) VALUES ("&amp;REGLAS!B1112&amp;",'"&amp;REGLAS!C1112&amp;"','"&amp;REGLAS!D1112&amp;"','"&amp;REGLAS!G1112&amp;"',TO_DATE('"&amp;REGLAS!H1112&amp;"','yyyymmdd'),TO_DATE('"&amp;REGLAS!I1112&amp;"','yyyymmdd'),'"&amp;REGLAS!J1112&amp;"');")</f>
        <v>INSERT INTO INYCEXT.INYC_CONF_INF_REGLAS (COD_INFORME,TABLA,NOMBRE,REGLA,F_INICIO,F_FIN,DESCRIPCION) VALUES (105.1,'INYC_PEPI_RESUMEN','SM - Nº Pólizas Corregidas Inspector RRPP (excl PU y conv/colec) Anual','SM-O-GEN-Inspector-NumeroPolizasCorregidas-906-TotalAnual',TO_DATE('20180101','yyyymmdd'),TO_DATE('22000101','yyyymmdd'),'Version 20180116');</v>
      </c>
      <c r="B1111" t="str">
        <f>IF(REGLAS!J1112="OBSOLETO","","INSERT INTO INYCEXT.INYC_CONF_INF_REGLAS@tc_link (COD_INFORME,TABLA,NOMBRE,REGLA,F_INICIO,F_FIN,DESCRIPCION) VALUES ("&amp;REGLAS!B1112&amp;",'"&amp;REGLAS!C1112&amp;"','"&amp;REGLAS!D1112&amp;"','"&amp;REGLAS!G1112&amp;"',TO_DATE('"&amp;REGLAS!H1112&amp;"','yyyymmdd'),TO_DATE('"&amp;REGLAS!I1112&amp;"','yyyymmdd'),'"&amp;REGLAS!J1112&amp;"');")</f>
        <v>INSERT INTO INYCEXT.INYC_CONF_INF_REGLAS@tc_link (COD_INFORME,TABLA,NOMBRE,REGLA,F_INICIO,F_FIN,DESCRIPCION) VALUES (105.1,'INYC_PEPI_RESUMEN','SM - Nº Pólizas Corregidas Inspector RRPP (excl PU y conv/colec) Anual','SM-O-GEN-Inspector-NumeroPolizasCorregidas-906-TotalAnual',TO_DATE('20180101','yyyymmdd'),TO_DATE('22000101','yyyymmdd'),'Version 20180116');</v>
      </c>
    </row>
    <row r="1112" spans="1:2" x14ac:dyDescent="0.25">
      <c r="A1112" t="str">
        <f>IF(REGLAS!J1113="OBSOLETO","","INSERT INTO INYCEXT.INYC_CONF_INF_REGLAS (COD_INFORME,TABLA,NOMBRE,REGLA,F_INICIO,F_FIN,DESCRIPCION) VALUES ("&amp;REGLAS!B1113&amp;",'"&amp;REGLAS!C1113&amp;"','"&amp;REGLAS!D1113&amp;"','"&amp;REGLAS!G1113&amp;"',TO_DATE('"&amp;REGLAS!H1113&amp;"','yyyymmdd'),TO_DATE('"&amp;REGLAS!I1113&amp;"','yyyymmdd'),'"&amp;REGLAS!J1113&amp;"');")</f>
        <v>INSERT INTO INYCEXT.INYC_CONF_INF_REGLAS (COD_INFORME,TABLA,NOMBRE,REGLA,F_INICIO,F_FIN,DESCRIPCION) VALUES (105.1,'INYC_PEPI_RESUMEN','SM - Nº Pólizas Corregidas Inspector Prod. Prioritarios Anual','SM-O-GEN-Inspector-NumeroPolizasCorregidas-997-TotalAnual',TO_DATE('20180101','yyyymmdd'),TO_DATE('22000101','yyyymmdd'),'Version 20180116');</v>
      </c>
      <c r="B1112" t="str">
        <f>IF(REGLAS!J1113="OBSOLETO","","INSERT INTO INYCEXT.INYC_CONF_INF_REGLAS@tc_link (COD_INFORME,TABLA,NOMBRE,REGLA,F_INICIO,F_FIN,DESCRIPCION) VALUES ("&amp;REGLAS!B1113&amp;",'"&amp;REGLAS!C1113&amp;"','"&amp;REGLAS!D1113&amp;"','"&amp;REGLAS!G1113&amp;"',TO_DATE('"&amp;REGLAS!H1113&amp;"','yyyymmdd'),TO_DATE('"&amp;REGLAS!I1113&amp;"','yyyymmdd'),'"&amp;REGLAS!J1113&amp;"');")</f>
        <v>INSERT INTO INYCEXT.INYC_CONF_INF_REGLAS@tc_link (COD_INFORME,TABLA,NOMBRE,REGLA,F_INICIO,F_FIN,DESCRIPCION) VALUES (105.1,'INYC_PEPI_RESUMEN','SM - Nº Pólizas Corregidas Inspector Prod. Prioritarios Anual','SM-O-GEN-Inspector-NumeroPolizasCorregidas-997-TotalAnual',TO_DATE('20180101','yyyymmdd'),TO_DATE('22000101','yyyymmdd'),'Version 20180116');</v>
      </c>
    </row>
    <row r="1113" spans="1:2" x14ac:dyDescent="0.25">
      <c r="A1113" t="str">
        <f>IF(REGLAS!J1114="OBSOLETO","","INSERT INTO INYCEXT.INYC_CONF_INF_REGLAS (COD_INFORME,TABLA,NOMBRE,REGLA,F_INICIO,F_FIN,DESCRIPCION) VALUES ("&amp;REGLAS!B1114&amp;",'"&amp;REGLAS!C1114&amp;"','"&amp;REGLAS!D1114&amp;"','"&amp;REGLAS!G1114&amp;"',TO_DATE('"&amp;REGLAS!H1114&amp;"','yyyymmdd'),TO_DATE('"&amp;REGLAS!I1114&amp;"','yyyymmdd'),'"&amp;REGLAS!J1114&amp;"');")</f>
        <v>INSERT INTO INYCEXT.INYC_CONF_INF_REGLAS (COD_INFORME,TABLA,NOMBRE,REGLA,F_INICIO,F_FIN,DESCRIPCION) VALUES (105.1,'INYC_PEPI_RESUMEN','SM - Nº Pólizas Corregidas Inspector Total Productos Anual','SM-O-GEN-Inspector-NumeroPolizasCorregidas-998-TotalAnual',TO_DATE('20180101','yyyymmdd'),TO_DATE('22000101','yyyymmdd'),'Version 20180116');</v>
      </c>
      <c r="B1113" t="str">
        <f>IF(REGLAS!J1114="OBSOLETO","","INSERT INTO INYCEXT.INYC_CONF_INF_REGLAS@tc_link (COD_INFORME,TABLA,NOMBRE,REGLA,F_INICIO,F_FIN,DESCRIPCION) VALUES ("&amp;REGLAS!B1114&amp;",'"&amp;REGLAS!C1114&amp;"','"&amp;REGLAS!D1114&amp;"','"&amp;REGLAS!G1114&amp;"',TO_DATE('"&amp;REGLAS!H1114&amp;"','yyyymmdd'),TO_DATE('"&amp;REGLAS!I1114&amp;"','yyyymmdd'),'"&amp;REGLAS!J1114&amp;"');")</f>
        <v>INSERT INTO INYCEXT.INYC_CONF_INF_REGLAS@tc_link (COD_INFORME,TABLA,NOMBRE,REGLA,F_INICIO,F_FIN,DESCRIPCION) VALUES (105.1,'INYC_PEPI_RESUMEN','SM - Nº Pólizas Corregidas Inspector Total Productos Anual','SM-O-GEN-Inspector-NumeroPolizasCorregidas-998-TotalAnual',TO_DATE('20180101','yyyymmdd'),TO_DATE('22000101','yyyymmdd'),'Version 20180116');</v>
      </c>
    </row>
    <row r="1114" spans="1:2" x14ac:dyDescent="0.25">
      <c r="A1114" t="str">
        <f>IF(REGLAS!J1115="OBSOLETO","","INSERT INTO INYCEXT.INYC_CONF_INF_REGLAS (COD_INFORME,TABLA,NOMBRE,REGLA,F_INICIO,F_FIN,DESCRIPCION) VALUES ("&amp;REGLAS!B1115&amp;",'"&amp;REGLAS!C1115&amp;"','"&amp;REGLAS!D1115&amp;"','"&amp;REGLAS!G1115&amp;"',TO_DATE('"&amp;REGLAS!H1115&amp;"','yyyymmdd'),TO_DATE('"&amp;REGLAS!I1115&amp;"','yyyymmdd'),'"&amp;REGLAS!J1115&amp;"');")</f>
        <v>INSERT INTO INYCEXT.INYC_CONF_INF_REGLAS (COD_INFORME,TABLA,NOMBRE,REGLA,F_INICIO,F_FIN,DESCRIPCION) VALUES (105.1,'INYC_PEPI_RESUMEN','SM - Prima Inspector RRTT Anual','SM-O-GEN-Inspector-Prima-001-TotalAnual',TO_DATE('20140101','yyyymmdd'),TO_DATE('22000101','yyyymmdd'),'');</v>
      </c>
      <c r="B1114" t="str">
        <f>IF(REGLAS!J1115="OBSOLETO","","INSERT INTO INYCEXT.INYC_CONF_INF_REGLAS@tc_link (COD_INFORME,TABLA,NOMBRE,REGLA,F_INICIO,F_FIN,DESCRIPCION) VALUES ("&amp;REGLAS!B1115&amp;",'"&amp;REGLAS!C1115&amp;"','"&amp;REGLAS!D1115&amp;"','"&amp;REGLAS!G1115&amp;"',TO_DATE('"&amp;REGLAS!H1115&amp;"','yyyymmdd'),TO_DATE('"&amp;REGLAS!I1115&amp;"','yyyymmdd'),'"&amp;REGLAS!J1115&amp;"');")</f>
        <v>INSERT INTO INYCEXT.INYC_CONF_INF_REGLAS@tc_link (COD_INFORME,TABLA,NOMBRE,REGLA,F_INICIO,F_FIN,DESCRIPCION) VALUES (105.1,'INYC_PEPI_RESUMEN','SM - Prima Inspector RRTT Anual','SM-O-GEN-Inspector-Prima-001-TotalAnual',TO_DATE('20140101','yyyymmdd'),TO_DATE('22000101','yyyymmdd'),'');</v>
      </c>
    </row>
    <row r="1115" spans="1:2" x14ac:dyDescent="0.25">
      <c r="A1115" t="str">
        <f>IF(REGLAS!J1116="OBSOLETO","","INSERT INTO INYCEXT.INYC_CONF_INF_REGLAS (COD_INFORME,TABLA,NOMBRE,REGLA,F_INICIO,F_FIN,DESCRIPCION) VALUES ("&amp;REGLAS!B1116&amp;",'"&amp;REGLAS!C1116&amp;"','"&amp;REGLAS!D1116&amp;"','"&amp;REGLAS!G1116&amp;"',TO_DATE('"&amp;REGLAS!H1116&amp;"','yyyymmdd'),TO_DATE('"&amp;REGLAS!I1116&amp;"','yyyymmdd'),'"&amp;REGLAS!J1116&amp;"');")</f>
        <v>INSERT INTO INYCEXT.INYC_CONF_INF_REGLAS (COD_INFORME,TABLA,NOMBRE,REGLA,F_INICIO,F_FIN,DESCRIPCION) VALUES (105.1,'INYC_PEPI_RESUMEN','SM - Prima Inspector Hogar Anual','SM-O-GEN-Inspector-Prima-002-TotalAnual',TO_DATE('20140101','yyyymmdd'),TO_DATE('22000101','yyyymmdd'),'');</v>
      </c>
      <c r="B1115" t="str">
        <f>IF(REGLAS!J1116="OBSOLETO","","INSERT INTO INYCEXT.INYC_CONF_INF_REGLAS@tc_link (COD_INFORME,TABLA,NOMBRE,REGLA,F_INICIO,F_FIN,DESCRIPCION) VALUES ("&amp;REGLAS!B1116&amp;",'"&amp;REGLAS!C1116&amp;"','"&amp;REGLAS!D1116&amp;"','"&amp;REGLAS!G1116&amp;"',TO_DATE('"&amp;REGLAS!H1116&amp;"','yyyymmdd'),TO_DATE('"&amp;REGLAS!I1116&amp;"','yyyymmdd'),'"&amp;REGLAS!J1116&amp;"');")</f>
        <v>INSERT INTO INYCEXT.INYC_CONF_INF_REGLAS@tc_link (COD_INFORME,TABLA,NOMBRE,REGLA,F_INICIO,F_FIN,DESCRIPCION) VALUES (105.1,'INYC_PEPI_RESUMEN','SM - Prima Inspector Hogar Anual','SM-O-GEN-Inspector-Prima-002-TotalAnual',TO_DATE('20140101','yyyymmdd'),TO_DATE('22000101','yyyymmdd'),'');</v>
      </c>
    </row>
    <row r="1116" spans="1:2" x14ac:dyDescent="0.25">
      <c r="A1116" t="str">
        <f>IF(REGLAS!J1117="OBSOLETO","","INSERT INTO INYCEXT.INYC_CONF_INF_REGLAS (COD_INFORME,TABLA,NOMBRE,REGLA,F_INICIO,F_FIN,DESCRIPCION) VALUES ("&amp;REGLAS!B1117&amp;",'"&amp;REGLAS!C1117&amp;"','"&amp;REGLAS!D1117&amp;"','"&amp;REGLAS!G1117&amp;"',TO_DATE('"&amp;REGLAS!H1117&amp;"','yyyymmdd'),TO_DATE('"&amp;REGLAS!I1117&amp;"','yyyymmdd'),'"&amp;REGLAS!J1117&amp;"');")</f>
        <v>INSERT INTO INYCEXT.INYC_CONF_INF_REGLAS (COD_INFORME,TABLA,NOMBRE,REGLA,F_INICIO,F_FIN,DESCRIPCION) VALUES (105.1,'INYC_PEPI_RESUMEN','SM - Prima Inspector Vida Riesgo Anual','SM-O-GEN-Inspector-Prima-003-TotalAnual',TO_DATE('20140101','yyyymmdd'),TO_DATE('22000101','yyyymmdd'),'');</v>
      </c>
      <c r="B1116" t="str">
        <f>IF(REGLAS!J1117="OBSOLETO","","INSERT INTO INYCEXT.INYC_CONF_INF_REGLAS@tc_link (COD_INFORME,TABLA,NOMBRE,REGLA,F_INICIO,F_FIN,DESCRIPCION) VALUES ("&amp;REGLAS!B1117&amp;",'"&amp;REGLAS!C1117&amp;"','"&amp;REGLAS!D1117&amp;"','"&amp;REGLAS!G1117&amp;"',TO_DATE('"&amp;REGLAS!H1117&amp;"','yyyymmdd'),TO_DATE('"&amp;REGLAS!I1117&amp;"','yyyymmdd'),'"&amp;REGLAS!J1117&amp;"');")</f>
        <v>INSERT INTO INYCEXT.INYC_CONF_INF_REGLAS@tc_link (COD_INFORME,TABLA,NOMBRE,REGLA,F_INICIO,F_FIN,DESCRIPCION) VALUES (105.1,'INYC_PEPI_RESUMEN','SM - Prima Inspector Vida Riesgo Anual','SM-O-GEN-Inspector-Prima-003-TotalAnual',TO_DATE('20140101','yyyymmdd'),TO_DATE('22000101','yyyymmdd'),'');</v>
      </c>
    </row>
    <row r="1117" spans="1:2" x14ac:dyDescent="0.25">
      <c r="A1117" t="str">
        <f>IF(REGLAS!J1118="OBSOLETO","","INSERT INTO INYCEXT.INYC_CONF_INF_REGLAS (COD_INFORME,TABLA,NOMBRE,REGLA,F_INICIO,F_FIN,DESCRIPCION) VALUES ("&amp;REGLAS!B1118&amp;",'"&amp;REGLAS!C1118&amp;"','"&amp;REGLAS!D1118&amp;"','"&amp;REGLAS!G1118&amp;"',TO_DATE('"&amp;REGLAS!H1118&amp;"','yyyymmdd'),TO_DATE('"&amp;REGLAS!I1118&amp;"','yyyymmdd'),'"&amp;REGLAS!J1118&amp;"');")</f>
        <v>INSERT INTO INYCEXT.INYC_CONF_INF_REGLAS (COD_INFORME,TABLA,NOMBRE,REGLA,F_INICIO,F_FIN,DESCRIPCION) VALUES (105.1,'INYC_PEPI_RESUMEN','SM - Prima Inspector Vida Ahorro Anual','SM-O-GEN-Inspector-Prima-004-TotalAnual',TO_DATE('20140101','yyyymmdd'),TO_DATE('22000101','yyyymmdd'),'');</v>
      </c>
      <c r="B1117" t="str">
        <f>IF(REGLAS!J1118="OBSOLETO","","INSERT INTO INYCEXT.INYC_CONF_INF_REGLAS@tc_link (COD_INFORME,TABLA,NOMBRE,REGLA,F_INICIO,F_FIN,DESCRIPCION) VALUES ("&amp;REGLAS!B1118&amp;",'"&amp;REGLAS!C1118&amp;"','"&amp;REGLAS!D1118&amp;"','"&amp;REGLAS!G1118&amp;"',TO_DATE('"&amp;REGLAS!H1118&amp;"','yyyymmdd'),TO_DATE('"&amp;REGLAS!I1118&amp;"','yyyymmdd'),'"&amp;REGLAS!J1118&amp;"');")</f>
        <v>INSERT INTO INYCEXT.INYC_CONF_INF_REGLAS@tc_link (COD_INFORME,TABLA,NOMBRE,REGLA,F_INICIO,F_FIN,DESCRIPCION) VALUES (105.1,'INYC_PEPI_RESUMEN','SM - Prima Inspector Vida Ahorro Anual','SM-O-GEN-Inspector-Prima-004-TotalAnual',TO_DATE('20140101','yyyymmdd'),TO_DATE('22000101','yyyymmdd'),'');</v>
      </c>
    </row>
    <row r="1118" spans="1:2" x14ac:dyDescent="0.25">
      <c r="A1118" t="str">
        <f>IF(REGLAS!J1119="OBSOLETO","","INSERT INTO INYCEXT.INYC_CONF_INF_REGLAS (COD_INFORME,TABLA,NOMBRE,REGLA,F_INICIO,F_FIN,DESCRIPCION) VALUES ("&amp;REGLAS!B1119&amp;",'"&amp;REGLAS!C1119&amp;"','"&amp;REGLAS!D1119&amp;"','"&amp;REGLAS!G1119&amp;"',TO_DATE('"&amp;REGLAS!H1119&amp;"','yyyymmdd'),TO_DATE('"&amp;REGLAS!I1119&amp;"','yyyymmdd'),'"&amp;REGLAS!J1119&amp;"');")</f>
        <v>INSERT INTO INYCEXT.INYC_CONF_INF_REGLAS (COD_INFORME,TABLA,NOMBRE,REGLA,F_INICIO,F_FIN,DESCRIPCION) VALUES (105.1,'INYC_PEPI_RESUMEN','SM - Prima Inspector Accidentes Anual','SM-O-GEN-Inspector-Prima-005-TotalAnual',TO_DATE('20140101','yyyymmdd'),TO_DATE('22000101','yyyymmdd'),'');</v>
      </c>
      <c r="B1118" t="str">
        <f>IF(REGLAS!J1119="OBSOLETO","","INSERT INTO INYCEXT.INYC_CONF_INF_REGLAS@tc_link (COD_INFORME,TABLA,NOMBRE,REGLA,F_INICIO,F_FIN,DESCRIPCION) VALUES ("&amp;REGLAS!B1119&amp;",'"&amp;REGLAS!C1119&amp;"','"&amp;REGLAS!D1119&amp;"','"&amp;REGLAS!G1119&amp;"',TO_DATE('"&amp;REGLAS!H1119&amp;"','yyyymmdd'),TO_DATE('"&amp;REGLAS!I1119&amp;"','yyyymmdd'),'"&amp;REGLAS!J1119&amp;"');")</f>
        <v>INSERT INTO INYCEXT.INYC_CONF_INF_REGLAS@tc_link (COD_INFORME,TABLA,NOMBRE,REGLA,F_INICIO,F_FIN,DESCRIPCION) VALUES (105.1,'INYC_PEPI_RESUMEN','SM - Prima Inspector Accidentes Anual','SM-O-GEN-Inspector-Prima-005-TotalAnual',TO_DATE('20140101','yyyymmdd'),TO_DATE('22000101','yyyymmdd'),'');</v>
      </c>
    </row>
    <row r="1119" spans="1:2" x14ac:dyDescent="0.25">
      <c r="A1119" t="str">
        <f>IF(REGLAS!J1120="OBSOLETO","","INSERT INTO INYCEXT.INYC_CONF_INF_REGLAS (COD_INFORME,TABLA,NOMBRE,REGLA,F_INICIO,F_FIN,DESCRIPCION) VALUES ("&amp;REGLAS!B1120&amp;",'"&amp;REGLAS!C1120&amp;"','"&amp;REGLAS!D1120&amp;"','"&amp;REGLAS!G1120&amp;"',TO_DATE('"&amp;REGLAS!H1120&amp;"','yyyymmdd'),TO_DATE('"&amp;REGLAS!I1120&amp;"','yyyymmdd'),'"&amp;REGLAS!J1120&amp;"');")</f>
        <v>INSERT INTO INYCEXT.INYC_CONF_INF_REGLAS (COD_INFORME,TABLA,NOMBRE,REGLA,F_INICIO,F_FIN,DESCRIPCION) VALUES (105.1,'INYC_PEPI_RESUMEN','SM - Prima Inspector Resto Productos Anual','SM-O-GEN-Inspector-Prima-006-TotalAnual',TO_DATE('20140101','yyyymmdd'),TO_DATE('22000101','yyyymmdd'),'');</v>
      </c>
      <c r="B1119" t="str">
        <f>IF(REGLAS!J1120="OBSOLETO","","INSERT INTO INYCEXT.INYC_CONF_INF_REGLAS@tc_link (COD_INFORME,TABLA,NOMBRE,REGLA,F_INICIO,F_FIN,DESCRIPCION) VALUES ("&amp;REGLAS!B1120&amp;",'"&amp;REGLAS!C1120&amp;"','"&amp;REGLAS!D1120&amp;"','"&amp;REGLAS!G1120&amp;"',TO_DATE('"&amp;REGLAS!H1120&amp;"','yyyymmdd'),TO_DATE('"&amp;REGLAS!I1120&amp;"','yyyymmdd'),'"&amp;REGLAS!J1120&amp;"');")</f>
        <v>INSERT INTO INYCEXT.INYC_CONF_INF_REGLAS@tc_link (COD_INFORME,TABLA,NOMBRE,REGLA,F_INICIO,F_FIN,DESCRIPCION) VALUES (105.1,'INYC_PEPI_RESUMEN','SM - Prima Inspector Resto Productos Anual','SM-O-GEN-Inspector-Prima-006-TotalAnual',TO_DATE('20140101','yyyymmdd'),TO_DATE('22000101','yyyymmdd'),'');</v>
      </c>
    </row>
    <row r="1120" spans="1:2" x14ac:dyDescent="0.25">
      <c r="A1120" t="str">
        <f>IF(REGLAS!J1121="OBSOLETO","","INSERT INTO INYCEXT.INYC_CONF_INF_REGLAS (COD_INFORME,TABLA,NOMBRE,REGLA,F_INICIO,F_FIN,DESCRIPCION) VALUES ("&amp;REGLAS!B1121&amp;",'"&amp;REGLAS!C1121&amp;"','"&amp;REGLAS!D1121&amp;"','"&amp;REGLAS!G1121&amp;"',TO_DATE('"&amp;REGLAS!H1121&amp;"','yyyymmdd'),TO_DATE('"&amp;REGLAS!I1121&amp;"','yyyymmdd'),'"&amp;REGLAS!J1121&amp;"');")</f>
        <v>INSERT INTO INYCEXT.INYC_CONF_INF_REGLAS (COD_INFORME,TABLA,NOMBRE,REGLA,F_INICIO,F_FIN,DESCRIPCION) VALUES (105.1,'INYC_PEPI_RESUMEN','SM - Prima Inspector OCASO Oro Anual','SM-O-GEN-Inspector-Prima-007-TotalAnual',TO_DATE('20140101','yyyymmdd'),TO_DATE('22000101','yyyymmdd'),'');</v>
      </c>
      <c r="B1120" t="str">
        <f>IF(REGLAS!J1121="OBSOLETO","","INSERT INTO INYCEXT.INYC_CONF_INF_REGLAS@tc_link (COD_INFORME,TABLA,NOMBRE,REGLA,F_INICIO,F_FIN,DESCRIPCION) VALUES ("&amp;REGLAS!B1121&amp;",'"&amp;REGLAS!C1121&amp;"','"&amp;REGLAS!D1121&amp;"','"&amp;REGLAS!G1121&amp;"',TO_DATE('"&amp;REGLAS!H1121&amp;"','yyyymmdd'),TO_DATE('"&amp;REGLAS!I1121&amp;"','yyyymmdd'),'"&amp;REGLAS!J1121&amp;"');")</f>
        <v>INSERT INTO INYCEXT.INYC_CONF_INF_REGLAS@tc_link (COD_INFORME,TABLA,NOMBRE,REGLA,F_INICIO,F_FIN,DESCRIPCION) VALUES (105.1,'INYC_PEPI_RESUMEN','SM - Prima Inspector OCASO Oro Anual','SM-O-GEN-Inspector-Prima-007-TotalAnual',TO_DATE('20140101','yyyymmdd'),TO_DATE('22000101','yyyymmdd'),'');</v>
      </c>
    </row>
    <row r="1121" spans="1:2" x14ac:dyDescent="0.25">
      <c r="A1121" t="str">
        <f>IF(REGLAS!J1122="OBSOLETO","","INSERT INTO INYCEXT.INYC_CONF_INF_REGLAS (COD_INFORME,TABLA,NOMBRE,REGLA,F_INICIO,F_FIN,DESCRIPCION) VALUES ("&amp;REGLAS!B1122&amp;",'"&amp;REGLAS!C1122&amp;"','"&amp;REGLAS!D1122&amp;"','"&amp;REGLAS!G1122&amp;"',TO_DATE('"&amp;REGLAS!H1122&amp;"','yyyymmdd'),TO_DATE('"&amp;REGLAS!I1122&amp;"','yyyymmdd'),'"&amp;REGLAS!J1122&amp;"');")</f>
        <v>INSERT INTO INYCEXT.INYC_CONF_INF_REGLAS (COD_INFORME,TABLA,NOMBRE,REGLA,F_INICIO,F_FIN,DESCRIPCION) VALUES (105.1,'INYC_PEPI_RESUMEN','SM - Prima Inspector Comunidades Anual','SM-O-GEN-Inspector-Prima-008-TotalAnual',TO_DATE('20140101','yyyymmdd'),TO_DATE('22000101','yyyymmdd'),'');</v>
      </c>
      <c r="B1121" t="str">
        <f>IF(REGLAS!J1122="OBSOLETO","","INSERT INTO INYCEXT.INYC_CONF_INF_REGLAS@tc_link (COD_INFORME,TABLA,NOMBRE,REGLA,F_INICIO,F_FIN,DESCRIPCION) VALUES ("&amp;REGLAS!B1122&amp;",'"&amp;REGLAS!C1122&amp;"','"&amp;REGLAS!D1122&amp;"','"&amp;REGLAS!G1122&amp;"',TO_DATE('"&amp;REGLAS!H1122&amp;"','yyyymmdd'),TO_DATE('"&amp;REGLAS!I1122&amp;"','yyyymmdd'),'"&amp;REGLAS!J1122&amp;"');")</f>
        <v>INSERT INTO INYCEXT.INYC_CONF_INF_REGLAS@tc_link (COD_INFORME,TABLA,NOMBRE,REGLA,F_INICIO,F_FIN,DESCRIPCION) VALUES (105.1,'INYC_PEPI_RESUMEN','SM - Prima Inspector Comunidades Anual','SM-O-GEN-Inspector-Prima-008-TotalAnual',TO_DATE('20140101','yyyymmdd'),TO_DATE('22000101','yyyymmdd'),'');</v>
      </c>
    </row>
    <row r="1122" spans="1:2" x14ac:dyDescent="0.25">
      <c r="A1122" t="str">
        <f>IF(REGLAS!J1123="OBSOLETO","","INSERT INTO INYCEXT.INYC_CONF_INF_REGLAS (COD_INFORME,TABLA,NOMBRE,REGLA,F_INICIO,F_FIN,DESCRIPCION) VALUES ("&amp;REGLAS!B1123&amp;",'"&amp;REGLAS!C1123&amp;"','"&amp;REGLAS!D1123&amp;"','"&amp;REGLAS!G1123&amp;"',TO_DATE('"&amp;REGLAS!H1123&amp;"','yyyymmdd'),TO_DATE('"&amp;REGLAS!I1123&amp;"','yyyymmdd'),'"&amp;REGLAS!J1123&amp;"');")</f>
        <v>INSERT INTO INYCEXT.INYC_CONF_INF_REGLAS (COD_INFORME,TABLA,NOMBRE,REGLA,F_INICIO,F_FIN,DESCRIPCION) VALUES (105.1,'INYC_PEPI_RESUMEN','SM - Prima Inspector Pyme Express Anual','SM-O-GEN-Inspector-Prima-009-TotalAnual',TO_DATE('20140101','yyyymmdd'),TO_DATE('22000101','yyyymmdd'),'');</v>
      </c>
      <c r="B1122" t="str">
        <f>IF(REGLAS!J1123="OBSOLETO","","INSERT INTO INYCEXT.INYC_CONF_INF_REGLAS@tc_link (COD_INFORME,TABLA,NOMBRE,REGLA,F_INICIO,F_FIN,DESCRIPCION) VALUES ("&amp;REGLAS!B1123&amp;",'"&amp;REGLAS!C1123&amp;"','"&amp;REGLAS!D1123&amp;"','"&amp;REGLAS!G1123&amp;"',TO_DATE('"&amp;REGLAS!H1123&amp;"','yyyymmdd'),TO_DATE('"&amp;REGLAS!I1123&amp;"','yyyymmdd'),'"&amp;REGLAS!J1123&amp;"');")</f>
        <v>INSERT INTO INYCEXT.INYC_CONF_INF_REGLAS@tc_link (COD_INFORME,TABLA,NOMBRE,REGLA,F_INICIO,F_FIN,DESCRIPCION) VALUES (105.1,'INYC_PEPI_RESUMEN','SM - Prima Inspector Pyme Express Anual','SM-O-GEN-Inspector-Prima-009-TotalAnual',TO_DATE('20140101','yyyymmdd'),TO_DATE('22000101','yyyymmdd'),'');</v>
      </c>
    </row>
    <row r="1123" spans="1:2" x14ac:dyDescent="0.25">
      <c r="A1123" t="str">
        <f>IF(REGLAS!J1124="OBSOLETO","","INSERT INTO INYCEXT.INYC_CONF_INF_REGLAS (COD_INFORME,TABLA,NOMBRE,REGLA,F_INICIO,F_FIN,DESCRIPCION) VALUES ("&amp;REGLAS!B1124&amp;",'"&amp;REGLAS!C1124&amp;"','"&amp;REGLAS!D1124&amp;"','"&amp;REGLAS!G1124&amp;"',TO_DATE('"&amp;REGLAS!H1124&amp;"','yyyymmdd'),TO_DATE('"&amp;REGLAS!I1124&amp;"','yyyymmdd'),'"&amp;REGLAS!J1124&amp;"');")</f>
        <v>INSERT INTO INYCEXT.INYC_CONF_INF_REGLAS (COD_INFORME,TABLA,NOMBRE,REGLA,F_INICIO,F_FIN,DESCRIPCION) VALUES (105.1,'INYC_PEPI_RESUMEN','SM - Prima Inspector RRPP (excl PU y conv/colec) Anual','SM-O-GEN-Inspector-Prima-906-TotalAnual',TO_DATE('20140101','yyyymmdd'),TO_DATE('22000101','yyyymmdd'),'');</v>
      </c>
      <c r="B1123" t="str">
        <f>IF(REGLAS!J1124="OBSOLETO","","INSERT INTO INYCEXT.INYC_CONF_INF_REGLAS@tc_link (COD_INFORME,TABLA,NOMBRE,REGLA,F_INICIO,F_FIN,DESCRIPCION) VALUES ("&amp;REGLAS!B1124&amp;",'"&amp;REGLAS!C1124&amp;"','"&amp;REGLAS!D1124&amp;"','"&amp;REGLAS!G1124&amp;"',TO_DATE('"&amp;REGLAS!H1124&amp;"','yyyymmdd'),TO_DATE('"&amp;REGLAS!I1124&amp;"','yyyymmdd'),'"&amp;REGLAS!J1124&amp;"');")</f>
        <v>INSERT INTO INYCEXT.INYC_CONF_INF_REGLAS@tc_link (COD_INFORME,TABLA,NOMBRE,REGLA,F_INICIO,F_FIN,DESCRIPCION) VALUES (105.1,'INYC_PEPI_RESUMEN','SM - Prima Inspector RRPP (excl PU y conv/colec) Anual','SM-O-GEN-Inspector-Prima-906-TotalAnual',TO_DATE('20140101','yyyymmdd'),TO_DATE('22000101','yyyymmdd'),'');</v>
      </c>
    </row>
    <row r="1124" spans="1:2" x14ac:dyDescent="0.25">
      <c r="A1124" t="str">
        <f>IF(REGLAS!J1125="OBSOLETO","","INSERT INTO INYCEXT.INYC_CONF_INF_REGLAS (COD_INFORME,TABLA,NOMBRE,REGLA,F_INICIO,F_FIN,DESCRIPCION) VALUES ("&amp;REGLAS!B1125&amp;",'"&amp;REGLAS!C1125&amp;"','"&amp;REGLAS!D1125&amp;"','"&amp;REGLAS!G1125&amp;"',TO_DATE('"&amp;REGLAS!H1125&amp;"','yyyymmdd'),TO_DATE('"&amp;REGLAS!I1125&amp;"','yyyymmdd'),'"&amp;REGLAS!J1125&amp;"');")</f>
        <v>INSERT INTO INYCEXT.INYC_CONF_INF_REGLAS (COD_INFORME,TABLA,NOMBRE,REGLA,F_INICIO,F_FIN,DESCRIPCION) VALUES (105.1,'INYC_PEPI_RESUMEN','SM - Prima Inspector Prod. Prioritarios Anual','SM-O-GEN-Inspector-Prima-997-TotalAnual',TO_DATE('20140101','yyyymmdd'),TO_DATE('22000101','yyyymmdd'),'');</v>
      </c>
      <c r="B1124" t="str">
        <f>IF(REGLAS!J1125="OBSOLETO","","INSERT INTO INYCEXT.INYC_CONF_INF_REGLAS@tc_link (COD_INFORME,TABLA,NOMBRE,REGLA,F_INICIO,F_FIN,DESCRIPCION) VALUES ("&amp;REGLAS!B1125&amp;",'"&amp;REGLAS!C1125&amp;"','"&amp;REGLAS!D1125&amp;"','"&amp;REGLAS!G1125&amp;"',TO_DATE('"&amp;REGLAS!H1125&amp;"','yyyymmdd'),TO_DATE('"&amp;REGLAS!I1125&amp;"','yyyymmdd'),'"&amp;REGLAS!J1125&amp;"');")</f>
        <v>INSERT INTO INYCEXT.INYC_CONF_INF_REGLAS@tc_link (COD_INFORME,TABLA,NOMBRE,REGLA,F_INICIO,F_FIN,DESCRIPCION) VALUES (105.1,'INYC_PEPI_RESUMEN','SM - Prima Inspector Prod. Prioritarios Anual','SM-O-GEN-Inspector-Prima-997-TotalAnual',TO_DATE('20140101','yyyymmdd'),TO_DATE('22000101','yyyymmdd'),'');</v>
      </c>
    </row>
    <row r="1125" spans="1:2" x14ac:dyDescent="0.25">
      <c r="A1125" t="str">
        <f>IF(REGLAS!J1126="OBSOLETO","","INSERT INTO INYCEXT.INYC_CONF_INF_REGLAS (COD_INFORME,TABLA,NOMBRE,REGLA,F_INICIO,F_FIN,DESCRIPCION) VALUES ("&amp;REGLAS!B1126&amp;",'"&amp;REGLAS!C1126&amp;"','"&amp;REGLAS!D1126&amp;"','"&amp;REGLAS!G1126&amp;"',TO_DATE('"&amp;REGLAS!H1126&amp;"','yyyymmdd'),TO_DATE('"&amp;REGLAS!I1126&amp;"','yyyymmdd'),'"&amp;REGLAS!J1126&amp;"');")</f>
        <v>INSERT INTO INYCEXT.INYC_CONF_INF_REGLAS (COD_INFORME,TABLA,NOMBRE,REGLA,F_INICIO,F_FIN,DESCRIPCION) VALUES (105.1,'INYC_PEPI_RESUMEN','SM - Prima Inspector Total Productos Anual','SM-O-GEN-Inspector-Prima-998-TotalAnual',TO_DATE('20140101','yyyymmdd'),TO_DATE('22000101','yyyymmdd'),'');</v>
      </c>
      <c r="B1125" t="str">
        <f>IF(REGLAS!J1126="OBSOLETO","","INSERT INTO INYCEXT.INYC_CONF_INF_REGLAS@tc_link (COD_INFORME,TABLA,NOMBRE,REGLA,F_INICIO,F_FIN,DESCRIPCION) VALUES ("&amp;REGLAS!B1126&amp;",'"&amp;REGLAS!C1126&amp;"','"&amp;REGLAS!D1126&amp;"','"&amp;REGLAS!G1126&amp;"',TO_DATE('"&amp;REGLAS!H1126&amp;"','yyyymmdd'),TO_DATE('"&amp;REGLAS!I1126&amp;"','yyyymmdd'),'"&amp;REGLAS!J1126&amp;"');")</f>
        <v>INSERT INTO INYCEXT.INYC_CONF_INF_REGLAS@tc_link (COD_INFORME,TABLA,NOMBRE,REGLA,F_INICIO,F_FIN,DESCRIPCION) VALUES (105.1,'INYC_PEPI_RESUMEN','SM - Prima Inspector Total Productos Anual','SM-O-GEN-Inspector-Prima-998-TotalAnual',TO_DATE('20140101','yyyymmdd'),TO_DATE('22000101','yyyymmdd'),'');</v>
      </c>
    </row>
    <row r="1126" spans="1:2" x14ac:dyDescent="0.25">
      <c r="A1126" t="str">
        <f>IF(REGLAS!J1127="OBSOLETO","","INSERT INTO INYCEXT.INYC_CONF_INF_REGLAS (COD_INFORME,TABLA,NOMBRE,REGLA,F_INICIO,F_FIN,DESCRIPCION) VALUES ("&amp;REGLAS!B1127&amp;",'"&amp;REGLAS!C1127&amp;"','"&amp;REGLAS!D1127&amp;"','"&amp;REGLAS!G1127&amp;"',TO_DATE('"&amp;REGLAS!H1127&amp;"','yyyymmdd'),TO_DATE('"&amp;REGLAS!I1127&amp;"','yyyymmdd'),'"&amp;REGLAS!J1127&amp;"');")</f>
        <v>INSERT INTO INYCEXT.INYC_CONF_INF_REGLAS (COD_INFORME,TABLA,NOMBRE,REGLA,F_INICIO,F_FIN,DESCRIPCION) VALUES (105.1,'INYC_PEPI_RESUMEN','SM - Prima Corregida Inspector RRTT Anual','SM-O-GEN-Inspector-PrimaCorregida-001-TotalAnual',TO_DATE('20140101','yyyymmdd'),TO_DATE('22000101','yyyymmdd'),'');</v>
      </c>
      <c r="B1126" t="str">
        <f>IF(REGLAS!J1127="OBSOLETO","","INSERT INTO INYCEXT.INYC_CONF_INF_REGLAS@tc_link (COD_INFORME,TABLA,NOMBRE,REGLA,F_INICIO,F_FIN,DESCRIPCION) VALUES ("&amp;REGLAS!B1127&amp;",'"&amp;REGLAS!C1127&amp;"','"&amp;REGLAS!D1127&amp;"','"&amp;REGLAS!G1127&amp;"',TO_DATE('"&amp;REGLAS!H1127&amp;"','yyyymmdd'),TO_DATE('"&amp;REGLAS!I1127&amp;"','yyyymmdd'),'"&amp;REGLAS!J1127&amp;"');")</f>
        <v>INSERT INTO INYCEXT.INYC_CONF_INF_REGLAS@tc_link (COD_INFORME,TABLA,NOMBRE,REGLA,F_INICIO,F_FIN,DESCRIPCION) VALUES (105.1,'INYC_PEPI_RESUMEN','SM - Prima Corregida Inspector RRTT Anual','SM-O-GEN-Inspector-PrimaCorregida-001-TotalAnual',TO_DATE('20140101','yyyymmdd'),TO_DATE('22000101','yyyymmdd'),'');</v>
      </c>
    </row>
    <row r="1127" spans="1:2" x14ac:dyDescent="0.25">
      <c r="A1127" t="str">
        <f>IF(REGLAS!J1128="OBSOLETO","","INSERT INTO INYCEXT.INYC_CONF_INF_REGLAS (COD_INFORME,TABLA,NOMBRE,REGLA,F_INICIO,F_FIN,DESCRIPCION) VALUES ("&amp;REGLAS!B1128&amp;",'"&amp;REGLAS!C1128&amp;"','"&amp;REGLAS!D1128&amp;"','"&amp;REGLAS!G1128&amp;"',TO_DATE('"&amp;REGLAS!H1128&amp;"','yyyymmdd'),TO_DATE('"&amp;REGLAS!I1128&amp;"','yyyymmdd'),'"&amp;REGLAS!J1128&amp;"');")</f>
        <v>INSERT INTO INYCEXT.INYC_CONF_INF_REGLAS (COD_INFORME,TABLA,NOMBRE,REGLA,F_INICIO,F_FIN,DESCRIPCION) VALUES (105.1,'INYC_PEPI_RESUMEN','SM - Prima Corregida Inspector Hogar Anual','SM-O-GEN-Inspector-PrimaCorregida-002-TotalAnual',TO_DATE('20140101','yyyymmdd'),TO_DATE('22000101','yyyymmdd'),'');</v>
      </c>
      <c r="B1127" t="str">
        <f>IF(REGLAS!J1128="OBSOLETO","","INSERT INTO INYCEXT.INYC_CONF_INF_REGLAS@tc_link (COD_INFORME,TABLA,NOMBRE,REGLA,F_INICIO,F_FIN,DESCRIPCION) VALUES ("&amp;REGLAS!B1128&amp;",'"&amp;REGLAS!C1128&amp;"','"&amp;REGLAS!D1128&amp;"','"&amp;REGLAS!G1128&amp;"',TO_DATE('"&amp;REGLAS!H1128&amp;"','yyyymmdd'),TO_DATE('"&amp;REGLAS!I1128&amp;"','yyyymmdd'),'"&amp;REGLAS!J1128&amp;"');")</f>
        <v>INSERT INTO INYCEXT.INYC_CONF_INF_REGLAS@tc_link (COD_INFORME,TABLA,NOMBRE,REGLA,F_INICIO,F_FIN,DESCRIPCION) VALUES (105.1,'INYC_PEPI_RESUMEN','SM - Prima Corregida Inspector Hogar Anual','SM-O-GEN-Inspector-PrimaCorregida-002-TotalAnual',TO_DATE('20140101','yyyymmdd'),TO_DATE('22000101','yyyymmdd'),'');</v>
      </c>
    </row>
    <row r="1128" spans="1:2" x14ac:dyDescent="0.25">
      <c r="A1128" t="str">
        <f>IF(REGLAS!J1129="OBSOLETO","","INSERT INTO INYCEXT.INYC_CONF_INF_REGLAS (COD_INFORME,TABLA,NOMBRE,REGLA,F_INICIO,F_FIN,DESCRIPCION) VALUES ("&amp;REGLAS!B1129&amp;",'"&amp;REGLAS!C1129&amp;"','"&amp;REGLAS!D1129&amp;"','"&amp;REGLAS!G1129&amp;"',TO_DATE('"&amp;REGLAS!H1129&amp;"','yyyymmdd'),TO_DATE('"&amp;REGLAS!I1129&amp;"','yyyymmdd'),'"&amp;REGLAS!J1129&amp;"');")</f>
        <v>INSERT INTO INYCEXT.INYC_CONF_INF_REGLAS (COD_INFORME,TABLA,NOMBRE,REGLA,F_INICIO,F_FIN,DESCRIPCION) VALUES (105.1,'INYC_PEPI_RESUMEN','SM - Prima Corregida Inspector Vida Riesgo Anual','SM-O-GEN-Inspector-PrimaCorregida-003-TotalAnual',TO_DATE('20140101','yyyymmdd'),TO_DATE('22000101','yyyymmdd'),'');</v>
      </c>
      <c r="B1128" t="str">
        <f>IF(REGLAS!J1129="OBSOLETO","","INSERT INTO INYCEXT.INYC_CONF_INF_REGLAS@tc_link (COD_INFORME,TABLA,NOMBRE,REGLA,F_INICIO,F_FIN,DESCRIPCION) VALUES ("&amp;REGLAS!B1129&amp;",'"&amp;REGLAS!C1129&amp;"','"&amp;REGLAS!D1129&amp;"','"&amp;REGLAS!G1129&amp;"',TO_DATE('"&amp;REGLAS!H1129&amp;"','yyyymmdd'),TO_DATE('"&amp;REGLAS!I1129&amp;"','yyyymmdd'),'"&amp;REGLAS!J1129&amp;"');")</f>
        <v>INSERT INTO INYCEXT.INYC_CONF_INF_REGLAS@tc_link (COD_INFORME,TABLA,NOMBRE,REGLA,F_INICIO,F_FIN,DESCRIPCION) VALUES (105.1,'INYC_PEPI_RESUMEN','SM - Prima Corregida Inspector Vida Riesgo Anual','SM-O-GEN-Inspector-PrimaCorregida-003-TotalAnual',TO_DATE('20140101','yyyymmdd'),TO_DATE('22000101','yyyymmdd'),'');</v>
      </c>
    </row>
    <row r="1129" spans="1:2" x14ac:dyDescent="0.25">
      <c r="A1129" t="str">
        <f>IF(REGLAS!J1130="OBSOLETO","","INSERT INTO INYCEXT.INYC_CONF_INF_REGLAS (COD_INFORME,TABLA,NOMBRE,REGLA,F_INICIO,F_FIN,DESCRIPCION) VALUES ("&amp;REGLAS!B1130&amp;",'"&amp;REGLAS!C1130&amp;"','"&amp;REGLAS!D1130&amp;"','"&amp;REGLAS!G1130&amp;"',TO_DATE('"&amp;REGLAS!H1130&amp;"','yyyymmdd'),TO_DATE('"&amp;REGLAS!I1130&amp;"','yyyymmdd'),'"&amp;REGLAS!J1130&amp;"');")</f>
        <v>INSERT INTO INYCEXT.INYC_CONF_INF_REGLAS (COD_INFORME,TABLA,NOMBRE,REGLA,F_INICIO,F_FIN,DESCRIPCION) VALUES (105.1,'INYC_PEPI_RESUMEN','SM - Prima Corregida Inspector Vida Ahorro Anual','SM-O-GEN-Inspector-PrimaCorregida-004-TotalAnual',TO_DATE('20140101','yyyymmdd'),TO_DATE('22000101','yyyymmdd'),'');</v>
      </c>
      <c r="B1129" t="str">
        <f>IF(REGLAS!J1130="OBSOLETO","","INSERT INTO INYCEXT.INYC_CONF_INF_REGLAS@tc_link (COD_INFORME,TABLA,NOMBRE,REGLA,F_INICIO,F_FIN,DESCRIPCION) VALUES ("&amp;REGLAS!B1130&amp;",'"&amp;REGLAS!C1130&amp;"','"&amp;REGLAS!D1130&amp;"','"&amp;REGLAS!G1130&amp;"',TO_DATE('"&amp;REGLAS!H1130&amp;"','yyyymmdd'),TO_DATE('"&amp;REGLAS!I1130&amp;"','yyyymmdd'),'"&amp;REGLAS!J1130&amp;"');")</f>
        <v>INSERT INTO INYCEXT.INYC_CONF_INF_REGLAS@tc_link (COD_INFORME,TABLA,NOMBRE,REGLA,F_INICIO,F_FIN,DESCRIPCION) VALUES (105.1,'INYC_PEPI_RESUMEN','SM - Prima Corregida Inspector Vida Ahorro Anual','SM-O-GEN-Inspector-PrimaCorregida-004-TotalAnual',TO_DATE('20140101','yyyymmdd'),TO_DATE('22000101','yyyymmdd'),'');</v>
      </c>
    </row>
    <row r="1130" spans="1:2" x14ac:dyDescent="0.25">
      <c r="A1130" t="str">
        <f>IF(REGLAS!J1131="OBSOLETO","","INSERT INTO INYCEXT.INYC_CONF_INF_REGLAS (COD_INFORME,TABLA,NOMBRE,REGLA,F_INICIO,F_FIN,DESCRIPCION) VALUES ("&amp;REGLAS!B1131&amp;",'"&amp;REGLAS!C1131&amp;"','"&amp;REGLAS!D1131&amp;"','"&amp;REGLAS!G1131&amp;"',TO_DATE('"&amp;REGLAS!H1131&amp;"','yyyymmdd'),TO_DATE('"&amp;REGLAS!I1131&amp;"','yyyymmdd'),'"&amp;REGLAS!J1131&amp;"');")</f>
        <v>INSERT INTO INYCEXT.INYC_CONF_INF_REGLAS (COD_INFORME,TABLA,NOMBRE,REGLA,F_INICIO,F_FIN,DESCRIPCION) VALUES (105.1,'INYC_PEPI_RESUMEN','SM - Prima Corregida Inspector Accidentes Anual','SM-O-GEN-Inspector-PrimaCorregida-005-TotalAnual',TO_DATE('20140101','yyyymmdd'),TO_DATE('22000101','yyyymmdd'),'');</v>
      </c>
      <c r="B1130" t="str">
        <f>IF(REGLAS!J1131="OBSOLETO","","INSERT INTO INYCEXT.INYC_CONF_INF_REGLAS@tc_link (COD_INFORME,TABLA,NOMBRE,REGLA,F_INICIO,F_FIN,DESCRIPCION) VALUES ("&amp;REGLAS!B1131&amp;",'"&amp;REGLAS!C1131&amp;"','"&amp;REGLAS!D1131&amp;"','"&amp;REGLAS!G1131&amp;"',TO_DATE('"&amp;REGLAS!H1131&amp;"','yyyymmdd'),TO_DATE('"&amp;REGLAS!I1131&amp;"','yyyymmdd'),'"&amp;REGLAS!J1131&amp;"');")</f>
        <v>INSERT INTO INYCEXT.INYC_CONF_INF_REGLAS@tc_link (COD_INFORME,TABLA,NOMBRE,REGLA,F_INICIO,F_FIN,DESCRIPCION) VALUES (105.1,'INYC_PEPI_RESUMEN','SM - Prima Corregida Inspector Accidentes Anual','SM-O-GEN-Inspector-PrimaCorregida-005-TotalAnual',TO_DATE('20140101','yyyymmdd'),TO_DATE('22000101','yyyymmdd'),'');</v>
      </c>
    </row>
    <row r="1131" spans="1:2" x14ac:dyDescent="0.25">
      <c r="A1131" t="str">
        <f>IF(REGLAS!J1132="OBSOLETO","","INSERT INTO INYCEXT.INYC_CONF_INF_REGLAS (COD_INFORME,TABLA,NOMBRE,REGLA,F_INICIO,F_FIN,DESCRIPCION) VALUES ("&amp;REGLAS!B1132&amp;",'"&amp;REGLAS!C1132&amp;"','"&amp;REGLAS!D1132&amp;"','"&amp;REGLAS!G1132&amp;"',TO_DATE('"&amp;REGLAS!H1132&amp;"','yyyymmdd'),TO_DATE('"&amp;REGLAS!I1132&amp;"','yyyymmdd'),'"&amp;REGLAS!J1132&amp;"');")</f>
        <v>INSERT INTO INYCEXT.INYC_CONF_INF_REGLAS (COD_INFORME,TABLA,NOMBRE,REGLA,F_INICIO,F_FIN,DESCRIPCION) VALUES (105.1,'INYC_PEPI_RESUMEN','SM - Prima Corregida Inspector Resto Productos Anual','SM-O-GEN-Inspector-PrimaCorregida-006-TotalAnual',TO_DATE('20140101','yyyymmdd'),TO_DATE('22000101','yyyymmdd'),'');</v>
      </c>
      <c r="B1131" t="str">
        <f>IF(REGLAS!J1132="OBSOLETO","","INSERT INTO INYCEXT.INYC_CONF_INF_REGLAS@tc_link (COD_INFORME,TABLA,NOMBRE,REGLA,F_INICIO,F_FIN,DESCRIPCION) VALUES ("&amp;REGLAS!B1132&amp;",'"&amp;REGLAS!C1132&amp;"','"&amp;REGLAS!D1132&amp;"','"&amp;REGLAS!G1132&amp;"',TO_DATE('"&amp;REGLAS!H1132&amp;"','yyyymmdd'),TO_DATE('"&amp;REGLAS!I1132&amp;"','yyyymmdd'),'"&amp;REGLAS!J1132&amp;"');")</f>
        <v>INSERT INTO INYCEXT.INYC_CONF_INF_REGLAS@tc_link (COD_INFORME,TABLA,NOMBRE,REGLA,F_INICIO,F_FIN,DESCRIPCION) VALUES (105.1,'INYC_PEPI_RESUMEN','SM - Prima Corregida Inspector Resto Productos Anual','SM-O-GEN-Inspector-PrimaCorregida-006-TotalAnual',TO_DATE('20140101','yyyymmdd'),TO_DATE('22000101','yyyymmdd'),'');</v>
      </c>
    </row>
    <row r="1132" spans="1:2" x14ac:dyDescent="0.25">
      <c r="A1132" t="str">
        <f>IF(REGLAS!J1133="OBSOLETO","","INSERT INTO INYCEXT.INYC_CONF_INF_REGLAS (COD_INFORME,TABLA,NOMBRE,REGLA,F_INICIO,F_FIN,DESCRIPCION) VALUES ("&amp;REGLAS!B1133&amp;",'"&amp;REGLAS!C1133&amp;"','"&amp;REGLAS!D1133&amp;"','"&amp;REGLAS!G1133&amp;"',TO_DATE('"&amp;REGLAS!H1133&amp;"','yyyymmdd'),TO_DATE('"&amp;REGLAS!I1133&amp;"','yyyymmdd'),'"&amp;REGLAS!J1133&amp;"');")</f>
        <v>INSERT INTO INYCEXT.INYC_CONF_INF_REGLAS (COD_INFORME,TABLA,NOMBRE,REGLA,F_INICIO,F_FIN,DESCRIPCION) VALUES (105.1,'INYC_PEPI_RESUMEN','SM - Prima Corregida Inspector OCASO Oro Anual','SM-O-GEN-Inspector-PrimaCorregida-007-TotalAnual',TO_DATE('20140101','yyyymmdd'),TO_DATE('22000101','yyyymmdd'),'');</v>
      </c>
      <c r="B1132" t="str">
        <f>IF(REGLAS!J1133="OBSOLETO","","INSERT INTO INYCEXT.INYC_CONF_INF_REGLAS@tc_link (COD_INFORME,TABLA,NOMBRE,REGLA,F_INICIO,F_FIN,DESCRIPCION) VALUES ("&amp;REGLAS!B1133&amp;",'"&amp;REGLAS!C1133&amp;"','"&amp;REGLAS!D1133&amp;"','"&amp;REGLAS!G1133&amp;"',TO_DATE('"&amp;REGLAS!H1133&amp;"','yyyymmdd'),TO_DATE('"&amp;REGLAS!I1133&amp;"','yyyymmdd'),'"&amp;REGLAS!J1133&amp;"');")</f>
        <v>INSERT INTO INYCEXT.INYC_CONF_INF_REGLAS@tc_link (COD_INFORME,TABLA,NOMBRE,REGLA,F_INICIO,F_FIN,DESCRIPCION) VALUES (105.1,'INYC_PEPI_RESUMEN','SM - Prima Corregida Inspector OCASO Oro Anual','SM-O-GEN-Inspector-PrimaCorregida-007-TotalAnual',TO_DATE('20140101','yyyymmdd'),TO_DATE('22000101','yyyymmdd'),'');</v>
      </c>
    </row>
    <row r="1133" spans="1:2" x14ac:dyDescent="0.25">
      <c r="A1133" t="str">
        <f>IF(REGLAS!J1134="OBSOLETO","","INSERT INTO INYCEXT.INYC_CONF_INF_REGLAS (COD_INFORME,TABLA,NOMBRE,REGLA,F_INICIO,F_FIN,DESCRIPCION) VALUES ("&amp;REGLAS!B1134&amp;",'"&amp;REGLAS!C1134&amp;"','"&amp;REGLAS!D1134&amp;"','"&amp;REGLAS!G1134&amp;"',TO_DATE('"&amp;REGLAS!H1134&amp;"','yyyymmdd'),TO_DATE('"&amp;REGLAS!I1134&amp;"','yyyymmdd'),'"&amp;REGLAS!J1134&amp;"');")</f>
        <v>INSERT INTO INYCEXT.INYC_CONF_INF_REGLAS (COD_INFORME,TABLA,NOMBRE,REGLA,F_INICIO,F_FIN,DESCRIPCION) VALUES (105.1,'INYC_PEPI_RESUMEN','SM - Prima Corregida Inspector Comunidades Anual','SM-O-GEN-Inspector-PrimaCorregida-008-TotalAnual',TO_DATE('20140101','yyyymmdd'),TO_DATE('22000101','yyyymmdd'),'');</v>
      </c>
      <c r="B1133" t="str">
        <f>IF(REGLAS!J1134="OBSOLETO","","INSERT INTO INYCEXT.INYC_CONF_INF_REGLAS@tc_link (COD_INFORME,TABLA,NOMBRE,REGLA,F_INICIO,F_FIN,DESCRIPCION) VALUES ("&amp;REGLAS!B1134&amp;",'"&amp;REGLAS!C1134&amp;"','"&amp;REGLAS!D1134&amp;"','"&amp;REGLAS!G1134&amp;"',TO_DATE('"&amp;REGLAS!H1134&amp;"','yyyymmdd'),TO_DATE('"&amp;REGLAS!I1134&amp;"','yyyymmdd'),'"&amp;REGLAS!J1134&amp;"');")</f>
        <v>INSERT INTO INYCEXT.INYC_CONF_INF_REGLAS@tc_link (COD_INFORME,TABLA,NOMBRE,REGLA,F_INICIO,F_FIN,DESCRIPCION) VALUES (105.1,'INYC_PEPI_RESUMEN','SM - Prima Corregida Inspector Comunidades Anual','SM-O-GEN-Inspector-PrimaCorregida-008-TotalAnual',TO_DATE('20140101','yyyymmdd'),TO_DATE('22000101','yyyymmdd'),'');</v>
      </c>
    </row>
    <row r="1134" spans="1:2" x14ac:dyDescent="0.25">
      <c r="A1134" t="str">
        <f>IF(REGLAS!J1135="OBSOLETO","","INSERT INTO INYCEXT.INYC_CONF_INF_REGLAS (COD_INFORME,TABLA,NOMBRE,REGLA,F_INICIO,F_FIN,DESCRIPCION) VALUES ("&amp;REGLAS!B1135&amp;",'"&amp;REGLAS!C1135&amp;"','"&amp;REGLAS!D1135&amp;"','"&amp;REGLAS!G1135&amp;"',TO_DATE('"&amp;REGLAS!H1135&amp;"','yyyymmdd'),TO_DATE('"&amp;REGLAS!I1135&amp;"','yyyymmdd'),'"&amp;REGLAS!J1135&amp;"');")</f>
        <v>INSERT INTO INYCEXT.INYC_CONF_INF_REGLAS (COD_INFORME,TABLA,NOMBRE,REGLA,F_INICIO,F_FIN,DESCRIPCION) VALUES (105.1,'INYC_PEPI_RESUMEN','SM - Prima Corregida Inspector Pyme Express Anual','SM-O-GEN-Inspector-PrimaCorregida-009-TotalAnual',TO_DATE('20140101','yyyymmdd'),TO_DATE('22000101','yyyymmdd'),'');</v>
      </c>
      <c r="B1134" t="str">
        <f>IF(REGLAS!J1135="OBSOLETO","","INSERT INTO INYCEXT.INYC_CONF_INF_REGLAS@tc_link (COD_INFORME,TABLA,NOMBRE,REGLA,F_INICIO,F_FIN,DESCRIPCION) VALUES ("&amp;REGLAS!B1135&amp;",'"&amp;REGLAS!C1135&amp;"','"&amp;REGLAS!D1135&amp;"','"&amp;REGLAS!G1135&amp;"',TO_DATE('"&amp;REGLAS!H1135&amp;"','yyyymmdd'),TO_DATE('"&amp;REGLAS!I1135&amp;"','yyyymmdd'),'"&amp;REGLAS!J1135&amp;"');")</f>
        <v>INSERT INTO INYCEXT.INYC_CONF_INF_REGLAS@tc_link (COD_INFORME,TABLA,NOMBRE,REGLA,F_INICIO,F_FIN,DESCRIPCION) VALUES (105.1,'INYC_PEPI_RESUMEN','SM - Prima Corregida Inspector Pyme Express Anual','SM-O-GEN-Inspector-PrimaCorregida-009-TotalAnual',TO_DATE('20140101','yyyymmdd'),TO_DATE('22000101','yyyymmdd'),'');</v>
      </c>
    </row>
    <row r="1135" spans="1:2" x14ac:dyDescent="0.25">
      <c r="A1135" t="str">
        <f>IF(REGLAS!J1136="OBSOLETO","","INSERT INTO INYCEXT.INYC_CONF_INF_REGLAS (COD_INFORME,TABLA,NOMBRE,REGLA,F_INICIO,F_FIN,DESCRIPCION) VALUES ("&amp;REGLAS!B1136&amp;",'"&amp;REGLAS!C1136&amp;"','"&amp;REGLAS!D1136&amp;"','"&amp;REGLAS!G1136&amp;"',TO_DATE('"&amp;REGLAS!H1136&amp;"','yyyymmdd'),TO_DATE('"&amp;REGLAS!I1136&amp;"','yyyymmdd'),'"&amp;REGLAS!J1136&amp;"');")</f>
        <v>INSERT INTO INYCEXT.INYC_CONF_INF_REGLAS (COD_INFORME,TABLA,NOMBRE,REGLA,F_INICIO,F_FIN,DESCRIPCION) VALUES (105.1,'INYC_PEPI_RESUMEN','SM - Prima Corregida Inspector RRPP (excl PU y conv/colec) Anual','SM-O-GEN-Inspector-PrimaCorregida-906-TotalAnual',TO_DATE('20140101','yyyymmdd'),TO_DATE('22000101','yyyymmdd'),'');</v>
      </c>
      <c r="B1135" t="str">
        <f>IF(REGLAS!J1136="OBSOLETO","","INSERT INTO INYCEXT.INYC_CONF_INF_REGLAS@tc_link (COD_INFORME,TABLA,NOMBRE,REGLA,F_INICIO,F_FIN,DESCRIPCION) VALUES ("&amp;REGLAS!B1136&amp;",'"&amp;REGLAS!C1136&amp;"','"&amp;REGLAS!D1136&amp;"','"&amp;REGLAS!G1136&amp;"',TO_DATE('"&amp;REGLAS!H1136&amp;"','yyyymmdd'),TO_DATE('"&amp;REGLAS!I1136&amp;"','yyyymmdd'),'"&amp;REGLAS!J1136&amp;"');")</f>
        <v>INSERT INTO INYCEXT.INYC_CONF_INF_REGLAS@tc_link (COD_INFORME,TABLA,NOMBRE,REGLA,F_INICIO,F_FIN,DESCRIPCION) VALUES (105.1,'INYC_PEPI_RESUMEN','SM - Prima Corregida Inspector RRPP (excl PU y conv/colec) Anual','SM-O-GEN-Inspector-PrimaCorregida-906-TotalAnual',TO_DATE('20140101','yyyymmdd'),TO_DATE('22000101','yyyymmdd'),'');</v>
      </c>
    </row>
    <row r="1136" spans="1:2" x14ac:dyDescent="0.25">
      <c r="A1136" t="str">
        <f>IF(REGLAS!J1137="OBSOLETO","","INSERT INTO INYCEXT.INYC_CONF_INF_REGLAS (COD_INFORME,TABLA,NOMBRE,REGLA,F_INICIO,F_FIN,DESCRIPCION) VALUES ("&amp;REGLAS!B1137&amp;",'"&amp;REGLAS!C1137&amp;"','"&amp;REGLAS!D1137&amp;"','"&amp;REGLAS!G1137&amp;"',TO_DATE('"&amp;REGLAS!H1137&amp;"','yyyymmdd'),TO_DATE('"&amp;REGLAS!I1137&amp;"','yyyymmdd'),'"&amp;REGLAS!J1137&amp;"');")</f>
        <v>INSERT INTO INYCEXT.INYC_CONF_INF_REGLAS (COD_INFORME,TABLA,NOMBRE,REGLA,F_INICIO,F_FIN,DESCRIPCION) VALUES (105.1,'INYC_PEPI_RESUMEN','SM - Prima Corregida Inspector Prod. Prioritarios Anual','SM-O-GEN-Inspector-PrimaCorregida-997-TotalAnual',TO_DATE('20140101','yyyymmdd'),TO_DATE('22000101','yyyymmdd'),'');</v>
      </c>
      <c r="B1136" t="str">
        <f>IF(REGLAS!J1137="OBSOLETO","","INSERT INTO INYCEXT.INYC_CONF_INF_REGLAS@tc_link (COD_INFORME,TABLA,NOMBRE,REGLA,F_INICIO,F_FIN,DESCRIPCION) VALUES ("&amp;REGLAS!B1137&amp;",'"&amp;REGLAS!C1137&amp;"','"&amp;REGLAS!D1137&amp;"','"&amp;REGLAS!G1137&amp;"',TO_DATE('"&amp;REGLAS!H1137&amp;"','yyyymmdd'),TO_DATE('"&amp;REGLAS!I1137&amp;"','yyyymmdd'),'"&amp;REGLAS!J1137&amp;"');")</f>
        <v>INSERT INTO INYCEXT.INYC_CONF_INF_REGLAS@tc_link (COD_INFORME,TABLA,NOMBRE,REGLA,F_INICIO,F_FIN,DESCRIPCION) VALUES (105.1,'INYC_PEPI_RESUMEN','SM - Prima Corregida Inspector Prod. Prioritarios Anual','SM-O-GEN-Inspector-PrimaCorregida-997-TotalAnual',TO_DATE('20140101','yyyymmdd'),TO_DATE('22000101','yyyymmdd'),'');</v>
      </c>
    </row>
    <row r="1137" spans="1:2" x14ac:dyDescent="0.25">
      <c r="A1137" t="str">
        <f>IF(REGLAS!J1138="OBSOLETO","","INSERT INTO INYCEXT.INYC_CONF_INF_REGLAS (COD_INFORME,TABLA,NOMBRE,REGLA,F_INICIO,F_FIN,DESCRIPCION) VALUES ("&amp;REGLAS!B1138&amp;",'"&amp;REGLAS!C1138&amp;"','"&amp;REGLAS!D1138&amp;"','"&amp;REGLAS!G1138&amp;"',TO_DATE('"&amp;REGLAS!H1138&amp;"','yyyymmdd'),TO_DATE('"&amp;REGLAS!I1138&amp;"','yyyymmdd'),'"&amp;REGLAS!J1138&amp;"');")</f>
        <v>INSERT INTO INYCEXT.INYC_CONF_INF_REGLAS (COD_INFORME,TABLA,NOMBRE,REGLA,F_INICIO,F_FIN,DESCRIPCION) VALUES (105.1,'INYC_PEPI_RESUMEN','SM - Prima Corregida Inspector Total Productos Anual','SM-O-GEN-Inspector-PrimaCorregida-998-TotalAnual',TO_DATE('20140101','yyyymmdd'),TO_DATE('22000101','yyyymmdd'),'');</v>
      </c>
      <c r="B1137" t="str">
        <f>IF(REGLAS!J1138="OBSOLETO","","INSERT INTO INYCEXT.INYC_CONF_INF_REGLAS@tc_link (COD_INFORME,TABLA,NOMBRE,REGLA,F_INICIO,F_FIN,DESCRIPCION) VALUES ("&amp;REGLAS!B1138&amp;",'"&amp;REGLAS!C1138&amp;"','"&amp;REGLAS!D1138&amp;"','"&amp;REGLAS!G1138&amp;"',TO_DATE('"&amp;REGLAS!H1138&amp;"','yyyymmdd'),TO_DATE('"&amp;REGLAS!I1138&amp;"','yyyymmdd'),'"&amp;REGLAS!J1138&amp;"');")</f>
        <v>INSERT INTO INYCEXT.INYC_CONF_INF_REGLAS@tc_link (COD_INFORME,TABLA,NOMBRE,REGLA,F_INICIO,F_FIN,DESCRIPCION) VALUES (105.1,'INYC_PEPI_RESUMEN','SM - Prima Corregida Inspector Total Productos Anual','SM-O-GEN-Inspector-PrimaCorregida-998-TotalAnual',TO_DATE('20140101','yyyymmdd'),TO_DATE('22000101','yyyymmdd'),'');</v>
      </c>
    </row>
    <row r="1138" spans="1:2" x14ac:dyDescent="0.25">
      <c r="A1138" t="str">
        <f>IF(REGLAS!J1139="OBSOLETO","","INSERT INTO INYCEXT.INYC_CONF_INF_REGLAS (COD_INFORME,TABLA,NOMBRE,REGLA,F_INICIO,F_FIN,DESCRIPCION) VALUES ("&amp;REGLAS!B1139&amp;",'"&amp;REGLAS!C1139&amp;"','"&amp;REGLAS!D1139&amp;"','"&amp;REGLAS!G1139&amp;"',TO_DATE('"&amp;REGLAS!H1139&amp;"','yyyymmdd'),TO_DATE('"&amp;REGLAS!I1139&amp;"','yyyymmdd'),'"&amp;REGLAS!J1139&amp;"');")</f>
        <v>INSERT INTO INYCEXT.INYC_CONF_INF_REGLAS (COD_INFORME,TABLA,NOMBRE,REGLA,F_INICIO,F_FIN,DESCRIPCION) VALUES (105.2,'INYC_PEPI_DETALLE','Polizas','DC-O-GEN-Inspector-NumeroPolizas-998',TO_DATE('20140101','yyyymmdd'),TO_DATE('22000101','yyyymmdd'),'Version 20180118');</v>
      </c>
      <c r="B1138" t="str">
        <f>IF(REGLAS!J1139="OBSOLETO","","INSERT INTO INYCEXT.INYC_CONF_INF_REGLAS@tc_link (COD_INFORME,TABLA,NOMBRE,REGLA,F_INICIO,F_FIN,DESCRIPCION) VALUES ("&amp;REGLAS!B1139&amp;",'"&amp;REGLAS!C1139&amp;"','"&amp;REGLAS!D1139&amp;"','"&amp;REGLAS!G1139&amp;"',TO_DATE('"&amp;REGLAS!H1139&amp;"','yyyymmdd'),TO_DATE('"&amp;REGLAS!I1139&amp;"','yyyymmdd'),'"&amp;REGLAS!J1139&amp;"');")</f>
        <v>INSERT INTO INYCEXT.INYC_CONF_INF_REGLAS@tc_link (COD_INFORME,TABLA,NOMBRE,REGLA,F_INICIO,F_FIN,DESCRIPCION) VALUES (105.2,'INYC_PEPI_DETALLE','Polizas','DC-O-GEN-Inspector-NumeroPolizas-998',TO_DATE('20140101','yyyymmdd'),TO_DATE('22000101','yyyymmdd'),'Version 20180118');</v>
      </c>
    </row>
    <row r="1139" spans="1:2" x14ac:dyDescent="0.25">
      <c r="A1139" t="str">
        <f>IF(REGLAS!J1140="OBSOLETO","","INSERT INTO INYCEXT.INYC_CONF_INF_REGLAS (COD_INFORME,TABLA,NOMBRE,REGLA,F_INICIO,F_FIN,DESCRIPCION) VALUES ("&amp;REGLAS!B1140&amp;",'"&amp;REGLAS!C1140&amp;"','"&amp;REGLAS!D1140&amp;"','"&amp;REGLAS!G1140&amp;"',TO_DATE('"&amp;REGLAS!H1140&amp;"','yyyymmdd'),TO_DATE('"&amp;REGLAS!I1140&amp;"','yyyymmdd'),'"&amp;REGLAS!J1140&amp;"');")</f>
        <v>INSERT INTO INYCEXT.INYC_CONF_INF_REGLAS (COD_INFORME,TABLA,NOMBRE,REGLA,F_INICIO,F_FIN,DESCRIPCION) VALUES (105.2,'INYC_PEPI_DETALLE','Polizas','IC-O-GEN-Inspector-NumeroPolizas-998',TO_DATE('20140101','yyyymmdd'),TO_DATE('22000101','yyyymmdd'),'Version 20180118');</v>
      </c>
      <c r="B1139" t="str">
        <f>IF(REGLAS!J1140="OBSOLETO","","INSERT INTO INYCEXT.INYC_CONF_INF_REGLAS@tc_link (COD_INFORME,TABLA,NOMBRE,REGLA,F_INICIO,F_FIN,DESCRIPCION) VALUES ("&amp;REGLAS!B1140&amp;",'"&amp;REGLAS!C1140&amp;"','"&amp;REGLAS!D1140&amp;"','"&amp;REGLAS!G1140&amp;"',TO_DATE('"&amp;REGLAS!H1140&amp;"','yyyymmdd'),TO_DATE('"&amp;REGLAS!I1140&amp;"','yyyymmdd'),'"&amp;REGLAS!J1140&amp;"');")</f>
        <v>INSERT INTO INYCEXT.INYC_CONF_INF_REGLAS@tc_link (COD_INFORME,TABLA,NOMBRE,REGLA,F_INICIO,F_FIN,DESCRIPCION) VALUES (105.2,'INYC_PEPI_DETALLE','Polizas','IC-O-GEN-Inspector-NumeroPolizas-998',TO_DATE('20140101','yyyymmdd'),TO_DATE('22000101','yyyymmdd'),'Version 20180118');</v>
      </c>
    </row>
    <row r="1140" spans="1:2" x14ac:dyDescent="0.25">
      <c r="A1140" t="str">
        <f>IF(REGLAS!J1141="OBSOLETO","","INSERT INTO INYCEXT.INYC_CONF_INF_REGLAS (COD_INFORME,TABLA,NOMBRE,REGLA,F_INICIO,F_FIN,DESCRIPCION) VALUES ("&amp;REGLAS!B1141&amp;",'"&amp;REGLAS!C1141&amp;"','"&amp;REGLAS!D1141&amp;"','"&amp;REGLAS!G1141&amp;"',TO_DATE('"&amp;REGLAS!H1141&amp;"','yyyymmdd'),TO_DATE('"&amp;REGLAS!I1141&amp;"','yyyymmdd'),'"&amp;REGLAS!J1141&amp;"');")</f>
        <v>INSERT INTO INYCEXT.INYC_CONF_INF_REGLAS (COD_INFORME,TABLA,NOMBRE,REGLA,F_INICIO,F_FIN,DESCRIPCION) VALUES (105.2,'INYC_PEPI_DETALLE','Primas Corregidas','DC-O-GEN-Inspector-PrimaCorregida-998',TO_DATE('20140101','yyyymmdd'),TO_DATE('22000101','yyyymmdd'),'Version 20180118');</v>
      </c>
      <c r="B1140" t="str">
        <f>IF(REGLAS!J1141="OBSOLETO","","INSERT INTO INYCEXT.INYC_CONF_INF_REGLAS@tc_link (COD_INFORME,TABLA,NOMBRE,REGLA,F_INICIO,F_FIN,DESCRIPCION) VALUES ("&amp;REGLAS!B1141&amp;",'"&amp;REGLAS!C1141&amp;"','"&amp;REGLAS!D1141&amp;"','"&amp;REGLAS!G1141&amp;"',TO_DATE('"&amp;REGLAS!H1141&amp;"','yyyymmdd'),TO_DATE('"&amp;REGLAS!I1141&amp;"','yyyymmdd'),'"&amp;REGLAS!J1141&amp;"');")</f>
        <v>INSERT INTO INYCEXT.INYC_CONF_INF_REGLAS@tc_link (COD_INFORME,TABLA,NOMBRE,REGLA,F_INICIO,F_FIN,DESCRIPCION) VALUES (105.2,'INYC_PEPI_DETALLE','Primas Corregidas','DC-O-GEN-Inspector-PrimaCorregida-998',TO_DATE('20140101','yyyymmdd'),TO_DATE('22000101','yyyymmdd'),'Version 20180118');</v>
      </c>
    </row>
    <row r="1141" spans="1:2" x14ac:dyDescent="0.25">
      <c r="A1141" t="str">
        <f>IF(REGLAS!J1142="OBSOLETO","","INSERT INTO INYCEXT.INYC_CONF_INF_REGLAS (COD_INFORME,TABLA,NOMBRE,REGLA,F_INICIO,F_FIN,DESCRIPCION) VALUES ("&amp;REGLAS!B1142&amp;",'"&amp;REGLAS!C1142&amp;"','"&amp;REGLAS!D1142&amp;"','"&amp;REGLAS!G1142&amp;"',TO_DATE('"&amp;REGLAS!H1142&amp;"','yyyymmdd'),TO_DATE('"&amp;REGLAS!I1142&amp;"','yyyymmdd'),'"&amp;REGLAS!J1142&amp;"');")</f>
        <v>INSERT INTO INYCEXT.INYC_CONF_INF_REGLAS (COD_INFORME,TABLA,NOMBRE,REGLA,F_INICIO,F_FIN,DESCRIPCION) VALUES (105.2,'INYC_PEPI_DETALLE','Primas Corregidas','IC-O-GEN-Inspector-PrimaCorregida-998',TO_DATE('20140101','yyyymmdd'),TO_DATE('22000101','yyyymmdd'),'Version 20180118');</v>
      </c>
      <c r="B1141" t="str">
        <f>IF(REGLAS!J1142="OBSOLETO","","INSERT INTO INYCEXT.INYC_CONF_INF_REGLAS@tc_link (COD_INFORME,TABLA,NOMBRE,REGLA,F_INICIO,F_FIN,DESCRIPCION) VALUES ("&amp;REGLAS!B1142&amp;",'"&amp;REGLAS!C1142&amp;"','"&amp;REGLAS!D1142&amp;"','"&amp;REGLAS!G1142&amp;"',TO_DATE('"&amp;REGLAS!H1142&amp;"','yyyymmdd'),TO_DATE('"&amp;REGLAS!I1142&amp;"','yyyymmdd'),'"&amp;REGLAS!J1142&amp;"');")</f>
        <v>INSERT INTO INYCEXT.INYC_CONF_INF_REGLAS@tc_link (COD_INFORME,TABLA,NOMBRE,REGLA,F_INICIO,F_FIN,DESCRIPCION) VALUES (105.2,'INYC_PEPI_DETALLE','Primas Corregidas','IC-O-GEN-Inspector-PrimaCorregida-998',TO_DATE('20140101','yyyymmdd'),TO_DATE('22000101','yyyymmdd'),'Version 20180118');</v>
      </c>
    </row>
    <row r="1142" spans="1:2" x14ac:dyDescent="0.25">
      <c r="A1142" t="str">
        <f>IF(REGLAS!J1143="OBSOLETO","","INSERT INTO INYCEXT.INYC_CONF_INF_REGLAS (COD_INFORME,TABLA,NOMBRE,REGLA,F_INICIO,F_FIN,DESCRIPCION) VALUES ("&amp;REGLAS!B1143&amp;",'"&amp;REGLAS!C1143&amp;"','"&amp;REGLAS!D1143&amp;"','"&amp;REGLAS!G1143&amp;"',TO_DATE('"&amp;REGLAS!H1143&amp;"','yyyymmdd'),TO_DATE('"&amp;REGLAS!I1143&amp;"','yyyymmdd'),'"&amp;REGLAS!J1143&amp;"');")</f>
        <v>INSERT INTO INYCEXT.INYC_CONF_INF_REGLAS (COD_INFORME,TABLA,NOMBRE,REGLA,F_INICIO,F_FIN,DESCRIPCION) VALUES (106.1,'INYC_PEPA_E_RESUMEN','SM - Pólizas Físicas RRTT','SM-E-GEN-Agente-NumeroPolizas-001-TotalMes',TO_DATE('20140101','yyyymmdd'),TO_DATE('20180101','yyyymmdd'),'Version 20180116');</v>
      </c>
      <c r="B1142" t="str">
        <f>IF(REGLAS!J1143="OBSOLETO","","INSERT INTO INYCEXT.INYC_CONF_INF_REGLAS@tc_link (COD_INFORME,TABLA,NOMBRE,REGLA,F_INICIO,F_FIN,DESCRIPCION) VALUES ("&amp;REGLAS!B1143&amp;",'"&amp;REGLAS!C1143&amp;"','"&amp;REGLAS!D1143&amp;"','"&amp;REGLAS!G1143&amp;"',TO_DATE('"&amp;REGLAS!H1143&amp;"','yyyymmdd'),TO_DATE('"&amp;REGLAS!I1143&amp;"','yyyymmdd'),'"&amp;REGLAS!J1143&amp;"');")</f>
        <v>INSERT INTO INYCEXT.INYC_CONF_INF_REGLAS@tc_link (COD_INFORME,TABLA,NOMBRE,REGLA,F_INICIO,F_FIN,DESCRIPCION) VALUES (106.1,'INYC_PEPA_E_RESUMEN','SM - Pólizas Físicas RRTT','SM-E-GEN-Agente-NumeroPolizas-001-TotalMes',TO_DATE('20140101','yyyymmdd'),TO_DATE('20180101','yyyymmdd'),'Version 20180116');</v>
      </c>
    </row>
    <row r="1143" spans="1:2" x14ac:dyDescent="0.25">
      <c r="A1143" t="str">
        <f>IF(REGLAS!J1144="OBSOLETO","","INSERT INTO INYCEXT.INYC_CONF_INF_REGLAS (COD_INFORME,TABLA,NOMBRE,REGLA,F_INICIO,F_FIN,DESCRIPCION) VALUES ("&amp;REGLAS!B1144&amp;",'"&amp;REGLAS!C1144&amp;"','"&amp;REGLAS!D1144&amp;"','"&amp;REGLAS!G1144&amp;"',TO_DATE('"&amp;REGLAS!H1144&amp;"','yyyymmdd'),TO_DATE('"&amp;REGLAS!I1144&amp;"','yyyymmdd'),'"&amp;REGLAS!J1144&amp;"');")</f>
        <v>INSERT INTO INYCEXT.INYC_CONF_INF_REGLAS (COD_INFORME,TABLA,NOMBRE,REGLA,F_INICIO,F_FIN,DESCRIPCION) VALUES (106.1,'INYC_PEPA_E_RESUMEN','SM - Pólizas Físicas Productos Prioritarios','SM-E-GEN-Agente-NumeroPolizas-004-TotalMes',TO_DATE('20140101','yyyymmdd'),TO_DATE('20180101','yyyymmdd'),'Version 20180116');</v>
      </c>
      <c r="B1143" t="str">
        <f>IF(REGLAS!J1144="OBSOLETO","","INSERT INTO INYCEXT.INYC_CONF_INF_REGLAS@tc_link (COD_INFORME,TABLA,NOMBRE,REGLA,F_INICIO,F_FIN,DESCRIPCION) VALUES ("&amp;REGLAS!B1144&amp;",'"&amp;REGLAS!C1144&amp;"','"&amp;REGLAS!D1144&amp;"','"&amp;REGLAS!G1144&amp;"',TO_DATE('"&amp;REGLAS!H1144&amp;"','yyyymmdd'),TO_DATE('"&amp;REGLAS!I1144&amp;"','yyyymmdd'),'"&amp;REGLAS!J1144&amp;"');")</f>
        <v>INSERT INTO INYCEXT.INYC_CONF_INF_REGLAS@tc_link (COD_INFORME,TABLA,NOMBRE,REGLA,F_INICIO,F_FIN,DESCRIPCION) VALUES (106.1,'INYC_PEPA_E_RESUMEN','SM - Pólizas Físicas Productos Prioritarios','SM-E-GEN-Agente-NumeroPolizas-004-TotalMes',TO_DATE('20140101','yyyymmdd'),TO_DATE('20180101','yyyymmdd'),'Version 20180116');</v>
      </c>
    </row>
    <row r="1144" spans="1:2" x14ac:dyDescent="0.25">
      <c r="A1144" t="str">
        <f>IF(REGLAS!J1145="OBSOLETO","","INSERT INTO INYCEXT.INYC_CONF_INF_REGLAS (COD_INFORME,TABLA,NOMBRE,REGLA,F_INICIO,F_FIN,DESCRIPCION) VALUES ("&amp;REGLAS!B1145&amp;",'"&amp;REGLAS!C1145&amp;"','"&amp;REGLAS!D1145&amp;"','"&amp;REGLAS!G1145&amp;"',TO_DATE('"&amp;REGLAS!H1145&amp;"','yyyymmdd'),TO_DATE('"&amp;REGLAS!I1145&amp;"','yyyymmdd'),'"&amp;REGLAS!J1145&amp;"');")</f>
        <v>INSERT INTO INYCEXT.INYC_CONF_INF_REGLAS (COD_INFORME,TABLA,NOMBRE,REGLA,F_INICIO,F_FIN,DESCRIPCION) VALUES (106.1,'INYC_PEPA_E_RESUMEN','SM - Pólizas Físicas RRGG','SM-E-GEN-Agente-NumeroPolizas-006-TotalMes',TO_DATE('20140101','yyyymmdd'),TO_DATE('20180101','yyyymmdd'),'Version 20180116');</v>
      </c>
      <c r="B1144" t="str">
        <f>IF(REGLAS!J1145="OBSOLETO","","INSERT INTO INYCEXT.INYC_CONF_INF_REGLAS@tc_link (COD_INFORME,TABLA,NOMBRE,REGLA,F_INICIO,F_FIN,DESCRIPCION) VALUES ("&amp;REGLAS!B1145&amp;",'"&amp;REGLAS!C1145&amp;"','"&amp;REGLAS!D1145&amp;"','"&amp;REGLAS!G1145&amp;"',TO_DATE('"&amp;REGLAS!H1145&amp;"','yyyymmdd'),TO_DATE('"&amp;REGLAS!I1145&amp;"','yyyymmdd'),'"&amp;REGLAS!J1145&amp;"');")</f>
        <v>INSERT INTO INYCEXT.INYC_CONF_INF_REGLAS@tc_link (COD_INFORME,TABLA,NOMBRE,REGLA,F_INICIO,F_FIN,DESCRIPCION) VALUES (106.1,'INYC_PEPA_E_RESUMEN','SM - Pólizas Físicas RRGG','SM-E-GEN-Agente-NumeroPolizas-006-TotalMes',TO_DATE('20140101','yyyymmdd'),TO_DATE('20180101','yyyymmdd'),'Version 20180116');</v>
      </c>
    </row>
    <row r="1145" spans="1:2" x14ac:dyDescent="0.25">
      <c r="A1145" t="str">
        <f>IF(REGLAS!J1146="OBSOLETO","","INSERT INTO INYCEXT.INYC_CONF_INF_REGLAS (COD_INFORME,TABLA,NOMBRE,REGLA,F_INICIO,F_FIN,DESCRIPCION) VALUES ("&amp;REGLAS!B1146&amp;",'"&amp;REGLAS!C1146&amp;"','"&amp;REGLAS!D1146&amp;"','"&amp;REGLAS!G1146&amp;"',TO_DATE('"&amp;REGLAS!H1146&amp;"','yyyymmdd'),TO_DATE('"&amp;REGLAS!I1146&amp;"','yyyymmdd'),'"&amp;REGLAS!J1146&amp;"');")</f>
        <v>INSERT INTO INYCEXT.INYC_CONF_INF_REGLAS (COD_INFORME,TABLA,NOMBRE,REGLA,F_INICIO,F_FIN,DESCRIPCION) VALUES (106.1,'INYC_PEPA_E_RESUMEN','SM - Pólizas Físicas Total Productos','SM-E-GEN-Agente-NumeroPolizas-998',TO_DATE('20140101','yyyymmdd'),TO_DATE('20180101','yyyymmdd'),'Version 20180116');</v>
      </c>
      <c r="B1145" t="str">
        <f>IF(REGLAS!J1146="OBSOLETO","","INSERT INTO INYCEXT.INYC_CONF_INF_REGLAS@tc_link (COD_INFORME,TABLA,NOMBRE,REGLA,F_INICIO,F_FIN,DESCRIPCION) VALUES ("&amp;REGLAS!B1146&amp;",'"&amp;REGLAS!C1146&amp;"','"&amp;REGLAS!D1146&amp;"','"&amp;REGLAS!G1146&amp;"',TO_DATE('"&amp;REGLAS!H1146&amp;"','yyyymmdd'),TO_DATE('"&amp;REGLAS!I1146&amp;"','yyyymmdd'),'"&amp;REGLAS!J1146&amp;"');")</f>
        <v>INSERT INTO INYCEXT.INYC_CONF_INF_REGLAS@tc_link (COD_INFORME,TABLA,NOMBRE,REGLA,F_INICIO,F_FIN,DESCRIPCION) VALUES (106.1,'INYC_PEPA_E_RESUMEN','SM - Pólizas Físicas Total Productos','SM-E-GEN-Agente-NumeroPolizas-998',TO_DATE('20140101','yyyymmdd'),TO_DATE('20180101','yyyymmdd'),'Version 20180116');</v>
      </c>
    </row>
    <row r="1146" spans="1:2" x14ac:dyDescent="0.25">
      <c r="A1146" t="str">
        <f>IF(REGLAS!J1147="OBSOLETO","","INSERT INTO INYCEXT.INYC_CONF_INF_REGLAS (COD_INFORME,TABLA,NOMBRE,REGLA,F_INICIO,F_FIN,DESCRIPCION) VALUES ("&amp;REGLAS!B1147&amp;",'"&amp;REGLAS!C1147&amp;"','"&amp;REGLAS!D1147&amp;"','"&amp;REGLAS!G1147&amp;"',TO_DATE('"&amp;REGLAS!H1147&amp;"','yyyymmdd'),TO_DATE('"&amp;REGLAS!I1147&amp;"','yyyymmdd'),'"&amp;REGLAS!J1147&amp;"');")</f>
        <v>INSERT INTO INYCEXT.INYC_CONF_INF_REGLAS (COD_INFORME,TABLA,NOMBRE,REGLA,F_INICIO,F_FIN,DESCRIPCION) VALUES (106.1,'INYC_PEPA_E_RESUMEN','SM - Pólizas Corregidas RRTT','SM-E-GEN-Agente-NumeroPolizasCorregidas-001-TotalMes',TO_DATE('20140101','yyyymmdd'),TO_DATE('20180101','yyyymmdd'),'Version 20180116');</v>
      </c>
      <c r="B1146" t="str">
        <f>IF(REGLAS!J1147="OBSOLETO","","INSERT INTO INYCEXT.INYC_CONF_INF_REGLAS@tc_link (COD_INFORME,TABLA,NOMBRE,REGLA,F_INICIO,F_FIN,DESCRIPCION) VALUES ("&amp;REGLAS!B1147&amp;",'"&amp;REGLAS!C1147&amp;"','"&amp;REGLAS!D1147&amp;"','"&amp;REGLAS!G1147&amp;"',TO_DATE('"&amp;REGLAS!H1147&amp;"','yyyymmdd'),TO_DATE('"&amp;REGLAS!I1147&amp;"','yyyymmdd'),'"&amp;REGLAS!J1147&amp;"');")</f>
        <v>INSERT INTO INYCEXT.INYC_CONF_INF_REGLAS@tc_link (COD_INFORME,TABLA,NOMBRE,REGLA,F_INICIO,F_FIN,DESCRIPCION) VALUES (106.1,'INYC_PEPA_E_RESUMEN','SM - Pólizas Corregidas RRTT','SM-E-GEN-Agente-NumeroPolizasCorregidas-001-TotalMes',TO_DATE('20140101','yyyymmdd'),TO_DATE('20180101','yyyymmdd'),'Version 20180116');</v>
      </c>
    </row>
    <row r="1147" spans="1:2" x14ac:dyDescent="0.25">
      <c r="A1147" t="str">
        <f>IF(REGLAS!J1148="OBSOLETO","","INSERT INTO INYCEXT.INYC_CONF_INF_REGLAS (COD_INFORME,TABLA,NOMBRE,REGLA,F_INICIO,F_FIN,DESCRIPCION) VALUES ("&amp;REGLAS!B1148&amp;",'"&amp;REGLAS!C1148&amp;"','"&amp;REGLAS!D1148&amp;"','"&amp;REGLAS!G1148&amp;"',TO_DATE('"&amp;REGLAS!H1148&amp;"','yyyymmdd'),TO_DATE('"&amp;REGLAS!I1148&amp;"','yyyymmdd'),'"&amp;REGLAS!J1148&amp;"');")</f>
        <v>INSERT INTO INYCEXT.INYC_CONF_INF_REGLAS (COD_INFORME,TABLA,NOMBRE,REGLA,F_INICIO,F_FIN,DESCRIPCION) VALUES (106.1,'INYC_PEPA_E_RESUMEN','SM - Pólizas Corregidas Productos Prioritarios','SM-E-GEN-Agente-NumeroPolizasCorregidas-004-TotalMes',TO_DATE('20140101','yyyymmdd'),TO_DATE('20180101','yyyymmdd'),'Version 20180116');</v>
      </c>
      <c r="B1147" t="str">
        <f>IF(REGLAS!J1148="OBSOLETO","","INSERT INTO INYCEXT.INYC_CONF_INF_REGLAS@tc_link (COD_INFORME,TABLA,NOMBRE,REGLA,F_INICIO,F_FIN,DESCRIPCION) VALUES ("&amp;REGLAS!B1148&amp;",'"&amp;REGLAS!C1148&amp;"','"&amp;REGLAS!D1148&amp;"','"&amp;REGLAS!G1148&amp;"',TO_DATE('"&amp;REGLAS!H1148&amp;"','yyyymmdd'),TO_DATE('"&amp;REGLAS!I1148&amp;"','yyyymmdd'),'"&amp;REGLAS!J1148&amp;"');")</f>
        <v>INSERT INTO INYCEXT.INYC_CONF_INF_REGLAS@tc_link (COD_INFORME,TABLA,NOMBRE,REGLA,F_INICIO,F_FIN,DESCRIPCION) VALUES (106.1,'INYC_PEPA_E_RESUMEN','SM - Pólizas Corregidas Productos Prioritarios','SM-E-GEN-Agente-NumeroPolizasCorregidas-004-TotalMes',TO_DATE('20140101','yyyymmdd'),TO_DATE('20180101','yyyymmdd'),'Version 20180116');</v>
      </c>
    </row>
    <row r="1148" spans="1:2" x14ac:dyDescent="0.25">
      <c r="A1148" t="str">
        <f>IF(REGLAS!J1149="OBSOLETO","","INSERT INTO INYCEXT.INYC_CONF_INF_REGLAS (COD_INFORME,TABLA,NOMBRE,REGLA,F_INICIO,F_FIN,DESCRIPCION) VALUES ("&amp;REGLAS!B1149&amp;",'"&amp;REGLAS!C1149&amp;"','"&amp;REGLAS!D1149&amp;"','"&amp;REGLAS!G1149&amp;"',TO_DATE('"&amp;REGLAS!H1149&amp;"','yyyymmdd'),TO_DATE('"&amp;REGLAS!I1149&amp;"','yyyymmdd'),'"&amp;REGLAS!J1149&amp;"');")</f>
        <v>INSERT INTO INYCEXT.INYC_CONF_INF_REGLAS (COD_INFORME,TABLA,NOMBRE,REGLA,F_INICIO,F_FIN,DESCRIPCION) VALUES (106.1,'INYC_PEPA_E_RESUMEN','SM - Pólizas Corregidas RRGG','SM-E-GEN-Agente-NumeroPolizasCorregidas-006-TotalMes',TO_DATE('20140101','yyyymmdd'),TO_DATE('20180101','yyyymmdd'),'Version 20180116');</v>
      </c>
      <c r="B1148" t="str">
        <f>IF(REGLAS!J1149="OBSOLETO","","INSERT INTO INYCEXT.INYC_CONF_INF_REGLAS@tc_link (COD_INFORME,TABLA,NOMBRE,REGLA,F_INICIO,F_FIN,DESCRIPCION) VALUES ("&amp;REGLAS!B1149&amp;",'"&amp;REGLAS!C1149&amp;"','"&amp;REGLAS!D1149&amp;"','"&amp;REGLAS!G1149&amp;"',TO_DATE('"&amp;REGLAS!H1149&amp;"','yyyymmdd'),TO_DATE('"&amp;REGLAS!I1149&amp;"','yyyymmdd'),'"&amp;REGLAS!J1149&amp;"');")</f>
        <v>INSERT INTO INYCEXT.INYC_CONF_INF_REGLAS@tc_link (COD_INFORME,TABLA,NOMBRE,REGLA,F_INICIO,F_FIN,DESCRIPCION) VALUES (106.1,'INYC_PEPA_E_RESUMEN','SM - Pólizas Corregidas RRGG','SM-E-GEN-Agente-NumeroPolizasCorregidas-006-TotalMes',TO_DATE('20140101','yyyymmdd'),TO_DATE('20180101','yyyymmdd'),'Version 20180116');</v>
      </c>
    </row>
    <row r="1149" spans="1:2" x14ac:dyDescent="0.25">
      <c r="A1149" t="str">
        <f>IF(REGLAS!J1150="OBSOLETO","","INSERT INTO INYCEXT.INYC_CONF_INF_REGLAS (COD_INFORME,TABLA,NOMBRE,REGLA,F_INICIO,F_FIN,DESCRIPCION) VALUES ("&amp;REGLAS!B1150&amp;",'"&amp;REGLAS!C1150&amp;"','"&amp;REGLAS!D1150&amp;"','"&amp;REGLAS!G1150&amp;"',TO_DATE('"&amp;REGLAS!H1150&amp;"','yyyymmdd'),TO_DATE('"&amp;REGLAS!I1150&amp;"','yyyymmdd'),'"&amp;REGLAS!J1150&amp;"');")</f>
        <v>INSERT INTO INYCEXT.INYC_CONF_INF_REGLAS (COD_INFORME,TABLA,NOMBRE,REGLA,F_INICIO,F_FIN,DESCRIPCION) VALUES (106.1,'INYC_PEPA_E_RESUMEN','SM - Pólizas Corregidas Total Productos','SM-E-GEN-Agente-NumeroPolizasCorregidas-998-TotalMes',TO_DATE('20140101','yyyymmdd'),TO_DATE('20180101','yyyymmdd'),'Version 20180116');</v>
      </c>
      <c r="B1149" t="str">
        <f>IF(REGLAS!J1150="OBSOLETO","","INSERT INTO INYCEXT.INYC_CONF_INF_REGLAS@tc_link (COD_INFORME,TABLA,NOMBRE,REGLA,F_INICIO,F_FIN,DESCRIPCION) VALUES ("&amp;REGLAS!B1150&amp;",'"&amp;REGLAS!C1150&amp;"','"&amp;REGLAS!D1150&amp;"','"&amp;REGLAS!G1150&amp;"',TO_DATE('"&amp;REGLAS!H1150&amp;"','yyyymmdd'),TO_DATE('"&amp;REGLAS!I1150&amp;"','yyyymmdd'),'"&amp;REGLAS!J1150&amp;"');")</f>
        <v>INSERT INTO INYCEXT.INYC_CONF_INF_REGLAS@tc_link (COD_INFORME,TABLA,NOMBRE,REGLA,F_INICIO,F_FIN,DESCRIPCION) VALUES (106.1,'INYC_PEPA_E_RESUMEN','SM - Pólizas Corregidas Total Productos','SM-E-GEN-Agente-NumeroPolizasCorregidas-998-TotalMes',TO_DATE('20140101','yyyymmdd'),TO_DATE('20180101','yyyymmdd'),'Version 20180116');</v>
      </c>
    </row>
    <row r="1150" spans="1:2" x14ac:dyDescent="0.25">
      <c r="A1150" t="str">
        <f>IF(REGLAS!J1151="OBSOLETO","","INSERT INTO INYCEXT.INYC_CONF_INF_REGLAS (COD_INFORME,TABLA,NOMBRE,REGLA,F_INICIO,F_FIN,DESCRIPCION) VALUES ("&amp;REGLAS!B1151&amp;",'"&amp;REGLAS!C1151&amp;"','"&amp;REGLAS!D1151&amp;"','"&amp;REGLAS!G1151&amp;"',TO_DATE('"&amp;REGLAS!H1151&amp;"','yyyymmdd'),TO_DATE('"&amp;REGLAS!I1151&amp;"','yyyymmdd'),'"&amp;REGLAS!J1151&amp;"');")</f>
        <v>INSERT INTO INYCEXT.INYC_CONF_INF_REGLAS (COD_INFORME,TABLA,NOMBRE,REGLA,F_INICIO,F_FIN,DESCRIPCION) VALUES (106.1,'INYC_PEPA_E_RESUMEN','SM - Primas Corregidas RRTT','SM-E-GEN-Agente-PrimaCorregida-001-TotalMes',TO_DATE('20140101','yyyymmdd'),TO_DATE('20180101','yyyymmdd'),'Version 20180116');</v>
      </c>
      <c r="B1150" t="str">
        <f>IF(REGLAS!J1151="OBSOLETO","","INSERT INTO INYCEXT.INYC_CONF_INF_REGLAS@tc_link (COD_INFORME,TABLA,NOMBRE,REGLA,F_INICIO,F_FIN,DESCRIPCION) VALUES ("&amp;REGLAS!B1151&amp;",'"&amp;REGLAS!C1151&amp;"','"&amp;REGLAS!D1151&amp;"','"&amp;REGLAS!G1151&amp;"',TO_DATE('"&amp;REGLAS!H1151&amp;"','yyyymmdd'),TO_DATE('"&amp;REGLAS!I1151&amp;"','yyyymmdd'),'"&amp;REGLAS!J1151&amp;"');")</f>
        <v>INSERT INTO INYCEXT.INYC_CONF_INF_REGLAS@tc_link (COD_INFORME,TABLA,NOMBRE,REGLA,F_INICIO,F_FIN,DESCRIPCION) VALUES (106.1,'INYC_PEPA_E_RESUMEN','SM - Primas Corregidas RRTT','SM-E-GEN-Agente-PrimaCorregida-001-TotalMes',TO_DATE('20140101','yyyymmdd'),TO_DATE('20180101','yyyymmdd'),'Version 20180116');</v>
      </c>
    </row>
    <row r="1151" spans="1:2" x14ac:dyDescent="0.25">
      <c r="A1151" t="str">
        <f>IF(REGLAS!J1152="OBSOLETO","","INSERT INTO INYCEXT.INYC_CONF_INF_REGLAS (COD_INFORME,TABLA,NOMBRE,REGLA,F_INICIO,F_FIN,DESCRIPCION) VALUES ("&amp;REGLAS!B1152&amp;",'"&amp;REGLAS!C1152&amp;"','"&amp;REGLAS!D1152&amp;"','"&amp;REGLAS!G1152&amp;"',TO_DATE('"&amp;REGLAS!H1152&amp;"','yyyymmdd'),TO_DATE('"&amp;REGLAS!I1152&amp;"','yyyymmdd'),'"&amp;REGLAS!J1152&amp;"');")</f>
        <v>INSERT INTO INYCEXT.INYC_CONF_INF_REGLAS (COD_INFORME,TABLA,NOMBRE,REGLA,F_INICIO,F_FIN,DESCRIPCION) VALUES (106.1,'INYC_PEPA_E_RESUMEN','SM - Primas Corregidas Productos Prioritarios','SM-E-GEN-Agente-PrimaCorregida-004-TotalMes',TO_DATE('20140101','yyyymmdd'),TO_DATE('20180101','yyyymmdd'),'Version 20180116');</v>
      </c>
      <c r="B1151" t="str">
        <f>IF(REGLAS!J1152="OBSOLETO","","INSERT INTO INYCEXT.INYC_CONF_INF_REGLAS@tc_link (COD_INFORME,TABLA,NOMBRE,REGLA,F_INICIO,F_FIN,DESCRIPCION) VALUES ("&amp;REGLAS!B1152&amp;",'"&amp;REGLAS!C1152&amp;"','"&amp;REGLAS!D1152&amp;"','"&amp;REGLAS!G1152&amp;"',TO_DATE('"&amp;REGLAS!H1152&amp;"','yyyymmdd'),TO_DATE('"&amp;REGLAS!I1152&amp;"','yyyymmdd'),'"&amp;REGLAS!J1152&amp;"');")</f>
        <v>INSERT INTO INYCEXT.INYC_CONF_INF_REGLAS@tc_link (COD_INFORME,TABLA,NOMBRE,REGLA,F_INICIO,F_FIN,DESCRIPCION) VALUES (106.1,'INYC_PEPA_E_RESUMEN','SM - Primas Corregidas Productos Prioritarios','SM-E-GEN-Agente-PrimaCorregida-004-TotalMes',TO_DATE('20140101','yyyymmdd'),TO_DATE('20180101','yyyymmdd'),'Version 20180116');</v>
      </c>
    </row>
    <row r="1152" spans="1:2" x14ac:dyDescent="0.25">
      <c r="A1152" t="str">
        <f>IF(REGLAS!J1153="OBSOLETO","","INSERT INTO INYCEXT.INYC_CONF_INF_REGLAS (COD_INFORME,TABLA,NOMBRE,REGLA,F_INICIO,F_FIN,DESCRIPCION) VALUES ("&amp;REGLAS!B1153&amp;",'"&amp;REGLAS!C1153&amp;"','"&amp;REGLAS!D1153&amp;"','"&amp;REGLAS!G1153&amp;"',TO_DATE('"&amp;REGLAS!H1153&amp;"','yyyymmdd'),TO_DATE('"&amp;REGLAS!I1153&amp;"','yyyymmdd'),'"&amp;REGLAS!J1153&amp;"');")</f>
        <v>INSERT INTO INYCEXT.INYC_CONF_INF_REGLAS (COD_INFORME,TABLA,NOMBRE,REGLA,F_INICIO,F_FIN,DESCRIPCION) VALUES (106.1,'INYC_PEPA_E_RESUMEN','SM - Primas Corregidas RRGG','SM-E-GEN-Agente-PrimaCorregida-006-TotalMes',TO_DATE('20140101','yyyymmdd'),TO_DATE('20180101','yyyymmdd'),'Version 20180116');</v>
      </c>
      <c r="B1152" t="str">
        <f>IF(REGLAS!J1153="OBSOLETO","","INSERT INTO INYCEXT.INYC_CONF_INF_REGLAS@tc_link (COD_INFORME,TABLA,NOMBRE,REGLA,F_INICIO,F_FIN,DESCRIPCION) VALUES ("&amp;REGLAS!B1153&amp;",'"&amp;REGLAS!C1153&amp;"','"&amp;REGLAS!D1153&amp;"','"&amp;REGLAS!G1153&amp;"',TO_DATE('"&amp;REGLAS!H1153&amp;"','yyyymmdd'),TO_DATE('"&amp;REGLAS!I1153&amp;"','yyyymmdd'),'"&amp;REGLAS!J1153&amp;"');")</f>
        <v>INSERT INTO INYCEXT.INYC_CONF_INF_REGLAS@tc_link (COD_INFORME,TABLA,NOMBRE,REGLA,F_INICIO,F_FIN,DESCRIPCION) VALUES (106.1,'INYC_PEPA_E_RESUMEN','SM - Primas Corregidas RRGG','SM-E-GEN-Agente-PrimaCorregida-006-TotalMes',TO_DATE('20140101','yyyymmdd'),TO_DATE('20180101','yyyymmdd'),'Version 20180116');</v>
      </c>
    </row>
    <row r="1153" spans="1:2" x14ac:dyDescent="0.25">
      <c r="A1153" t="str">
        <f>IF(REGLAS!J1154="OBSOLETO","","INSERT INTO INYCEXT.INYC_CONF_INF_REGLAS (COD_INFORME,TABLA,NOMBRE,REGLA,F_INICIO,F_FIN,DESCRIPCION) VALUES ("&amp;REGLAS!B1154&amp;",'"&amp;REGLAS!C1154&amp;"','"&amp;REGLAS!D1154&amp;"','"&amp;REGLAS!G1154&amp;"',TO_DATE('"&amp;REGLAS!H1154&amp;"','yyyymmdd'),TO_DATE('"&amp;REGLAS!I1154&amp;"','yyyymmdd'),'"&amp;REGLAS!J1154&amp;"');")</f>
        <v>INSERT INTO INYCEXT.INYC_CONF_INF_REGLAS (COD_INFORME,TABLA,NOMBRE,REGLA,F_INICIO,F_FIN,DESCRIPCION) VALUES (106.1,'INYC_PEPA_E_RESUMEN','SM - Primas Corregidas Total Productos','SM-E-GEN-Agente-PrimaCorregida-998-TotalMes',TO_DATE('20140101','yyyymmdd'),TO_DATE('20180101','yyyymmdd'),'Version 20180116');</v>
      </c>
      <c r="B1153" t="str">
        <f>IF(REGLAS!J1154="OBSOLETO","","INSERT INTO INYCEXT.INYC_CONF_INF_REGLAS@tc_link (COD_INFORME,TABLA,NOMBRE,REGLA,F_INICIO,F_FIN,DESCRIPCION) VALUES ("&amp;REGLAS!B1154&amp;",'"&amp;REGLAS!C1154&amp;"','"&amp;REGLAS!D1154&amp;"','"&amp;REGLAS!G1154&amp;"',TO_DATE('"&amp;REGLAS!H1154&amp;"','yyyymmdd'),TO_DATE('"&amp;REGLAS!I1154&amp;"','yyyymmdd'),'"&amp;REGLAS!J1154&amp;"');")</f>
        <v>INSERT INTO INYCEXT.INYC_CONF_INF_REGLAS@tc_link (COD_INFORME,TABLA,NOMBRE,REGLA,F_INICIO,F_FIN,DESCRIPCION) VALUES (106.1,'INYC_PEPA_E_RESUMEN','SM - Primas Corregidas Total Productos','SM-E-GEN-Agente-PrimaCorregida-998-TotalMes',TO_DATE('20140101','yyyymmdd'),TO_DATE('20180101','yyyymmdd'),'Version 20180116');</v>
      </c>
    </row>
    <row r="1154" spans="1:2" x14ac:dyDescent="0.25">
      <c r="A1154" t="str">
        <f>IF(REGLAS!J1155="OBSOLETO","","INSERT INTO INYCEXT.INYC_CONF_INF_REGLAS (COD_INFORME,TABLA,NOMBRE,REGLA,F_INICIO,F_FIN,DESCRIPCION) VALUES ("&amp;REGLAS!B1155&amp;",'"&amp;REGLAS!C1155&amp;"','"&amp;REGLAS!D1155&amp;"','"&amp;REGLAS!G1155&amp;"',TO_DATE('"&amp;REGLAS!H1155&amp;"','yyyymmdd'),TO_DATE('"&amp;REGLAS!I1155&amp;"','yyyymmdd'),'"&amp;REGLAS!J1155&amp;"');")</f>
        <v>INSERT INTO INYCEXT.INYC_CONF_INF_REGLAS (COD_INFORME,TABLA,NOMBRE,REGLA,F_INICIO,F_FIN,DESCRIPCION) VALUES (106.1,'INYC_PEPA_E_RESUMEN','SM - Pólizas Físicas RRTT Anual','SM-E-GEN-Agente-NumeroPolizas-001-TotalAnual',TO_DATE('20140101','yyyymmdd'),TO_DATE('20180101','yyyymmdd'),'Version 20180116');</v>
      </c>
      <c r="B1154" t="str">
        <f>IF(REGLAS!J1155="OBSOLETO","","INSERT INTO INYCEXT.INYC_CONF_INF_REGLAS@tc_link (COD_INFORME,TABLA,NOMBRE,REGLA,F_INICIO,F_FIN,DESCRIPCION) VALUES ("&amp;REGLAS!B1155&amp;",'"&amp;REGLAS!C1155&amp;"','"&amp;REGLAS!D1155&amp;"','"&amp;REGLAS!G1155&amp;"',TO_DATE('"&amp;REGLAS!H1155&amp;"','yyyymmdd'),TO_DATE('"&amp;REGLAS!I1155&amp;"','yyyymmdd'),'"&amp;REGLAS!J1155&amp;"');")</f>
        <v>INSERT INTO INYCEXT.INYC_CONF_INF_REGLAS@tc_link (COD_INFORME,TABLA,NOMBRE,REGLA,F_INICIO,F_FIN,DESCRIPCION) VALUES (106.1,'INYC_PEPA_E_RESUMEN','SM - Pólizas Físicas RRTT Anual','SM-E-GEN-Agente-NumeroPolizas-001-TotalAnual',TO_DATE('20140101','yyyymmdd'),TO_DATE('20180101','yyyymmdd'),'Version 20180116');</v>
      </c>
    </row>
    <row r="1155" spans="1:2" x14ac:dyDescent="0.25">
      <c r="A1155" t="str">
        <f>IF(REGLAS!J1156="OBSOLETO","","INSERT INTO INYCEXT.INYC_CONF_INF_REGLAS (COD_INFORME,TABLA,NOMBRE,REGLA,F_INICIO,F_FIN,DESCRIPCION) VALUES ("&amp;REGLAS!B1156&amp;",'"&amp;REGLAS!C1156&amp;"','"&amp;REGLAS!D1156&amp;"','"&amp;REGLAS!G1156&amp;"',TO_DATE('"&amp;REGLAS!H1156&amp;"','yyyymmdd'),TO_DATE('"&amp;REGLAS!I1156&amp;"','yyyymmdd'),'"&amp;REGLAS!J1156&amp;"');")</f>
        <v>INSERT INTO INYCEXT.INYC_CONF_INF_REGLAS (COD_INFORME,TABLA,NOMBRE,REGLA,F_INICIO,F_FIN,DESCRIPCION) VALUES (106.1,'INYC_PEPA_E_RESUMEN','SM - Pólizas Físicas Productos Prioritarios Anual','SM-E-GEN-Agente-NumeroPolizas-004-TotalAnual',TO_DATE('20140101','yyyymmdd'),TO_DATE('20180101','yyyymmdd'),'Version 20180116');</v>
      </c>
      <c r="B1155" t="str">
        <f>IF(REGLAS!J1156="OBSOLETO","","INSERT INTO INYCEXT.INYC_CONF_INF_REGLAS@tc_link (COD_INFORME,TABLA,NOMBRE,REGLA,F_INICIO,F_FIN,DESCRIPCION) VALUES ("&amp;REGLAS!B1156&amp;",'"&amp;REGLAS!C1156&amp;"','"&amp;REGLAS!D1156&amp;"','"&amp;REGLAS!G1156&amp;"',TO_DATE('"&amp;REGLAS!H1156&amp;"','yyyymmdd'),TO_DATE('"&amp;REGLAS!I1156&amp;"','yyyymmdd'),'"&amp;REGLAS!J1156&amp;"');")</f>
        <v>INSERT INTO INYCEXT.INYC_CONF_INF_REGLAS@tc_link (COD_INFORME,TABLA,NOMBRE,REGLA,F_INICIO,F_FIN,DESCRIPCION) VALUES (106.1,'INYC_PEPA_E_RESUMEN','SM - Pólizas Físicas Productos Prioritarios Anual','SM-E-GEN-Agente-NumeroPolizas-004-TotalAnual',TO_DATE('20140101','yyyymmdd'),TO_DATE('20180101','yyyymmdd'),'Version 20180116');</v>
      </c>
    </row>
    <row r="1156" spans="1:2" x14ac:dyDescent="0.25">
      <c r="A1156" t="str">
        <f>IF(REGLAS!J1157="OBSOLETO","","INSERT INTO INYCEXT.INYC_CONF_INF_REGLAS (COD_INFORME,TABLA,NOMBRE,REGLA,F_INICIO,F_FIN,DESCRIPCION) VALUES ("&amp;REGLAS!B1157&amp;",'"&amp;REGLAS!C1157&amp;"','"&amp;REGLAS!D1157&amp;"','"&amp;REGLAS!G1157&amp;"',TO_DATE('"&amp;REGLAS!H1157&amp;"','yyyymmdd'),TO_DATE('"&amp;REGLAS!I1157&amp;"','yyyymmdd'),'"&amp;REGLAS!J1157&amp;"');")</f>
        <v>INSERT INTO INYCEXT.INYC_CONF_INF_REGLAS (COD_INFORME,TABLA,NOMBRE,REGLA,F_INICIO,F_FIN,DESCRIPCION) VALUES (106.1,'INYC_PEPA_E_RESUMEN','SM - Pólizas Físicas RRGG Anual','SM-E-GEN-Agente-NumeroPolizas-006-TotalAnual',TO_DATE('20140101','yyyymmdd'),TO_DATE('20180101','yyyymmdd'),'Version 20180116');</v>
      </c>
      <c r="B1156" t="str">
        <f>IF(REGLAS!J1157="OBSOLETO","","INSERT INTO INYCEXT.INYC_CONF_INF_REGLAS@tc_link (COD_INFORME,TABLA,NOMBRE,REGLA,F_INICIO,F_FIN,DESCRIPCION) VALUES ("&amp;REGLAS!B1157&amp;",'"&amp;REGLAS!C1157&amp;"','"&amp;REGLAS!D1157&amp;"','"&amp;REGLAS!G1157&amp;"',TO_DATE('"&amp;REGLAS!H1157&amp;"','yyyymmdd'),TO_DATE('"&amp;REGLAS!I1157&amp;"','yyyymmdd'),'"&amp;REGLAS!J1157&amp;"');")</f>
        <v>INSERT INTO INYCEXT.INYC_CONF_INF_REGLAS@tc_link (COD_INFORME,TABLA,NOMBRE,REGLA,F_INICIO,F_FIN,DESCRIPCION) VALUES (106.1,'INYC_PEPA_E_RESUMEN','SM - Pólizas Físicas RRGG Anual','SM-E-GEN-Agente-NumeroPolizas-006-TotalAnual',TO_DATE('20140101','yyyymmdd'),TO_DATE('20180101','yyyymmdd'),'Version 20180116');</v>
      </c>
    </row>
    <row r="1157" spans="1:2" x14ac:dyDescent="0.25">
      <c r="A1157" t="str">
        <f>IF(REGLAS!J1158="OBSOLETO","","INSERT INTO INYCEXT.INYC_CONF_INF_REGLAS (COD_INFORME,TABLA,NOMBRE,REGLA,F_INICIO,F_FIN,DESCRIPCION) VALUES ("&amp;REGLAS!B1158&amp;",'"&amp;REGLAS!C1158&amp;"','"&amp;REGLAS!D1158&amp;"','"&amp;REGLAS!G1158&amp;"',TO_DATE('"&amp;REGLAS!H1158&amp;"','yyyymmdd'),TO_DATE('"&amp;REGLAS!I1158&amp;"','yyyymmdd'),'"&amp;REGLAS!J1158&amp;"');")</f>
        <v>INSERT INTO INYCEXT.INYC_CONF_INF_REGLAS (COD_INFORME,TABLA,NOMBRE,REGLA,F_INICIO,F_FIN,DESCRIPCION) VALUES (106.1,'INYC_PEPA_E_RESUMEN','SM - Pólizas Físicas Total Productos Anual','SM-E-GEN-Agente-NumeroPolizas-998-TotalAnual',TO_DATE('20140101','yyyymmdd'),TO_DATE('20180101','yyyymmdd'),'Version 20180116');</v>
      </c>
      <c r="B1157" t="str">
        <f>IF(REGLAS!J1158="OBSOLETO","","INSERT INTO INYCEXT.INYC_CONF_INF_REGLAS@tc_link (COD_INFORME,TABLA,NOMBRE,REGLA,F_INICIO,F_FIN,DESCRIPCION) VALUES ("&amp;REGLAS!B1158&amp;",'"&amp;REGLAS!C1158&amp;"','"&amp;REGLAS!D1158&amp;"','"&amp;REGLAS!G1158&amp;"',TO_DATE('"&amp;REGLAS!H1158&amp;"','yyyymmdd'),TO_DATE('"&amp;REGLAS!I1158&amp;"','yyyymmdd'),'"&amp;REGLAS!J1158&amp;"');")</f>
        <v>INSERT INTO INYCEXT.INYC_CONF_INF_REGLAS@tc_link (COD_INFORME,TABLA,NOMBRE,REGLA,F_INICIO,F_FIN,DESCRIPCION) VALUES (106.1,'INYC_PEPA_E_RESUMEN','SM - Pólizas Físicas Total Productos Anual','SM-E-GEN-Agente-NumeroPolizas-998-TotalAnual',TO_DATE('20140101','yyyymmdd'),TO_DATE('20180101','yyyymmdd'),'Version 20180116');</v>
      </c>
    </row>
    <row r="1158" spans="1:2" x14ac:dyDescent="0.25">
      <c r="A1158" t="str">
        <f>IF(REGLAS!J1159="OBSOLETO","","INSERT INTO INYCEXT.INYC_CONF_INF_REGLAS (COD_INFORME,TABLA,NOMBRE,REGLA,F_INICIO,F_FIN,DESCRIPCION) VALUES ("&amp;REGLAS!B1159&amp;",'"&amp;REGLAS!C1159&amp;"','"&amp;REGLAS!D1159&amp;"','"&amp;REGLAS!G1159&amp;"',TO_DATE('"&amp;REGLAS!H1159&amp;"','yyyymmdd'),TO_DATE('"&amp;REGLAS!I1159&amp;"','yyyymmdd'),'"&amp;REGLAS!J1159&amp;"');")</f>
        <v>INSERT INTO INYCEXT.INYC_CONF_INF_REGLAS (COD_INFORME,TABLA,NOMBRE,REGLA,F_INICIO,F_FIN,DESCRIPCION) VALUES (106.1,'INYC_PEPA_E_RESUMEN','SM - Pólizas Corregidas RRTT Anual','SM-E-GEN-Agente-NumeroPolizasCorregidas-001-TotalAnual',TO_DATE('20140101','yyyymmdd'),TO_DATE('20180101','yyyymmdd'),'Version 20180116');</v>
      </c>
      <c r="B1158" t="str">
        <f>IF(REGLAS!J1159="OBSOLETO","","INSERT INTO INYCEXT.INYC_CONF_INF_REGLAS@tc_link (COD_INFORME,TABLA,NOMBRE,REGLA,F_INICIO,F_FIN,DESCRIPCION) VALUES ("&amp;REGLAS!B1159&amp;",'"&amp;REGLAS!C1159&amp;"','"&amp;REGLAS!D1159&amp;"','"&amp;REGLAS!G1159&amp;"',TO_DATE('"&amp;REGLAS!H1159&amp;"','yyyymmdd'),TO_DATE('"&amp;REGLAS!I1159&amp;"','yyyymmdd'),'"&amp;REGLAS!J1159&amp;"');")</f>
        <v>INSERT INTO INYCEXT.INYC_CONF_INF_REGLAS@tc_link (COD_INFORME,TABLA,NOMBRE,REGLA,F_INICIO,F_FIN,DESCRIPCION) VALUES (106.1,'INYC_PEPA_E_RESUMEN','SM - Pólizas Corregidas RRTT Anual','SM-E-GEN-Agente-NumeroPolizasCorregidas-001-TotalAnual',TO_DATE('20140101','yyyymmdd'),TO_DATE('20180101','yyyymmdd'),'Version 20180116');</v>
      </c>
    </row>
    <row r="1159" spans="1:2" x14ac:dyDescent="0.25">
      <c r="A1159" t="str">
        <f>IF(REGLAS!J1160="OBSOLETO","","INSERT INTO INYCEXT.INYC_CONF_INF_REGLAS (COD_INFORME,TABLA,NOMBRE,REGLA,F_INICIO,F_FIN,DESCRIPCION) VALUES ("&amp;REGLAS!B1160&amp;",'"&amp;REGLAS!C1160&amp;"','"&amp;REGLAS!D1160&amp;"','"&amp;REGLAS!G1160&amp;"',TO_DATE('"&amp;REGLAS!H1160&amp;"','yyyymmdd'),TO_DATE('"&amp;REGLAS!I1160&amp;"','yyyymmdd'),'"&amp;REGLAS!J1160&amp;"');")</f>
        <v>INSERT INTO INYCEXT.INYC_CONF_INF_REGLAS (COD_INFORME,TABLA,NOMBRE,REGLA,F_INICIO,F_FIN,DESCRIPCION) VALUES (106.1,'INYC_PEPA_E_RESUMEN','SM - Pólizas Corregidas Productos Prioritarios Anual','SM-E-GEN-Agente-NumeroPolizasCorregidas-004-TotalAnual',TO_DATE('20140101','yyyymmdd'),TO_DATE('20180101','yyyymmdd'),'Version 20180116');</v>
      </c>
      <c r="B1159" t="str">
        <f>IF(REGLAS!J1160="OBSOLETO","","INSERT INTO INYCEXT.INYC_CONF_INF_REGLAS@tc_link (COD_INFORME,TABLA,NOMBRE,REGLA,F_INICIO,F_FIN,DESCRIPCION) VALUES ("&amp;REGLAS!B1160&amp;",'"&amp;REGLAS!C1160&amp;"','"&amp;REGLAS!D1160&amp;"','"&amp;REGLAS!G1160&amp;"',TO_DATE('"&amp;REGLAS!H1160&amp;"','yyyymmdd'),TO_DATE('"&amp;REGLAS!I1160&amp;"','yyyymmdd'),'"&amp;REGLAS!J1160&amp;"');")</f>
        <v>INSERT INTO INYCEXT.INYC_CONF_INF_REGLAS@tc_link (COD_INFORME,TABLA,NOMBRE,REGLA,F_INICIO,F_FIN,DESCRIPCION) VALUES (106.1,'INYC_PEPA_E_RESUMEN','SM - Pólizas Corregidas Productos Prioritarios Anual','SM-E-GEN-Agente-NumeroPolizasCorregidas-004-TotalAnual',TO_DATE('20140101','yyyymmdd'),TO_DATE('20180101','yyyymmdd'),'Version 20180116');</v>
      </c>
    </row>
    <row r="1160" spans="1:2" x14ac:dyDescent="0.25">
      <c r="A1160" t="str">
        <f>IF(REGLAS!J1161="OBSOLETO","","INSERT INTO INYCEXT.INYC_CONF_INF_REGLAS (COD_INFORME,TABLA,NOMBRE,REGLA,F_INICIO,F_FIN,DESCRIPCION) VALUES ("&amp;REGLAS!B1161&amp;",'"&amp;REGLAS!C1161&amp;"','"&amp;REGLAS!D1161&amp;"','"&amp;REGLAS!G1161&amp;"',TO_DATE('"&amp;REGLAS!H1161&amp;"','yyyymmdd'),TO_DATE('"&amp;REGLAS!I1161&amp;"','yyyymmdd'),'"&amp;REGLAS!J1161&amp;"');")</f>
        <v>INSERT INTO INYCEXT.INYC_CONF_INF_REGLAS (COD_INFORME,TABLA,NOMBRE,REGLA,F_INICIO,F_FIN,DESCRIPCION) VALUES (106.1,'INYC_PEPA_E_RESUMEN','SM - Pólizas Corregidas RRGG Anual','SM-E-GEN-Agente-NumeroPolizasCorregidas-006-TotalAnual',TO_DATE('20140101','yyyymmdd'),TO_DATE('20180101','yyyymmdd'),'Version 20180116');</v>
      </c>
      <c r="B1160" t="str">
        <f>IF(REGLAS!J1161="OBSOLETO","","INSERT INTO INYCEXT.INYC_CONF_INF_REGLAS@tc_link (COD_INFORME,TABLA,NOMBRE,REGLA,F_INICIO,F_FIN,DESCRIPCION) VALUES ("&amp;REGLAS!B1161&amp;",'"&amp;REGLAS!C1161&amp;"','"&amp;REGLAS!D1161&amp;"','"&amp;REGLAS!G1161&amp;"',TO_DATE('"&amp;REGLAS!H1161&amp;"','yyyymmdd'),TO_DATE('"&amp;REGLAS!I1161&amp;"','yyyymmdd'),'"&amp;REGLAS!J1161&amp;"');")</f>
        <v>INSERT INTO INYCEXT.INYC_CONF_INF_REGLAS@tc_link (COD_INFORME,TABLA,NOMBRE,REGLA,F_INICIO,F_FIN,DESCRIPCION) VALUES (106.1,'INYC_PEPA_E_RESUMEN','SM - Pólizas Corregidas RRGG Anual','SM-E-GEN-Agente-NumeroPolizasCorregidas-006-TotalAnual',TO_DATE('20140101','yyyymmdd'),TO_DATE('20180101','yyyymmdd'),'Version 20180116');</v>
      </c>
    </row>
    <row r="1161" spans="1:2" x14ac:dyDescent="0.25">
      <c r="A1161" t="str">
        <f>IF(REGLAS!J1162="OBSOLETO","","INSERT INTO INYCEXT.INYC_CONF_INF_REGLAS (COD_INFORME,TABLA,NOMBRE,REGLA,F_INICIO,F_FIN,DESCRIPCION) VALUES ("&amp;REGLAS!B1162&amp;",'"&amp;REGLAS!C1162&amp;"','"&amp;REGLAS!D1162&amp;"','"&amp;REGLAS!G1162&amp;"',TO_DATE('"&amp;REGLAS!H1162&amp;"','yyyymmdd'),TO_DATE('"&amp;REGLAS!I1162&amp;"','yyyymmdd'),'"&amp;REGLAS!J1162&amp;"');")</f>
        <v>INSERT INTO INYCEXT.INYC_CONF_INF_REGLAS (COD_INFORME,TABLA,NOMBRE,REGLA,F_INICIO,F_FIN,DESCRIPCION) VALUES (106.1,'INYC_PEPA_E_RESUMEN','SM - Pólizas Corregidas Total Productos Anual','SM-E-GEN-Agente-NumeroPolizasCorregidas-998-TotalAnual',TO_DATE('20140101','yyyymmdd'),TO_DATE('20180101','yyyymmdd'),'Version 20180116');</v>
      </c>
      <c r="B1161" t="str">
        <f>IF(REGLAS!J1162="OBSOLETO","","INSERT INTO INYCEXT.INYC_CONF_INF_REGLAS@tc_link (COD_INFORME,TABLA,NOMBRE,REGLA,F_INICIO,F_FIN,DESCRIPCION) VALUES ("&amp;REGLAS!B1162&amp;",'"&amp;REGLAS!C1162&amp;"','"&amp;REGLAS!D1162&amp;"','"&amp;REGLAS!G1162&amp;"',TO_DATE('"&amp;REGLAS!H1162&amp;"','yyyymmdd'),TO_DATE('"&amp;REGLAS!I1162&amp;"','yyyymmdd'),'"&amp;REGLAS!J1162&amp;"');")</f>
        <v>INSERT INTO INYCEXT.INYC_CONF_INF_REGLAS@tc_link (COD_INFORME,TABLA,NOMBRE,REGLA,F_INICIO,F_FIN,DESCRIPCION) VALUES (106.1,'INYC_PEPA_E_RESUMEN','SM - Pólizas Corregidas Total Productos Anual','SM-E-GEN-Agente-NumeroPolizasCorregidas-998-TotalAnual',TO_DATE('20140101','yyyymmdd'),TO_DATE('20180101','yyyymmdd'),'Version 20180116');</v>
      </c>
    </row>
    <row r="1162" spans="1:2" x14ac:dyDescent="0.25">
      <c r="A1162" t="str">
        <f>IF(REGLAS!J1163="OBSOLETO","","INSERT INTO INYCEXT.INYC_CONF_INF_REGLAS (COD_INFORME,TABLA,NOMBRE,REGLA,F_INICIO,F_FIN,DESCRIPCION) VALUES ("&amp;REGLAS!B1163&amp;",'"&amp;REGLAS!C1163&amp;"','"&amp;REGLAS!D1163&amp;"','"&amp;REGLAS!G1163&amp;"',TO_DATE('"&amp;REGLAS!H1163&amp;"','yyyymmdd'),TO_DATE('"&amp;REGLAS!I1163&amp;"','yyyymmdd'),'"&amp;REGLAS!J1163&amp;"');")</f>
        <v>INSERT INTO INYCEXT.INYC_CONF_INF_REGLAS (COD_INFORME,TABLA,NOMBRE,REGLA,F_INICIO,F_FIN,DESCRIPCION) VALUES (106.1,'INYC_PEPA_E_RESUMEN','SM - Primas Corregidas RRTT Anual','SM-E-GEN-Agente-PrimaCorregida-001-TotalAnual',TO_DATE('20140101','yyyymmdd'),TO_DATE('20180101','yyyymmdd'),'Version 20180116');</v>
      </c>
      <c r="B1162" t="str">
        <f>IF(REGLAS!J1163="OBSOLETO","","INSERT INTO INYCEXT.INYC_CONF_INF_REGLAS@tc_link (COD_INFORME,TABLA,NOMBRE,REGLA,F_INICIO,F_FIN,DESCRIPCION) VALUES ("&amp;REGLAS!B1163&amp;",'"&amp;REGLAS!C1163&amp;"','"&amp;REGLAS!D1163&amp;"','"&amp;REGLAS!G1163&amp;"',TO_DATE('"&amp;REGLAS!H1163&amp;"','yyyymmdd'),TO_DATE('"&amp;REGLAS!I1163&amp;"','yyyymmdd'),'"&amp;REGLAS!J1163&amp;"');")</f>
        <v>INSERT INTO INYCEXT.INYC_CONF_INF_REGLAS@tc_link (COD_INFORME,TABLA,NOMBRE,REGLA,F_INICIO,F_FIN,DESCRIPCION) VALUES (106.1,'INYC_PEPA_E_RESUMEN','SM - Primas Corregidas RRTT Anual','SM-E-GEN-Agente-PrimaCorregida-001-TotalAnual',TO_DATE('20140101','yyyymmdd'),TO_DATE('20180101','yyyymmdd'),'Version 20180116');</v>
      </c>
    </row>
    <row r="1163" spans="1:2" x14ac:dyDescent="0.25">
      <c r="A1163" t="str">
        <f>IF(REGLAS!J1164="OBSOLETO","","INSERT INTO INYCEXT.INYC_CONF_INF_REGLAS (COD_INFORME,TABLA,NOMBRE,REGLA,F_INICIO,F_FIN,DESCRIPCION) VALUES ("&amp;REGLAS!B1164&amp;",'"&amp;REGLAS!C1164&amp;"','"&amp;REGLAS!D1164&amp;"','"&amp;REGLAS!G1164&amp;"',TO_DATE('"&amp;REGLAS!H1164&amp;"','yyyymmdd'),TO_DATE('"&amp;REGLAS!I1164&amp;"','yyyymmdd'),'"&amp;REGLAS!J1164&amp;"');")</f>
        <v>INSERT INTO INYCEXT.INYC_CONF_INF_REGLAS (COD_INFORME,TABLA,NOMBRE,REGLA,F_INICIO,F_FIN,DESCRIPCION) VALUES (106.1,'INYC_PEPA_E_RESUMEN','SM - Primas Corregidas Productos Prioritarios Anual','SM-E-GEN-Agente-PrimaCorregida-004-TotalAnual',TO_DATE('20140101','yyyymmdd'),TO_DATE('20180101','yyyymmdd'),'Version 20180116');</v>
      </c>
      <c r="B1163" t="str">
        <f>IF(REGLAS!J1164="OBSOLETO","","INSERT INTO INYCEXT.INYC_CONF_INF_REGLAS@tc_link (COD_INFORME,TABLA,NOMBRE,REGLA,F_INICIO,F_FIN,DESCRIPCION) VALUES ("&amp;REGLAS!B1164&amp;",'"&amp;REGLAS!C1164&amp;"','"&amp;REGLAS!D1164&amp;"','"&amp;REGLAS!G1164&amp;"',TO_DATE('"&amp;REGLAS!H1164&amp;"','yyyymmdd'),TO_DATE('"&amp;REGLAS!I1164&amp;"','yyyymmdd'),'"&amp;REGLAS!J1164&amp;"');")</f>
        <v>INSERT INTO INYCEXT.INYC_CONF_INF_REGLAS@tc_link (COD_INFORME,TABLA,NOMBRE,REGLA,F_INICIO,F_FIN,DESCRIPCION) VALUES (106.1,'INYC_PEPA_E_RESUMEN','SM - Primas Corregidas Productos Prioritarios Anual','SM-E-GEN-Agente-PrimaCorregida-004-TotalAnual',TO_DATE('20140101','yyyymmdd'),TO_DATE('20180101','yyyymmdd'),'Version 20180116');</v>
      </c>
    </row>
    <row r="1164" spans="1:2" x14ac:dyDescent="0.25">
      <c r="A1164" t="str">
        <f>IF(REGLAS!J1165="OBSOLETO","","INSERT INTO INYCEXT.INYC_CONF_INF_REGLAS (COD_INFORME,TABLA,NOMBRE,REGLA,F_INICIO,F_FIN,DESCRIPCION) VALUES ("&amp;REGLAS!B1165&amp;",'"&amp;REGLAS!C1165&amp;"','"&amp;REGLAS!D1165&amp;"','"&amp;REGLAS!G1165&amp;"',TO_DATE('"&amp;REGLAS!H1165&amp;"','yyyymmdd'),TO_DATE('"&amp;REGLAS!I1165&amp;"','yyyymmdd'),'"&amp;REGLAS!J1165&amp;"');")</f>
        <v>INSERT INTO INYCEXT.INYC_CONF_INF_REGLAS (COD_INFORME,TABLA,NOMBRE,REGLA,F_INICIO,F_FIN,DESCRIPCION) VALUES (106.1,'INYC_PEPA_E_RESUMEN','SM - Primas Corregidas RRGG Anual','SM-E-GEN-Agente-PrimaCorregida-006-TotalAnual',TO_DATE('20140101','yyyymmdd'),TO_DATE('20180101','yyyymmdd'),'Version 20180116');</v>
      </c>
      <c r="B1164" t="str">
        <f>IF(REGLAS!J1165="OBSOLETO","","INSERT INTO INYCEXT.INYC_CONF_INF_REGLAS@tc_link (COD_INFORME,TABLA,NOMBRE,REGLA,F_INICIO,F_FIN,DESCRIPCION) VALUES ("&amp;REGLAS!B1165&amp;",'"&amp;REGLAS!C1165&amp;"','"&amp;REGLAS!D1165&amp;"','"&amp;REGLAS!G1165&amp;"',TO_DATE('"&amp;REGLAS!H1165&amp;"','yyyymmdd'),TO_DATE('"&amp;REGLAS!I1165&amp;"','yyyymmdd'),'"&amp;REGLAS!J1165&amp;"');")</f>
        <v>INSERT INTO INYCEXT.INYC_CONF_INF_REGLAS@tc_link (COD_INFORME,TABLA,NOMBRE,REGLA,F_INICIO,F_FIN,DESCRIPCION) VALUES (106.1,'INYC_PEPA_E_RESUMEN','SM - Primas Corregidas RRGG Anual','SM-E-GEN-Agente-PrimaCorregida-006-TotalAnual',TO_DATE('20140101','yyyymmdd'),TO_DATE('20180101','yyyymmdd'),'Version 20180116');</v>
      </c>
    </row>
    <row r="1165" spans="1:2" x14ac:dyDescent="0.25">
      <c r="A1165" t="str">
        <f>IF(REGLAS!J1166="OBSOLETO","","INSERT INTO INYCEXT.INYC_CONF_INF_REGLAS (COD_INFORME,TABLA,NOMBRE,REGLA,F_INICIO,F_FIN,DESCRIPCION) VALUES ("&amp;REGLAS!B1166&amp;",'"&amp;REGLAS!C1166&amp;"','"&amp;REGLAS!D1166&amp;"','"&amp;REGLAS!G1166&amp;"',TO_DATE('"&amp;REGLAS!H1166&amp;"','yyyymmdd'),TO_DATE('"&amp;REGLAS!I1166&amp;"','yyyymmdd'),'"&amp;REGLAS!J1166&amp;"');")</f>
        <v>INSERT INTO INYCEXT.INYC_CONF_INF_REGLAS (COD_INFORME,TABLA,NOMBRE,REGLA,F_INICIO,F_FIN,DESCRIPCION) VALUES (106.1,'INYC_PEPA_E_RESUMEN','SM - Primas Corregidas Total Productos Anual','SM-E-GEN-Agente-PrimaCorregida-998-TotalAnual',TO_DATE('20140101','yyyymmdd'),TO_DATE('20180101','yyyymmdd'),'Version 20180116');</v>
      </c>
      <c r="B1165" t="str">
        <f>IF(REGLAS!J1166="OBSOLETO","","INSERT INTO INYCEXT.INYC_CONF_INF_REGLAS@tc_link (COD_INFORME,TABLA,NOMBRE,REGLA,F_INICIO,F_FIN,DESCRIPCION) VALUES ("&amp;REGLAS!B1166&amp;",'"&amp;REGLAS!C1166&amp;"','"&amp;REGLAS!D1166&amp;"','"&amp;REGLAS!G1166&amp;"',TO_DATE('"&amp;REGLAS!H1166&amp;"','yyyymmdd'),TO_DATE('"&amp;REGLAS!I1166&amp;"','yyyymmdd'),'"&amp;REGLAS!J1166&amp;"');")</f>
        <v>INSERT INTO INYCEXT.INYC_CONF_INF_REGLAS@tc_link (COD_INFORME,TABLA,NOMBRE,REGLA,F_INICIO,F_FIN,DESCRIPCION) VALUES (106.1,'INYC_PEPA_E_RESUMEN','SM - Primas Corregidas Total Productos Anual','SM-E-GEN-Agente-PrimaCorregida-998-TotalAnual',TO_DATE('20140101','yyyymmdd'),TO_DATE('20180101','yyyymmdd'),'Version 20180116');</v>
      </c>
    </row>
    <row r="1166" spans="1:2" x14ac:dyDescent="0.25">
      <c r="A1166" t="str">
        <f>IF(REGLAS!J1167="OBSOLETO","","INSERT INTO INYCEXT.INYC_CONF_INF_REGLAS (COD_INFORME,TABLA,NOMBRE,REGLA,F_INICIO,F_FIN,DESCRIPCION) VALUES ("&amp;REGLAS!B1167&amp;",'"&amp;REGLAS!C1167&amp;"','"&amp;REGLAS!D1167&amp;"','"&amp;REGLAS!G1167&amp;"',TO_DATE('"&amp;REGLAS!H1167&amp;"','yyyymmdd'),TO_DATE('"&amp;REGLAS!I1167&amp;"','yyyymmdd'),'"&amp;REGLAS!J1167&amp;"');")</f>
        <v>INSERT INTO INYCEXT.INYC_CONF_INF_REGLAS (COD_INFORME,TABLA,NOMBRE,REGLA,F_INICIO,F_FIN,DESCRIPCION) VALUES (106.1,'INYC_PEPA_E_RESUMEN','SM - Nº Pólizas Agente Accidentes Mensual','SM-E-GEN-Agente-NumeroPolizas-Accidente-TotalMes',TO_DATE('20180101','yyyymmdd'),TO_DATE('22000101','yyyymmdd'),'Version 20180116');</v>
      </c>
      <c r="B1166" t="str">
        <f>IF(REGLAS!J1167="OBSOLETO","","INSERT INTO INYCEXT.INYC_CONF_INF_REGLAS@tc_link (COD_INFORME,TABLA,NOMBRE,REGLA,F_INICIO,F_FIN,DESCRIPCION) VALUES ("&amp;REGLAS!B1167&amp;",'"&amp;REGLAS!C1167&amp;"','"&amp;REGLAS!D1167&amp;"','"&amp;REGLAS!G1167&amp;"',TO_DATE('"&amp;REGLAS!H1167&amp;"','yyyymmdd'),TO_DATE('"&amp;REGLAS!I1167&amp;"','yyyymmdd'),'"&amp;REGLAS!J1167&amp;"');")</f>
        <v>INSERT INTO INYCEXT.INYC_CONF_INF_REGLAS@tc_link (COD_INFORME,TABLA,NOMBRE,REGLA,F_INICIO,F_FIN,DESCRIPCION) VALUES (106.1,'INYC_PEPA_E_RESUMEN','SM - Nº Pólizas Agente Accidentes Mensual','SM-E-GEN-Agente-NumeroPolizas-Accidente-TotalMes',TO_DATE('20180101','yyyymmdd'),TO_DATE('22000101','yyyymmdd'),'Version 20180116');</v>
      </c>
    </row>
    <row r="1167" spans="1:2" x14ac:dyDescent="0.25">
      <c r="A1167" t="str">
        <f>IF(REGLAS!J1168="OBSOLETO","","INSERT INTO INYCEXT.INYC_CONF_INF_REGLAS (COD_INFORME,TABLA,NOMBRE,REGLA,F_INICIO,F_FIN,DESCRIPCION) VALUES ("&amp;REGLAS!B1168&amp;",'"&amp;REGLAS!C1168&amp;"','"&amp;REGLAS!D1168&amp;"','"&amp;REGLAS!G1168&amp;"',TO_DATE('"&amp;REGLAS!H1168&amp;"','yyyymmdd'),TO_DATE('"&amp;REGLAS!I1168&amp;"','yyyymmdd'),'"&amp;REGLAS!J1168&amp;"');")</f>
        <v>INSERT INTO INYCEXT.INYC_CONF_INF_REGLAS (COD_INFORME,TABLA,NOMBRE,REGLA,F_INICIO,F_FIN,DESCRIPCION) VALUES (106.1,'INYC_PEPA_E_RESUMEN','SM - Nº Pólizas Agente Hogar Mensual','SM-E-GEN-Agente-NumeroPolizas-Hogar-TotalMes',TO_DATE('20180101','yyyymmdd'),TO_DATE('22000101','yyyymmdd'),'Version 20180116');</v>
      </c>
      <c r="B1167" t="str">
        <f>IF(REGLAS!J1168="OBSOLETO","","INSERT INTO INYCEXT.INYC_CONF_INF_REGLAS@tc_link (COD_INFORME,TABLA,NOMBRE,REGLA,F_INICIO,F_FIN,DESCRIPCION) VALUES ("&amp;REGLAS!B1168&amp;",'"&amp;REGLAS!C1168&amp;"','"&amp;REGLAS!D1168&amp;"','"&amp;REGLAS!G1168&amp;"',TO_DATE('"&amp;REGLAS!H1168&amp;"','yyyymmdd'),TO_DATE('"&amp;REGLAS!I1168&amp;"','yyyymmdd'),'"&amp;REGLAS!J1168&amp;"');")</f>
        <v>INSERT INTO INYCEXT.INYC_CONF_INF_REGLAS@tc_link (COD_INFORME,TABLA,NOMBRE,REGLA,F_INICIO,F_FIN,DESCRIPCION) VALUES (106.1,'INYC_PEPA_E_RESUMEN','SM - Nº Pólizas Agente Hogar Mensual','SM-E-GEN-Agente-NumeroPolizas-Hogar-TotalMes',TO_DATE('20180101','yyyymmdd'),TO_DATE('22000101','yyyymmdd'),'Version 20180116');</v>
      </c>
    </row>
    <row r="1168" spans="1:2" x14ac:dyDescent="0.25">
      <c r="A1168" t="str">
        <f>IF(REGLAS!J1169="OBSOLETO","","INSERT INTO INYCEXT.INYC_CONF_INF_REGLAS (COD_INFORME,TABLA,NOMBRE,REGLA,F_INICIO,F_FIN,DESCRIPCION) VALUES ("&amp;REGLAS!B1169&amp;",'"&amp;REGLAS!C1169&amp;"','"&amp;REGLAS!D1169&amp;"','"&amp;REGLAS!G1169&amp;"',TO_DATE('"&amp;REGLAS!H1169&amp;"','yyyymmdd'),TO_DATE('"&amp;REGLAS!I1169&amp;"','yyyymmdd'),'"&amp;REGLAS!J1169&amp;"');")</f>
        <v>INSERT INTO INYCEXT.INYC_CONF_INF_REGLAS (COD_INFORME,TABLA,NOMBRE,REGLA,F_INICIO,F_FIN,DESCRIPCION) VALUES (106.1,'INYC_PEPA_E_RESUMEN','SM - Nº Pólizas Agente Comunidades Mensual','SM-E-GEN-Agente-NumeroPolizas-Comunidades-TotalMes',TO_DATE('20180101','yyyymmdd'),TO_DATE('22000101','yyyymmdd'),'Version 20180116');</v>
      </c>
      <c r="B1168" t="str">
        <f>IF(REGLAS!J1169="OBSOLETO","","INSERT INTO INYCEXT.INYC_CONF_INF_REGLAS@tc_link (COD_INFORME,TABLA,NOMBRE,REGLA,F_INICIO,F_FIN,DESCRIPCION) VALUES ("&amp;REGLAS!B1169&amp;",'"&amp;REGLAS!C1169&amp;"','"&amp;REGLAS!D1169&amp;"','"&amp;REGLAS!G1169&amp;"',TO_DATE('"&amp;REGLAS!H1169&amp;"','yyyymmdd'),TO_DATE('"&amp;REGLAS!I1169&amp;"','yyyymmdd'),'"&amp;REGLAS!J1169&amp;"');")</f>
        <v>INSERT INTO INYCEXT.INYC_CONF_INF_REGLAS@tc_link (COD_INFORME,TABLA,NOMBRE,REGLA,F_INICIO,F_FIN,DESCRIPCION) VALUES (106.1,'INYC_PEPA_E_RESUMEN','SM - Nº Pólizas Agente Comunidades Mensual','SM-E-GEN-Agente-NumeroPolizas-Comunidades-TotalMes',TO_DATE('20180101','yyyymmdd'),TO_DATE('22000101','yyyymmdd'),'Version 20180116');</v>
      </c>
    </row>
    <row r="1169" spans="1:2" x14ac:dyDescent="0.25">
      <c r="A1169" t="str">
        <f>IF(REGLAS!J1170="OBSOLETO","","INSERT INTO INYCEXT.INYC_CONF_INF_REGLAS (COD_INFORME,TABLA,NOMBRE,REGLA,F_INICIO,F_FIN,DESCRIPCION) VALUES ("&amp;REGLAS!B1170&amp;",'"&amp;REGLAS!C1170&amp;"','"&amp;REGLAS!D1170&amp;"','"&amp;REGLAS!G1170&amp;"',TO_DATE('"&amp;REGLAS!H1170&amp;"','yyyymmdd'),TO_DATE('"&amp;REGLAS!I1170&amp;"','yyyymmdd'),'"&amp;REGLAS!J1170&amp;"');")</f>
        <v>INSERT INTO INYCEXT.INYC_CONF_INF_REGLAS (COD_INFORME,TABLA,NOMBRE,REGLA,F_INICIO,F_FIN,DESCRIPCION) VALUES (106.1,'INYC_PEPA_E_RESUMEN','SM - Nº Pólizas Agente RRGG Mensual','SM-E-GEN-Agente-NumeroPolizas-RRGG-TotalMes',TO_DATE('20180101','yyyymmdd'),TO_DATE('22000101','yyyymmdd'),'Version 20180116');</v>
      </c>
      <c r="B1169" t="str">
        <f>IF(REGLAS!J1170="OBSOLETO","","INSERT INTO INYCEXT.INYC_CONF_INF_REGLAS@tc_link (COD_INFORME,TABLA,NOMBRE,REGLA,F_INICIO,F_FIN,DESCRIPCION) VALUES ("&amp;REGLAS!B1170&amp;",'"&amp;REGLAS!C1170&amp;"','"&amp;REGLAS!D1170&amp;"','"&amp;REGLAS!G1170&amp;"',TO_DATE('"&amp;REGLAS!H1170&amp;"','yyyymmdd'),TO_DATE('"&amp;REGLAS!I1170&amp;"','yyyymmdd'),'"&amp;REGLAS!J1170&amp;"');")</f>
        <v>INSERT INTO INYCEXT.INYC_CONF_INF_REGLAS@tc_link (COD_INFORME,TABLA,NOMBRE,REGLA,F_INICIO,F_FIN,DESCRIPCION) VALUES (106.1,'INYC_PEPA_E_RESUMEN','SM - Nº Pólizas Agente RRGG Mensual','SM-E-GEN-Agente-NumeroPolizas-RRGG-TotalMes',TO_DATE('20180101','yyyymmdd'),TO_DATE('22000101','yyyymmdd'),'Version 20180116');</v>
      </c>
    </row>
    <row r="1170" spans="1:2" x14ac:dyDescent="0.25">
      <c r="A1170" t="str">
        <f>IF(REGLAS!J1171="OBSOLETO","","INSERT INTO INYCEXT.INYC_CONF_INF_REGLAS (COD_INFORME,TABLA,NOMBRE,REGLA,F_INICIO,F_FIN,DESCRIPCION) VALUES ("&amp;REGLAS!B1171&amp;",'"&amp;REGLAS!C1171&amp;"','"&amp;REGLAS!D1171&amp;"','"&amp;REGLAS!G1171&amp;"',TO_DATE('"&amp;REGLAS!H1171&amp;"','yyyymmdd'),TO_DATE('"&amp;REGLAS!I1171&amp;"','yyyymmdd'),'"&amp;REGLAS!J1171&amp;"');")</f>
        <v>INSERT INTO INYCEXT.INYC_CONF_INF_REGLAS (COD_INFORME,TABLA,NOMBRE,REGLA,F_INICIO,F_FIN,DESCRIPCION) VALUES (106.1,'INYC_PEPA_E_RESUMEN','SM - Nº Pólizas Agente RRTT Mensual','SM-E-GEN-Agente-NumeroPolizas-Decesos-TotalMes',TO_DATE('20180101','yyyymmdd'),TO_DATE('22000101','yyyymmdd'),'Version 20180116');</v>
      </c>
      <c r="B1170" t="str">
        <f>IF(REGLAS!J1171="OBSOLETO","","INSERT INTO INYCEXT.INYC_CONF_INF_REGLAS@tc_link (COD_INFORME,TABLA,NOMBRE,REGLA,F_INICIO,F_FIN,DESCRIPCION) VALUES ("&amp;REGLAS!B1171&amp;",'"&amp;REGLAS!C1171&amp;"','"&amp;REGLAS!D1171&amp;"','"&amp;REGLAS!G1171&amp;"',TO_DATE('"&amp;REGLAS!H1171&amp;"','yyyymmdd'),TO_DATE('"&amp;REGLAS!I1171&amp;"','yyyymmdd'),'"&amp;REGLAS!J1171&amp;"');")</f>
        <v>INSERT INTO INYCEXT.INYC_CONF_INF_REGLAS@tc_link (COD_INFORME,TABLA,NOMBRE,REGLA,F_INICIO,F_FIN,DESCRIPCION) VALUES (106.1,'INYC_PEPA_E_RESUMEN','SM - Nº Pólizas Agente RRTT Mensual','SM-E-GEN-Agente-NumeroPolizas-Decesos-TotalMes',TO_DATE('20180101','yyyymmdd'),TO_DATE('22000101','yyyymmdd'),'Version 20180116');</v>
      </c>
    </row>
    <row r="1171" spans="1:2" x14ac:dyDescent="0.25">
      <c r="A1171" t="str">
        <f>IF(REGLAS!J1172="OBSOLETO","","INSERT INTO INYCEXT.INYC_CONF_INF_REGLAS (COD_INFORME,TABLA,NOMBRE,REGLA,F_INICIO,F_FIN,DESCRIPCION) VALUES ("&amp;REGLAS!B1172&amp;",'"&amp;REGLAS!C1172&amp;"','"&amp;REGLAS!D1172&amp;"','"&amp;REGLAS!G1172&amp;"',TO_DATE('"&amp;REGLAS!H1172&amp;"','yyyymmdd'),TO_DATE('"&amp;REGLAS!I1172&amp;"','yyyymmdd'),'"&amp;REGLAS!J1172&amp;"');")</f>
        <v>INSERT INTO INYCEXT.INYC_CONF_INF_REGLAS (COD_INFORME,TABLA,NOMBRE,REGLA,F_INICIO,F_FIN,DESCRIPCION) VALUES (106.1,'INYC_PEPA_E_RESUMEN','SM - Nº Pólizas Agente Prod. Prioritarios Mensual','SM-E-GEN-Agente-NumeroPolizas-ProdPrioritarios-TotalMes',TO_DATE('20180101','yyyymmdd'),TO_DATE('22000101','yyyymmdd'),'Version 20180116');</v>
      </c>
      <c r="B1171" t="str">
        <f>IF(REGLAS!J1172="OBSOLETO","","INSERT INTO INYCEXT.INYC_CONF_INF_REGLAS@tc_link (COD_INFORME,TABLA,NOMBRE,REGLA,F_INICIO,F_FIN,DESCRIPCION) VALUES ("&amp;REGLAS!B1172&amp;",'"&amp;REGLAS!C1172&amp;"','"&amp;REGLAS!D1172&amp;"','"&amp;REGLAS!G1172&amp;"',TO_DATE('"&amp;REGLAS!H1172&amp;"','yyyymmdd'),TO_DATE('"&amp;REGLAS!I1172&amp;"','yyyymmdd'),'"&amp;REGLAS!J1172&amp;"');")</f>
        <v>INSERT INTO INYCEXT.INYC_CONF_INF_REGLAS@tc_link (COD_INFORME,TABLA,NOMBRE,REGLA,F_INICIO,F_FIN,DESCRIPCION) VALUES (106.1,'INYC_PEPA_E_RESUMEN','SM - Nº Pólizas Agente Prod. Prioritarios Mensual','SM-E-GEN-Agente-NumeroPolizas-ProdPrioritarios-TotalMes',TO_DATE('20180101','yyyymmdd'),TO_DATE('22000101','yyyymmdd'),'Version 20180116');</v>
      </c>
    </row>
    <row r="1172" spans="1:2" x14ac:dyDescent="0.25">
      <c r="A1172" t="str">
        <f>IF(REGLAS!J1173="OBSOLETO","","INSERT INTO INYCEXT.INYC_CONF_INF_REGLAS (COD_INFORME,TABLA,NOMBRE,REGLA,F_INICIO,F_FIN,DESCRIPCION) VALUES ("&amp;REGLAS!B1173&amp;",'"&amp;REGLAS!C1173&amp;"','"&amp;REGLAS!D1173&amp;"','"&amp;REGLAS!G1173&amp;"',TO_DATE('"&amp;REGLAS!H1173&amp;"','yyyymmdd'),TO_DATE('"&amp;REGLAS!I1173&amp;"','yyyymmdd'),'"&amp;REGLAS!J1173&amp;"');")</f>
        <v>INSERT INTO INYCEXT.INYC_CONF_INF_REGLAS (COD_INFORME,TABLA,NOMBRE,REGLA,F_INICIO,F_FIN,DESCRIPCION) VALUES (106.1,'INYC_PEPA_E_RESUMEN','SM - Nº Pólizas Agente Otros Decesos Mensual','SM-E-GEN-Agente-NumeroPolizas-OtrosDecesos-TotalMes',TO_DATE('20180101','yyyymmdd'),TO_DATE('22000101','yyyymmdd'),'Version 20180116');</v>
      </c>
      <c r="B1172" t="str">
        <f>IF(REGLAS!J1173="OBSOLETO","","INSERT INTO INYCEXT.INYC_CONF_INF_REGLAS@tc_link (COD_INFORME,TABLA,NOMBRE,REGLA,F_INICIO,F_FIN,DESCRIPCION) VALUES ("&amp;REGLAS!B1173&amp;",'"&amp;REGLAS!C1173&amp;"','"&amp;REGLAS!D1173&amp;"','"&amp;REGLAS!G1173&amp;"',TO_DATE('"&amp;REGLAS!H1173&amp;"','yyyymmdd'),TO_DATE('"&amp;REGLAS!I1173&amp;"','yyyymmdd'),'"&amp;REGLAS!J1173&amp;"');")</f>
        <v>INSERT INTO INYCEXT.INYC_CONF_INF_REGLAS@tc_link (COD_INFORME,TABLA,NOMBRE,REGLA,F_INICIO,F_FIN,DESCRIPCION) VALUES (106.1,'INYC_PEPA_E_RESUMEN','SM - Nº Pólizas Agente Otros Decesos Mensual','SM-E-GEN-Agente-NumeroPolizas-OtrosDecesos-TotalMes',TO_DATE('20180101','yyyymmdd'),TO_DATE('22000101','yyyymmdd'),'Version 20180116');</v>
      </c>
    </row>
    <row r="1173" spans="1:2" x14ac:dyDescent="0.25">
      <c r="A1173" t="str">
        <f>IF(REGLAS!J1174="OBSOLETO","","INSERT INTO INYCEXT.INYC_CONF_INF_REGLAS (COD_INFORME,TABLA,NOMBRE,REGLA,F_INICIO,F_FIN,DESCRIPCION) VALUES ("&amp;REGLAS!B1174&amp;",'"&amp;REGLAS!C1174&amp;"','"&amp;REGLAS!D1174&amp;"','"&amp;REGLAS!G1174&amp;"',TO_DATE('"&amp;REGLAS!H1174&amp;"','yyyymmdd'),TO_DATE('"&amp;REGLAS!I1174&amp;"','yyyymmdd'),'"&amp;REGLAS!J1174&amp;"');")</f>
        <v>INSERT INTO INYCEXT.INYC_CONF_INF_REGLAS (COD_INFORME,TABLA,NOMBRE,REGLA,F_INICIO,F_FIN,DESCRIPCION) VALUES (106.1,'INYC_PEPA_E_RESUMEN','SM - Nº Pólizas Agente Total Productos Mensual','SM-E-GEN-Agente-NumeroPolizas-TotalProduccion-TotalMes',TO_DATE('20180101','yyyymmdd'),TO_DATE('22000101','yyyymmdd'),'Version 20180116');</v>
      </c>
      <c r="B1173" t="str">
        <f>IF(REGLAS!J1174="OBSOLETO","","INSERT INTO INYCEXT.INYC_CONF_INF_REGLAS@tc_link (COD_INFORME,TABLA,NOMBRE,REGLA,F_INICIO,F_FIN,DESCRIPCION) VALUES ("&amp;REGLAS!B1174&amp;",'"&amp;REGLAS!C1174&amp;"','"&amp;REGLAS!D1174&amp;"','"&amp;REGLAS!G1174&amp;"',TO_DATE('"&amp;REGLAS!H1174&amp;"','yyyymmdd'),TO_DATE('"&amp;REGLAS!I1174&amp;"','yyyymmdd'),'"&amp;REGLAS!J1174&amp;"');")</f>
        <v>INSERT INTO INYCEXT.INYC_CONF_INF_REGLAS@tc_link (COD_INFORME,TABLA,NOMBRE,REGLA,F_INICIO,F_FIN,DESCRIPCION) VALUES (106.1,'INYC_PEPA_E_RESUMEN','SM - Nº Pólizas Agente Total Productos Mensual','SM-E-GEN-Agente-NumeroPolizas-TotalProduccion-TotalMes',TO_DATE('20180101','yyyymmdd'),TO_DATE('22000101','yyyymmdd'),'Version 20180116');</v>
      </c>
    </row>
    <row r="1174" spans="1:2" x14ac:dyDescent="0.25">
      <c r="A1174" t="str">
        <f>IF(REGLAS!J1175="OBSOLETO","","INSERT INTO INYCEXT.INYC_CONF_INF_REGLAS (COD_INFORME,TABLA,NOMBRE,REGLA,F_INICIO,F_FIN,DESCRIPCION) VALUES ("&amp;REGLAS!B1175&amp;",'"&amp;REGLAS!C1175&amp;"','"&amp;REGLAS!D1175&amp;"','"&amp;REGLAS!G1175&amp;"',TO_DATE('"&amp;REGLAS!H1175&amp;"','yyyymmdd'),TO_DATE('"&amp;REGLAS!I1175&amp;"','yyyymmdd'),'"&amp;REGLAS!J1175&amp;"');")</f>
        <v>INSERT INTO INYCEXT.INYC_CONF_INF_REGLAS (COD_INFORME,TABLA,NOMBRE,REGLA,F_INICIO,F_FIN,DESCRIPCION) VALUES (106.1,'INYC_PEPA_E_RESUMEN','SM - Nº Pólizas Corregidas Agente Accidentes Mensual','SM-E-GEN-Agente-NumeroPolizasCorregidas-Accidente-TotalMes',TO_DATE('20180101','yyyymmdd'),TO_DATE('22000101','yyyymmdd'),'Version 20180116');</v>
      </c>
      <c r="B1174" t="str">
        <f>IF(REGLAS!J1175="OBSOLETO","","INSERT INTO INYCEXT.INYC_CONF_INF_REGLAS@tc_link (COD_INFORME,TABLA,NOMBRE,REGLA,F_INICIO,F_FIN,DESCRIPCION) VALUES ("&amp;REGLAS!B1175&amp;",'"&amp;REGLAS!C1175&amp;"','"&amp;REGLAS!D1175&amp;"','"&amp;REGLAS!G1175&amp;"',TO_DATE('"&amp;REGLAS!H1175&amp;"','yyyymmdd'),TO_DATE('"&amp;REGLAS!I1175&amp;"','yyyymmdd'),'"&amp;REGLAS!J1175&amp;"');")</f>
        <v>INSERT INTO INYCEXT.INYC_CONF_INF_REGLAS@tc_link (COD_INFORME,TABLA,NOMBRE,REGLA,F_INICIO,F_FIN,DESCRIPCION) VALUES (106.1,'INYC_PEPA_E_RESUMEN','SM - Nº Pólizas Corregidas Agente Accidentes Mensual','SM-E-GEN-Agente-NumeroPolizasCorregidas-Accidente-TotalMes',TO_DATE('20180101','yyyymmdd'),TO_DATE('22000101','yyyymmdd'),'Version 20180116');</v>
      </c>
    </row>
    <row r="1175" spans="1:2" x14ac:dyDescent="0.25">
      <c r="A1175" t="str">
        <f>IF(REGLAS!J1176="OBSOLETO","","INSERT INTO INYCEXT.INYC_CONF_INF_REGLAS (COD_INFORME,TABLA,NOMBRE,REGLA,F_INICIO,F_FIN,DESCRIPCION) VALUES ("&amp;REGLAS!B1176&amp;",'"&amp;REGLAS!C1176&amp;"','"&amp;REGLAS!D1176&amp;"','"&amp;REGLAS!G1176&amp;"',TO_DATE('"&amp;REGLAS!H1176&amp;"','yyyymmdd'),TO_DATE('"&amp;REGLAS!I1176&amp;"','yyyymmdd'),'"&amp;REGLAS!J1176&amp;"');")</f>
        <v>INSERT INTO INYCEXT.INYC_CONF_INF_REGLAS (COD_INFORME,TABLA,NOMBRE,REGLA,F_INICIO,F_FIN,DESCRIPCION) VALUES (106.1,'INYC_PEPA_E_RESUMEN','SM - Nº Pólizas Corregidas Agente Hogar Mensual','SM-E-GEN-Agente-NumeroPolizasCorregidas-Hogar-TotalMes',TO_DATE('20180101','yyyymmdd'),TO_DATE('22000101','yyyymmdd'),'Version 20180116');</v>
      </c>
      <c r="B1175" t="str">
        <f>IF(REGLAS!J1176="OBSOLETO","","INSERT INTO INYCEXT.INYC_CONF_INF_REGLAS@tc_link (COD_INFORME,TABLA,NOMBRE,REGLA,F_INICIO,F_FIN,DESCRIPCION) VALUES ("&amp;REGLAS!B1176&amp;",'"&amp;REGLAS!C1176&amp;"','"&amp;REGLAS!D1176&amp;"','"&amp;REGLAS!G1176&amp;"',TO_DATE('"&amp;REGLAS!H1176&amp;"','yyyymmdd'),TO_DATE('"&amp;REGLAS!I1176&amp;"','yyyymmdd'),'"&amp;REGLAS!J1176&amp;"');")</f>
        <v>INSERT INTO INYCEXT.INYC_CONF_INF_REGLAS@tc_link (COD_INFORME,TABLA,NOMBRE,REGLA,F_INICIO,F_FIN,DESCRIPCION) VALUES (106.1,'INYC_PEPA_E_RESUMEN','SM - Nº Pólizas Corregidas Agente Hogar Mensual','SM-E-GEN-Agente-NumeroPolizasCorregidas-Hogar-TotalMes',TO_DATE('20180101','yyyymmdd'),TO_DATE('22000101','yyyymmdd'),'Version 20180116');</v>
      </c>
    </row>
    <row r="1176" spans="1:2" x14ac:dyDescent="0.25">
      <c r="A1176" t="str">
        <f>IF(REGLAS!J1177="OBSOLETO","","INSERT INTO INYCEXT.INYC_CONF_INF_REGLAS (COD_INFORME,TABLA,NOMBRE,REGLA,F_INICIO,F_FIN,DESCRIPCION) VALUES ("&amp;REGLAS!B1177&amp;",'"&amp;REGLAS!C1177&amp;"','"&amp;REGLAS!D1177&amp;"','"&amp;REGLAS!G1177&amp;"',TO_DATE('"&amp;REGLAS!H1177&amp;"','yyyymmdd'),TO_DATE('"&amp;REGLAS!I1177&amp;"','yyyymmdd'),'"&amp;REGLAS!J1177&amp;"');")</f>
        <v>INSERT INTO INYCEXT.INYC_CONF_INF_REGLAS (COD_INFORME,TABLA,NOMBRE,REGLA,F_INICIO,F_FIN,DESCRIPCION) VALUES (106.1,'INYC_PEPA_E_RESUMEN','SM - Nº Pólizas Corregidas Agente Comunidades Mensual','SM-E-GEN-Agente-NumeroPolizasCorregidas-Comunidades-TotalMes',TO_DATE('20180101','yyyymmdd'),TO_DATE('22000101','yyyymmdd'),'Version 20180116');</v>
      </c>
      <c r="B1176" t="str">
        <f>IF(REGLAS!J1177="OBSOLETO","","INSERT INTO INYCEXT.INYC_CONF_INF_REGLAS@tc_link (COD_INFORME,TABLA,NOMBRE,REGLA,F_INICIO,F_FIN,DESCRIPCION) VALUES ("&amp;REGLAS!B1177&amp;",'"&amp;REGLAS!C1177&amp;"','"&amp;REGLAS!D1177&amp;"','"&amp;REGLAS!G1177&amp;"',TO_DATE('"&amp;REGLAS!H1177&amp;"','yyyymmdd'),TO_DATE('"&amp;REGLAS!I1177&amp;"','yyyymmdd'),'"&amp;REGLAS!J1177&amp;"');")</f>
        <v>INSERT INTO INYCEXT.INYC_CONF_INF_REGLAS@tc_link (COD_INFORME,TABLA,NOMBRE,REGLA,F_INICIO,F_FIN,DESCRIPCION) VALUES (106.1,'INYC_PEPA_E_RESUMEN','SM - Nº Pólizas Corregidas Agente Comunidades Mensual','SM-E-GEN-Agente-NumeroPolizasCorregidas-Comunidades-TotalMes',TO_DATE('20180101','yyyymmdd'),TO_DATE('22000101','yyyymmdd'),'Version 20180116');</v>
      </c>
    </row>
    <row r="1177" spans="1:2" x14ac:dyDescent="0.25">
      <c r="A1177" t="str">
        <f>IF(REGLAS!J1178="OBSOLETO","","INSERT INTO INYCEXT.INYC_CONF_INF_REGLAS (COD_INFORME,TABLA,NOMBRE,REGLA,F_INICIO,F_FIN,DESCRIPCION) VALUES ("&amp;REGLAS!B1178&amp;",'"&amp;REGLAS!C1178&amp;"','"&amp;REGLAS!D1178&amp;"','"&amp;REGLAS!G1178&amp;"',TO_DATE('"&amp;REGLAS!H1178&amp;"','yyyymmdd'),TO_DATE('"&amp;REGLAS!I1178&amp;"','yyyymmdd'),'"&amp;REGLAS!J1178&amp;"');")</f>
        <v>INSERT INTO INYCEXT.INYC_CONF_INF_REGLAS (COD_INFORME,TABLA,NOMBRE,REGLA,F_INICIO,F_FIN,DESCRIPCION) VALUES (106.1,'INYC_PEPA_E_RESUMEN','SM - Nº Pólizas Corregidas Agente RRGG Mensual','SM-E-GEN-Agente-NumeroPolizasCorregidas-RRGG-TotalMes',TO_DATE('20180101','yyyymmdd'),TO_DATE('22000101','yyyymmdd'),'Version 20180116');</v>
      </c>
      <c r="B1177" t="str">
        <f>IF(REGLAS!J1178="OBSOLETO","","INSERT INTO INYCEXT.INYC_CONF_INF_REGLAS@tc_link (COD_INFORME,TABLA,NOMBRE,REGLA,F_INICIO,F_FIN,DESCRIPCION) VALUES ("&amp;REGLAS!B1178&amp;",'"&amp;REGLAS!C1178&amp;"','"&amp;REGLAS!D1178&amp;"','"&amp;REGLAS!G1178&amp;"',TO_DATE('"&amp;REGLAS!H1178&amp;"','yyyymmdd'),TO_DATE('"&amp;REGLAS!I1178&amp;"','yyyymmdd'),'"&amp;REGLAS!J1178&amp;"');")</f>
        <v>INSERT INTO INYCEXT.INYC_CONF_INF_REGLAS@tc_link (COD_INFORME,TABLA,NOMBRE,REGLA,F_INICIO,F_FIN,DESCRIPCION) VALUES (106.1,'INYC_PEPA_E_RESUMEN','SM - Nº Pólizas Corregidas Agente RRGG Mensual','SM-E-GEN-Agente-NumeroPolizasCorregidas-RRGG-TotalMes',TO_DATE('20180101','yyyymmdd'),TO_DATE('22000101','yyyymmdd'),'Version 20180116');</v>
      </c>
    </row>
    <row r="1178" spans="1:2" x14ac:dyDescent="0.25">
      <c r="A1178" t="str">
        <f>IF(REGLAS!J1179="OBSOLETO","","INSERT INTO INYCEXT.INYC_CONF_INF_REGLAS (COD_INFORME,TABLA,NOMBRE,REGLA,F_INICIO,F_FIN,DESCRIPCION) VALUES ("&amp;REGLAS!B1179&amp;",'"&amp;REGLAS!C1179&amp;"','"&amp;REGLAS!D1179&amp;"','"&amp;REGLAS!G1179&amp;"',TO_DATE('"&amp;REGLAS!H1179&amp;"','yyyymmdd'),TO_DATE('"&amp;REGLAS!I1179&amp;"','yyyymmdd'),'"&amp;REGLAS!J1179&amp;"');")</f>
        <v>INSERT INTO INYCEXT.INYC_CONF_INF_REGLAS (COD_INFORME,TABLA,NOMBRE,REGLA,F_INICIO,F_FIN,DESCRIPCION) VALUES (106.1,'INYC_PEPA_E_RESUMEN','SM - Nº Pólizas Corregidas Agente RRTT Mensual','SM-E-GEN-Agente-NumeroPolizasCorregidas-Decesos-TotalMes',TO_DATE('20180101','yyyymmdd'),TO_DATE('22000101','yyyymmdd'),'Version 20180116');</v>
      </c>
      <c r="B1178" t="str">
        <f>IF(REGLAS!J1179="OBSOLETO","","INSERT INTO INYCEXT.INYC_CONF_INF_REGLAS@tc_link (COD_INFORME,TABLA,NOMBRE,REGLA,F_INICIO,F_FIN,DESCRIPCION) VALUES ("&amp;REGLAS!B1179&amp;",'"&amp;REGLAS!C1179&amp;"','"&amp;REGLAS!D1179&amp;"','"&amp;REGLAS!G1179&amp;"',TO_DATE('"&amp;REGLAS!H1179&amp;"','yyyymmdd'),TO_DATE('"&amp;REGLAS!I1179&amp;"','yyyymmdd'),'"&amp;REGLAS!J1179&amp;"');")</f>
        <v>INSERT INTO INYCEXT.INYC_CONF_INF_REGLAS@tc_link (COD_INFORME,TABLA,NOMBRE,REGLA,F_INICIO,F_FIN,DESCRIPCION) VALUES (106.1,'INYC_PEPA_E_RESUMEN','SM - Nº Pólizas Corregidas Agente RRTT Mensual','SM-E-GEN-Agente-NumeroPolizasCorregidas-Decesos-TotalMes',TO_DATE('20180101','yyyymmdd'),TO_DATE('22000101','yyyymmdd'),'Version 20180116');</v>
      </c>
    </row>
    <row r="1179" spans="1:2" x14ac:dyDescent="0.25">
      <c r="A1179" t="str">
        <f>IF(REGLAS!J1180="OBSOLETO","","INSERT INTO INYCEXT.INYC_CONF_INF_REGLAS (COD_INFORME,TABLA,NOMBRE,REGLA,F_INICIO,F_FIN,DESCRIPCION) VALUES ("&amp;REGLAS!B1180&amp;",'"&amp;REGLAS!C1180&amp;"','"&amp;REGLAS!D1180&amp;"','"&amp;REGLAS!G1180&amp;"',TO_DATE('"&amp;REGLAS!H1180&amp;"','yyyymmdd'),TO_DATE('"&amp;REGLAS!I1180&amp;"','yyyymmdd'),'"&amp;REGLAS!J1180&amp;"');")</f>
        <v>INSERT INTO INYCEXT.INYC_CONF_INF_REGLAS (COD_INFORME,TABLA,NOMBRE,REGLA,F_INICIO,F_FIN,DESCRIPCION) VALUES (106.1,'INYC_PEPA_E_RESUMEN','SM - Nº Pólizas Corregidas Agente Prod. Prioritarios Mensual','SM-E-GEN-Agente-NumeroPolizasCorregidas-ProdPrioritarios-TotalMes',TO_DATE('20180101','yyyymmdd'),TO_DATE('22000101','yyyymmdd'),'Version 20180116');</v>
      </c>
      <c r="B1179" t="str">
        <f>IF(REGLAS!J1180="OBSOLETO","","INSERT INTO INYCEXT.INYC_CONF_INF_REGLAS@tc_link (COD_INFORME,TABLA,NOMBRE,REGLA,F_INICIO,F_FIN,DESCRIPCION) VALUES ("&amp;REGLAS!B1180&amp;",'"&amp;REGLAS!C1180&amp;"','"&amp;REGLAS!D1180&amp;"','"&amp;REGLAS!G1180&amp;"',TO_DATE('"&amp;REGLAS!H1180&amp;"','yyyymmdd'),TO_DATE('"&amp;REGLAS!I1180&amp;"','yyyymmdd'),'"&amp;REGLAS!J1180&amp;"');")</f>
        <v>INSERT INTO INYCEXT.INYC_CONF_INF_REGLAS@tc_link (COD_INFORME,TABLA,NOMBRE,REGLA,F_INICIO,F_FIN,DESCRIPCION) VALUES (106.1,'INYC_PEPA_E_RESUMEN','SM - Nº Pólizas Corregidas Agente Prod. Prioritarios Mensual','SM-E-GEN-Agente-NumeroPolizasCorregidas-ProdPrioritarios-TotalMes',TO_DATE('20180101','yyyymmdd'),TO_DATE('22000101','yyyymmdd'),'Version 20180116');</v>
      </c>
    </row>
    <row r="1180" spans="1:2" x14ac:dyDescent="0.25">
      <c r="A1180" t="str">
        <f>IF(REGLAS!J1181="OBSOLETO","","INSERT INTO INYCEXT.INYC_CONF_INF_REGLAS (COD_INFORME,TABLA,NOMBRE,REGLA,F_INICIO,F_FIN,DESCRIPCION) VALUES ("&amp;REGLAS!B1181&amp;",'"&amp;REGLAS!C1181&amp;"','"&amp;REGLAS!D1181&amp;"','"&amp;REGLAS!G1181&amp;"',TO_DATE('"&amp;REGLAS!H1181&amp;"','yyyymmdd'),TO_DATE('"&amp;REGLAS!I1181&amp;"','yyyymmdd'),'"&amp;REGLAS!J1181&amp;"');")</f>
        <v>INSERT INTO INYCEXT.INYC_CONF_INF_REGLAS (COD_INFORME,TABLA,NOMBRE,REGLA,F_INICIO,F_FIN,DESCRIPCION) VALUES (106.1,'INYC_PEPA_E_RESUMEN','SM - Nº Pólizas Corregidas Agente Otros Decesos Mensual','SM-E-GEN-Agente-NumeroPolizasCorregidas-OtrosDecesos-TotalMes',TO_DATE('20180101','yyyymmdd'),TO_DATE('22000101','yyyymmdd'),'Version 20180116');</v>
      </c>
      <c r="B1180" t="str">
        <f>IF(REGLAS!J1181="OBSOLETO","","INSERT INTO INYCEXT.INYC_CONF_INF_REGLAS@tc_link (COD_INFORME,TABLA,NOMBRE,REGLA,F_INICIO,F_FIN,DESCRIPCION) VALUES ("&amp;REGLAS!B1181&amp;",'"&amp;REGLAS!C1181&amp;"','"&amp;REGLAS!D1181&amp;"','"&amp;REGLAS!G1181&amp;"',TO_DATE('"&amp;REGLAS!H1181&amp;"','yyyymmdd'),TO_DATE('"&amp;REGLAS!I1181&amp;"','yyyymmdd'),'"&amp;REGLAS!J1181&amp;"');")</f>
        <v>INSERT INTO INYCEXT.INYC_CONF_INF_REGLAS@tc_link (COD_INFORME,TABLA,NOMBRE,REGLA,F_INICIO,F_FIN,DESCRIPCION) VALUES (106.1,'INYC_PEPA_E_RESUMEN','SM - Nº Pólizas Corregidas Agente Otros Decesos Mensual','SM-E-GEN-Agente-NumeroPolizasCorregidas-OtrosDecesos-TotalMes',TO_DATE('20180101','yyyymmdd'),TO_DATE('22000101','yyyymmdd'),'Version 20180116');</v>
      </c>
    </row>
    <row r="1181" spans="1:2" x14ac:dyDescent="0.25">
      <c r="A1181" t="str">
        <f>IF(REGLAS!J1182="OBSOLETO","","INSERT INTO INYCEXT.INYC_CONF_INF_REGLAS (COD_INFORME,TABLA,NOMBRE,REGLA,F_INICIO,F_FIN,DESCRIPCION) VALUES ("&amp;REGLAS!B1182&amp;",'"&amp;REGLAS!C1182&amp;"','"&amp;REGLAS!D1182&amp;"','"&amp;REGLAS!G1182&amp;"',TO_DATE('"&amp;REGLAS!H1182&amp;"','yyyymmdd'),TO_DATE('"&amp;REGLAS!I1182&amp;"','yyyymmdd'),'"&amp;REGLAS!J1182&amp;"');")</f>
        <v>INSERT INTO INYCEXT.INYC_CONF_INF_REGLAS (COD_INFORME,TABLA,NOMBRE,REGLA,F_INICIO,F_FIN,DESCRIPCION) VALUES (106.1,'INYC_PEPA_E_RESUMEN','SM - Nº Pólizas Corregidas Agente Total Productos Mensual','SM-E-GEN-Agente-NumeroPolizasCorregidas-TotalProduccion-TotalMes',TO_DATE('20180101','yyyymmdd'),TO_DATE('22000101','yyyymmdd'),'Version 20180116');</v>
      </c>
      <c r="B1181" t="str">
        <f>IF(REGLAS!J1182="OBSOLETO","","INSERT INTO INYCEXT.INYC_CONF_INF_REGLAS@tc_link (COD_INFORME,TABLA,NOMBRE,REGLA,F_INICIO,F_FIN,DESCRIPCION) VALUES ("&amp;REGLAS!B1182&amp;",'"&amp;REGLAS!C1182&amp;"','"&amp;REGLAS!D1182&amp;"','"&amp;REGLAS!G1182&amp;"',TO_DATE('"&amp;REGLAS!H1182&amp;"','yyyymmdd'),TO_DATE('"&amp;REGLAS!I1182&amp;"','yyyymmdd'),'"&amp;REGLAS!J1182&amp;"');")</f>
        <v>INSERT INTO INYCEXT.INYC_CONF_INF_REGLAS@tc_link (COD_INFORME,TABLA,NOMBRE,REGLA,F_INICIO,F_FIN,DESCRIPCION) VALUES (106.1,'INYC_PEPA_E_RESUMEN','SM - Nº Pólizas Corregidas Agente Total Productos Mensual','SM-E-GEN-Agente-NumeroPolizasCorregidas-TotalProduccion-TotalMes',TO_DATE('20180101','yyyymmdd'),TO_DATE('22000101','yyyymmdd'),'Version 20180116');</v>
      </c>
    </row>
    <row r="1182" spans="1:2" x14ac:dyDescent="0.25">
      <c r="A1182" t="str">
        <f>IF(REGLAS!J1183="OBSOLETO","","INSERT INTO INYCEXT.INYC_CONF_INF_REGLAS (COD_INFORME,TABLA,NOMBRE,REGLA,F_INICIO,F_FIN,DESCRIPCION) VALUES ("&amp;REGLAS!B1183&amp;",'"&amp;REGLAS!C1183&amp;"','"&amp;REGLAS!D1183&amp;"','"&amp;REGLAS!G1183&amp;"',TO_DATE('"&amp;REGLAS!H1183&amp;"','yyyymmdd'),TO_DATE('"&amp;REGLAS!I1183&amp;"','yyyymmdd'),'"&amp;REGLAS!J1183&amp;"');")</f>
        <v>INSERT INTO INYCEXT.INYC_CONF_INF_REGLAS (COD_INFORME,TABLA,NOMBRE,REGLA,F_INICIO,F_FIN,DESCRIPCION) VALUES (106.1,'INYC_PEPA_E_RESUMEN','SM - Prima Corregida Agente Accidentes Mensual','SM-E-GEN-Agente-PrimaCorregida-Accidente-TotalMes',TO_DATE('20180101','yyyymmdd'),TO_DATE('22000101','yyyymmdd'),'Version 20180116');</v>
      </c>
      <c r="B1182" t="str">
        <f>IF(REGLAS!J1183="OBSOLETO","","INSERT INTO INYCEXT.INYC_CONF_INF_REGLAS@tc_link (COD_INFORME,TABLA,NOMBRE,REGLA,F_INICIO,F_FIN,DESCRIPCION) VALUES ("&amp;REGLAS!B1183&amp;",'"&amp;REGLAS!C1183&amp;"','"&amp;REGLAS!D1183&amp;"','"&amp;REGLAS!G1183&amp;"',TO_DATE('"&amp;REGLAS!H1183&amp;"','yyyymmdd'),TO_DATE('"&amp;REGLAS!I1183&amp;"','yyyymmdd'),'"&amp;REGLAS!J1183&amp;"');")</f>
        <v>INSERT INTO INYCEXT.INYC_CONF_INF_REGLAS@tc_link (COD_INFORME,TABLA,NOMBRE,REGLA,F_INICIO,F_FIN,DESCRIPCION) VALUES (106.1,'INYC_PEPA_E_RESUMEN','SM - Prima Corregida Agente Accidentes Mensual','SM-E-GEN-Agente-PrimaCorregida-Accidente-TotalMes',TO_DATE('20180101','yyyymmdd'),TO_DATE('22000101','yyyymmdd'),'Version 20180116');</v>
      </c>
    </row>
    <row r="1183" spans="1:2" x14ac:dyDescent="0.25">
      <c r="A1183" t="str">
        <f>IF(REGLAS!J1184="OBSOLETO","","INSERT INTO INYCEXT.INYC_CONF_INF_REGLAS (COD_INFORME,TABLA,NOMBRE,REGLA,F_INICIO,F_FIN,DESCRIPCION) VALUES ("&amp;REGLAS!B1184&amp;",'"&amp;REGLAS!C1184&amp;"','"&amp;REGLAS!D1184&amp;"','"&amp;REGLAS!G1184&amp;"',TO_DATE('"&amp;REGLAS!H1184&amp;"','yyyymmdd'),TO_DATE('"&amp;REGLAS!I1184&amp;"','yyyymmdd'),'"&amp;REGLAS!J1184&amp;"');")</f>
        <v>INSERT INTO INYCEXT.INYC_CONF_INF_REGLAS (COD_INFORME,TABLA,NOMBRE,REGLA,F_INICIO,F_FIN,DESCRIPCION) VALUES (106.1,'INYC_PEPA_E_RESUMEN','SM - Prima Corregida Agente Hogar Mensual','SM-E-GEN-Agente-PrimaCorregida-Hogar-TotalMes',TO_DATE('20180101','yyyymmdd'),TO_DATE('22000101','yyyymmdd'),'Version 20180116');</v>
      </c>
      <c r="B1183" t="str">
        <f>IF(REGLAS!J1184="OBSOLETO","","INSERT INTO INYCEXT.INYC_CONF_INF_REGLAS@tc_link (COD_INFORME,TABLA,NOMBRE,REGLA,F_INICIO,F_FIN,DESCRIPCION) VALUES ("&amp;REGLAS!B1184&amp;",'"&amp;REGLAS!C1184&amp;"','"&amp;REGLAS!D1184&amp;"','"&amp;REGLAS!G1184&amp;"',TO_DATE('"&amp;REGLAS!H1184&amp;"','yyyymmdd'),TO_DATE('"&amp;REGLAS!I1184&amp;"','yyyymmdd'),'"&amp;REGLAS!J1184&amp;"');")</f>
        <v>INSERT INTO INYCEXT.INYC_CONF_INF_REGLAS@tc_link (COD_INFORME,TABLA,NOMBRE,REGLA,F_INICIO,F_FIN,DESCRIPCION) VALUES (106.1,'INYC_PEPA_E_RESUMEN','SM - Prima Corregida Agente Hogar Mensual','SM-E-GEN-Agente-PrimaCorregida-Hogar-TotalMes',TO_DATE('20180101','yyyymmdd'),TO_DATE('22000101','yyyymmdd'),'Version 20180116');</v>
      </c>
    </row>
    <row r="1184" spans="1:2" x14ac:dyDescent="0.25">
      <c r="A1184" t="str">
        <f>IF(REGLAS!J1185="OBSOLETO","","INSERT INTO INYCEXT.INYC_CONF_INF_REGLAS (COD_INFORME,TABLA,NOMBRE,REGLA,F_INICIO,F_FIN,DESCRIPCION) VALUES ("&amp;REGLAS!B1185&amp;",'"&amp;REGLAS!C1185&amp;"','"&amp;REGLAS!D1185&amp;"','"&amp;REGLAS!G1185&amp;"',TO_DATE('"&amp;REGLAS!H1185&amp;"','yyyymmdd'),TO_DATE('"&amp;REGLAS!I1185&amp;"','yyyymmdd'),'"&amp;REGLAS!J1185&amp;"');")</f>
        <v>INSERT INTO INYCEXT.INYC_CONF_INF_REGLAS (COD_INFORME,TABLA,NOMBRE,REGLA,F_INICIO,F_FIN,DESCRIPCION) VALUES (106.1,'INYC_PEPA_E_RESUMEN','SM - Prima Corregida Agente Comunidades Mensual','SM-E-GEN-Agente-PrimaCorregida-Comunidades-TotalMes',TO_DATE('20180101','yyyymmdd'),TO_DATE('22000101','yyyymmdd'),'Version 20180116');</v>
      </c>
      <c r="B1184" t="str">
        <f>IF(REGLAS!J1185="OBSOLETO","","INSERT INTO INYCEXT.INYC_CONF_INF_REGLAS@tc_link (COD_INFORME,TABLA,NOMBRE,REGLA,F_INICIO,F_FIN,DESCRIPCION) VALUES ("&amp;REGLAS!B1185&amp;",'"&amp;REGLAS!C1185&amp;"','"&amp;REGLAS!D1185&amp;"','"&amp;REGLAS!G1185&amp;"',TO_DATE('"&amp;REGLAS!H1185&amp;"','yyyymmdd'),TO_DATE('"&amp;REGLAS!I1185&amp;"','yyyymmdd'),'"&amp;REGLAS!J1185&amp;"');")</f>
        <v>INSERT INTO INYCEXT.INYC_CONF_INF_REGLAS@tc_link (COD_INFORME,TABLA,NOMBRE,REGLA,F_INICIO,F_FIN,DESCRIPCION) VALUES (106.1,'INYC_PEPA_E_RESUMEN','SM - Prima Corregida Agente Comunidades Mensual','SM-E-GEN-Agente-PrimaCorregida-Comunidades-TotalMes',TO_DATE('20180101','yyyymmdd'),TO_DATE('22000101','yyyymmdd'),'Version 20180116');</v>
      </c>
    </row>
    <row r="1185" spans="1:2" x14ac:dyDescent="0.25">
      <c r="A1185" t="str">
        <f>IF(REGLAS!J1186="OBSOLETO","","INSERT INTO INYCEXT.INYC_CONF_INF_REGLAS (COD_INFORME,TABLA,NOMBRE,REGLA,F_INICIO,F_FIN,DESCRIPCION) VALUES ("&amp;REGLAS!B1186&amp;",'"&amp;REGLAS!C1186&amp;"','"&amp;REGLAS!D1186&amp;"','"&amp;REGLAS!G1186&amp;"',TO_DATE('"&amp;REGLAS!H1186&amp;"','yyyymmdd'),TO_DATE('"&amp;REGLAS!I1186&amp;"','yyyymmdd'),'"&amp;REGLAS!J1186&amp;"');")</f>
        <v>INSERT INTO INYCEXT.INYC_CONF_INF_REGLAS (COD_INFORME,TABLA,NOMBRE,REGLA,F_INICIO,F_FIN,DESCRIPCION) VALUES (106.1,'INYC_PEPA_E_RESUMEN','SM - Prima Corregida Agente RRGG Mensual','SM-E-GEN-Agente-PrimaCorregida-RRGG-TotalMes',TO_DATE('20180101','yyyymmdd'),TO_DATE('22000101','yyyymmdd'),'Version 20180116');</v>
      </c>
      <c r="B1185" t="str">
        <f>IF(REGLAS!J1186="OBSOLETO","","INSERT INTO INYCEXT.INYC_CONF_INF_REGLAS@tc_link (COD_INFORME,TABLA,NOMBRE,REGLA,F_INICIO,F_FIN,DESCRIPCION) VALUES ("&amp;REGLAS!B1186&amp;",'"&amp;REGLAS!C1186&amp;"','"&amp;REGLAS!D1186&amp;"','"&amp;REGLAS!G1186&amp;"',TO_DATE('"&amp;REGLAS!H1186&amp;"','yyyymmdd'),TO_DATE('"&amp;REGLAS!I1186&amp;"','yyyymmdd'),'"&amp;REGLAS!J1186&amp;"');")</f>
        <v>INSERT INTO INYCEXT.INYC_CONF_INF_REGLAS@tc_link (COD_INFORME,TABLA,NOMBRE,REGLA,F_INICIO,F_FIN,DESCRIPCION) VALUES (106.1,'INYC_PEPA_E_RESUMEN','SM - Prima Corregida Agente RRGG Mensual','SM-E-GEN-Agente-PrimaCorregida-RRGG-TotalMes',TO_DATE('20180101','yyyymmdd'),TO_DATE('22000101','yyyymmdd'),'Version 20180116');</v>
      </c>
    </row>
    <row r="1186" spans="1:2" x14ac:dyDescent="0.25">
      <c r="A1186" t="str">
        <f>IF(REGLAS!J1187="OBSOLETO","","INSERT INTO INYCEXT.INYC_CONF_INF_REGLAS (COD_INFORME,TABLA,NOMBRE,REGLA,F_INICIO,F_FIN,DESCRIPCION) VALUES ("&amp;REGLAS!B1187&amp;",'"&amp;REGLAS!C1187&amp;"','"&amp;REGLAS!D1187&amp;"','"&amp;REGLAS!G1187&amp;"',TO_DATE('"&amp;REGLAS!H1187&amp;"','yyyymmdd'),TO_DATE('"&amp;REGLAS!I1187&amp;"','yyyymmdd'),'"&amp;REGLAS!J1187&amp;"');")</f>
        <v>INSERT INTO INYCEXT.INYC_CONF_INF_REGLAS (COD_INFORME,TABLA,NOMBRE,REGLA,F_INICIO,F_FIN,DESCRIPCION) VALUES (106.1,'INYC_PEPA_E_RESUMEN','SM - Prima Corregida Agente RRTT Mensual','SM-E-GEN-Agente-PrimaCorregida-Decesos-TotalMes',TO_DATE('20180101','yyyymmdd'),TO_DATE('22000101','yyyymmdd'),'Version 20180116');</v>
      </c>
      <c r="B1186" t="str">
        <f>IF(REGLAS!J1187="OBSOLETO","","INSERT INTO INYCEXT.INYC_CONF_INF_REGLAS@tc_link (COD_INFORME,TABLA,NOMBRE,REGLA,F_INICIO,F_FIN,DESCRIPCION) VALUES ("&amp;REGLAS!B1187&amp;",'"&amp;REGLAS!C1187&amp;"','"&amp;REGLAS!D1187&amp;"','"&amp;REGLAS!G1187&amp;"',TO_DATE('"&amp;REGLAS!H1187&amp;"','yyyymmdd'),TO_DATE('"&amp;REGLAS!I1187&amp;"','yyyymmdd'),'"&amp;REGLAS!J1187&amp;"');")</f>
        <v>INSERT INTO INYCEXT.INYC_CONF_INF_REGLAS@tc_link (COD_INFORME,TABLA,NOMBRE,REGLA,F_INICIO,F_FIN,DESCRIPCION) VALUES (106.1,'INYC_PEPA_E_RESUMEN','SM - Prima Corregida Agente RRTT Mensual','SM-E-GEN-Agente-PrimaCorregida-Decesos-TotalMes',TO_DATE('20180101','yyyymmdd'),TO_DATE('22000101','yyyymmdd'),'Version 20180116');</v>
      </c>
    </row>
    <row r="1187" spans="1:2" x14ac:dyDescent="0.25">
      <c r="A1187" t="str">
        <f>IF(REGLAS!J1188="OBSOLETO","","INSERT INTO INYCEXT.INYC_CONF_INF_REGLAS (COD_INFORME,TABLA,NOMBRE,REGLA,F_INICIO,F_FIN,DESCRIPCION) VALUES ("&amp;REGLAS!B1188&amp;",'"&amp;REGLAS!C1188&amp;"','"&amp;REGLAS!D1188&amp;"','"&amp;REGLAS!G1188&amp;"',TO_DATE('"&amp;REGLAS!H1188&amp;"','yyyymmdd'),TO_DATE('"&amp;REGLAS!I1188&amp;"','yyyymmdd'),'"&amp;REGLAS!J1188&amp;"');")</f>
        <v>INSERT INTO INYCEXT.INYC_CONF_INF_REGLAS (COD_INFORME,TABLA,NOMBRE,REGLA,F_INICIO,F_FIN,DESCRIPCION) VALUES (106.1,'INYC_PEPA_E_RESUMEN','SM - Prima Corregida Agente Prod. Prioritarios Mensual','SM-E-GEN-Agente-PrimaCorregida-ProdPrioritarios-TotalMes',TO_DATE('20180101','yyyymmdd'),TO_DATE('22000101','yyyymmdd'),'Version 20180116');</v>
      </c>
      <c r="B1187" t="str">
        <f>IF(REGLAS!J1188="OBSOLETO","","INSERT INTO INYCEXT.INYC_CONF_INF_REGLAS@tc_link (COD_INFORME,TABLA,NOMBRE,REGLA,F_INICIO,F_FIN,DESCRIPCION) VALUES ("&amp;REGLAS!B1188&amp;",'"&amp;REGLAS!C1188&amp;"','"&amp;REGLAS!D1188&amp;"','"&amp;REGLAS!G1188&amp;"',TO_DATE('"&amp;REGLAS!H1188&amp;"','yyyymmdd'),TO_DATE('"&amp;REGLAS!I1188&amp;"','yyyymmdd'),'"&amp;REGLAS!J1188&amp;"');")</f>
        <v>INSERT INTO INYCEXT.INYC_CONF_INF_REGLAS@tc_link (COD_INFORME,TABLA,NOMBRE,REGLA,F_INICIO,F_FIN,DESCRIPCION) VALUES (106.1,'INYC_PEPA_E_RESUMEN','SM - Prima Corregida Agente Prod. Prioritarios Mensual','SM-E-GEN-Agente-PrimaCorregida-ProdPrioritarios-TotalMes',TO_DATE('20180101','yyyymmdd'),TO_DATE('22000101','yyyymmdd'),'Version 20180116');</v>
      </c>
    </row>
    <row r="1188" spans="1:2" x14ac:dyDescent="0.25">
      <c r="A1188" t="str">
        <f>IF(REGLAS!J1189="OBSOLETO","","INSERT INTO INYCEXT.INYC_CONF_INF_REGLAS (COD_INFORME,TABLA,NOMBRE,REGLA,F_INICIO,F_FIN,DESCRIPCION) VALUES ("&amp;REGLAS!B1189&amp;",'"&amp;REGLAS!C1189&amp;"','"&amp;REGLAS!D1189&amp;"','"&amp;REGLAS!G1189&amp;"',TO_DATE('"&amp;REGLAS!H1189&amp;"','yyyymmdd'),TO_DATE('"&amp;REGLAS!I1189&amp;"','yyyymmdd'),'"&amp;REGLAS!J1189&amp;"');")</f>
        <v>INSERT INTO INYCEXT.INYC_CONF_INF_REGLAS (COD_INFORME,TABLA,NOMBRE,REGLA,F_INICIO,F_FIN,DESCRIPCION) VALUES (106.1,'INYC_PEPA_E_RESUMEN','SM - Prima Corregida Agente Otros Decesos Mensual','SM-E-GEN-Agente-PrimaCorregida-OtrosDecesos-TotalMes',TO_DATE('20180101','yyyymmdd'),TO_DATE('22000101','yyyymmdd'),'Version 20180116');</v>
      </c>
      <c r="B1188" t="str">
        <f>IF(REGLAS!J1189="OBSOLETO","","INSERT INTO INYCEXT.INYC_CONF_INF_REGLAS@tc_link (COD_INFORME,TABLA,NOMBRE,REGLA,F_INICIO,F_FIN,DESCRIPCION) VALUES ("&amp;REGLAS!B1189&amp;",'"&amp;REGLAS!C1189&amp;"','"&amp;REGLAS!D1189&amp;"','"&amp;REGLAS!G1189&amp;"',TO_DATE('"&amp;REGLAS!H1189&amp;"','yyyymmdd'),TO_DATE('"&amp;REGLAS!I1189&amp;"','yyyymmdd'),'"&amp;REGLAS!J1189&amp;"');")</f>
        <v>INSERT INTO INYCEXT.INYC_CONF_INF_REGLAS@tc_link (COD_INFORME,TABLA,NOMBRE,REGLA,F_INICIO,F_FIN,DESCRIPCION) VALUES (106.1,'INYC_PEPA_E_RESUMEN','SM - Prima Corregida Agente Otros Decesos Mensual','SM-E-GEN-Agente-PrimaCorregida-OtrosDecesos-TotalMes',TO_DATE('20180101','yyyymmdd'),TO_DATE('22000101','yyyymmdd'),'Version 20180116');</v>
      </c>
    </row>
    <row r="1189" spans="1:2" x14ac:dyDescent="0.25">
      <c r="A1189" t="str">
        <f>IF(REGLAS!J1190="OBSOLETO","","INSERT INTO INYCEXT.INYC_CONF_INF_REGLAS (COD_INFORME,TABLA,NOMBRE,REGLA,F_INICIO,F_FIN,DESCRIPCION) VALUES ("&amp;REGLAS!B1190&amp;",'"&amp;REGLAS!C1190&amp;"','"&amp;REGLAS!D1190&amp;"','"&amp;REGLAS!G1190&amp;"',TO_DATE('"&amp;REGLAS!H1190&amp;"','yyyymmdd'),TO_DATE('"&amp;REGLAS!I1190&amp;"','yyyymmdd'),'"&amp;REGLAS!J1190&amp;"');")</f>
        <v>INSERT INTO INYCEXT.INYC_CONF_INF_REGLAS (COD_INFORME,TABLA,NOMBRE,REGLA,F_INICIO,F_FIN,DESCRIPCION) VALUES (106.1,'INYC_PEPA_E_RESUMEN','SM - Prima Corregida Agente Total Productos Mensual','SM-E-GEN-Agente-PrimaCorregida-TotalProduccion-TotalMes',TO_DATE('20180101','yyyymmdd'),TO_DATE('22000101','yyyymmdd'),'Version 20180116');</v>
      </c>
      <c r="B1189" t="str">
        <f>IF(REGLAS!J1190="OBSOLETO","","INSERT INTO INYCEXT.INYC_CONF_INF_REGLAS@tc_link (COD_INFORME,TABLA,NOMBRE,REGLA,F_INICIO,F_FIN,DESCRIPCION) VALUES ("&amp;REGLAS!B1190&amp;",'"&amp;REGLAS!C1190&amp;"','"&amp;REGLAS!D1190&amp;"','"&amp;REGLAS!G1190&amp;"',TO_DATE('"&amp;REGLAS!H1190&amp;"','yyyymmdd'),TO_DATE('"&amp;REGLAS!I1190&amp;"','yyyymmdd'),'"&amp;REGLAS!J1190&amp;"');")</f>
        <v>INSERT INTO INYCEXT.INYC_CONF_INF_REGLAS@tc_link (COD_INFORME,TABLA,NOMBRE,REGLA,F_INICIO,F_FIN,DESCRIPCION) VALUES (106.1,'INYC_PEPA_E_RESUMEN','SM - Prima Corregida Agente Total Productos Mensual','SM-E-GEN-Agente-PrimaCorregida-TotalProduccion-TotalMes',TO_DATE('20180101','yyyymmdd'),TO_DATE('22000101','yyyymmdd'),'Version 20180116');</v>
      </c>
    </row>
    <row r="1190" spans="1:2" x14ac:dyDescent="0.25">
      <c r="A1190" t="str">
        <f>IF(REGLAS!J1191="OBSOLETO","","INSERT INTO INYCEXT.INYC_CONF_INF_REGLAS (COD_INFORME,TABLA,NOMBRE,REGLA,F_INICIO,F_FIN,DESCRIPCION) VALUES ("&amp;REGLAS!B1191&amp;",'"&amp;REGLAS!C1191&amp;"','"&amp;REGLAS!D1191&amp;"','"&amp;REGLAS!G1191&amp;"',TO_DATE('"&amp;REGLAS!H1191&amp;"','yyyymmdd'),TO_DATE('"&amp;REGLAS!I1191&amp;"','yyyymmdd'),'"&amp;REGLAS!J1191&amp;"');")</f>
        <v>INSERT INTO INYCEXT.INYC_CONF_INF_REGLAS (COD_INFORME,TABLA,NOMBRE,REGLA,F_INICIO,F_FIN,DESCRIPCION) VALUES (106.1,'INYC_PEPA_E_RESUMEN','SM - Nº Asegurados Agente Mensual','SM-E-GEN-Agente-NumAsegurados-TotalMes',TO_DATE('20180101','yyyymmdd'),TO_DATE('22000101','yyyymmdd'),'Version 20180116');</v>
      </c>
      <c r="B1190" t="str">
        <f>IF(REGLAS!J1191="OBSOLETO","","INSERT INTO INYCEXT.INYC_CONF_INF_REGLAS@tc_link (COD_INFORME,TABLA,NOMBRE,REGLA,F_INICIO,F_FIN,DESCRIPCION) VALUES ("&amp;REGLAS!B1191&amp;",'"&amp;REGLAS!C1191&amp;"','"&amp;REGLAS!D1191&amp;"','"&amp;REGLAS!G1191&amp;"',TO_DATE('"&amp;REGLAS!H1191&amp;"','yyyymmdd'),TO_DATE('"&amp;REGLAS!I1191&amp;"','yyyymmdd'),'"&amp;REGLAS!J1191&amp;"');")</f>
        <v>INSERT INTO INYCEXT.INYC_CONF_INF_REGLAS@tc_link (COD_INFORME,TABLA,NOMBRE,REGLA,F_INICIO,F_FIN,DESCRIPCION) VALUES (106.1,'INYC_PEPA_E_RESUMEN','SM - Nº Asegurados Agente Mensual','SM-E-GEN-Agente-NumAsegurados-TotalMes',TO_DATE('20180101','yyyymmdd'),TO_DATE('22000101','yyyymmdd'),'Version 20180116');</v>
      </c>
    </row>
    <row r="1191" spans="1:2" x14ac:dyDescent="0.25">
      <c r="A1191" t="str">
        <f>IF(REGLAS!J1192="OBSOLETO","","INSERT INTO INYCEXT.INYC_CONF_INF_REGLAS (COD_INFORME,TABLA,NOMBRE,REGLA,F_INICIO,F_FIN,DESCRIPCION) VALUES ("&amp;REGLAS!B1192&amp;",'"&amp;REGLAS!C1192&amp;"','"&amp;REGLAS!D1192&amp;"','"&amp;REGLAS!G1192&amp;"',TO_DATE('"&amp;REGLAS!H1192&amp;"','yyyymmdd'),TO_DATE('"&amp;REGLAS!I1192&amp;"','yyyymmdd'),'"&amp;REGLAS!J1192&amp;"');")</f>
        <v>INSERT INTO INYCEXT.INYC_CONF_INF_REGLAS (COD_INFORME,TABLA,NOMBRE,REGLA,F_INICIO,F_FIN,DESCRIPCION) VALUES (106.1,'INYC_PEPA_E_RESUMEN','SM - Nº Asegurados Agente Anual','SM-E-GEN-Agente-NumAsegurados-TotalAnual',TO_DATE('20180101','yyyymmdd'),TO_DATE('22000101','yyyymmdd'),'Version 20180116');</v>
      </c>
      <c r="B1191" t="str">
        <f>IF(REGLAS!J1192="OBSOLETO","","INSERT INTO INYCEXT.INYC_CONF_INF_REGLAS@tc_link (COD_INFORME,TABLA,NOMBRE,REGLA,F_INICIO,F_FIN,DESCRIPCION) VALUES ("&amp;REGLAS!B1192&amp;",'"&amp;REGLAS!C1192&amp;"','"&amp;REGLAS!D1192&amp;"','"&amp;REGLAS!G1192&amp;"',TO_DATE('"&amp;REGLAS!H1192&amp;"','yyyymmdd'),TO_DATE('"&amp;REGLAS!I1192&amp;"','yyyymmdd'),'"&amp;REGLAS!J1192&amp;"');")</f>
        <v>INSERT INTO INYCEXT.INYC_CONF_INF_REGLAS@tc_link (COD_INFORME,TABLA,NOMBRE,REGLA,F_INICIO,F_FIN,DESCRIPCION) VALUES (106.1,'INYC_PEPA_E_RESUMEN','SM - Nº Asegurados Agente Anual','SM-E-GEN-Agente-NumAsegurados-TotalAnual',TO_DATE('20180101','yyyymmdd'),TO_DATE('22000101','yyyymmdd'),'Version 20180116');</v>
      </c>
    </row>
    <row r="1192" spans="1:2" x14ac:dyDescent="0.25">
      <c r="A1192" t="str">
        <f>IF(REGLAS!J1193="OBSOLETO","","INSERT INTO INYCEXT.INYC_CONF_INF_REGLAS (COD_INFORME,TABLA,NOMBRE,REGLA,F_INICIO,F_FIN,DESCRIPCION) VALUES ("&amp;REGLAS!B1193&amp;",'"&amp;REGLAS!C1193&amp;"','"&amp;REGLAS!D1193&amp;"','"&amp;REGLAS!G1193&amp;"',TO_DATE('"&amp;REGLAS!H1193&amp;"','yyyymmdd'),TO_DATE('"&amp;REGLAS!I1193&amp;"','yyyymmdd'),'"&amp;REGLAS!J1193&amp;"');")</f>
        <v>INSERT INTO INYCEXT.INYC_CONF_INF_REGLAS (COD_INFORME,TABLA,NOMBRE,REGLA,F_INICIO,F_FIN,DESCRIPCION) VALUES (106.1,'INYC_PEPA_E_RESUMEN','SM - Nº Pólizas Agente Accidentes Anual','SM-E-GEN-Agente-NumeroPolizas-Accidente-TotalAnual',TO_DATE('20180101','yyyymmdd'),TO_DATE('22000101','yyyymmdd'),'Version 20180116');</v>
      </c>
      <c r="B1192" t="str">
        <f>IF(REGLAS!J1193="OBSOLETO","","INSERT INTO INYCEXT.INYC_CONF_INF_REGLAS@tc_link (COD_INFORME,TABLA,NOMBRE,REGLA,F_INICIO,F_FIN,DESCRIPCION) VALUES ("&amp;REGLAS!B1193&amp;",'"&amp;REGLAS!C1193&amp;"','"&amp;REGLAS!D1193&amp;"','"&amp;REGLAS!G1193&amp;"',TO_DATE('"&amp;REGLAS!H1193&amp;"','yyyymmdd'),TO_DATE('"&amp;REGLAS!I1193&amp;"','yyyymmdd'),'"&amp;REGLAS!J1193&amp;"');")</f>
        <v>INSERT INTO INYCEXT.INYC_CONF_INF_REGLAS@tc_link (COD_INFORME,TABLA,NOMBRE,REGLA,F_INICIO,F_FIN,DESCRIPCION) VALUES (106.1,'INYC_PEPA_E_RESUMEN','SM - Nº Pólizas Agente Accidentes Anual','SM-E-GEN-Agente-NumeroPolizas-Accidente-TotalAnual',TO_DATE('20180101','yyyymmdd'),TO_DATE('22000101','yyyymmdd'),'Version 20180116');</v>
      </c>
    </row>
    <row r="1193" spans="1:2" x14ac:dyDescent="0.25">
      <c r="A1193" t="str">
        <f>IF(REGLAS!J1194="OBSOLETO","","INSERT INTO INYCEXT.INYC_CONF_INF_REGLAS (COD_INFORME,TABLA,NOMBRE,REGLA,F_INICIO,F_FIN,DESCRIPCION) VALUES ("&amp;REGLAS!B1194&amp;",'"&amp;REGLAS!C1194&amp;"','"&amp;REGLAS!D1194&amp;"','"&amp;REGLAS!G1194&amp;"',TO_DATE('"&amp;REGLAS!H1194&amp;"','yyyymmdd'),TO_DATE('"&amp;REGLAS!I1194&amp;"','yyyymmdd'),'"&amp;REGLAS!J1194&amp;"');")</f>
        <v>INSERT INTO INYCEXT.INYC_CONF_INF_REGLAS (COD_INFORME,TABLA,NOMBRE,REGLA,F_INICIO,F_FIN,DESCRIPCION) VALUES (106.1,'INYC_PEPA_E_RESUMEN','SM - Nº Pólizas Agente Hogar Anual','SM-E-GEN-Agente-NumeroPolizas-Hogar-TotalAnual',TO_DATE('20180101','yyyymmdd'),TO_DATE('22000101','yyyymmdd'),'Version 20180116');</v>
      </c>
      <c r="B1193" t="str">
        <f>IF(REGLAS!J1194="OBSOLETO","","INSERT INTO INYCEXT.INYC_CONF_INF_REGLAS@tc_link (COD_INFORME,TABLA,NOMBRE,REGLA,F_INICIO,F_FIN,DESCRIPCION) VALUES ("&amp;REGLAS!B1194&amp;",'"&amp;REGLAS!C1194&amp;"','"&amp;REGLAS!D1194&amp;"','"&amp;REGLAS!G1194&amp;"',TO_DATE('"&amp;REGLAS!H1194&amp;"','yyyymmdd'),TO_DATE('"&amp;REGLAS!I1194&amp;"','yyyymmdd'),'"&amp;REGLAS!J1194&amp;"');")</f>
        <v>INSERT INTO INYCEXT.INYC_CONF_INF_REGLAS@tc_link (COD_INFORME,TABLA,NOMBRE,REGLA,F_INICIO,F_FIN,DESCRIPCION) VALUES (106.1,'INYC_PEPA_E_RESUMEN','SM - Nº Pólizas Agente Hogar Anual','SM-E-GEN-Agente-NumeroPolizas-Hogar-TotalAnual',TO_DATE('20180101','yyyymmdd'),TO_DATE('22000101','yyyymmdd'),'Version 20180116');</v>
      </c>
    </row>
    <row r="1194" spans="1:2" x14ac:dyDescent="0.25">
      <c r="A1194" t="str">
        <f>IF(REGLAS!J1195="OBSOLETO","","INSERT INTO INYCEXT.INYC_CONF_INF_REGLAS (COD_INFORME,TABLA,NOMBRE,REGLA,F_INICIO,F_FIN,DESCRIPCION) VALUES ("&amp;REGLAS!B1195&amp;",'"&amp;REGLAS!C1195&amp;"','"&amp;REGLAS!D1195&amp;"','"&amp;REGLAS!G1195&amp;"',TO_DATE('"&amp;REGLAS!H1195&amp;"','yyyymmdd'),TO_DATE('"&amp;REGLAS!I1195&amp;"','yyyymmdd'),'"&amp;REGLAS!J1195&amp;"');")</f>
        <v>INSERT INTO INYCEXT.INYC_CONF_INF_REGLAS (COD_INFORME,TABLA,NOMBRE,REGLA,F_INICIO,F_FIN,DESCRIPCION) VALUES (106.1,'INYC_PEPA_E_RESUMEN','SM - Nº Pólizas Agente Comunidades Anual','SM-E-GEN-Agente-NumeroPolizas-Comunidades-TotalAnual',TO_DATE('20180101','yyyymmdd'),TO_DATE('22000101','yyyymmdd'),'Version 20180116');</v>
      </c>
      <c r="B1194" t="str">
        <f>IF(REGLAS!J1195="OBSOLETO","","INSERT INTO INYCEXT.INYC_CONF_INF_REGLAS@tc_link (COD_INFORME,TABLA,NOMBRE,REGLA,F_INICIO,F_FIN,DESCRIPCION) VALUES ("&amp;REGLAS!B1195&amp;",'"&amp;REGLAS!C1195&amp;"','"&amp;REGLAS!D1195&amp;"','"&amp;REGLAS!G1195&amp;"',TO_DATE('"&amp;REGLAS!H1195&amp;"','yyyymmdd'),TO_DATE('"&amp;REGLAS!I1195&amp;"','yyyymmdd'),'"&amp;REGLAS!J1195&amp;"');")</f>
        <v>INSERT INTO INYCEXT.INYC_CONF_INF_REGLAS@tc_link (COD_INFORME,TABLA,NOMBRE,REGLA,F_INICIO,F_FIN,DESCRIPCION) VALUES (106.1,'INYC_PEPA_E_RESUMEN','SM - Nº Pólizas Agente Comunidades Anual','SM-E-GEN-Agente-NumeroPolizas-Comunidades-TotalAnual',TO_DATE('20180101','yyyymmdd'),TO_DATE('22000101','yyyymmdd'),'Version 20180116');</v>
      </c>
    </row>
    <row r="1195" spans="1:2" x14ac:dyDescent="0.25">
      <c r="A1195" t="str">
        <f>IF(REGLAS!J1196="OBSOLETO","","INSERT INTO INYCEXT.INYC_CONF_INF_REGLAS (COD_INFORME,TABLA,NOMBRE,REGLA,F_INICIO,F_FIN,DESCRIPCION) VALUES ("&amp;REGLAS!B1196&amp;",'"&amp;REGLAS!C1196&amp;"','"&amp;REGLAS!D1196&amp;"','"&amp;REGLAS!G1196&amp;"',TO_DATE('"&amp;REGLAS!H1196&amp;"','yyyymmdd'),TO_DATE('"&amp;REGLAS!I1196&amp;"','yyyymmdd'),'"&amp;REGLAS!J1196&amp;"');")</f>
        <v>INSERT INTO INYCEXT.INYC_CONF_INF_REGLAS (COD_INFORME,TABLA,NOMBRE,REGLA,F_INICIO,F_FIN,DESCRIPCION) VALUES (106.1,'INYC_PEPA_E_RESUMEN','SM - Nº Pólizas Agente RRGG Anual','SM-E-GEN-Agente-NumeroPolizas-RRGG-TotalAnual',TO_DATE('20180101','yyyymmdd'),TO_DATE('22000101','yyyymmdd'),'Version 20180116');</v>
      </c>
      <c r="B1195" t="str">
        <f>IF(REGLAS!J1196="OBSOLETO","","INSERT INTO INYCEXT.INYC_CONF_INF_REGLAS@tc_link (COD_INFORME,TABLA,NOMBRE,REGLA,F_INICIO,F_FIN,DESCRIPCION) VALUES ("&amp;REGLAS!B1196&amp;",'"&amp;REGLAS!C1196&amp;"','"&amp;REGLAS!D1196&amp;"','"&amp;REGLAS!G1196&amp;"',TO_DATE('"&amp;REGLAS!H1196&amp;"','yyyymmdd'),TO_DATE('"&amp;REGLAS!I1196&amp;"','yyyymmdd'),'"&amp;REGLAS!J1196&amp;"');")</f>
        <v>INSERT INTO INYCEXT.INYC_CONF_INF_REGLAS@tc_link (COD_INFORME,TABLA,NOMBRE,REGLA,F_INICIO,F_FIN,DESCRIPCION) VALUES (106.1,'INYC_PEPA_E_RESUMEN','SM - Nº Pólizas Agente RRGG Anual','SM-E-GEN-Agente-NumeroPolizas-RRGG-TotalAnual',TO_DATE('20180101','yyyymmdd'),TO_DATE('22000101','yyyymmdd'),'Version 20180116');</v>
      </c>
    </row>
    <row r="1196" spans="1:2" x14ac:dyDescent="0.25">
      <c r="A1196" t="str">
        <f>IF(REGLAS!J1197="OBSOLETO","","INSERT INTO INYCEXT.INYC_CONF_INF_REGLAS (COD_INFORME,TABLA,NOMBRE,REGLA,F_INICIO,F_FIN,DESCRIPCION) VALUES ("&amp;REGLAS!B1197&amp;",'"&amp;REGLAS!C1197&amp;"','"&amp;REGLAS!D1197&amp;"','"&amp;REGLAS!G1197&amp;"',TO_DATE('"&amp;REGLAS!H1197&amp;"','yyyymmdd'),TO_DATE('"&amp;REGLAS!I1197&amp;"','yyyymmdd'),'"&amp;REGLAS!J1197&amp;"');")</f>
        <v>INSERT INTO INYCEXT.INYC_CONF_INF_REGLAS (COD_INFORME,TABLA,NOMBRE,REGLA,F_INICIO,F_FIN,DESCRIPCION) VALUES (106.1,'INYC_PEPA_E_RESUMEN','SM - Nº Pólizas Agente RRTT Anual','SM-E-GEN-Agente-NumeroPolizas-Decesos-TotalAnual',TO_DATE('20180101','yyyymmdd'),TO_DATE('22000101','yyyymmdd'),'Version 20180116');</v>
      </c>
      <c r="B1196" t="str">
        <f>IF(REGLAS!J1197="OBSOLETO","","INSERT INTO INYCEXT.INYC_CONF_INF_REGLAS@tc_link (COD_INFORME,TABLA,NOMBRE,REGLA,F_INICIO,F_FIN,DESCRIPCION) VALUES ("&amp;REGLAS!B1197&amp;",'"&amp;REGLAS!C1197&amp;"','"&amp;REGLAS!D1197&amp;"','"&amp;REGLAS!G1197&amp;"',TO_DATE('"&amp;REGLAS!H1197&amp;"','yyyymmdd'),TO_DATE('"&amp;REGLAS!I1197&amp;"','yyyymmdd'),'"&amp;REGLAS!J1197&amp;"');")</f>
        <v>INSERT INTO INYCEXT.INYC_CONF_INF_REGLAS@tc_link (COD_INFORME,TABLA,NOMBRE,REGLA,F_INICIO,F_FIN,DESCRIPCION) VALUES (106.1,'INYC_PEPA_E_RESUMEN','SM - Nº Pólizas Agente RRTT Anual','SM-E-GEN-Agente-NumeroPolizas-Decesos-TotalAnual',TO_DATE('20180101','yyyymmdd'),TO_DATE('22000101','yyyymmdd'),'Version 20180116');</v>
      </c>
    </row>
    <row r="1197" spans="1:2" x14ac:dyDescent="0.25">
      <c r="A1197" t="str">
        <f>IF(REGLAS!J1198="OBSOLETO","","INSERT INTO INYCEXT.INYC_CONF_INF_REGLAS (COD_INFORME,TABLA,NOMBRE,REGLA,F_INICIO,F_FIN,DESCRIPCION) VALUES ("&amp;REGLAS!B1198&amp;",'"&amp;REGLAS!C1198&amp;"','"&amp;REGLAS!D1198&amp;"','"&amp;REGLAS!G1198&amp;"',TO_DATE('"&amp;REGLAS!H1198&amp;"','yyyymmdd'),TO_DATE('"&amp;REGLAS!I1198&amp;"','yyyymmdd'),'"&amp;REGLAS!J1198&amp;"');")</f>
        <v>INSERT INTO INYCEXT.INYC_CONF_INF_REGLAS (COD_INFORME,TABLA,NOMBRE,REGLA,F_INICIO,F_FIN,DESCRIPCION) VALUES (106.1,'INYC_PEPA_E_RESUMEN','SM - Nº Pólizas Agente Prod. Prioritarios Anual','SM-E-GEN-Agente-NumeroPolizas-ProdPrioritarios-TotalAnual',TO_DATE('20180101','yyyymmdd'),TO_DATE('22000101','yyyymmdd'),'Version 20180116');</v>
      </c>
      <c r="B1197" t="str">
        <f>IF(REGLAS!J1198="OBSOLETO","","INSERT INTO INYCEXT.INYC_CONF_INF_REGLAS@tc_link (COD_INFORME,TABLA,NOMBRE,REGLA,F_INICIO,F_FIN,DESCRIPCION) VALUES ("&amp;REGLAS!B1198&amp;",'"&amp;REGLAS!C1198&amp;"','"&amp;REGLAS!D1198&amp;"','"&amp;REGLAS!G1198&amp;"',TO_DATE('"&amp;REGLAS!H1198&amp;"','yyyymmdd'),TO_DATE('"&amp;REGLAS!I1198&amp;"','yyyymmdd'),'"&amp;REGLAS!J1198&amp;"');")</f>
        <v>INSERT INTO INYCEXT.INYC_CONF_INF_REGLAS@tc_link (COD_INFORME,TABLA,NOMBRE,REGLA,F_INICIO,F_FIN,DESCRIPCION) VALUES (106.1,'INYC_PEPA_E_RESUMEN','SM - Nº Pólizas Agente Prod. Prioritarios Anual','SM-E-GEN-Agente-NumeroPolizas-ProdPrioritarios-TotalAnual',TO_DATE('20180101','yyyymmdd'),TO_DATE('22000101','yyyymmdd'),'Version 20180116');</v>
      </c>
    </row>
    <row r="1198" spans="1:2" x14ac:dyDescent="0.25">
      <c r="A1198" t="str">
        <f>IF(REGLAS!J1199="OBSOLETO","","INSERT INTO INYCEXT.INYC_CONF_INF_REGLAS (COD_INFORME,TABLA,NOMBRE,REGLA,F_INICIO,F_FIN,DESCRIPCION) VALUES ("&amp;REGLAS!B1199&amp;",'"&amp;REGLAS!C1199&amp;"','"&amp;REGLAS!D1199&amp;"','"&amp;REGLAS!G1199&amp;"',TO_DATE('"&amp;REGLAS!H1199&amp;"','yyyymmdd'),TO_DATE('"&amp;REGLAS!I1199&amp;"','yyyymmdd'),'"&amp;REGLAS!J1199&amp;"');")</f>
        <v>INSERT INTO INYCEXT.INYC_CONF_INF_REGLAS (COD_INFORME,TABLA,NOMBRE,REGLA,F_INICIO,F_FIN,DESCRIPCION) VALUES (106.1,'INYC_PEPA_E_RESUMEN','SM - Nº Pólizas Agente Otros Decesos Anual','SM-E-GEN-Agente-NumeroPolizas-OtrosDecesos-TotalAnual',TO_DATE('20180101','yyyymmdd'),TO_DATE('22000101','yyyymmdd'),'Version 20180116');</v>
      </c>
      <c r="B1198" t="str">
        <f>IF(REGLAS!J1199="OBSOLETO","","INSERT INTO INYCEXT.INYC_CONF_INF_REGLAS@tc_link (COD_INFORME,TABLA,NOMBRE,REGLA,F_INICIO,F_FIN,DESCRIPCION) VALUES ("&amp;REGLAS!B1199&amp;",'"&amp;REGLAS!C1199&amp;"','"&amp;REGLAS!D1199&amp;"','"&amp;REGLAS!G1199&amp;"',TO_DATE('"&amp;REGLAS!H1199&amp;"','yyyymmdd'),TO_DATE('"&amp;REGLAS!I1199&amp;"','yyyymmdd'),'"&amp;REGLAS!J1199&amp;"');")</f>
        <v>INSERT INTO INYCEXT.INYC_CONF_INF_REGLAS@tc_link (COD_INFORME,TABLA,NOMBRE,REGLA,F_INICIO,F_FIN,DESCRIPCION) VALUES (106.1,'INYC_PEPA_E_RESUMEN','SM - Nº Pólizas Agente Otros Decesos Anual','SM-E-GEN-Agente-NumeroPolizas-OtrosDecesos-TotalAnual',TO_DATE('20180101','yyyymmdd'),TO_DATE('22000101','yyyymmdd'),'Version 20180116');</v>
      </c>
    </row>
    <row r="1199" spans="1:2" x14ac:dyDescent="0.25">
      <c r="A1199" t="str">
        <f>IF(REGLAS!J1200="OBSOLETO","","INSERT INTO INYCEXT.INYC_CONF_INF_REGLAS (COD_INFORME,TABLA,NOMBRE,REGLA,F_INICIO,F_FIN,DESCRIPCION) VALUES ("&amp;REGLAS!B1200&amp;",'"&amp;REGLAS!C1200&amp;"','"&amp;REGLAS!D1200&amp;"','"&amp;REGLAS!G1200&amp;"',TO_DATE('"&amp;REGLAS!H1200&amp;"','yyyymmdd'),TO_DATE('"&amp;REGLAS!I1200&amp;"','yyyymmdd'),'"&amp;REGLAS!J1200&amp;"');")</f>
        <v>INSERT INTO INYCEXT.INYC_CONF_INF_REGLAS (COD_INFORME,TABLA,NOMBRE,REGLA,F_INICIO,F_FIN,DESCRIPCION) VALUES (106.1,'INYC_PEPA_E_RESUMEN','SM - Nº Pólizas Agente Total Productos Anual','SM-E-GEN-Agente-NumeroPolizas-TotalProduccion-TotalAnual',TO_DATE('20180101','yyyymmdd'),TO_DATE('22000101','yyyymmdd'),'Version 20180116');</v>
      </c>
      <c r="B1199" t="str">
        <f>IF(REGLAS!J1200="OBSOLETO","","INSERT INTO INYCEXT.INYC_CONF_INF_REGLAS@tc_link (COD_INFORME,TABLA,NOMBRE,REGLA,F_INICIO,F_FIN,DESCRIPCION) VALUES ("&amp;REGLAS!B1200&amp;",'"&amp;REGLAS!C1200&amp;"','"&amp;REGLAS!D1200&amp;"','"&amp;REGLAS!G1200&amp;"',TO_DATE('"&amp;REGLAS!H1200&amp;"','yyyymmdd'),TO_DATE('"&amp;REGLAS!I1200&amp;"','yyyymmdd'),'"&amp;REGLAS!J1200&amp;"');")</f>
        <v>INSERT INTO INYCEXT.INYC_CONF_INF_REGLAS@tc_link (COD_INFORME,TABLA,NOMBRE,REGLA,F_INICIO,F_FIN,DESCRIPCION) VALUES (106.1,'INYC_PEPA_E_RESUMEN','SM - Nº Pólizas Agente Total Productos Anual','SM-E-GEN-Agente-NumeroPolizas-TotalProduccion-TotalAnual',TO_DATE('20180101','yyyymmdd'),TO_DATE('22000101','yyyymmdd'),'Version 20180116');</v>
      </c>
    </row>
    <row r="1200" spans="1:2" x14ac:dyDescent="0.25">
      <c r="A1200" t="str">
        <f>IF(REGLAS!J1201="OBSOLETO","","INSERT INTO INYCEXT.INYC_CONF_INF_REGLAS (COD_INFORME,TABLA,NOMBRE,REGLA,F_INICIO,F_FIN,DESCRIPCION) VALUES ("&amp;REGLAS!B1201&amp;",'"&amp;REGLAS!C1201&amp;"','"&amp;REGLAS!D1201&amp;"','"&amp;REGLAS!G1201&amp;"',TO_DATE('"&amp;REGLAS!H1201&amp;"','yyyymmdd'),TO_DATE('"&amp;REGLAS!I1201&amp;"','yyyymmdd'),'"&amp;REGLAS!J1201&amp;"');")</f>
        <v>INSERT INTO INYCEXT.INYC_CONF_INF_REGLAS (COD_INFORME,TABLA,NOMBRE,REGLA,F_INICIO,F_FIN,DESCRIPCION) VALUES (106.1,'INYC_PEPA_E_RESUMEN','SM - Nº Pólizas Corregidas Agente Accidentes Anual','SM-E-GEN-Agente-NumeroPolizasCorregidas-Accidente-TotalAnual',TO_DATE('20180101','yyyymmdd'),TO_DATE('22000101','yyyymmdd'),'Version 20180116');</v>
      </c>
      <c r="B1200" t="str">
        <f>IF(REGLAS!J1201="OBSOLETO","","INSERT INTO INYCEXT.INYC_CONF_INF_REGLAS@tc_link (COD_INFORME,TABLA,NOMBRE,REGLA,F_INICIO,F_FIN,DESCRIPCION) VALUES ("&amp;REGLAS!B1201&amp;",'"&amp;REGLAS!C1201&amp;"','"&amp;REGLAS!D1201&amp;"','"&amp;REGLAS!G1201&amp;"',TO_DATE('"&amp;REGLAS!H1201&amp;"','yyyymmdd'),TO_DATE('"&amp;REGLAS!I1201&amp;"','yyyymmdd'),'"&amp;REGLAS!J1201&amp;"');")</f>
        <v>INSERT INTO INYCEXT.INYC_CONF_INF_REGLAS@tc_link (COD_INFORME,TABLA,NOMBRE,REGLA,F_INICIO,F_FIN,DESCRIPCION) VALUES (106.1,'INYC_PEPA_E_RESUMEN','SM - Nº Pólizas Corregidas Agente Accidentes Anual','SM-E-GEN-Agente-NumeroPolizasCorregidas-Accidente-TotalAnual',TO_DATE('20180101','yyyymmdd'),TO_DATE('22000101','yyyymmdd'),'Version 20180116');</v>
      </c>
    </row>
    <row r="1201" spans="1:2" x14ac:dyDescent="0.25">
      <c r="A1201" t="str">
        <f>IF(REGLAS!J1202="OBSOLETO","","INSERT INTO INYCEXT.INYC_CONF_INF_REGLAS (COD_INFORME,TABLA,NOMBRE,REGLA,F_INICIO,F_FIN,DESCRIPCION) VALUES ("&amp;REGLAS!B1202&amp;",'"&amp;REGLAS!C1202&amp;"','"&amp;REGLAS!D1202&amp;"','"&amp;REGLAS!G1202&amp;"',TO_DATE('"&amp;REGLAS!H1202&amp;"','yyyymmdd'),TO_DATE('"&amp;REGLAS!I1202&amp;"','yyyymmdd'),'"&amp;REGLAS!J1202&amp;"');")</f>
        <v>INSERT INTO INYCEXT.INYC_CONF_INF_REGLAS (COD_INFORME,TABLA,NOMBRE,REGLA,F_INICIO,F_FIN,DESCRIPCION) VALUES (106.1,'INYC_PEPA_E_RESUMEN','SM - Nº Pólizas Corregidas Agente Hogar Anual','SM-E-GEN-Agente-NumeroPolizasCorregidas-Hogar-TotalAnual',TO_DATE('20180101','yyyymmdd'),TO_DATE('22000101','yyyymmdd'),'Version 20180116');</v>
      </c>
      <c r="B1201" t="str">
        <f>IF(REGLAS!J1202="OBSOLETO","","INSERT INTO INYCEXT.INYC_CONF_INF_REGLAS@tc_link (COD_INFORME,TABLA,NOMBRE,REGLA,F_INICIO,F_FIN,DESCRIPCION) VALUES ("&amp;REGLAS!B1202&amp;",'"&amp;REGLAS!C1202&amp;"','"&amp;REGLAS!D1202&amp;"','"&amp;REGLAS!G1202&amp;"',TO_DATE('"&amp;REGLAS!H1202&amp;"','yyyymmdd'),TO_DATE('"&amp;REGLAS!I1202&amp;"','yyyymmdd'),'"&amp;REGLAS!J1202&amp;"');")</f>
        <v>INSERT INTO INYCEXT.INYC_CONF_INF_REGLAS@tc_link (COD_INFORME,TABLA,NOMBRE,REGLA,F_INICIO,F_FIN,DESCRIPCION) VALUES (106.1,'INYC_PEPA_E_RESUMEN','SM - Nº Pólizas Corregidas Agente Hogar Anual','SM-E-GEN-Agente-NumeroPolizasCorregidas-Hogar-TotalAnual',TO_DATE('20180101','yyyymmdd'),TO_DATE('22000101','yyyymmdd'),'Version 20180116');</v>
      </c>
    </row>
    <row r="1202" spans="1:2" x14ac:dyDescent="0.25">
      <c r="A1202" t="str">
        <f>IF(REGLAS!J1203="OBSOLETO","","INSERT INTO INYCEXT.INYC_CONF_INF_REGLAS (COD_INFORME,TABLA,NOMBRE,REGLA,F_INICIO,F_FIN,DESCRIPCION) VALUES ("&amp;REGLAS!B1203&amp;",'"&amp;REGLAS!C1203&amp;"','"&amp;REGLAS!D1203&amp;"','"&amp;REGLAS!G1203&amp;"',TO_DATE('"&amp;REGLAS!H1203&amp;"','yyyymmdd'),TO_DATE('"&amp;REGLAS!I1203&amp;"','yyyymmdd'),'"&amp;REGLAS!J1203&amp;"');")</f>
        <v>INSERT INTO INYCEXT.INYC_CONF_INF_REGLAS (COD_INFORME,TABLA,NOMBRE,REGLA,F_INICIO,F_FIN,DESCRIPCION) VALUES (106.1,'INYC_PEPA_E_RESUMEN','SM - Nº Pólizas Corregidas Agente Comunidades Anual','SM-E-GEN-Agente-NumeroPolizasCorregidas-Comunidades-TotalAnual',TO_DATE('20180101','yyyymmdd'),TO_DATE('22000101','yyyymmdd'),'Version 20180116');</v>
      </c>
      <c r="B1202" t="str">
        <f>IF(REGLAS!J1203="OBSOLETO","","INSERT INTO INYCEXT.INYC_CONF_INF_REGLAS@tc_link (COD_INFORME,TABLA,NOMBRE,REGLA,F_INICIO,F_FIN,DESCRIPCION) VALUES ("&amp;REGLAS!B1203&amp;",'"&amp;REGLAS!C1203&amp;"','"&amp;REGLAS!D1203&amp;"','"&amp;REGLAS!G1203&amp;"',TO_DATE('"&amp;REGLAS!H1203&amp;"','yyyymmdd'),TO_DATE('"&amp;REGLAS!I1203&amp;"','yyyymmdd'),'"&amp;REGLAS!J1203&amp;"');")</f>
        <v>INSERT INTO INYCEXT.INYC_CONF_INF_REGLAS@tc_link (COD_INFORME,TABLA,NOMBRE,REGLA,F_INICIO,F_FIN,DESCRIPCION) VALUES (106.1,'INYC_PEPA_E_RESUMEN','SM - Nº Pólizas Corregidas Agente Comunidades Anual','SM-E-GEN-Agente-NumeroPolizasCorregidas-Comunidades-TotalAnual',TO_DATE('20180101','yyyymmdd'),TO_DATE('22000101','yyyymmdd'),'Version 20180116');</v>
      </c>
    </row>
    <row r="1203" spans="1:2" x14ac:dyDescent="0.25">
      <c r="A1203" t="str">
        <f>IF(REGLAS!J1204="OBSOLETO","","INSERT INTO INYCEXT.INYC_CONF_INF_REGLAS (COD_INFORME,TABLA,NOMBRE,REGLA,F_INICIO,F_FIN,DESCRIPCION) VALUES ("&amp;REGLAS!B1204&amp;",'"&amp;REGLAS!C1204&amp;"','"&amp;REGLAS!D1204&amp;"','"&amp;REGLAS!G1204&amp;"',TO_DATE('"&amp;REGLAS!H1204&amp;"','yyyymmdd'),TO_DATE('"&amp;REGLAS!I1204&amp;"','yyyymmdd'),'"&amp;REGLAS!J1204&amp;"');")</f>
        <v>INSERT INTO INYCEXT.INYC_CONF_INF_REGLAS (COD_INFORME,TABLA,NOMBRE,REGLA,F_INICIO,F_FIN,DESCRIPCION) VALUES (106.1,'INYC_PEPA_E_RESUMEN','SM - Nº Pólizas Corregidas Agente RRGG Anual','SM-E-GEN-Agente-NumeroPolizasCorregidas-RRGG-TotalAnual',TO_DATE('20180101','yyyymmdd'),TO_DATE('22000101','yyyymmdd'),'Version 20180116');</v>
      </c>
      <c r="B1203" t="str">
        <f>IF(REGLAS!J1204="OBSOLETO","","INSERT INTO INYCEXT.INYC_CONF_INF_REGLAS@tc_link (COD_INFORME,TABLA,NOMBRE,REGLA,F_INICIO,F_FIN,DESCRIPCION) VALUES ("&amp;REGLAS!B1204&amp;",'"&amp;REGLAS!C1204&amp;"','"&amp;REGLAS!D1204&amp;"','"&amp;REGLAS!G1204&amp;"',TO_DATE('"&amp;REGLAS!H1204&amp;"','yyyymmdd'),TO_DATE('"&amp;REGLAS!I1204&amp;"','yyyymmdd'),'"&amp;REGLAS!J1204&amp;"');")</f>
        <v>INSERT INTO INYCEXT.INYC_CONF_INF_REGLAS@tc_link (COD_INFORME,TABLA,NOMBRE,REGLA,F_INICIO,F_FIN,DESCRIPCION) VALUES (106.1,'INYC_PEPA_E_RESUMEN','SM - Nº Pólizas Corregidas Agente RRGG Anual','SM-E-GEN-Agente-NumeroPolizasCorregidas-RRGG-TotalAnual',TO_DATE('20180101','yyyymmdd'),TO_DATE('22000101','yyyymmdd'),'Version 20180116');</v>
      </c>
    </row>
    <row r="1204" spans="1:2" x14ac:dyDescent="0.25">
      <c r="A1204" t="str">
        <f>IF(REGLAS!J1205="OBSOLETO","","INSERT INTO INYCEXT.INYC_CONF_INF_REGLAS (COD_INFORME,TABLA,NOMBRE,REGLA,F_INICIO,F_FIN,DESCRIPCION) VALUES ("&amp;REGLAS!B1205&amp;",'"&amp;REGLAS!C1205&amp;"','"&amp;REGLAS!D1205&amp;"','"&amp;REGLAS!G1205&amp;"',TO_DATE('"&amp;REGLAS!H1205&amp;"','yyyymmdd'),TO_DATE('"&amp;REGLAS!I1205&amp;"','yyyymmdd'),'"&amp;REGLAS!J1205&amp;"');")</f>
        <v>INSERT INTO INYCEXT.INYC_CONF_INF_REGLAS (COD_INFORME,TABLA,NOMBRE,REGLA,F_INICIO,F_FIN,DESCRIPCION) VALUES (106.1,'INYC_PEPA_E_RESUMEN','SM - Nº Pólizas Corregidas Agente RRTT Anual','SM-E-GEN-Agente-NumeroPolizasCorregidas-Decesos-TotalAnual',TO_DATE('20180101','yyyymmdd'),TO_DATE('22000101','yyyymmdd'),'Version 20180116');</v>
      </c>
      <c r="B1204" t="str">
        <f>IF(REGLAS!J1205="OBSOLETO","","INSERT INTO INYCEXT.INYC_CONF_INF_REGLAS@tc_link (COD_INFORME,TABLA,NOMBRE,REGLA,F_INICIO,F_FIN,DESCRIPCION) VALUES ("&amp;REGLAS!B1205&amp;",'"&amp;REGLAS!C1205&amp;"','"&amp;REGLAS!D1205&amp;"','"&amp;REGLAS!G1205&amp;"',TO_DATE('"&amp;REGLAS!H1205&amp;"','yyyymmdd'),TO_DATE('"&amp;REGLAS!I1205&amp;"','yyyymmdd'),'"&amp;REGLAS!J1205&amp;"');")</f>
        <v>INSERT INTO INYCEXT.INYC_CONF_INF_REGLAS@tc_link (COD_INFORME,TABLA,NOMBRE,REGLA,F_INICIO,F_FIN,DESCRIPCION) VALUES (106.1,'INYC_PEPA_E_RESUMEN','SM - Nº Pólizas Corregidas Agente RRTT Anual','SM-E-GEN-Agente-NumeroPolizasCorregidas-Decesos-TotalAnual',TO_DATE('20180101','yyyymmdd'),TO_DATE('22000101','yyyymmdd'),'Version 20180116');</v>
      </c>
    </row>
    <row r="1205" spans="1:2" x14ac:dyDescent="0.25">
      <c r="A1205" t="str">
        <f>IF(REGLAS!J1206="OBSOLETO","","INSERT INTO INYCEXT.INYC_CONF_INF_REGLAS (COD_INFORME,TABLA,NOMBRE,REGLA,F_INICIO,F_FIN,DESCRIPCION) VALUES ("&amp;REGLAS!B1206&amp;",'"&amp;REGLAS!C1206&amp;"','"&amp;REGLAS!D1206&amp;"','"&amp;REGLAS!G1206&amp;"',TO_DATE('"&amp;REGLAS!H1206&amp;"','yyyymmdd'),TO_DATE('"&amp;REGLAS!I1206&amp;"','yyyymmdd'),'"&amp;REGLAS!J1206&amp;"');")</f>
        <v>INSERT INTO INYCEXT.INYC_CONF_INF_REGLAS (COD_INFORME,TABLA,NOMBRE,REGLA,F_INICIO,F_FIN,DESCRIPCION) VALUES (106.1,'INYC_PEPA_E_RESUMEN','SM - Nº Pólizas Corregidas Agente Prod. Prioritarios Anual','SM-E-GEN-Agente-NumeroPolizasCorregidas-ProdPrioritarios-TotalAnual',TO_DATE('20180101','yyyymmdd'),TO_DATE('22000101','yyyymmdd'),'Version 20180116');</v>
      </c>
      <c r="B1205" t="str">
        <f>IF(REGLAS!J1206="OBSOLETO","","INSERT INTO INYCEXT.INYC_CONF_INF_REGLAS@tc_link (COD_INFORME,TABLA,NOMBRE,REGLA,F_INICIO,F_FIN,DESCRIPCION) VALUES ("&amp;REGLAS!B1206&amp;",'"&amp;REGLAS!C1206&amp;"','"&amp;REGLAS!D1206&amp;"','"&amp;REGLAS!G1206&amp;"',TO_DATE('"&amp;REGLAS!H1206&amp;"','yyyymmdd'),TO_DATE('"&amp;REGLAS!I1206&amp;"','yyyymmdd'),'"&amp;REGLAS!J1206&amp;"');")</f>
        <v>INSERT INTO INYCEXT.INYC_CONF_INF_REGLAS@tc_link (COD_INFORME,TABLA,NOMBRE,REGLA,F_INICIO,F_FIN,DESCRIPCION) VALUES (106.1,'INYC_PEPA_E_RESUMEN','SM - Nº Pólizas Corregidas Agente Prod. Prioritarios Anual','SM-E-GEN-Agente-NumeroPolizasCorregidas-ProdPrioritarios-TotalAnual',TO_DATE('20180101','yyyymmdd'),TO_DATE('22000101','yyyymmdd'),'Version 20180116');</v>
      </c>
    </row>
    <row r="1206" spans="1:2" x14ac:dyDescent="0.25">
      <c r="A1206" t="str">
        <f>IF(REGLAS!J1207="OBSOLETO","","INSERT INTO INYCEXT.INYC_CONF_INF_REGLAS (COD_INFORME,TABLA,NOMBRE,REGLA,F_INICIO,F_FIN,DESCRIPCION) VALUES ("&amp;REGLAS!B1207&amp;",'"&amp;REGLAS!C1207&amp;"','"&amp;REGLAS!D1207&amp;"','"&amp;REGLAS!G1207&amp;"',TO_DATE('"&amp;REGLAS!H1207&amp;"','yyyymmdd'),TO_DATE('"&amp;REGLAS!I1207&amp;"','yyyymmdd'),'"&amp;REGLAS!J1207&amp;"');")</f>
        <v>INSERT INTO INYCEXT.INYC_CONF_INF_REGLAS (COD_INFORME,TABLA,NOMBRE,REGLA,F_INICIO,F_FIN,DESCRIPCION) VALUES (106.1,'INYC_PEPA_E_RESUMEN','SM - Nº Pólizas Corregidas Agente Otros Decesos Anual','SM-E-GEN-Agente-NumeroPolizasCorregidas-OtrosDecesos-TotalAnual',TO_DATE('20180101','yyyymmdd'),TO_DATE('22000101','yyyymmdd'),'Version 20180116');</v>
      </c>
      <c r="B1206" t="str">
        <f>IF(REGLAS!J1207="OBSOLETO","","INSERT INTO INYCEXT.INYC_CONF_INF_REGLAS@tc_link (COD_INFORME,TABLA,NOMBRE,REGLA,F_INICIO,F_FIN,DESCRIPCION) VALUES ("&amp;REGLAS!B1207&amp;",'"&amp;REGLAS!C1207&amp;"','"&amp;REGLAS!D1207&amp;"','"&amp;REGLAS!G1207&amp;"',TO_DATE('"&amp;REGLAS!H1207&amp;"','yyyymmdd'),TO_DATE('"&amp;REGLAS!I1207&amp;"','yyyymmdd'),'"&amp;REGLAS!J1207&amp;"');")</f>
        <v>INSERT INTO INYCEXT.INYC_CONF_INF_REGLAS@tc_link (COD_INFORME,TABLA,NOMBRE,REGLA,F_INICIO,F_FIN,DESCRIPCION) VALUES (106.1,'INYC_PEPA_E_RESUMEN','SM - Nº Pólizas Corregidas Agente Otros Decesos Anual','SM-E-GEN-Agente-NumeroPolizasCorregidas-OtrosDecesos-TotalAnual',TO_DATE('20180101','yyyymmdd'),TO_DATE('22000101','yyyymmdd'),'Version 20180116');</v>
      </c>
    </row>
    <row r="1207" spans="1:2" x14ac:dyDescent="0.25">
      <c r="A1207" t="str">
        <f>IF(REGLAS!J1208="OBSOLETO","","INSERT INTO INYCEXT.INYC_CONF_INF_REGLAS (COD_INFORME,TABLA,NOMBRE,REGLA,F_INICIO,F_FIN,DESCRIPCION) VALUES ("&amp;REGLAS!B1208&amp;",'"&amp;REGLAS!C1208&amp;"','"&amp;REGLAS!D1208&amp;"','"&amp;REGLAS!G1208&amp;"',TO_DATE('"&amp;REGLAS!H1208&amp;"','yyyymmdd'),TO_DATE('"&amp;REGLAS!I1208&amp;"','yyyymmdd'),'"&amp;REGLAS!J1208&amp;"');")</f>
        <v>INSERT INTO INYCEXT.INYC_CONF_INF_REGLAS (COD_INFORME,TABLA,NOMBRE,REGLA,F_INICIO,F_FIN,DESCRIPCION) VALUES (106.1,'INYC_PEPA_E_RESUMEN','SM - Nº Pólizas Corregidas Agente Total Productos Anual','SM-E-GEN-Agente-NumeroPolizasCorregidas-TotalProduccion-TotalAnual',TO_DATE('20180101','yyyymmdd'),TO_DATE('22000101','yyyymmdd'),'Version 20180116');</v>
      </c>
      <c r="B1207" t="str">
        <f>IF(REGLAS!J1208="OBSOLETO","","INSERT INTO INYCEXT.INYC_CONF_INF_REGLAS@tc_link (COD_INFORME,TABLA,NOMBRE,REGLA,F_INICIO,F_FIN,DESCRIPCION) VALUES ("&amp;REGLAS!B1208&amp;",'"&amp;REGLAS!C1208&amp;"','"&amp;REGLAS!D1208&amp;"','"&amp;REGLAS!G1208&amp;"',TO_DATE('"&amp;REGLAS!H1208&amp;"','yyyymmdd'),TO_DATE('"&amp;REGLAS!I1208&amp;"','yyyymmdd'),'"&amp;REGLAS!J1208&amp;"');")</f>
        <v>INSERT INTO INYCEXT.INYC_CONF_INF_REGLAS@tc_link (COD_INFORME,TABLA,NOMBRE,REGLA,F_INICIO,F_FIN,DESCRIPCION) VALUES (106.1,'INYC_PEPA_E_RESUMEN','SM - Nº Pólizas Corregidas Agente Total Productos Anual','SM-E-GEN-Agente-NumeroPolizasCorregidas-TotalProduccion-TotalAnual',TO_DATE('20180101','yyyymmdd'),TO_DATE('22000101','yyyymmdd'),'Version 20180116');</v>
      </c>
    </row>
    <row r="1208" spans="1:2" x14ac:dyDescent="0.25">
      <c r="A1208" t="str">
        <f>IF(REGLAS!J1209="OBSOLETO","","INSERT INTO INYCEXT.INYC_CONF_INF_REGLAS (COD_INFORME,TABLA,NOMBRE,REGLA,F_INICIO,F_FIN,DESCRIPCION) VALUES ("&amp;REGLAS!B1209&amp;",'"&amp;REGLAS!C1209&amp;"','"&amp;REGLAS!D1209&amp;"','"&amp;REGLAS!G1209&amp;"',TO_DATE('"&amp;REGLAS!H1209&amp;"','yyyymmdd'),TO_DATE('"&amp;REGLAS!I1209&amp;"','yyyymmdd'),'"&amp;REGLAS!J1209&amp;"');")</f>
        <v>INSERT INTO INYCEXT.INYC_CONF_INF_REGLAS (COD_INFORME,TABLA,NOMBRE,REGLA,F_INICIO,F_FIN,DESCRIPCION) VALUES (106.1,'INYC_PEPA_E_RESUMEN','SM - Prima Corregida Agente Accidentes Anual','SM-E-GEN-Agente-PrimaCorregida-Accidente-TotalAnual',TO_DATE('20180101','yyyymmdd'),TO_DATE('22000101','yyyymmdd'),'Version 20180116');</v>
      </c>
      <c r="B1208" t="str">
        <f>IF(REGLAS!J1209="OBSOLETO","","INSERT INTO INYCEXT.INYC_CONF_INF_REGLAS@tc_link (COD_INFORME,TABLA,NOMBRE,REGLA,F_INICIO,F_FIN,DESCRIPCION) VALUES ("&amp;REGLAS!B1209&amp;",'"&amp;REGLAS!C1209&amp;"','"&amp;REGLAS!D1209&amp;"','"&amp;REGLAS!G1209&amp;"',TO_DATE('"&amp;REGLAS!H1209&amp;"','yyyymmdd'),TO_DATE('"&amp;REGLAS!I1209&amp;"','yyyymmdd'),'"&amp;REGLAS!J1209&amp;"');")</f>
        <v>INSERT INTO INYCEXT.INYC_CONF_INF_REGLAS@tc_link (COD_INFORME,TABLA,NOMBRE,REGLA,F_INICIO,F_FIN,DESCRIPCION) VALUES (106.1,'INYC_PEPA_E_RESUMEN','SM - Prima Corregida Agente Accidentes Anual','SM-E-GEN-Agente-PrimaCorregida-Accidente-TotalAnual',TO_DATE('20180101','yyyymmdd'),TO_DATE('22000101','yyyymmdd'),'Version 20180116');</v>
      </c>
    </row>
    <row r="1209" spans="1:2" x14ac:dyDescent="0.25">
      <c r="A1209" t="str">
        <f>IF(REGLAS!J1210="OBSOLETO","","INSERT INTO INYCEXT.INYC_CONF_INF_REGLAS (COD_INFORME,TABLA,NOMBRE,REGLA,F_INICIO,F_FIN,DESCRIPCION) VALUES ("&amp;REGLAS!B1210&amp;",'"&amp;REGLAS!C1210&amp;"','"&amp;REGLAS!D1210&amp;"','"&amp;REGLAS!G1210&amp;"',TO_DATE('"&amp;REGLAS!H1210&amp;"','yyyymmdd'),TO_DATE('"&amp;REGLAS!I1210&amp;"','yyyymmdd'),'"&amp;REGLAS!J1210&amp;"');")</f>
        <v>INSERT INTO INYCEXT.INYC_CONF_INF_REGLAS (COD_INFORME,TABLA,NOMBRE,REGLA,F_INICIO,F_FIN,DESCRIPCION) VALUES (106.1,'INYC_PEPA_E_RESUMEN','SM - Prima Corregida Agente Hogar Anual','SM-E-GEN-Agente-PrimaCorregida-Hogar-TotalAnual',TO_DATE('20180101','yyyymmdd'),TO_DATE('22000101','yyyymmdd'),'Version 20180116');</v>
      </c>
      <c r="B1209" t="str">
        <f>IF(REGLAS!J1210="OBSOLETO","","INSERT INTO INYCEXT.INYC_CONF_INF_REGLAS@tc_link (COD_INFORME,TABLA,NOMBRE,REGLA,F_INICIO,F_FIN,DESCRIPCION) VALUES ("&amp;REGLAS!B1210&amp;",'"&amp;REGLAS!C1210&amp;"','"&amp;REGLAS!D1210&amp;"','"&amp;REGLAS!G1210&amp;"',TO_DATE('"&amp;REGLAS!H1210&amp;"','yyyymmdd'),TO_DATE('"&amp;REGLAS!I1210&amp;"','yyyymmdd'),'"&amp;REGLAS!J1210&amp;"');")</f>
        <v>INSERT INTO INYCEXT.INYC_CONF_INF_REGLAS@tc_link (COD_INFORME,TABLA,NOMBRE,REGLA,F_INICIO,F_FIN,DESCRIPCION) VALUES (106.1,'INYC_PEPA_E_RESUMEN','SM - Prima Corregida Agente Hogar Anual','SM-E-GEN-Agente-PrimaCorregida-Hogar-TotalAnual',TO_DATE('20180101','yyyymmdd'),TO_DATE('22000101','yyyymmdd'),'Version 20180116');</v>
      </c>
    </row>
    <row r="1210" spans="1:2" x14ac:dyDescent="0.25">
      <c r="A1210" t="str">
        <f>IF(REGLAS!J1211="OBSOLETO","","INSERT INTO INYCEXT.INYC_CONF_INF_REGLAS (COD_INFORME,TABLA,NOMBRE,REGLA,F_INICIO,F_FIN,DESCRIPCION) VALUES ("&amp;REGLAS!B1211&amp;",'"&amp;REGLAS!C1211&amp;"','"&amp;REGLAS!D1211&amp;"','"&amp;REGLAS!G1211&amp;"',TO_DATE('"&amp;REGLAS!H1211&amp;"','yyyymmdd'),TO_DATE('"&amp;REGLAS!I1211&amp;"','yyyymmdd'),'"&amp;REGLAS!J1211&amp;"');")</f>
        <v>INSERT INTO INYCEXT.INYC_CONF_INF_REGLAS (COD_INFORME,TABLA,NOMBRE,REGLA,F_INICIO,F_FIN,DESCRIPCION) VALUES (106.1,'INYC_PEPA_E_RESUMEN','SM - Prima Corregida Agente Comunidades Anual','SM-E-GEN-Agente-PrimaCorregida-Comunidades-TotalAnual',TO_DATE('20180101','yyyymmdd'),TO_DATE('22000101','yyyymmdd'),'Version 20180116');</v>
      </c>
      <c r="B1210" t="str">
        <f>IF(REGLAS!J1211="OBSOLETO","","INSERT INTO INYCEXT.INYC_CONF_INF_REGLAS@tc_link (COD_INFORME,TABLA,NOMBRE,REGLA,F_INICIO,F_FIN,DESCRIPCION) VALUES ("&amp;REGLAS!B1211&amp;",'"&amp;REGLAS!C1211&amp;"','"&amp;REGLAS!D1211&amp;"','"&amp;REGLAS!G1211&amp;"',TO_DATE('"&amp;REGLAS!H1211&amp;"','yyyymmdd'),TO_DATE('"&amp;REGLAS!I1211&amp;"','yyyymmdd'),'"&amp;REGLAS!J1211&amp;"');")</f>
        <v>INSERT INTO INYCEXT.INYC_CONF_INF_REGLAS@tc_link (COD_INFORME,TABLA,NOMBRE,REGLA,F_INICIO,F_FIN,DESCRIPCION) VALUES (106.1,'INYC_PEPA_E_RESUMEN','SM - Prima Corregida Agente Comunidades Anual','SM-E-GEN-Agente-PrimaCorregida-Comunidades-TotalAnual',TO_DATE('20180101','yyyymmdd'),TO_DATE('22000101','yyyymmdd'),'Version 20180116');</v>
      </c>
    </row>
    <row r="1211" spans="1:2" x14ac:dyDescent="0.25">
      <c r="A1211" t="str">
        <f>IF(REGLAS!J1212="OBSOLETO","","INSERT INTO INYCEXT.INYC_CONF_INF_REGLAS (COD_INFORME,TABLA,NOMBRE,REGLA,F_INICIO,F_FIN,DESCRIPCION) VALUES ("&amp;REGLAS!B1212&amp;",'"&amp;REGLAS!C1212&amp;"','"&amp;REGLAS!D1212&amp;"','"&amp;REGLAS!G1212&amp;"',TO_DATE('"&amp;REGLAS!H1212&amp;"','yyyymmdd'),TO_DATE('"&amp;REGLAS!I1212&amp;"','yyyymmdd'),'"&amp;REGLAS!J1212&amp;"');")</f>
        <v>INSERT INTO INYCEXT.INYC_CONF_INF_REGLAS (COD_INFORME,TABLA,NOMBRE,REGLA,F_INICIO,F_FIN,DESCRIPCION) VALUES (106.1,'INYC_PEPA_E_RESUMEN','SM - Prima Corregida Agente RRGG Anual','SM-E-GEN-Agente-PrimaCorregida-RRGG-TotalAnual',TO_DATE('20180101','yyyymmdd'),TO_DATE('22000101','yyyymmdd'),'Version 20180116');</v>
      </c>
      <c r="B1211" t="str">
        <f>IF(REGLAS!J1212="OBSOLETO","","INSERT INTO INYCEXT.INYC_CONF_INF_REGLAS@tc_link (COD_INFORME,TABLA,NOMBRE,REGLA,F_INICIO,F_FIN,DESCRIPCION) VALUES ("&amp;REGLAS!B1212&amp;",'"&amp;REGLAS!C1212&amp;"','"&amp;REGLAS!D1212&amp;"','"&amp;REGLAS!G1212&amp;"',TO_DATE('"&amp;REGLAS!H1212&amp;"','yyyymmdd'),TO_DATE('"&amp;REGLAS!I1212&amp;"','yyyymmdd'),'"&amp;REGLAS!J1212&amp;"');")</f>
        <v>INSERT INTO INYCEXT.INYC_CONF_INF_REGLAS@tc_link (COD_INFORME,TABLA,NOMBRE,REGLA,F_INICIO,F_FIN,DESCRIPCION) VALUES (106.1,'INYC_PEPA_E_RESUMEN','SM - Prima Corregida Agente RRGG Anual','SM-E-GEN-Agente-PrimaCorregida-RRGG-TotalAnual',TO_DATE('20180101','yyyymmdd'),TO_DATE('22000101','yyyymmdd'),'Version 20180116');</v>
      </c>
    </row>
    <row r="1212" spans="1:2" x14ac:dyDescent="0.25">
      <c r="A1212" t="str">
        <f>IF(REGLAS!J1213="OBSOLETO","","INSERT INTO INYCEXT.INYC_CONF_INF_REGLAS (COD_INFORME,TABLA,NOMBRE,REGLA,F_INICIO,F_FIN,DESCRIPCION) VALUES ("&amp;REGLAS!B1213&amp;",'"&amp;REGLAS!C1213&amp;"','"&amp;REGLAS!D1213&amp;"','"&amp;REGLAS!G1213&amp;"',TO_DATE('"&amp;REGLAS!H1213&amp;"','yyyymmdd'),TO_DATE('"&amp;REGLAS!I1213&amp;"','yyyymmdd'),'"&amp;REGLAS!J1213&amp;"');")</f>
        <v>INSERT INTO INYCEXT.INYC_CONF_INF_REGLAS (COD_INFORME,TABLA,NOMBRE,REGLA,F_INICIO,F_FIN,DESCRIPCION) VALUES (106.1,'INYC_PEPA_E_RESUMEN','SM - Prima Corregida Agente RRTT Anual','SM-E-GEN-Agente-PrimaCorregida-Decesos-TotalAnual',TO_DATE('20180101','yyyymmdd'),TO_DATE('22000101','yyyymmdd'),'Version 20180116');</v>
      </c>
      <c r="B1212" t="str">
        <f>IF(REGLAS!J1213="OBSOLETO","","INSERT INTO INYCEXT.INYC_CONF_INF_REGLAS@tc_link (COD_INFORME,TABLA,NOMBRE,REGLA,F_INICIO,F_FIN,DESCRIPCION) VALUES ("&amp;REGLAS!B1213&amp;",'"&amp;REGLAS!C1213&amp;"','"&amp;REGLAS!D1213&amp;"','"&amp;REGLAS!G1213&amp;"',TO_DATE('"&amp;REGLAS!H1213&amp;"','yyyymmdd'),TO_DATE('"&amp;REGLAS!I1213&amp;"','yyyymmdd'),'"&amp;REGLAS!J1213&amp;"');")</f>
        <v>INSERT INTO INYCEXT.INYC_CONF_INF_REGLAS@tc_link (COD_INFORME,TABLA,NOMBRE,REGLA,F_INICIO,F_FIN,DESCRIPCION) VALUES (106.1,'INYC_PEPA_E_RESUMEN','SM - Prima Corregida Agente RRTT Anual','SM-E-GEN-Agente-PrimaCorregida-Decesos-TotalAnual',TO_DATE('20180101','yyyymmdd'),TO_DATE('22000101','yyyymmdd'),'Version 20180116');</v>
      </c>
    </row>
    <row r="1213" spans="1:2" x14ac:dyDescent="0.25">
      <c r="A1213" t="str">
        <f>IF(REGLAS!J1214="OBSOLETO","","INSERT INTO INYCEXT.INYC_CONF_INF_REGLAS (COD_INFORME,TABLA,NOMBRE,REGLA,F_INICIO,F_FIN,DESCRIPCION) VALUES ("&amp;REGLAS!B1214&amp;",'"&amp;REGLAS!C1214&amp;"','"&amp;REGLAS!D1214&amp;"','"&amp;REGLAS!G1214&amp;"',TO_DATE('"&amp;REGLAS!H1214&amp;"','yyyymmdd'),TO_DATE('"&amp;REGLAS!I1214&amp;"','yyyymmdd'),'"&amp;REGLAS!J1214&amp;"');")</f>
        <v>INSERT INTO INYCEXT.INYC_CONF_INF_REGLAS (COD_INFORME,TABLA,NOMBRE,REGLA,F_INICIO,F_FIN,DESCRIPCION) VALUES (106.1,'INYC_PEPA_E_RESUMEN','SM - Prima Corregida Agente Prod. Prioritarios Anual','SM-E-GEN-Agente-PrimaCorregida-ProdPrioritarios-TotalAnual',TO_DATE('20180101','yyyymmdd'),TO_DATE('22000101','yyyymmdd'),'Version 20180116');</v>
      </c>
      <c r="B1213" t="str">
        <f>IF(REGLAS!J1214="OBSOLETO","","INSERT INTO INYCEXT.INYC_CONF_INF_REGLAS@tc_link (COD_INFORME,TABLA,NOMBRE,REGLA,F_INICIO,F_FIN,DESCRIPCION) VALUES ("&amp;REGLAS!B1214&amp;",'"&amp;REGLAS!C1214&amp;"','"&amp;REGLAS!D1214&amp;"','"&amp;REGLAS!G1214&amp;"',TO_DATE('"&amp;REGLAS!H1214&amp;"','yyyymmdd'),TO_DATE('"&amp;REGLAS!I1214&amp;"','yyyymmdd'),'"&amp;REGLAS!J1214&amp;"');")</f>
        <v>INSERT INTO INYCEXT.INYC_CONF_INF_REGLAS@tc_link (COD_INFORME,TABLA,NOMBRE,REGLA,F_INICIO,F_FIN,DESCRIPCION) VALUES (106.1,'INYC_PEPA_E_RESUMEN','SM - Prima Corregida Agente Prod. Prioritarios Anual','SM-E-GEN-Agente-PrimaCorregida-ProdPrioritarios-TotalAnual',TO_DATE('20180101','yyyymmdd'),TO_DATE('22000101','yyyymmdd'),'Version 20180116');</v>
      </c>
    </row>
    <row r="1214" spans="1:2" x14ac:dyDescent="0.25">
      <c r="A1214" t="str">
        <f>IF(REGLAS!J1215="OBSOLETO","","INSERT INTO INYCEXT.INYC_CONF_INF_REGLAS (COD_INFORME,TABLA,NOMBRE,REGLA,F_INICIO,F_FIN,DESCRIPCION) VALUES ("&amp;REGLAS!B1215&amp;",'"&amp;REGLAS!C1215&amp;"','"&amp;REGLAS!D1215&amp;"','"&amp;REGLAS!G1215&amp;"',TO_DATE('"&amp;REGLAS!H1215&amp;"','yyyymmdd'),TO_DATE('"&amp;REGLAS!I1215&amp;"','yyyymmdd'),'"&amp;REGLAS!J1215&amp;"');")</f>
        <v>INSERT INTO INYCEXT.INYC_CONF_INF_REGLAS (COD_INFORME,TABLA,NOMBRE,REGLA,F_INICIO,F_FIN,DESCRIPCION) VALUES (106.1,'INYC_PEPA_E_RESUMEN','SM - Prima Corregida Agente Otros Decesos Anual','SM-E-GEN-Agente-PrimaCorregida-OtrosDecesos-TotalAnual',TO_DATE('20180101','yyyymmdd'),TO_DATE('22000101','yyyymmdd'),'Version 20180116');</v>
      </c>
      <c r="B1214" t="str">
        <f>IF(REGLAS!J1215="OBSOLETO","","INSERT INTO INYCEXT.INYC_CONF_INF_REGLAS@tc_link (COD_INFORME,TABLA,NOMBRE,REGLA,F_INICIO,F_FIN,DESCRIPCION) VALUES ("&amp;REGLAS!B1215&amp;",'"&amp;REGLAS!C1215&amp;"','"&amp;REGLAS!D1215&amp;"','"&amp;REGLAS!G1215&amp;"',TO_DATE('"&amp;REGLAS!H1215&amp;"','yyyymmdd'),TO_DATE('"&amp;REGLAS!I1215&amp;"','yyyymmdd'),'"&amp;REGLAS!J1215&amp;"');")</f>
        <v>INSERT INTO INYCEXT.INYC_CONF_INF_REGLAS@tc_link (COD_INFORME,TABLA,NOMBRE,REGLA,F_INICIO,F_FIN,DESCRIPCION) VALUES (106.1,'INYC_PEPA_E_RESUMEN','SM - Prima Corregida Agente Otros Decesos Anual','SM-E-GEN-Agente-PrimaCorregida-OtrosDecesos-TotalAnual',TO_DATE('20180101','yyyymmdd'),TO_DATE('22000101','yyyymmdd'),'Version 20180116');</v>
      </c>
    </row>
    <row r="1215" spans="1:2" x14ac:dyDescent="0.25">
      <c r="A1215" t="str">
        <f>IF(REGLAS!J1216="OBSOLETO","","INSERT INTO INYCEXT.INYC_CONF_INF_REGLAS (COD_INFORME,TABLA,NOMBRE,REGLA,F_INICIO,F_FIN,DESCRIPCION) VALUES ("&amp;REGLAS!B1216&amp;",'"&amp;REGLAS!C1216&amp;"','"&amp;REGLAS!D1216&amp;"','"&amp;REGLAS!G1216&amp;"',TO_DATE('"&amp;REGLAS!H1216&amp;"','yyyymmdd'),TO_DATE('"&amp;REGLAS!I1216&amp;"','yyyymmdd'),'"&amp;REGLAS!J1216&amp;"');")</f>
        <v>INSERT INTO INYCEXT.INYC_CONF_INF_REGLAS (COD_INFORME,TABLA,NOMBRE,REGLA,F_INICIO,F_FIN,DESCRIPCION) VALUES (106.1,'INYC_PEPA_E_RESUMEN','SM - Prima Corregida Agente Total Productos Anual','SM-E-GEN-Agente-PrimaCorregida-TotalProduccion-TotalAnual',TO_DATE('20180101','yyyymmdd'),TO_DATE('22000101','yyyymmdd'),'Version 20180116');</v>
      </c>
      <c r="B1215" t="str">
        <f>IF(REGLAS!J1216="OBSOLETO","","INSERT INTO INYCEXT.INYC_CONF_INF_REGLAS@tc_link (COD_INFORME,TABLA,NOMBRE,REGLA,F_INICIO,F_FIN,DESCRIPCION) VALUES ("&amp;REGLAS!B1216&amp;",'"&amp;REGLAS!C1216&amp;"','"&amp;REGLAS!D1216&amp;"','"&amp;REGLAS!G1216&amp;"',TO_DATE('"&amp;REGLAS!H1216&amp;"','yyyymmdd'),TO_DATE('"&amp;REGLAS!I1216&amp;"','yyyymmdd'),'"&amp;REGLAS!J1216&amp;"');")</f>
        <v>INSERT INTO INYCEXT.INYC_CONF_INF_REGLAS@tc_link (COD_INFORME,TABLA,NOMBRE,REGLA,F_INICIO,F_FIN,DESCRIPCION) VALUES (106.1,'INYC_PEPA_E_RESUMEN','SM - Prima Corregida Agente Total Productos Anual','SM-E-GEN-Agente-PrimaCorregida-TotalProduccion-TotalAnual',TO_DATE('20180101','yyyymmdd'),TO_DATE('22000101','yyyymmdd'),'Version 20180116');</v>
      </c>
    </row>
    <row r="1216" spans="1:2" x14ac:dyDescent="0.25">
      <c r="A1216" t="str">
        <f>IF(REGLAS!J1217="OBSOLETO","","INSERT INTO INYCEXT.INYC_CONF_INF_REGLAS (COD_INFORME,TABLA,NOMBRE,REGLA,F_INICIO,F_FIN,DESCRIPCION) VALUES ("&amp;REGLAS!B1217&amp;",'"&amp;REGLAS!C1217&amp;"','"&amp;REGLAS!D1217&amp;"','"&amp;REGLAS!G1217&amp;"',TO_DATE('"&amp;REGLAS!H1217&amp;"','yyyymmdd'),TO_DATE('"&amp;REGLAS!I1217&amp;"','yyyymmdd'),'"&amp;REGLAS!J1217&amp;"');")</f>
        <v>INSERT INTO INYCEXT.INYC_CONF_INF_REGLAS (COD_INFORME,TABLA,NOMBRE,REGLA,F_INICIO,F_FIN,DESCRIPCION) VALUES (106.2,'INYC_PEPA_E_DETALLE','Polizas','DC-E-GEN-Agente-NumeroPolizas-998',TO_DATE('20140101','yyyymmdd'),TO_DATE('22000101','yyyymmdd'),'Version 20180118');</v>
      </c>
      <c r="B1216" t="str">
        <f>IF(REGLAS!J1217="OBSOLETO","","INSERT INTO INYCEXT.INYC_CONF_INF_REGLAS@tc_link (COD_INFORME,TABLA,NOMBRE,REGLA,F_INICIO,F_FIN,DESCRIPCION) VALUES ("&amp;REGLAS!B1217&amp;",'"&amp;REGLAS!C1217&amp;"','"&amp;REGLAS!D1217&amp;"','"&amp;REGLAS!G1217&amp;"',TO_DATE('"&amp;REGLAS!H1217&amp;"','yyyymmdd'),TO_DATE('"&amp;REGLAS!I1217&amp;"','yyyymmdd'),'"&amp;REGLAS!J1217&amp;"');")</f>
        <v>INSERT INTO INYCEXT.INYC_CONF_INF_REGLAS@tc_link (COD_INFORME,TABLA,NOMBRE,REGLA,F_INICIO,F_FIN,DESCRIPCION) VALUES (106.2,'INYC_PEPA_E_DETALLE','Polizas','DC-E-GEN-Agente-NumeroPolizas-998',TO_DATE('20140101','yyyymmdd'),TO_DATE('22000101','yyyymmdd'),'Version 20180118');</v>
      </c>
    </row>
    <row r="1217" spans="1:2" x14ac:dyDescent="0.25">
      <c r="A1217" t="str">
        <f>IF(REGLAS!J1218="OBSOLETO","","INSERT INTO INYCEXT.INYC_CONF_INF_REGLAS (COD_INFORME,TABLA,NOMBRE,REGLA,F_INICIO,F_FIN,DESCRIPCION) VALUES ("&amp;REGLAS!B1218&amp;",'"&amp;REGLAS!C1218&amp;"','"&amp;REGLAS!D1218&amp;"','"&amp;REGLAS!G1218&amp;"',TO_DATE('"&amp;REGLAS!H1218&amp;"','yyyymmdd'),TO_DATE('"&amp;REGLAS!I1218&amp;"','yyyymmdd'),'"&amp;REGLAS!J1218&amp;"');")</f>
        <v>INSERT INTO INYCEXT.INYC_CONF_INF_REGLAS (COD_INFORME,TABLA,NOMBRE,REGLA,F_INICIO,F_FIN,DESCRIPCION) VALUES (106.2,'INYC_PEPA_E_DETALLE','Primas Corregidas','DC-E-GEN-Agente-PrimaCorregida-998',TO_DATE('20140101','yyyymmdd'),TO_DATE('22000101','yyyymmdd'),'Version 20180118');</v>
      </c>
      <c r="B1217" t="str">
        <f>IF(REGLAS!J1218="OBSOLETO","","INSERT INTO INYCEXT.INYC_CONF_INF_REGLAS@tc_link (COD_INFORME,TABLA,NOMBRE,REGLA,F_INICIO,F_FIN,DESCRIPCION) VALUES ("&amp;REGLAS!B1218&amp;",'"&amp;REGLAS!C1218&amp;"','"&amp;REGLAS!D1218&amp;"','"&amp;REGLAS!G1218&amp;"',TO_DATE('"&amp;REGLAS!H1218&amp;"','yyyymmdd'),TO_DATE('"&amp;REGLAS!I1218&amp;"','yyyymmdd'),'"&amp;REGLAS!J1218&amp;"');")</f>
        <v>INSERT INTO INYCEXT.INYC_CONF_INF_REGLAS@tc_link (COD_INFORME,TABLA,NOMBRE,REGLA,F_INICIO,F_FIN,DESCRIPCION) VALUES (106.2,'INYC_PEPA_E_DETALLE','Primas Corregidas','DC-E-GEN-Agente-PrimaCorregida-998',TO_DATE('20140101','yyyymmdd'),TO_DATE('22000101','yyyymmdd'),'Version 20180118');</v>
      </c>
    </row>
    <row r="1218" spans="1:2" x14ac:dyDescent="0.25">
      <c r="A1218" t="str">
        <f>IF(REGLAS!J1219="OBSOLETO","","INSERT INTO INYCEXT.INYC_CONF_INF_REGLAS (COD_INFORME,TABLA,NOMBRE,REGLA,F_INICIO,F_FIN,DESCRIPCION) VALUES ("&amp;REGLAS!B1219&amp;",'"&amp;REGLAS!C1219&amp;"','"&amp;REGLAS!D1219&amp;"','"&amp;REGLAS!G1219&amp;"',TO_DATE('"&amp;REGLAS!H1219&amp;"','yyyymmdd'),TO_DATE('"&amp;REGLAS!I1219&amp;"','yyyymmdd'),'"&amp;REGLAS!J1219&amp;"');")</f>
        <v>INSERT INTO INYCEXT.INYC_CONF_INF_REGLAS (COD_INFORME,TABLA,NOMBRE,REGLA,F_INICIO,F_FIN,DESCRIPCION) VALUES (107.1,'INYC_PEPI_E_RESUMEN','Polizas','SM-E-GEN-Inspector-NumeroPolizas-001-TotalMes',TO_DATE('20140101','yyyymmdd'),TO_DATE('20180101','yyyymmdd'),'Version 20180116');</v>
      </c>
      <c r="B1218" t="str">
        <f>IF(REGLAS!J1219="OBSOLETO","","INSERT INTO INYCEXT.INYC_CONF_INF_REGLAS@tc_link (COD_INFORME,TABLA,NOMBRE,REGLA,F_INICIO,F_FIN,DESCRIPCION) VALUES ("&amp;REGLAS!B1219&amp;",'"&amp;REGLAS!C1219&amp;"','"&amp;REGLAS!D1219&amp;"','"&amp;REGLAS!G1219&amp;"',TO_DATE('"&amp;REGLAS!H1219&amp;"','yyyymmdd'),TO_DATE('"&amp;REGLAS!I1219&amp;"','yyyymmdd'),'"&amp;REGLAS!J1219&amp;"');")</f>
        <v>INSERT INTO INYCEXT.INYC_CONF_INF_REGLAS@tc_link (COD_INFORME,TABLA,NOMBRE,REGLA,F_INICIO,F_FIN,DESCRIPCION) VALUES (107.1,'INYC_PEPI_E_RESUMEN','Polizas','SM-E-GEN-Inspector-NumeroPolizas-001-TotalMes',TO_DATE('20140101','yyyymmdd'),TO_DATE('20180101','yyyymmdd'),'Version 20180116');</v>
      </c>
    </row>
    <row r="1219" spans="1:2" x14ac:dyDescent="0.25">
      <c r="A1219" t="str">
        <f>IF(REGLAS!J1220="OBSOLETO","","INSERT INTO INYCEXT.INYC_CONF_INF_REGLAS (COD_INFORME,TABLA,NOMBRE,REGLA,F_INICIO,F_FIN,DESCRIPCION) VALUES ("&amp;REGLAS!B1220&amp;",'"&amp;REGLAS!C1220&amp;"','"&amp;REGLAS!D1220&amp;"','"&amp;REGLAS!G1220&amp;"',TO_DATE('"&amp;REGLAS!H1220&amp;"','yyyymmdd'),TO_DATE('"&amp;REGLAS!I1220&amp;"','yyyymmdd'),'"&amp;REGLAS!J1220&amp;"');")</f>
        <v>INSERT INTO INYCEXT.INYC_CONF_INF_REGLAS (COD_INFORME,TABLA,NOMBRE,REGLA,F_INICIO,F_FIN,DESCRIPCION) VALUES (107.1,'INYC_PEPI_E_RESUMEN','Polizas','SM-E-GEN-Inspector-NumeroPolizas-003-TotalMes',TO_DATE('20140101','yyyymmdd'),TO_DATE('20180101','yyyymmdd'),'Version 20180116');</v>
      </c>
      <c r="B1219" t="str">
        <f>IF(REGLAS!J1220="OBSOLETO","","INSERT INTO INYCEXT.INYC_CONF_INF_REGLAS@tc_link (COD_INFORME,TABLA,NOMBRE,REGLA,F_INICIO,F_FIN,DESCRIPCION) VALUES ("&amp;REGLAS!B1220&amp;",'"&amp;REGLAS!C1220&amp;"','"&amp;REGLAS!D1220&amp;"','"&amp;REGLAS!G1220&amp;"',TO_DATE('"&amp;REGLAS!H1220&amp;"','yyyymmdd'),TO_DATE('"&amp;REGLAS!I1220&amp;"','yyyymmdd'),'"&amp;REGLAS!J1220&amp;"');")</f>
        <v>INSERT INTO INYCEXT.INYC_CONF_INF_REGLAS@tc_link (COD_INFORME,TABLA,NOMBRE,REGLA,F_INICIO,F_FIN,DESCRIPCION) VALUES (107.1,'INYC_PEPI_E_RESUMEN','Polizas','SM-E-GEN-Inspector-NumeroPolizas-003-TotalMes',TO_DATE('20140101','yyyymmdd'),TO_DATE('20180101','yyyymmdd'),'Version 20180116');</v>
      </c>
    </row>
    <row r="1220" spans="1:2" x14ac:dyDescent="0.25">
      <c r="A1220" t="str">
        <f>IF(REGLAS!J1221="OBSOLETO","","INSERT INTO INYCEXT.INYC_CONF_INF_REGLAS (COD_INFORME,TABLA,NOMBRE,REGLA,F_INICIO,F_FIN,DESCRIPCION) VALUES ("&amp;REGLAS!B1221&amp;",'"&amp;REGLAS!C1221&amp;"','"&amp;REGLAS!D1221&amp;"','"&amp;REGLAS!G1221&amp;"',TO_DATE('"&amp;REGLAS!H1221&amp;"','yyyymmdd'),TO_DATE('"&amp;REGLAS!I1221&amp;"','yyyymmdd'),'"&amp;REGLAS!J1221&amp;"');")</f>
        <v>INSERT INTO INYCEXT.INYC_CONF_INF_REGLAS (COD_INFORME,TABLA,NOMBRE,REGLA,F_INICIO,F_FIN,DESCRIPCION) VALUES (107.1,'INYC_PEPI_E_RESUMEN','Polizas','SM-E-GEN-Inspector-NumeroPolizas-998-TotalMes',TO_DATE('20140101','yyyymmdd'),TO_DATE('20180101','yyyymmdd'),'Version 20180116');</v>
      </c>
      <c r="B1220" t="str">
        <f>IF(REGLAS!J1221="OBSOLETO","","INSERT INTO INYCEXT.INYC_CONF_INF_REGLAS@tc_link (COD_INFORME,TABLA,NOMBRE,REGLA,F_INICIO,F_FIN,DESCRIPCION) VALUES ("&amp;REGLAS!B1221&amp;",'"&amp;REGLAS!C1221&amp;"','"&amp;REGLAS!D1221&amp;"','"&amp;REGLAS!G1221&amp;"',TO_DATE('"&amp;REGLAS!H1221&amp;"','yyyymmdd'),TO_DATE('"&amp;REGLAS!I1221&amp;"','yyyymmdd'),'"&amp;REGLAS!J1221&amp;"');")</f>
        <v>INSERT INTO INYCEXT.INYC_CONF_INF_REGLAS@tc_link (COD_INFORME,TABLA,NOMBRE,REGLA,F_INICIO,F_FIN,DESCRIPCION) VALUES (107.1,'INYC_PEPI_E_RESUMEN','Polizas','SM-E-GEN-Inspector-NumeroPolizas-998-TotalMes',TO_DATE('20140101','yyyymmdd'),TO_DATE('20180101','yyyymmdd'),'Version 20180116');</v>
      </c>
    </row>
    <row r="1221" spans="1:2" x14ac:dyDescent="0.25">
      <c r="A1221" t="str">
        <f>IF(REGLAS!J1222="OBSOLETO","","INSERT INTO INYCEXT.INYC_CONF_INF_REGLAS (COD_INFORME,TABLA,NOMBRE,REGLA,F_INICIO,F_FIN,DESCRIPCION) VALUES ("&amp;REGLAS!B1222&amp;",'"&amp;REGLAS!C1222&amp;"','"&amp;REGLAS!D1222&amp;"','"&amp;REGLAS!G1222&amp;"',TO_DATE('"&amp;REGLAS!H1222&amp;"','yyyymmdd'),TO_DATE('"&amp;REGLAS!I1222&amp;"','yyyymmdd'),'"&amp;REGLAS!J1222&amp;"');")</f>
        <v>INSERT INTO INYCEXT.INYC_CONF_INF_REGLAS (COD_INFORME,TABLA,NOMBRE,REGLA,F_INICIO,F_FIN,DESCRIPCION) VALUES (107.1,'INYC_PEPI_E_RESUMEN','Primas','SM-E-GEN-Inspector-Prima-001-TotalMes',TO_DATE('20140101','yyyymmdd'),TO_DATE('20180101','yyyymmdd'),'Version 20180116');</v>
      </c>
      <c r="B1221" t="str">
        <f>IF(REGLAS!J1222="OBSOLETO","","INSERT INTO INYCEXT.INYC_CONF_INF_REGLAS@tc_link (COD_INFORME,TABLA,NOMBRE,REGLA,F_INICIO,F_FIN,DESCRIPCION) VALUES ("&amp;REGLAS!B1222&amp;",'"&amp;REGLAS!C1222&amp;"','"&amp;REGLAS!D1222&amp;"','"&amp;REGLAS!G1222&amp;"',TO_DATE('"&amp;REGLAS!H1222&amp;"','yyyymmdd'),TO_DATE('"&amp;REGLAS!I1222&amp;"','yyyymmdd'),'"&amp;REGLAS!J1222&amp;"');")</f>
        <v>INSERT INTO INYCEXT.INYC_CONF_INF_REGLAS@tc_link (COD_INFORME,TABLA,NOMBRE,REGLA,F_INICIO,F_FIN,DESCRIPCION) VALUES (107.1,'INYC_PEPI_E_RESUMEN','Primas','SM-E-GEN-Inspector-Prima-001-TotalMes',TO_DATE('20140101','yyyymmdd'),TO_DATE('20180101','yyyymmdd'),'Version 20180116');</v>
      </c>
    </row>
    <row r="1222" spans="1:2" x14ac:dyDescent="0.25">
      <c r="A1222" t="str">
        <f>IF(REGLAS!J1223="OBSOLETO","","INSERT INTO INYCEXT.INYC_CONF_INF_REGLAS (COD_INFORME,TABLA,NOMBRE,REGLA,F_INICIO,F_FIN,DESCRIPCION) VALUES ("&amp;REGLAS!B1223&amp;",'"&amp;REGLAS!C1223&amp;"','"&amp;REGLAS!D1223&amp;"','"&amp;REGLAS!G1223&amp;"',TO_DATE('"&amp;REGLAS!H1223&amp;"','yyyymmdd'),TO_DATE('"&amp;REGLAS!I1223&amp;"','yyyymmdd'),'"&amp;REGLAS!J1223&amp;"');")</f>
        <v>INSERT INTO INYCEXT.INYC_CONF_INF_REGLAS (COD_INFORME,TABLA,NOMBRE,REGLA,F_INICIO,F_FIN,DESCRIPCION) VALUES (107.1,'INYC_PEPI_E_RESUMEN','Primas','SM-E-GEN-Inspector-Prima-003-TotalMes',TO_DATE('20140101','yyyymmdd'),TO_DATE('20180101','yyyymmdd'),'Version 20180116');</v>
      </c>
      <c r="B1222" t="str">
        <f>IF(REGLAS!J1223="OBSOLETO","","INSERT INTO INYCEXT.INYC_CONF_INF_REGLAS@tc_link (COD_INFORME,TABLA,NOMBRE,REGLA,F_INICIO,F_FIN,DESCRIPCION) VALUES ("&amp;REGLAS!B1223&amp;",'"&amp;REGLAS!C1223&amp;"','"&amp;REGLAS!D1223&amp;"','"&amp;REGLAS!G1223&amp;"',TO_DATE('"&amp;REGLAS!H1223&amp;"','yyyymmdd'),TO_DATE('"&amp;REGLAS!I1223&amp;"','yyyymmdd'),'"&amp;REGLAS!J1223&amp;"');")</f>
        <v>INSERT INTO INYCEXT.INYC_CONF_INF_REGLAS@tc_link (COD_INFORME,TABLA,NOMBRE,REGLA,F_INICIO,F_FIN,DESCRIPCION) VALUES (107.1,'INYC_PEPI_E_RESUMEN','Primas','SM-E-GEN-Inspector-Prima-003-TotalMes',TO_DATE('20140101','yyyymmdd'),TO_DATE('20180101','yyyymmdd'),'Version 20180116');</v>
      </c>
    </row>
    <row r="1223" spans="1:2" x14ac:dyDescent="0.25">
      <c r="A1223" t="str">
        <f>IF(REGLAS!J1224="OBSOLETO","","INSERT INTO INYCEXT.INYC_CONF_INF_REGLAS (COD_INFORME,TABLA,NOMBRE,REGLA,F_INICIO,F_FIN,DESCRIPCION) VALUES ("&amp;REGLAS!B1224&amp;",'"&amp;REGLAS!C1224&amp;"','"&amp;REGLAS!D1224&amp;"','"&amp;REGLAS!G1224&amp;"',TO_DATE('"&amp;REGLAS!H1224&amp;"','yyyymmdd'),TO_DATE('"&amp;REGLAS!I1224&amp;"','yyyymmdd'),'"&amp;REGLAS!J1224&amp;"');")</f>
        <v>INSERT INTO INYCEXT.INYC_CONF_INF_REGLAS (COD_INFORME,TABLA,NOMBRE,REGLA,F_INICIO,F_FIN,DESCRIPCION) VALUES (107.1,'INYC_PEPI_E_RESUMEN','Primas','SM-E-GEN-Inspector-Prima-998-TotalMes',TO_DATE('20140101','yyyymmdd'),TO_DATE('20180101','yyyymmdd'),'Version 20180116');</v>
      </c>
      <c r="B1223" t="str">
        <f>IF(REGLAS!J1224="OBSOLETO","","INSERT INTO INYCEXT.INYC_CONF_INF_REGLAS@tc_link (COD_INFORME,TABLA,NOMBRE,REGLA,F_INICIO,F_FIN,DESCRIPCION) VALUES ("&amp;REGLAS!B1224&amp;",'"&amp;REGLAS!C1224&amp;"','"&amp;REGLAS!D1224&amp;"','"&amp;REGLAS!G1224&amp;"',TO_DATE('"&amp;REGLAS!H1224&amp;"','yyyymmdd'),TO_DATE('"&amp;REGLAS!I1224&amp;"','yyyymmdd'),'"&amp;REGLAS!J1224&amp;"');")</f>
        <v>INSERT INTO INYCEXT.INYC_CONF_INF_REGLAS@tc_link (COD_INFORME,TABLA,NOMBRE,REGLA,F_INICIO,F_FIN,DESCRIPCION) VALUES (107.1,'INYC_PEPI_E_RESUMEN','Primas','SM-E-GEN-Inspector-Prima-998-TotalMes',TO_DATE('20140101','yyyymmdd'),TO_DATE('20180101','yyyymmdd'),'Version 20180116');</v>
      </c>
    </row>
    <row r="1224" spans="1:2" x14ac:dyDescent="0.25">
      <c r="A1224" t="str">
        <f>IF(REGLAS!J1225="OBSOLETO","","INSERT INTO INYCEXT.INYC_CONF_INF_REGLAS (COD_INFORME,TABLA,NOMBRE,REGLA,F_INICIO,F_FIN,DESCRIPCION) VALUES ("&amp;REGLAS!B1225&amp;",'"&amp;REGLAS!C1225&amp;"','"&amp;REGLAS!D1225&amp;"','"&amp;REGLAS!G1225&amp;"',TO_DATE('"&amp;REGLAS!H1225&amp;"','yyyymmdd'),TO_DATE('"&amp;REGLAS!I1225&amp;"','yyyymmdd'),'"&amp;REGLAS!J1225&amp;"');")</f>
        <v>INSERT INTO INYCEXT.INYC_CONF_INF_REGLAS (COD_INFORME,TABLA,NOMBRE,REGLA,F_INICIO,F_FIN,DESCRIPCION) VALUES (107.1,'INYC_PEPI_E_RESUMEN','Primas Corregidas','SM-E-GEN-Inspector-PrimaCorregida-001-TotalMes',TO_DATE('20140101','yyyymmdd'),TO_DATE('20180101','yyyymmdd'),'Version 20180116');</v>
      </c>
      <c r="B1224" t="str">
        <f>IF(REGLAS!J1225="OBSOLETO","","INSERT INTO INYCEXT.INYC_CONF_INF_REGLAS@tc_link (COD_INFORME,TABLA,NOMBRE,REGLA,F_INICIO,F_FIN,DESCRIPCION) VALUES ("&amp;REGLAS!B1225&amp;",'"&amp;REGLAS!C1225&amp;"','"&amp;REGLAS!D1225&amp;"','"&amp;REGLAS!G1225&amp;"',TO_DATE('"&amp;REGLAS!H1225&amp;"','yyyymmdd'),TO_DATE('"&amp;REGLAS!I1225&amp;"','yyyymmdd'),'"&amp;REGLAS!J1225&amp;"');")</f>
        <v>INSERT INTO INYCEXT.INYC_CONF_INF_REGLAS@tc_link (COD_INFORME,TABLA,NOMBRE,REGLA,F_INICIO,F_FIN,DESCRIPCION) VALUES (107.1,'INYC_PEPI_E_RESUMEN','Primas Corregidas','SM-E-GEN-Inspector-PrimaCorregida-001-TotalMes',TO_DATE('20140101','yyyymmdd'),TO_DATE('20180101','yyyymmdd'),'Version 20180116');</v>
      </c>
    </row>
    <row r="1225" spans="1:2" x14ac:dyDescent="0.25">
      <c r="A1225" t="str">
        <f>IF(REGLAS!J1226="OBSOLETO","","INSERT INTO INYCEXT.INYC_CONF_INF_REGLAS (COD_INFORME,TABLA,NOMBRE,REGLA,F_INICIO,F_FIN,DESCRIPCION) VALUES ("&amp;REGLAS!B1226&amp;",'"&amp;REGLAS!C1226&amp;"','"&amp;REGLAS!D1226&amp;"','"&amp;REGLAS!G1226&amp;"',TO_DATE('"&amp;REGLAS!H1226&amp;"','yyyymmdd'),TO_DATE('"&amp;REGLAS!I1226&amp;"','yyyymmdd'),'"&amp;REGLAS!J1226&amp;"');")</f>
        <v>INSERT INTO INYCEXT.INYC_CONF_INF_REGLAS (COD_INFORME,TABLA,NOMBRE,REGLA,F_INICIO,F_FIN,DESCRIPCION) VALUES (107.1,'INYC_PEPI_E_RESUMEN','Primas Corregidas','SM-E-GEN-Inspector-PrimaCorregida-003-TotalMes',TO_DATE('20140101','yyyymmdd'),TO_DATE('20180101','yyyymmdd'),'Version 20180116');</v>
      </c>
      <c r="B1225" t="str">
        <f>IF(REGLAS!J1226="OBSOLETO","","INSERT INTO INYCEXT.INYC_CONF_INF_REGLAS@tc_link (COD_INFORME,TABLA,NOMBRE,REGLA,F_INICIO,F_FIN,DESCRIPCION) VALUES ("&amp;REGLAS!B1226&amp;",'"&amp;REGLAS!C1226&amp;"','"&amp;REGLAS!D1226&amp;"','"&amp;REGLAS!G1226&amp;"',TO_DATE('"&amp;REGLAS!H1226&amp;"','yyyymmdd'),TO_DATE('"&amp;REGLAS!I1226&amp;"','yyyymmdd'),'"&amp;REGLAS!J1226&amp;"');")</f>
        <v>INSERT INTO INYCEXT.INYC_CONF_INF_REGLAS@tc_link (COD_INFORME,TABLA,NOMBRE,REGLA,F_INICIO,F_FIN,DESCRIPCION) VALUES (107.1,'INYC_PEPI_E_RESUMEN','Primas Corregidas','SM-E-GEN-Inspector-PrimaCorregida-003-TotalMes',TO_DATE('20140101','yyyymmdd'),TO_DATE('20180101','yyyymmdd'),'Version 20180116');</v>
      </c>
    </row>
    <row r="1226" spans="1:2" x14ac:dyDescent="0.25">
      <c r="A1226" t="str">
        <f>IF(REGLAS!J1227="OBSOLETO","","INSERT INTO INYCEXT.INYC_CONF_INF_REGLAS (COD_INFORME,TABLA,NOMBRE,REGLA,F_INICIO,F_FIN,DESCRIPCION) VALUES ("&amp;REGLAS!B1227&amp;",'"&amp;REGLAS!C1227&amp;"','"&amp;REGLAS!D1227&amp;"','"&amp;REGLAS!G1227&amp;"',TO_DATE('"&amp;REGLAS!H1227&amp;"','yyyymmdd'),TO_DATE('"&amp;REGLAS!I1227&amp;"','yyyymmdd'),'"&amp;REGLAS!J1227&amp;"');")</f>
        <v>INSERT INTO INYCEXT.INYC_CONF_INF_REGLAS (COD_INFORME,TABLA,NOMBRE,REGLA,F_INICIO,F_FIN,DESCRIPCION) VALUES (107.1,'INYC_PEPI_E_RESUMEN','Primas Corregidas','SM-E-GEN-Inspector-PrimaCorregida-998-TotalMes',TO_DATE('20140101','yyyymmdd'),TO_DATE('20180101','yyyymmdd'),'Version 20180116');</v>
      </c>
      <c r="B1226" t="str">
        <f>IF(REGLAS!J1227="OBSOLETO","","INSERT INTO INYCEXT.INYC_CONF_INF_REGLAS@tc_link (COD_INFORME,TABLA,NOMBRE,REGLA,F_INICIO,F_FIN,DESCRIPCION) VALUES ("&amp;REGLAS!B1227&amp;",'"&amp;REGLAS!C1227&amp;"','"&amp;REGLAS!D1227&amp;"','"&amp;REGLAS!G1227&amp;"',TO_DATE('"&amp;REGLAS!H1227&amp;"','yyyymmdd'),TO_DATE('"&amp;REGLAS!I1227&amp;"','yyyymmdd'),'"&amp;REGLAS!J1227&amp;"');")</f>
        <v>INSERT INTO INYCEXT.INYC_CONF_INF_REGLAS@tc_link (COD_INFORME,TABLA,NOMBRE,REGLA,F_INICIO,F_FIN,DESCRIPCION) VALUES (107.1,'INYC_PEPI_E_RESUMEN','Primas Corregidas','SM-E-GEN-Inspector-PrimaCorregida-998-TotalMes',TO_DATE('20140101','yyyymmdd'),TO_DATE('20180101','yyyymmdd'),'Version 20180116');</v>
      </c>
    </row>
    <row r="1227" spans="1:2" x14ac:dyDescent="0.25">
      <c r="A1227" t="str">
        <f>IF(REGLAS!J1228="OBSOLETO","","INSERT INTO INYCEXT.INYC_CONF_INF_REGLAS (COD_INFORME,TABLA,NOMBRE,REGLA,F_INICIO,F_FIN,DESCRIPCION) VALUES ("&amp;REGLAS!B1228&amp;",'"&amp;REGLAS!C1228&amp;"','"&amp;REGLAS!D1228&amp;"','"&amp;REGLAS!G1228&amp;"',TO_DATE('"&amp;REGLAS!H1228&amp;"','yyyymmdd'),TO_DATE('"&amp;REGLAS!I1228&amp;"','yyyymmdd'),'"&amp;REGLAS!J1228&amp;"');")</f>
        <v>INSERT INTO INYCEXT.INYC_CONF_INF_REGLAS (COD_INFORME,TABLA,NOMBRE,REGLA,F_INICIO,F_FIN,DESCRIPCION) VALUES (107.1,'INYC_PEPI_E_RESUMEN','Acumulado Polizas','SM-E-GEN-Inspector-NumeroPolizas-001-TotalAnual',TO_DATE('20140101','yyyymmdd'),TO_DATE('20180101','yyyymmdd'),'Version 20180116');</v>
      </c>
      <c r="B1227" t="str">
        <f>IF(REGLAS!J1228="OBSOLETO","","INSERT INTO INYCEXT.INYC_CONF_INF_REGLAS@tc_link (COD_INFORME,TABLA,NOMBRE,REGLA,F_INICIO,F_FIN,DESCRIPCION) VALUES ("&amp;REGLAS!B1228&amp;",'"&amp;REGLAS!C1228&amp;"','"&amp;REGLAS!D1228&amp;"','"&amp;REGLAS!G1228&amp;"',TO_DATE('"&amp;REGLAS!H1228&amp;"','yyyymmdd'),TO_DATE('"&amp;REGLAS!I1228&amp;"','yyyymmdd'),'"&amp;REGLAS!J1228&amp;"');")</f>
        <v>INSERT INTO INYCEXT.INYC_CONF_INF_REGLAS@tc_link (COD_INFORME,TABLA,NOMBRE,REGLA,F_INICIO,F_FIN,DESCRIPCION) VALUES (107.1,'INYC_PEPI_E_RESUMEN','Acumulado Polizas','SM-E-GEN-Inspector-NumeroPolizas-001-TotalAnual',TO_DATE('20140101','yyyymmdd'),TO_DATE('20180101','yyyymmdd'),'Version 20180116');</v>
      </c>
    </row>
    <row r="1228" spans="1:2" x14ac:dyDescent="0.25">
      <c r="A1228" t="str">
        <f>IF(REGLAS!J1229="OBSOLETO","","INSERT INTO INYCEXT.INYC_CONF_INF_REGLAS (COD_INFORME,TABLA,NOMBRE,REGLA,F_INICIO,F_FIN,DESCRIPCION) VALUES ("&amp;REGLAS!B1229&amp;",'"&amp;REGLAS!C1229&amp;"','"&amp;REGLAS!D1229&amp;"','"&amp;REGLAS!G1229&amp;"',TO_DATE('"&amp;REGLAS!H1229&amp;"','yyyymmdd'),TO_DATE('"&amp;REGLAS!I1229&amp;"','yyyymmdd'),'"&amp;REGLAS!J1229&amp;"');")</f>
        <v>INSERT INTO INYCEXT.INYC_CONF_INF_REGLAS (COD_INFORME,TABLA,NOMBRE,REGLA,F_INICIO,F_FIN,DESCRIPCION) VALUES (107.1,'INYC_PEPI_E_RESUMEN','Acumulado Polizas','SM-E-GEN-Inspector-NumeroPolizas-003-TotalAnual',TO_DATE('20140101','yyyymmdd'),TO_DATE('20180101','yyyymmdd'),'Version 20180116');</v>
      </c>
      <c r="B1228" t="str">
        <f>IF(REGLAS!J1229="OBSOLETO","","INSERT INTO INYCEXT.INYC_CONF_INF_REGLAS@tc_link (COD_INFORME,TABLA,NOMBRE,REGLA,F_INICIO,F_FIN,DESCRIPCION) VALUES ("&amp;REGLAS!B1229&amp;",'"&amp;REGLAS!C1229&amp;"','"&amp;REGLAS!D1229&amp;"','"&amp;REGLAS!G1229&amp;"',TO_DATE('"&amp;REGLAS!H1229&amp;"','yyyymmdd'),TO_DATE('"&amp;REGLAS!I1229&amp;"','yyyymmdd'),'"&amp;REGLAS!J1229&amp;"');")</f>
        <v>INSERT INTO INYCEXT.INYC_CONF_INF_REGLAS@tc_link (COD_INFORME,TABLA,NOMBRE,REGLA,F_INICIO,F_FIN,DESCRIPCION) VALUES (107.1,'INYC_PEPI_E_RESUMEN','Acumulado Polizas','SM-E-GEN-Inspector-NumeroPolizas-003-TotalAnual',TO_DATE('20140101','yyyymmdd'),TO_DATE('20180101','yyyymmdd'),'Version 20180116');</v>
      </c>
    </row>
    <row r="1229" spans="1:2" x14ac:dyDescent="0.25">
      <c r="A1229" t="str">
        <f>IF(REGLAS!J1230="OBSOLETO","","INSERT INTO INYCEXT.INYC_CONF_INF_REGLAS (COD_INFORME,TABLA,NOMBRE,REGLA,F_INICIO,F_FIN,DESCRIPCION) VALUES ("&amp;REGLAS!B1230&amp;",'"&amp;REGLAS!C1230&amp;"','"&amp;REGLAS!D1230&amp;"','"&amp;REGLAS!G1230&amp;"',TO_DATE('"&amp;REGLAS!H1230&amp;"','yyyymmdd'),TO_DATE('"&amp;REGLAS!I1230&amp;"','yyyymmdd'),'"&amp;REGLAS!J1230&amp;"');")</f>
        <v>INSERT INTO INYCEXT.INYC_CONF_INF_REGLAS (COD_INFORME,TABLA,NOMBRE,REGLA,F_INICIO,F_FIN,DESCRIPCION) VALUES (107.1,'INYC_PEPI_E_RESUMEN','Acumulado Polizas','SM-E-GEN-Inspector-NumeroPolizas-998-TotalAnual',TO_DATE('20140101','yyyymmdd'),TO_DATE('20180101','yyyymmdd'),'Version 20180116');</v>
      </c>
      <c r="B1229" t="str">
        <f>IF(REGLAS!J1230="OBSOLETO","","INSERT INTO INYCEXT.INYC_CONF_INF_REGLAS@tc_link (COD_INFORME,TABLA,NOMBRE,REGLA,F_INICIO,F_FIN,DESCRIPCION) VALUES ("&amp;REGLAS!B1230&amp;",'"&amp;REGLAS!C1230&amp;"','"&amp;REGLAS!D1230&amp;"','"&amp;REGLAS!G1230&amp;"',TO_DATE('"&amp;REGLAS!H1230&amp;"','yyyymmdd'),TO_DATE('"&amp;REGLAS!I1230&amp;"','yyyymmdd'),'"&amp;REGLAS!J1230&amp;"');")</f>
        <v>INSERT INTO INYCEXT.INYC_CONF_INF_REGLAS@tc_link (COD_INFORME,TABLA,NOMBRE,REGLA,F_INICIO,F_FIN,DESCRIPCION) VALUES (107.1,'INYC_PEPI_E_RESUMEN','Acumulado Polizas','SM-E-GEN-Inspector-NumeroPolizas-998-TotalAnual',TO_DATE('20140101','yyyymmdd'),TO_DATE('20180101','yyyymmdd'),'Version 20180116');</v>
      </c>
    </row>
    <row r="1230" spans="1:2" x14ac:dyDescent="0.25">
      <c r="A1230" t="str">
        <f>IF(REGLAS!J1231="OBSOLETO","","INSERT INTO INYCEXT.INYC_CONF_INF_REGLAS (COD_INFORME,TABLA,NOMBRE,REGLA,F_INICIO,F_FIN,DESCRIPCION) VALUES ("&amp;REGLAS!B1231&amp;",'"&amp;REGLAS!C1231&amp;"','"&amp;REGLAS!D1231&amp;"','"&amp;REGLAS!G1231&amp;"',TO_DATE('"&amp;REGLAS!H1231&amp;"','yyyymmdd'),TO_DATE('"&amp;REGLAS!I1231&amp;"','yyyymmdd'),'"&amp;REGLAS!J1231&amp;"');")</f>
        <v>INSERT INTO INYCEXT.INYC_CONF_INF_REGLAS (COD_INFORME,TABLA,NOMBRE,REGLA,F_INICIO,F_FIN,DESCRIPCION) VALUES (107.1,'INYC_PEPI_E_RESUMEN','Acumulado Primas','SM-E-GEN-Inspector-Prima-001-TotalAnual',TO_DATE('20140101','yyyymmdd'),TO_DATE('20180101','yyyymmdd'),'Version 20180116');</v>
      </c>
      <c r="B1230" t="str">
        <f>IF(REGLAS!J1231="OBSOLETO","","INSERT INTO INYCEXT.INYC_CONF_INF_REGLAS@tc_link (COD_INFORME,TABLA,NOMBRE,REGLA,F_INICIO,F_FIN,DESCRIPCION) VALUES ("&amp;REGLAS!B1231&amp;",'"&amp;REGLAS!C1231&amp;"','"&amp;REGLAS!D1231&amp;"','"&amp;REGLAS!G1231&amp;"',TO_DATE('"&amp;REGLAS!H1231&amp;"','yyyymmdd'),TO_DATE('"&amp;REGLAS!I1231&amp;"','yyyymmdd'),'"&amp;REGLAS!J1231&amp;"');")</f>
        <v>INSERT INTO INYCEXT.INYC_CONF_INF_REGLAS@tc_link (COD_INFORME,TABLA,NOMBRE,REGLA,F_INICIO,F_FIN,DESCRIPCION) VALUES (107.1,'INYC_PEPI_E_RESUMEN','Acumulado Primas','SM-E-GEN-Inspector-Prima-001-TotalAnual',TO_DATE('20140101','yyyymmdd'),TO_DATE('20180101','yyyymmdd'),'Version 20180116');</v>
      </c>
    </row>
    <row r="1231" spans="1:2" x14ac:dyDescent="0.25">
      <c r="A1231" t="str">
        <f>IF(REGLAS!J1232="OBSOLETO","","INSERT INTO INYCEXT.INYC_CONF_INF_REGLAS (COD_INFORME,TABLA,NOMBRE,REGLA,F_INICIO,F_FIN,DESCRIPCION) VALUES ("&amp;REGLAS!B1232&amp;",'"&amp;REGLAS!C1232&amp;"','"&amp;REGLAS!D1232&amp;"','"&amp;REGLAS!G1232&amp;"',TO_DATE('"&amp;REGLAS!H1232&amp;"','yyyymmdd'),TO_DATE('"&amp;REGLAS!I1232&amp;"','yyyymmdd'),'"&amp;REGLAS!J1232&amp;"');")</f>
        <v>INSERT INTO INYCEXT.INYC_CONF_INF_REGLAS (COD_INFORME,TABLA,NOMBRE,REGLA,F_INICIO,F_FIN,DESCRIPCION) VALUES (107.1,'INYC_PEPI_E_RESUMEN','Acumulado Primas','SM-E-GEN-Inspector-Prima-003-TotalAnual',TO_DATE('20140101','yyyymmdd'),TO_DATE('20180101','yyyymmdd'),'Version 20180116');</v>
      </c>
      <c r="B1231" t="str">
        <f>IF(REGLAS!J1232="OBSOLETO","","INSERT INTO INYCEXT.INYC_CONF_INF_REGLAS@tc_link (COD_INFORME,TABLA,NOMBRE,REGLA,F_INICIO,F_FIN,DESCRIPCION) VALUES ("&amp;REGLAS!B1232&amp;",'"&amp;REGLAS!C1232&amp;"','"&amp;REGLAS!D1232&amp;"','"&amp;REGLAS!G1232&amp;"',TO_DATE('"&amp;REGLAS!H1232&amp;"','yyyymmdd'),TO_DATE('"&amp;REGLAS!I1232&amp;"','yyyymmdd'),'"&amp;REGLAS!J1232&amp;"');")</f>
        <v>INSERT INTO INYCEXT.INYC_CONF_INF_REGLAS@tc_link (COD_INFORME,TABLA,NOMBRE,REGLA,F_INICIO,F_FIN,DESCRIPCION) VALUES (107.1,'INYC_PEPI_E_RESUMEN','Acumulado Primas','SM-E-GEN-Inspector-Prima-003-TotalAnual',TO_DATE('20140101','yyyymmdd'),TO_DATE('20180101','yyyymmdd'),'Version 20180116');</v>
      </c>
    </row>
    <row r="1232" spans="1:2" x14ac:dyDescent="0.25">
      <c r="A1232" t="str">
        <f>IF(REGLAS!J1233="OBSOLETO","","INSERT INTO INYCEXT.INYC_CONF_INF_REGLAS (COD_INFORME,TABLA,NOMBRE,REGLA,F_INICIO,F_FIN,DESCRIPCION) VALUES ("&amp;REGLAS!B1233&amp;",'"&amp;REGLAS!C1233&amp;"','"&amp;REGLAS!D1233&amp;"','"&amp;REGLAS!G1233&amp;"',TO_DATE('"&amp;REGLAS!H1233&amp;"','yyyymmdd'),TO_DATE('"&amp;REGLAS!I1233&amp;"','yyyymmdd'),'"&amp;REGLAS!J1233&amp;"');")</f>
        <v>INSERT INTO INYCEXT.INYC_CONF_INF_REGLAS (COD_INFORME,TABLA,NOMBRE,REGLA,F_INICIO,F_FIN,DESCRIPCION) VALUES (107.1,'INYC_PEPI_E_RESUMEN','Acumulado Primas','SM-E-GEN-Inspector-Prima-998-TotalAnual',TO_DATE('20140101','yyyymmdd'),TO_DATE('20180101','yyyymmdd'),'Version 20180116');</v>
      </c>
      <c r="B1232" t="str">
        <f>IF(REGLAS!J1233="OBSOLETO","","INSERT INTO INYCEXT.INYC_CONF_INF_REGLAS@tc_link (COD_INFORME,TABLA,NOMBRE,REGLA,F_INICIO,F_FIN,DESCRIPCION) VALUES ("&amp;REGLAS!B1233&amp;",'"&amp;REGLAS!C1233&amp;"','"&amp;REGLAS!D1233&amp;"','"&amp;REGLAS!G1233&amp;"',TO_DATE('"&amp;REGLAS!H1233&amp;"','yyyymmdd'),TO_DATE('"&amp;REGLAS!I1233&amp;"','yyyymmdd'),'"&amp;REGLAS!J1233&amp;"');")</f>
        <v>INSERT INTO INYCEXT.INYC_CONF_INF_REGLAS@tc_link (COD_INFORME,TABLA,NOMBRE,REGLA,F_INICIO,F_FIN,DESCRIPCION) VALUES (107.1,'INYC_PEPI_E_RESUMEN','Acumulado Primas','SM-E-GEN-Inspector-Prima-998-TotalAnual',TO_DATE('20140101','yyyymmdd'),TO_DATE('20180101','yyyymmdd'),'Version 20180116');</v>
      </c>
    </row>
    <row r="1233" spans="1:2" x14ac:dyDescent="0.25">
      <c r="A1233" t="str">
        <f>IF(REGLAS!J1234="OBSOLETO","","INSERT INTO INYCEXT.INYC_CONF_INF_REGLAS (COD_INFORME,TABLA,NOMBRE,REGLA,F_INICIO,F_FIN,DESCRIPCION) VALUES ("&amp;REGLAS!B1234&amp;",'"&amp;REGLAS!C1234&amp;"','"&amp;REGLAS!D1234&amp;"','"&amp;REGLAS!G1234&amp;"',TO_DATE('"&amp;REGLAS!H1234&amp;"','yyyymmdd'),TO_DATE('"&amp;REGLAS!I1234&amp;"','yyyymmdd'),'"&amp;REGLAS!J1234&amp;"');")</f>
        <v>INSERT INTO INYCEXT.INYC_CONF_INF_REGLAS (COD_INFORME,TABLA,NOMBRE,REGLA,F_INICIO,F_FIN,DESCRIPCION) VALUES (107.1,'INYC_PEPI_E_RESUMEN','Acumulado Primas Corregidas','SM-E-GEN-Inspector-PrimaCorregida-001-TotalAnual',TO_DATE('20140101','yyyymmdd'),TO_DATE('20180101','yyyymmdd'),'Version 20180116');</v>
      </c>
      <c r="B1233" t="str">
        <f>IF(REGLAS!J1234="OBSOLETO","","INSERT INTO INYCEXT.INYC_CONF_INF_REGLAS@tc_link (COD_INFORME,TABLA,NOMBRE,REGLA,F_INICIO,F_FIN,DESCRIPCION) VALUES ("&amp;REGLAS!B1234&amp;",'"&amp;REGLAS!C1234&amp;"','"&amp;REGLAS!D1234&amp;"','"&amp;REGLAS!G1234&amp;"',TO_DATE('"&amp;REGLAS!H1234&amp;"','yyyymmdd'),TO_DATE('"&amp;REGLAS!I1234&amp;"','yyyymmdd'),'"&amp;REGLAS!J1234&amp;"');")</f>
        <v>INSERT INTO INYCEXT.INYC_CONF_INF_REGLAS@tc_link (COD_INFORME,TABLA,NOMBRE,REGLA,F_INICIO,F_FIN,DESCRIPCION) VALUES (107.1,'INYC_PEPI_E_RESUMEN','Acumulado Primas Corregidas','SM-E-GEN-Inspector-PrimaCorregida-001-TotalAnual',TO_DATE('20140101','yyyymmdd'),TO_DATE('20180101','yyyymmdd'),'Version 20180116');</v>
      </c>
    </row>
    <row r="1234" spans="1:2" x14ac:dyDescent="0.25">
      <c r="A1234" t="str">
        <f>IF(REGLAS!J1235="OBSOLETO","","INSERT INTO INYCEXT.INYC_CONF_INF_REGLAS (COD_INFORME,TABLA,NOMBRE,REGLA,F_INICIO,F_FIN,DESCRIPCION) VALUES ("&amp;REGLAS!B1235&amp;",'"&amp;REGLAS!C1235&amp;"','"&amp;REGLAS!D1235&amp;"','"&amp;REGLAS!G1235&amp;"',TO_DATE('"&amp;REGLAS!H1235&amp;"','yyyymmdd'),TO_DATE('"&amp;REGLAS!I1235&amp;"','yyyymmdd'),'"&amp;REGLAS!J1235&amp;"');")</f>
        <v>INSERT INTO INYCEXT.INYC_CONF_INF_REGLAS (COD_INFORME,TABLA,NOMBRE,REGLA,F_INICIO,F_FIN,DESCRIPCION) VALUES (107.1,'INYC_PEPI_E_RESUMEN','Acumulado Primas Corregidas','SM-E-GEN-Inspector-PrimaCorregida-003-TotalAnual',TO_DATE('20140101','yyyymmdd'),TO_DATE('20180101','yyyymmdd'),'Version 20180116');</v>
      </c>
      <c r="B1234" t="str">
        <f>IF(REGLAS!J1235="OBSOLETO","","INSERT INTO INYCEXT.INYC_CONF_INF_REGLAS@tc_link (COD_INFORME,TABLA,NOMBRE,REGLA,F_INICIO,F_FIN,DESCRIPCION) VALUES ("&amp;REGLAS!B1235&amp;",'"&amp;REGLAS!C1235&amp;"','"&amp;REGLAS!D1235&amp;"','"&amp;REGLAS!G1235&amp;"',TO_DATE('"&amp;REGLAS!H1235&amp;"','yyyymmdd'),TO_DATE('"&amp;REGLAS!I1235&amp;"','yyyymmdd'),'"&amp;REGLAS!J1235&amp;"');")</f>
        <v>INSERT INTO INYCEXT.INYC_CONF_INF_REGLAS@tc_link (COD_INFORME,TABLA,NOMBRE,REGLA,F_INICIO,F_FIN,DESCRIPCION) VALUES (107.1,'INYC_PEPI_E_RESUMEN','Acumulado Primas Corregidas','SM-E-GEN-Inspector-PrimaCorregida-003-TotalAnual',TO_DATE('20140101','yyyymmdd'),TO_DATE('20180101','yyyymmdd'),'Version 20180116');</v>
      </c>
    </row>
    <row r="1235" spans="1:2" x14ac:dyDescent="0.25">
      <c r="A1235" t="str">
        <f>IF(REGLAS!J1236="OBSOLETO","","INSERT INTO INYCEXT.INYC_CONF_INF_REGLAS (COD_INFORME,TABLA,NOMBRE,REGLA,F_INICIO,F_FIN,DESCRIPCION) VALUES ("&amp;REGLAS!B1236&amp;",'"&amp;REGLAS!C1236&amp;"','"&amp;REGLAS!D1236&amp;"','"&amp;REGLAS!G1236&amp;"',TO_DATE('"&amp;REGLAS!H1236&amp;"','yyyymmdd'),TO_DATE('"&amp;REGLAS!I1236&amp;"','yyyymmdd'),'"&amp;REGLAS!J1236&amp;"');")</f>
        <v>INSERT INTO INYCEXT.INYC_CONF_INF_REGLAS (COD_INFORME,TABLA,NOMBRE,REGLA,F_INICIO,F_FIN,DESCRIPCION) VALUES (107.1,'INYC_PEPI_E_RESUMEN','Acumulado Primas Corregidas','SM-E-GEN-Inspector-PrimaCorregida-998-TotalAnual',TO_DATE('20140101','yyyymmdd'),TO_DATE('20180101','yyyymmdd'),'Version 20180116');</v>
      </c>
      <c r="B1235" t="str">
        <f>IF(REGLAS!J1236="OBSOLETO","","INSERT INTO INYCEXT.INYC_CONF_INF_REGLAS@tc_link (COD_INFORME,TABLA,NOMBRE,REGLA,F_INICIO,F_FIN,DESCRIPCION) VALUES ("&amp;REGLAS!B1236&amp;",'"&amp;REGLAS!C1236&amp;"','"&amp;REGLAS!D1236&amp;"','"&amp;REGLAS!G1236&amp;"',TO_DATE('"&amp;REGLAS!H1236&amp;"','yyyymmdd'),TO_DATE('"&amp;REGLAS!I1236&amp;"','yyyymmdd'),'"&amp;REGLAS!J1236&amp;"');")</f>
        <v>INSERT INTO INYCEXT.INYC_CONF_INF_REGLAS@tc_link (COD_INFORME,TABLA,NOMBRE,REGLA,F_INICIO,F_FIN,DESCRIPCION) VALUES (107.1,'INYC_PEPI_E_RESUMEN','Acumulado Primas Corregidas','SM-E-GEN-Inspector-PrimaCorregida-998-TotalAnual',TO_DATE('20140101','yyyymmdd'),TO_DATE('20180101','yyyymmdd'),'Version 20180116');</v>
      </c>
    </row>
    <row r="1236" spans="1:2" x14ac:dyDescent="0.25">
      <c r="A1236" t="str">
        <f>IF(REGLAS!J1237="OBSOLETO","","INSERT INTO INYCEXT.INYC_CONF_INF_REGLAS (COD_INFORME,TABLA,NOMBRE,REGLA,F_INICIO,F_FIN,DESCRIPCION) VALUES ("&amp;REGLAS!B1237&amp;",'"&amp;REGLAS!C1237&amp;"','"&amp;REGLAS!D1237&amp;"','"&amp;REGLAS!G1237&amp;"',TO_DATE('"&amp;REGLAS!H1237&amp;"','yyyymmdd'),TO_DATE('"&amp;REGLAS!I1237&amp;"','yyyymmdd'),'"&amp;REGLAS!J1237&amp;"');")</f>
        <v>INSERT INTO INYCEXT.INYC_CONF_INF_REGLAS (COD_INFORME,TABLA,NOMBRE,REGLA,F_INICIO,F_FIN,DESCRIPCION) VALUES (107.1,'INYC_PEPI_E_RESUMEN','SM - Nº Pólizas Inspector Accidentes Mensual','SM-E-GEN-Inspector-NumeroPolizas-Accidente-TotalMes',TO_DATE('20180101','yyyymmdd'),TO_DATE('22000101','yyyymmdd'),'Version 20180116');</v>
      </c>
      <c r="B1236" t="str">
        <f>IF(REGLAS!J1237="OBSOLETO","","INSERT INTO INYCEXT.INYC_CONF_INF_REGLAS@tc_link (COD_INFORME,TABLA,NOMBRE,REGLA,F_INICIO,F_FIN,DESCRIPCION) VALUES ("&amp;REGLAS!B1237&amp;",'"&amp;REGLAS!C1237&amp;"','"&amp;REGLAS!D1237&amp;"','"&amp;REGLAS!G1237&amp;"',TO_DATE('"&amp;REGLAS!H1237&amp;"','yyyymmdd'),TO_DATE('"&amp;REGLAS!I1237&amp;"','yyyymmdd'),'"&amp;REGLAS!J1237&amp;"');")</f>
        <v>INSERT INTO INYCEXT.INYC_CONF_INF_REGLAS@tc_link (COD_INFORME,TABLA,NOMBRE,REGLA,F_INICIO,F_FIN,DESCRIPCION) VALUES (107.1,'INYC_PEPI_E_RESUMEN','SM - Nº Pólizas Inspector Accidentes Mensual','SM-E-GEN-Inspector-NumeroPolizas-Accidente-TotalMes',TO_DATE('20180101','yyyymmdd'),TO_DATE('22000101','yyyymmdd'),'Version 20180116');</v>
      </c>
    </row>
    <row r="1237" spans="1:2" x14ac:dyDescent="0.25">
      <c r="A1237" t="str">
        <f>IF(REGLAS!J1238="OBSOLETO","","INSERT INTO INYCEXT.INYC_CONF_INF_REGLAS (COD_INFORME,TABLA,NOMBRE,REGLA,F_INICIO,F_FIN,DESCRIPCION) VALUES ("&amp;REGLAS!B1238&amp;",'"&amp;REGLAS!C1238&amp;"','"&amp;REGLAS!D1238&amp;"','"&amp;REGLAS!G1238&amp;"',TO_DATE('"&amp;REGLAS!H1238&amp;"','yyyymmdd'),TO_DATE('"&amp;REGLAS!I1238&amp;"','yyyymmdd'),'"&amp;REGLAS!J1238&amp;"');")</f>
        <v>INSERT INTO INYCEXT.INYC_CONF_INF_REGLAS (COD_INFORME,TABLA,NOMBRE,REGLA,F_INICIO,F_FIN,DESCRIPCION) VALUES (107.1,'INYC_PEPI_E_RESUMEN','SM - Nº Pólizas Inspector Hogar Mensual','SM-E-GEN-Inspector-NumeroPolizas-Hogar-TotalMes',TO_DATE('20180101','yyyymmdd'),TO_DATE('22000101','yyyymmdd'),'Version 20180116');</v>
      </c>
      <c r="B1237" t="str">
        <f>IF(REGLAS!J1238="OBSOLETO","","INSERT INTO INYCEXT.INYC_CONF_INF_REGLAS@tc_link (COD_INFORME,TABLA,NOMBRE,REGLA,F_INICIO,F_FIN,DESCRIPCION) VALUES ("&amp;REGLAS!B1238&amp;",'"&amp;REGLAS!C1238&amp;"','"&amp;REGLAS!D1238&amp;"','"&amp;REGLAS!G1238&amp;"',TO_DATE('"&amp;REGLAS!H1238&amp;"','yyyymmdd'),TO_DATE('"&amp;REGLAS!I1238&amp;"','yyyymmdd'),'"&amp;REGLAS!J1238&amp;"');")</f>
        <v>INSERT INTO INYCEXT.INYC_CONF_INF_REGLAS@tc_link (COD_INFORME,TABLA,NOMBRE,REGLA,F_INICIO,F_FIN,DESCRIPCION) VALUES (107.1,'INYC_PEPI_E_RESUMEN','SM - Nº Pólizas Inspector Hogar Mensual','SM-E-GEN-Inspector-NumeroPolizas-Hogar-TotalMes',TO_DATE('20180101','yyyymmdd'),TO_DATE('22000101','yyyymmdd'),'Version 20180116');</v>
      </c>
    </row>
    <row r="1238" spans="1:2" x14ac:dyDescent="0.25">
      <c r="A1238" t="str">
        <f>IF(REGLAS!J1239="OBSOLETO","","INSERT INTO INYCEXT.INYC_CONF_INF_REGLAS (COD_INFORME,TABLA,NOMBRE,REGLA,F_INICIO,F_FIN,DESCRIPCION) VALUES ("&amp;REGLAS!B1239&amp;",'"&amp;REGLAS!C1239&amp;"','"&amp;REGLAS!D1239&amp;"','"&amp;REGLAS!G1239&amp;"',TO_DATE('"&amp;REGLAS!H1239&amp;"','yyyymmdd'),TO_DATE('"&amp;REGLAS!I1239&amp;"','yyyymmdd'),'"&amp;REGLAS!J1239&amp;"');")</f>
        <v>INSERT INTO INYCEXT.INYC_CONF_INF_REGLAS (COD_INFORME,TABLA,NOMBRE,REGLA,F_INICIO,F_FIN,DESCRIPCION) VALUES (107.1,'INYC_PEPI_E_RESUMEN','SM - Nº Pólizas Inspector Comunidades Mensual','SM-E-GEN-Inspector-NumeroPolizas-Comunidades-TotalMes',TO_DATE('20180101','yyyymmdd'),TO_DATE('22000101','yyyymmdd'),'Version 20180116');</v>
      </c>
      <c r="B1238" t="str">
        <f>IF(REGLAS!J1239="OBSOLETO","","INSERT INTO INYCEXT.INYC_CONF_INF_REGLAS@tc_link (COD_INFORME,TABLA,NOMBRE,REGLA,F_INICIO,F_FIN,DESCRIPCION) VALUES ("&amp;REGLAS!B1239&amp;",'"&amp;REGLAS!C1239&amp;"','"&amp;REGLAS!D1239&amp;"','"&amp;REGLAS!G1239&amp;"',TO_DATE('"&amp;REGLAS!H1239&amp;"','yyyymmdd'),TO_DATE('"&amp;REGLAS!I1239&amp;"','yyyymmdd'),'"&amp;REGLAS!J1239&amp;"');")</f>
        <v>INSERT INTO INYCEXT.INYC_CONF_INF_REGLAS@tc_link (COD_INFORME,TABLA,NOMBRE,REGLA,F_INICIO,F_FIN,DESCRIPCION) VALUES (107.1,'INYC_PEPI_E_RESUMEN','SM - Nº Pólizas Inspector Comunidades Mensual','SM-E-GEN-Inspector-NumeroPolizas-Comunidades-TotalMes',TO_DATE('20180101','yyyymmdd'),TO_DATE('22000101','yyyymmdd'),'Version 20180116');</v>
      </c>
    </row>
    <row r="1239" spans="1:2" x14ac:dyDescent="0.25">
      <c r="A1239" t="str">
        <f>IF(REGLAS!J1240="OBSOLETO","","INSERT INTO INYCEXT.INYC_CONF_INF_REGLAS (COD_INFORME,TABLA,NOMBRE,REGLA,F_INICIO,F_FIN,DESCRIPCION) VALUES ("&amp;REGLAS!B1240&amp;",'"&amp;REGLAS!C1240&amp;"','"&amp;REGLAS!D1240&amp;"','"&amp;REGLAS!G1240&amp;"',TO_DATE('"&amp;REGLAS!H1240&amp;"','yyyymmdd'),TO_DATE('"&amp;REGLAS!I1240&amp;"','yyyymmdd'),'"&amp;REGLAS!J1240&amp;"');")</f>
        <v>INSERT INTO INYCEXT.INYC_CONF_INF_REGLAS (COD_INFORME,TABLA,NOMBRE,REGLA,F_INICIO,F_FIN,DESCRIPCION) VALUES (107.1,'INYC_PEPI_E_RESUMEN','SM - Nº Pólizas Inspector RRGG Mensual','SM-E-GEN-Inspector-NumeroPolizas-RRGG-TotalMes',TO_DATE('20180101','yyyymmdd'),TO_DATE('22000101','yyyymmdd'),'Version 20180116');</v>
      </c>
      <c r="B1239" t="str">
        <f>IF(REGLAS!J1240="OBSOLETO","","INSERT INTO INYCEXT.INYC_CONF_INF_REGLAS@tc_link (COD_INFORME,TABLA,NOMBRE,REGLA,F_INICIO,F_FIN,DESCRIPCION) VALUES ("&amp;REGLAS!B1240&amp;",'"&amp;REGLAS!C1240&amp;"','"&amp;REGLAS!D1240&amp;"','"&amp;REGLAS!G1240&amp;"',TO_DATE('"&amp;REGLAS!H1240&amp;"','yyyymmdd'),TO_DATE('"&amp;REGLAS!I1240&amp;"','yyyymmdd'),'"&amp;REGLAS!J1240&amp;"');")</f>
        <v>INSERT INTO INYCEXT.INYC_CONF_INF_REGLAS@tc_link (COD_INFORME,TABLA,NOMBRE,REGLA,F_INICIO,F_FIN,DESCRIPCION) VALUES (107.1,'INYC_PEPI_E_RESUMEN','SM - Nº Pólizas Inspector RRGG Mensual','SM-E-GEN-Inspector-NumeroPolizas-RRGG-TotalMes',TO_DATE('20180101','yyyymmdd'),TO_DATE('22000101','yyyymmdd'),'Version 20180116');</v>
      </c>
    </row>
    <row r="1240" spans="1:2" x14ac:dyDescent="0.25">
      <c r="A1240" t="str">
        <f>IF(REGLAS!J1241="OBSOLETO","","INSERT INTO INYCEXT.INYC_CONF_INF_REGLAS (COD_INFORME,TABLA,NOMBRE,REGLA,F_INICIO,F_FIN,DESCRIPCION) VALUES ("&amp;REGLAS!B1241&amp;",'"&amp;REGLAS!C1241&amp;"','"&amp;REGLAS!D1241&amp;"','"&amp;REGLAS!G1241&amp;"',TO_DATE('"&amp;REGLAS!H1241&amp;"','yyyymmdd'),TO_DATE('"&amp;REGLAS!I1241&amp;"','yyyymmdd'),'"&amp;REGLAS!J1241&amp;"');")</f>
        <v>INSERT INTO INYCEXT.INYC_CONF_INF_REGLAS (COD_INFORME,TABLA,NOMBRE,REGLA,F_INICIO,F_FIN,DESCRIPCION) VALUES (107.1,'INYC_PEPI_E_RESUMEN','SM - Nº Pólizas Inspector RRTT Mensual','SM-E-GEN-Inspector-NumeroPolizas-Decesos-TotalMes',TO_DATE('20180101','yyyymmdd'),TO_DATE('22000101','yyyymmdd'),'Version 20180116');</v>
      </c>
      <c r="B1240" t="str">
        <f>IF(REGLAS!J1241="OBSOLETO","","INSERT INTO INYCEXT.INYC_CONF_INF_REGLAS@tc_link (COD_INFORME,TABLA,NOMBRE,REGLA,F_INICIO,F_FIN,DESCRIPCION) VALUES ("&amp;REGLAS!B1241&amp;",'"&amp;REGLAS!C1241&amp;"','"&amp;REGLAS!D1241&amp;"','"&amp;REGLAS!G1241&amp;"',TO_DATE('"&amp;REGLAS!H1241&amp;"','yyyymmdd'),TO_DATE('"&amp;REGLAS!I1241&amp;"','yyyymmdd'),'"&amp;REGLAS!J1241&amp;"');")</f>
        <v>INSERT INTO INYCEXT.INYC_CONF_INF_REGLAS@tc_link (COD_INFORME,TABLA,NOMBRE,REGLA,F_INICIO,F_FIN,DESCRIPCION) VALUES (107.1,'INYC_PEPI_E_RESUMEN','SM - Nº Pólizas Inspector RRTT Mensual','SM-E-GEN-Inspector-NumeroPolizas-Decesos-TotalMes',TO_DATE('20180101','yyyymmdd'),TO_DATE('22000101','yyyymmdd'),'Version 20180116');</v>
      </c>
    </row>
    <row r="1241" spans="1:2" x14ac:dyDescent="0.25">
      <c r="A1241" t="str">
        <f>IF(REGLAS!J1242="OBSOLETO","","INSERT INTO INYCEXT.INYC_CONF_INF_REGLAS (COD_INFORME,TABLA,NOMBRE,REGLA,F_INICIO,F_FIN,DESCRIPCION) VALUES ("&amp;REGLAS!B1242&amp;",'"&amp;REGLAS!C1242&amp;"','"&amp;REGLAS!D1242&amp;"','"&amp;REGLAS!G1242&amp;"',TO_DATE('"&amp;REGLAS!H1242&amp;"','yyyymmdd'),TO_DATE('"&amp;REGLAS!I1242&amp;"','yyyymmdd'),'"&amp;REGLAS!J1242&amp;"');")</f>
        <v>INSERT INTO INYCEXT.INYC_CONF_INF_REGLAS (COD_INFORME,TABLA,NOMBRE,REGLA,F_INICIO,F_FIN,DESCRIPCION) VALUES (107.1,'INYC_PEPI_E_RESUMEN','SM - Nº Pólizas Inspector Prod. Prioritarios Mensual','SM-E-GEN-Inspector-NumeroPolizas-ProdPrioritarios-TotalMes',TO_DATE('20180101','yyyymmdd'),TO_DATE('22000101','yyyymmdd'),'Version 20180116');</v>
      </c>
      <c r="B1241" t="str">
        <f>IF(REGLAS!J1242="OBSOLETO","","INSERT INTO INYCEXT.INYC_CONF_INF_REGLAS@tc_link (COD_INFORME,TABLA,NOMBRE,REGLA,F_INICIO,F_FIN,DESCRIPCION) VALUES ("&amp;REGLAS!B1242&amp;",'"&amp;REGLAS!C1242&amp;"','"&amp;REGLAS!D1242&amp;"','"&amp;REGLAS!G1242&amp;"',TO_DATE('"&amp;REGLAS!H1242&amp;"','yyyymmdd'),TO_DATE('"&amp;REGLAS!I1242&amp;"','yyyymmdd'),'"&amp;REGLAS!J1242&amp;"');")</f>
        <v>INSERT INTO INYCEXT.INYC_CONF_INF_REGLAS@tc_link (COD_INFORME,TABLA,NOMBRE,REGLA,F_INICIO,F_FIN,DESCRIPCION) VALUES (107.1,'INYC_PEPI_E_RESUMEN','SM - Nº Pólizas Inspector Prod. Prioritarios Mensual','SM-E-GEN-Inspector-NumeroPolizas-ProdPrioritarios-TotalMes',TO_DATE('20180101','yyyymmdd'),TO_DATE('22000101','yyyymmdd'),'Version 20180116');</v>
      </c>
    </row>
    <row r="1242" spans="1:2" x14ac:dyDescent="0.25">
      <c r="A1242" t="str">
        <f>IF(REGLAS!J1243="OBSOLETO","","INSERT INTO INYCEXT.INYC_CONF_INF_REGLAS (COD_INFORME,TABLA,NOMBRE,REGLA,F_INICIO,F_FIN,DESCRIPCION) VALUES ("&amp;REGLAS!B1243&amp;",'"&amp;REGLAS!C1243&amp;"','"&amp;REGLAS!D1243&amp;"','"&amp;REGLAS!G1243&amp;"',TO_DATE('"&amp;REGLAS!H1243&amp;"','yyyymmdd'),TO_DATE('"&amp;REGLAS!I1243&amp;"','yyyymmdd'),'"&amp;REGLAS!J1243&amp;"');")</f>
        <v>INSERT INTO INYCEXT.INYC_CONF_INF_REGLAS (COD_INFORME,TABLA,NOMBRE,REGLA,F_INICIO,F_FIN,DESCRIPCION) VALUES (107.1,'INYC_PEPI_E_RESUMEN','SM - Nº Pólizas Inspector Otros Decesos Mensual','SM-E-GEN-Inspector-NumeroPolizas-OtrosDecesos-TotalMes',TO_DATE('20180101','yyyymmdd'),TO_DATE('22000101','yyyymmdd'),'Version 20180116');</v>
      </c>
      <c r="B1242" t="str">
        <f>IF(REGLAS!J1243="OBSOLETO","","INSERT INTO INYCEXT.INYC_CONF_INF_REGLAS@tc_link (COD_INFORME,TABLA,NOMBRE,REGLA,F_INICIO,F_FIN,DESCRIPCION) VALUES ("&amp;REGLAS!B1243&amp;",'"&amp;REGLAS!C1243&amp;"','"&amp;REGLAS!D1243&amp;"','"&amp;REGLAS!G1243&amp;"',TO_DATE('"&amp;REGLAS!H1243&amp;"','yyyymmdd'),TO_DATE('"&amp;REGLAS!I1243&amp;"','yyyymmdd'),'"&amp;REGLAS!J1243&amp;"');")</f>
        <v>INSERT INTO INYCEXT.INYC_CONF_INF_REGLAS@tc_link (COD_INFORME,TABLA,NOMBRE,REGLA,F_INICIO,F_FIN,DESCRIPCION) VALUES (107.1,'INYC_PEPI_E_RESUMEN','SM - Nº Pólizas Inspector Otros Decesos Mensual','SM-E-GEN-Inspector-NumeroPolizas-OtrosDecesos-TotalMes',TO_DATE('20180101','yyyymmdd'),TO_DATE('22000101','yyyymmdd'),'Version 20180116');</v>
      </c>
    </row>
    <row r="1243" spans="1:2" x14ac:dyDescent="0.25">
      <c r="A1243" t="str">
        <f>IF(REGLAS!J1244="OBSOLETO","","INSERT INTO INYCEXT.INYC_CONF_INF_REGLAS (COD_INFORME,TABLA,NOMBRE,REGLA,F_INICIO,F_FIN,DESCRIPCION) VALUES ("&amp;REGLAS!B1244&amp;",'"&amp;REGLAS!C1244&amp;"','"&amp;REGLAS!D1244&amp;"','"&amp;REGLAS!G1244&amp;"',TO_DATE('"&amp;REGLAS!H1244&amp;"','yyyymmdd'),TO_DATE('"&amp;REGLAS!I1244&amp;"','yyyymmdd'),'"&amp;REGLAS!J1244&amp;"');")</f>
        <v>INSERT INTO INYCEXT.INYC_CONF_INF_REGLAS (COD_INFORME,TABLA,NOMBRE,REGLA,F_INICIO,F_FIN,DESCRIPCION) VALUES (107.1,'INYC_PEPI_E_RESUMEN','SM - Nº Pólizas Inspector Total Productos Mensual','SM-E-GEN-Inspector-NumeroPolizas-TotalProduccion-TotalMes',TO_DATE('20180101','yyyymmdd'),TO_DATE('22000101','yyyymmdd'),'Version 20180116');</v>
      </c>
      <c r="B1243" t="str">
        <f>IF(REGLAS!J1244="OBSOLETO","","INSERT INTO INYCEXT.INYC_CONF_INF_REGLAS@tc_link (COD_INFORME,TABLA,NOMBRE,REGLA,F_INICIO,F_FIN,DESCRIPCION) VALUES ("&amp;REGLAS!B1244&amp;",'"&amp;REGLAS!C1244&amp;"','"&amp;REGLAS!D1244&amp;"','"&amp;REGLAS!G1244&amp;"',TO_DATE('"&amp;REGLAS!H1244&amp;"','yyyymmdd'),TO_DATE('"&amp;REGLAS!I1244&amp;"','yyyymmdd'),'"&amp;REGLAS!J1244&amp;"');")</f>
        <v>INSERT INTO INYCEXT.INYC_CONF_INF_REGLAS@tc_link (COD_INFORME,TABLA,NOMBRE,REGLA,F_INICIO,F_FIN,DESCRIPCION) VALUES (107.1,'INYC_PEPI_E_RESUMEN','SM - Nº Pólizas Inspector Total Productos Mensual','SM-E-GEN-Inspector-NumeroPolizas-TotalProduccion-TotalMes',TO_DATE('20180101','yyyymmdd'),TO_DATE('22000101','yyyymmdd'),'Version 20180116');</v>
      </c>
    </row>
    <row r="1244" spans="1:2" x14ac:dyDescent="0.25">
      <c r="A1244" t="str">
        <f>IF(REGLAS!J1245="OBSOLETO","","INSERT INTO INYCEXT.INYC_CONF_INF_REGLAS (COD_INFORME,TABLA,NOMBRE,REGLA,F_INICIO,F_FIN,DESCRIPCION) VALUES ("&amp;REGLAS!B1245&amp;",'"&amp;REGLAS!C1245&amp;"','"&amp;REGLAS!D1245&amp;"','"&amp;REGLAS!G1245&amp;"',TO_DATE('"&amp;REGLAS!H1245&amp;"','yyyymmdd'),TO_DATE('"&amp;REGLAS!I1245&amp;"','yyyymmdd'),'"&amp;REGLAS!J1245&amp;"');")</f>
        <v>INSERT INTO INYCEXT.INYC_CONF_INF_REGLAS (COD_INFORME,TABLA,NOMBRE,REGLA,F_INICIO,F_FIN,DESCRIPCION) VALUES (107.1,'INYC_PEPI_E_RESUMEN','SM - Nº Pólizas Corregidas Inspector Accidentes Mensual','SM-E-GEN-Inspector-NumeroPolizasCorregidas-Accidente-TotalMes',TO_DATE('20180101','yyyymmdd'),TO_DATE('22000101','yyyymmdd'),'Version 20180116');</v>
      </c>
      <c r="B1244" t="str">
        <f>IF(REGLAS!J1245="OBSOLETO","","INSERT INTO INYCEXT.INYC_CONF_INF_REGLAS@tc_link (COD_INFORME,TABLA,NOMBRE,REGLA,F_INICIO,F_FIN,DESCRIPCION) VALUES ("&amp;REGLAS!B1245&amp;",'"&amp;REGLAS!C1245&amp;"','"&amp;REGLAS!D1245&amp;"','"&amp;REGLAS!G1245&amp;"',TO_DATE('"&amp;REGLAS!H1245&amp;"','yyyymmdd'),TO_DATE('"&amp;REGLAS!I1245&amp;"','yyyymmdd'),'"&amp;REGLAS!J1245&amp;"');")</f>
        <v>INSERT INTO INYCEXT.INYC_CONF_INF_REGLAS@tc_link (COD_INFORME,TABLA,NOMBRE,REGLA,F_INICIO,F_FIN,DESCRIPCION) VALUES (107.1,'INYC_PEPI_E_RESUMEN','SM - Nº Pólizas Corregidas Inspector Accidentes Mensual','SM-E-GEN-Inspector-NumeroPolizasCorregidas-Accidente-TotalMes',TO_DATE('20180101','yyyymmdd'),TO_DATE('22000101','yyyymmdd'),'Version 20180116');</v>
      </c>
    </row>
    <row r="1245" spans="1:2" x14ac:dyDescent="0.25">
      <c r="A1245" t="str">
        <f>IF(REGLAS!J1246="OBSOLETO","","INSERT INTO INYCEXT.INYC_CONF_INF_REGLAS (COD_INFORME,TABLA,NOMBRE,REGLA,F_INICIO,F_FIN,DESCRIPCION) VALUES ("&amp;REGLAS!B1246&amp;",'"&amp;REGLAS!C1246&amp;"','"&amp;REGLAS!D1246&amp;"','"&amp;REGLAS!G1246&amp;"',TO_DATE('"&amp;REGLAS!H1246&amp;"','yyyymmdd'),TO_DATE('"&amp;REGLAS!I1246&amp;"','yyyymmdd'),'"&amp;REGLAS!J1246&amp;"');")</f>
        <v>INSERT INTO INYCEXT.INYC_CONF_INF_REGLAS (COD_INFORME,TABLA,NOMBRE,REGLA,F_INICIO,F_FIN,DESCRIPCION) VALUES (107.1,'INYC_PEPI_E_RESUMEN','SM - Nº Pólizas Corregidas Inspector Hogar Mensual','SM-E-GEN-Inspector-NumeroPolizasCorregidas-Hogar-TotalMes',TO_DATE('20180101','yyyymmdd'),TO_DATE('22000101','yyyymmdd'),'Version 20180116');</v>
      </c>
      <c r="B1245" t="str">
        <f>IF(REGLAS!J1246="OBSOLETO","","INSERT INTO INYCEXT.INYC_CONF_INF_REGLAS@tc_link (COD_INFORME,TABLA,NOMBRE,REGLA,F_INICIO,F_FIN,DESCRIPCION) VALUES ("&amp;REGLAS!B1246&amp;",'"&amp;REGLAS!C1246&amp;"','"&amp;REGLAS!D1246&amp;"','"&amp;REGLAS!G1246&amp;"',TO_DATE('"&amp;REGLAS!H1246&amp;"','yyyymmdd'),TO_DATE('"&amp;REGLAS!I1246&amp;"','yyyymmdd'),'"&amp;REGLAS!J1246&amp;"');")</f>
        <v>INSERT INTO INYCEXT.INYC_CONF_INF_REGLAS@tc_link (COD_INFORME,TABLA,NOMBRE,REGLA,F_INICIO,F_FIN,DESCRIPCION) VALUES (107.1,'INYC_PEPI_E_RESUMEN','SM - Nº Pólizas Corregidas Inspector Hogar Mensual','SM-E-GEN-Inspector-NumeroPolizasCorregidas-Hogar-TotalMes',TO_DATE('20180101','yyyymmdd'),TO_DATE('22000101','yyyymmdd'),'Version 20180116');</v>
      </c>
    </row>
    <row r="1246" spans="1:2" x14ac:dyDescent="0.25">
      <c r="A1246" t="str">
        <f>IF(REGLAS!J1247="OBSOLETO","","INSERT INTO INYCEXT.INYC_CONF_INF_REGLAS (COD_INFORME,TABLA,NOMBRE,REGLA,F_INICIO,F_FIN,DESCRIPCION) VALUES ("&amp;REGLAS!B1247&amp;",'"&amp;REGLAS!C1247&amp;"','"&amp;REGLAS!D1247&amp;"','"&amp;REGLAS!G1247&amp;"',TO_DATE('"&amp;REGLAS!H1247&amp;"','yyyymmdd'),TO_DATE('"&amp;REGLAS!I1247&amp;"','yyyymmdd'),'"&amp;REGLAS!J1247&amp;"');")</f>
        <v>INSERT INTO INYCEXT.INYC_CONF_INF_REGLAS (COD_INFORME,TABLA,NOMBRE,REGLA,F_INICIO,F_FIN,DESCRIPCION) VALUES (107.1,'INYC_PEPI_E_RESUMEN','SM - Nº Pólizas Corregidas Inspector Comunidades Mensual','SM-E-GEN-Inspector-NumeroPolizasCorregidas-Comunidades-TotalMes',TO_DATE('20180101','yyyymmdd'),TO_DATE('22000101','yyyymmdd'),'Version 20180116');</v>
      </c>
      <c r="B1246" t="str">
        <f>IF(REGLAS!J1247="OBSOLETO","","INSERT INTO INYCEXT.INYC_CONF_INF_REGLAS@tc_link (COD_INFORME,TABLA,NOMBRE,REGLA,F_INICIO,F_FIN,DESCRIPCION) VALUES ("&amp;REGLAS!B1247&amp;",'"&amp;REGLAS!C1247&amp;"','"&amp;REGLAS!D1247&amp;"','"&amp;REGLAS!G1247&amp;"',TO_DATE('"&amp;REGLAS!H1247&amp;"','yyyymmdd'),TO_DATE('"&amp;REGLAS!I1247&amp;"','yyyymmdd'),'"&amp;REGLAS!J1247&amp;"');")</f>
        <v>INSERT INTO INYCEXT.INYC_CONF_INF_REGLAS@tc_link (COD_INFORME,TABLA,NOMBRE,REGLA,F_INICIO,F_FIN,DESCRIPCION) VALUES (107.1,'INYC_PEPI_E_RESUMEN','SM - Nº Pólizas Corregidas Inspector Comunidades Mensual','SM-E-GEN-Inspector-NumeroPolizasCorregidas-Comunidades-TotalMes',TO_DATE('20180101','yyyymmdd'),TO_DATE('22000101','yyyymmdd'),'Version 20180116');</v>
      </c>
    </row>
    <row r="1247" spans="1:2" x14ac:dyDescent="0.25">
      <c r="A1247" t="str">
        <f>IF(REGLAS!J1248="OBSOLETO","","INSERT INTO INYCEXT.INYC_CONF_INF_REGLAS (COD_INFORME,TABLA,NOMBRE,REGLA,F_INICIO,F_FIN,DESCRIPCION) VALUES ("&amp;REGLAS!B1248&amp;",'"&amp;REGLAS!C1248&amp;"','"&amp;REGLAS!D1248&amp;"','"&amp;REGLAS!G1248&amp;"',TO_DATE('"&amp;REGLAS!H1248&amp;"','yyyymmdd'),TO_DATE('"&amp;REGLAS!I1248&amp;"','yyyymmdd'),'"&amp;REGLAS!J1248&amp;"');")</f>
        <v>INSERT INTO INYCEXT.INYC_CONF_INF_REGLAS (COD_INFORME,TABLA,NOMBRE,REGLA,F_INICIO,F_FIN,DESCRIPCION) VALUES (107.1,'INYC_PEPI_E_RESUMEN','SM - Nº Pólizas Corregidas Inspector RRGG Mensual','SM-E-GEN-Inspector-NumeroPolizasCorregidas-RRGG-TotalMes',TO_DATE('20180101','yyyymmdd'),TO_DATE('22000101','yyyymmdd'),'Version 20180116');</v>
      </c>
      <c r="B1247" t="str">
        <f>IF(REGLAS!J1248="OBSOLETO","","INSERT INTO INYCEXT.INYC_CONF_INF_REGLAS@tc_link (COD_INFORME,TABLA,NOMBRE,REGLA,F_INICIO,F_FIN,DESCRIPCION) VALUES ("&amp;REGLAS!B1248&amp;",'"&amp;REGLAS!C1248&amp;"','"&amp;REGLAS!D1248&amp;"','"&amp;REGLAS!G1248&amp;"',TO_DATE('"&amp;REGLAS!H1248&amp;"','yyyymmdd'),TO_DATE('"&amp;REGLAS!I1248&amp;"','yyyymmdd'),'"&amp;REGLAS!J1248&amp;"');")</f>
        <v>INSERT INTO INYCEXT.INYC_CONF_INF_REGLAS@tc_link (COD_INFORME,TABLA,NOMBRE,REGLA,F_INICIO,F_FIN,DESCRIPCION) VALUES (107.1,'INYC_PEPI_E_RESUMEN','SM - Nº Pólizas Corregidas Inspector RRGG Mensual','SM-E-GEN-Inspector-NumeroPolizasCorregidas-RRGG-TotalMes',TO_DATE('20180101','yyyymmdd'),TO_DATE('22000101','yyyymmdd'),'Version 20180116');</v>
      </c>
    </row>
    <row r="1248" spans="1:2" x14ac:dyDescent="0.25">
      <c r="A1248" t="str">
        <f>IF(REGLAS!J1249="OBSOLETO","","INSERT INTO INYCEXT.INYC_CONF_INF_REGLAS (COD_INFORME,TABLA,NOMBRE,REGLA,F_INICIO,F_FIN,DESCRIPCION) VALUES ("&amp;REGLAS!B1249&amp;",'"&amp;REGLAS!C1249&amp;"','"&amp;REGLAS!D1249&amp;"','"&amp;REGLAS!G1249&amp;"',TO_DATE('"&amp;REGLAS!H1249&amp;"','yyyymmdd'),TO_DATE('"&amp;REGLAS!I1249&amp;"','yyyymmdd'),'"&amp;REGLAS!J1249&amp;"');")</f>
        <v>INSERT INTO INYCEXT.INYC_CONF_INF_REGLAS (COD_INFORME,TABLA,NOMBRE,REGLA,F_INICIO,F_FIN,DESCRIPCION) VALUES (107.1,'INYC_PEPI_E_RESUMEN','SM - Nº Pólizas Corregidas Inspector RRTT Mensual','SM-E-GEN-Inspector-NumeroPolizasCorregidas-Decesos-TotalMes',TO_DATE('20180101','yyyymmdd'),TO_DATE('22000101','yyyymmdd'),'Version 20180116');</v>
      </c>
      <c r="B1248" t="str">
        <f>IF(REGLAS!J1249="OBSOLETO","","INSERT INTO INYCEXT.INYC_CONF_INF_REGLAS@tc_link (COD_INFORME,TABLA,NOMBRE,REGLA,F_INICIO,F_FIN,DESCRIPCION) VALUES ("&amp;REGLAS!B1249&amp;",'"&amp;REGLAS!C1249&amp;"','"&amp;REGLAS!D1249&amp;"','"&amp;REGLAS!G1249&amp;"',TO_DATE('"&amp;REGLAS!H1249&amp;"','yyyymmdd'),TO_DATE('"&amp;REGLAS!I1249&amp;"','yyyymmdd'),'"&amp;REGLAS!J1249&amp;"');")</f>
        <v>INSERT INTO INYCEXT.INYC_CONF_INF_REGLAS@tc_link (COD_INFORME,TABLA,NOMBRE,REGLA,F_INICIO,F_FIN,DESCRIPCION) VALUES (107.1,'INYC_PEPI_E_RESUMEN','SM - Nº Pólizas Corregidas Inspector RRTT Mensual','SM-E-GEN-Inspector-NumeroPolizasCorregidas-Decesos-TotalMes',TO_DATE('20180101','yyyymmdd'),TO_DATE('22000101','yyyymmdd'),'Version 20180116');</v>
      </c>
    </row>
    <row r="1249" spans="1:2" x14ac:dyDescent="0.25">
      <c r="A1249" t="str">
        <f>IF(REGLAS!J1250="OBSOLETO","","INSERT INTO INYCEXT.INYC_CONF_INF_REGLAS (COD_INFORME,TABLA,NOMBRE,REGLA,F_INICIO,F_FIN,DESCRIPCION) VALUES ("&amp;REGLAS!B1250&amp;",'"&amp;REGLAS!C1250&amp;"','"&amp;REGLAS!D1250&amp;"','"&amp;REGLAS!G1250&amp;"',TO_DATE('"&amp;REGLAS!H1250&amp;"','yyyymmdd'),TO_DATE('"&amp;REGLAS!I1250&amp;"','yyyymmdd'),'"&amp;REGLAS!J1250&amp;"');")</f>
        <v>INSERT INTO INYCEXT.INYC_CONF_INF_REGLAS (COD_INFORME,TABLA,NOMBRE,REGLA,F_INICIO,F_FIN,DESCRIPCION) VALUES (107.1,'INYC_PEPI_E_RESUMEN','SM - Nº Pólizas Corregidas Inspector Prod. Prioritarios Mensual','SM-E-GEN-Inspector-NumeroPolizasCorregidas-ProdPrioritarios-TotalMes',TO_DATE('20180101','yyyymmdd'),TO_DATE('22000101','yyyymmdd'),'Version 20180116');</v>
      </c>
      <c r="B1249" t="str">
        <f>IF(REGLAS!J1250="OBSOLETO","","INSERT INTO INYCEXT.INYC_CONF_INF_REGLAS@tc_link (COD_INFORME,TABLA,NOMBRE,REGLA,F_INICIO,F_FIN,DESCRIPCION) VALUES ("&amp;REGLAS!B1250&amp;",'"&amp;REGLAS!C1250&amp;"','"&amp;REGLAS!D1250&amp;"','"&amp;REGLAS!G1250&amp;"',TO_DATE('"&amp;REGLAS!H1250&amp;"','yyyymmdd'),TO_DATE('"&amp;REGLAS!I1250&amp;"','yyyymmdd'),'"&amp;REGLAS!J1250&amp;"');")</f>
        <v>INSERT INTO INYCEXT.INYC_CONF_INF_REGLAS@tc_link (COD_INFORME,TABLA,NOMBRE,REGLA,F_INICIO,F_FIN,DESCRIPCION) VALUES (107.1,'INYC_PEPI_E_RESUMEN','SM - Nº Pólizas Corregidas Inspector Prod. Prioritarios Mensual','SM-E-GEN-Inspector-NumeroPolizasCorregidas-ProdPrioritarios-TotalMes',TO_DATE('20180101','yyyymmdd'),TO_DATE('22000101','yyyymmdd'),'Version 20180116');</v>
      </c>
    </row>
    <row r="1250" spans="1:2" x14ac:dyDescent="0.25">
      <c r="A1250" t="str">
        <f>IF(REGLAS!J1251="OBSOLETO","","INSERT INTO INYCEXT.INYC_CONF_INF_REGLAS (COD_INFORME,TABLA,NOMBRE,REGLA,F_INICIO,F_FIN,DESCRIPCION) VALUES ("&amp;REGLAS!B1251&amp;",'"&amp;REGLAS!C1251&amp;"','"&amp;REGLAS!D1251&amp;"','"&amp;REGLAS!G1251&amp;"',TO_DATE('"&amp;REGLAS!H1251&amp;"','yyyymmdd'),TO_DATE('"&amp;REGLAS!I1251&amp;"','yyyymmdd'),'"&amp;REGLAS!J1251&amp;"');")</f>
        <v>INSERT INTO INYCEXT.INYC_CONF_INF_REGLAS (COD_INFORME,TABLA,NOMBRE,REGLA,F_INICIO,F_FIN,DESCRIPCION) VALUES (107.1,'INYC_PEPI_E_RESUMEN','SM - Nº Pólizas Corregidas Inspector Otros Decesos Mensual','SM-E-GEN-Inspector-NumeroPolizasCorregidas-OtrosDecesos-TotalMes',TO_DATE('20180101','yyyymmdd'),TO_DATE('22000101','yyyymmdd'),'Version 20180116');</v>
      </c>
      <c r="B1250" t="str">
        <f>IF(REGLAS!J1251="OBSOLETO","","INSERT INTO INYCEXT.INYC_CONF_INF_REGLAS@tc_link (COD_INFORME,TABLA,NOMBRE,REGLA,F_INICIO,F_FIN,DESCRIPCION) VALUES ("&amp;REGLAS!B1251&amp;",'"&amp;REGLAS!C1251&amp;"','"&amp;REGLAS!D1251&amp;"','"&amp;REGLAS!G1251&amp;"',TO_DATE('"&amp;REGLAS!H1251&amp;"','yyyymmdd'),TO_DATE('"&amp;REGLAS!I1251&amp;"','yyyymmdd'),'"&amp;REGLAS!J1251&amp;"');")</f>
        <v>INSERT INTO INYCEXT.INYC_CONF_INF_REGLAS@tc_link (COD_INFORME,TABLA,NOMBRE,REGLA,F_INICIO,F_FIN,DESCRIPCION) VALUES (107.1,'INYC_PEPI_E_RESUMEN','SM - Nº Pólizas Corregidas Inspector Otros Decesos Mensual','SM-E-GEN-Inspector-NumeroPolizasCorregidas-OtrosDecesos-TotalMes',TO_DATE('20180101','yyyymmdd'),TO_DATE('22000101','yyyymmdd'),'Version 20180116');</v>
      </c>
    </row>
    <row r="1251" spans="1:2" x14ac:dyDescent="0.25">
      <c r="A1251" t="str">
        <f>IF(REGLAS!J1252="OBSOLETO","","INSERT INTO INYCEXT.INYC_CONF_INF_REGLAS (COD_INFORME,TABLA,NOMBRE,REGLA,F_INICIO,F_FIN,DESCRIPCION) VALUES ("&amp;REGLAS!B1252&amp;",'"&amp;REGLAS!C1252&amp;"','"&amp;REGLAS!D1252&amp;"','"&amp;REGLAS!G1252&amp;"',TO_DATE('"&amp;REGLAS!H1252&amp;"','yyyymmdd'),TO_DATE('"&amp;REGLAS!I1252&amp;"','yyyymmdd'),'"&amp;REGLAS!J1252&amp;"');")</f>
        <v>INSERT INTO INYCEXT.INYC_CONF_INF_REGLAS (COD_INFORME,TABLA,NOMBRE,REGLA,F_INICIO,F_FIN,DESCRIPCION) VALUES (107.1,'INYC_PEPI_E_RESUMEN','SM - Nº Pólizas Corregidas Inspector Total Productos Mensual','SM-E-GEN-Inspector-NumeroPolizasCorregidas-TotalProduccion-TotalMes',TO_DATE('20180101','yyyymmdd'),TO_DATE('22000101','yyyymmdd'),'Version 20180116');</v>
      </c>
      <c r="B1251" t="str">
        <f>IF(REGLAS!J1252="OBSOLETO","","INSERT INTO INYCEXT.INYC_CONF_INF_REGLAS@tc_link (COD_INFORME,TABLA,NOMBRE,REGLA,F_INICIO,F_FIN,DESCRIPCION) VALUES ("&amp;REGLAS!B1252&amp;",'"&amp;REGLAS!C1252&amp;"','"&amp;REGLAS!D1252&amp;"','"&amp;REGLAS!G1252&amp;"',TO_DATE('"&amp;REGLAS!H1252&amp;"','yyyymmdd'),TO_DATE('"&amp;REGLAS!I1252&amp;"','yyyymmdd'),'"&amp;REGLAS!J1252&amp;"');")</f>
        <v>INSERT INTO INYCEXT.INYC_CONF_INF_REGLAS@tc_link (COD_INFORME,TABLA,NOMBRE,REGLA,F_INICIO,F_FIN,DESCRIPCION) VALUES (107.1,'INYC_PEPI_E_RESUMEN','SM - Nº Pólizas Corregidas Inspector Total Productos Mensual','SM-E-GEN-Inspector-NumeroPolizasCorregidas-TotalProduccion-TotalMes',TO_DATE('20180101','yyyymmdd'),TO_DATE('22000101','yyyymmdd'),'Version 20180116');</v>
      </c>
    </row>
    <row r="1252" spans="1:2" x14ac:dyDescent="0.25">
      <c r="A1252" t="str">
        <f>IF(REGLAS!J1253="OBSOLETO","","INSERT INTO INYCEXT.INYC_CONF_INF_REGLAS (COD_INFORME,TABLA,NOMBRE,REGLA,F_INICIO,F_FIN,DESCRIPCION) VALUES ("&amp;REGLAS!B1253&amp;",'"&amp;REGLAS!C1253&amp;"','"&amp;REGLAS!D1253&amp;"','"&amp;REGLAS!G1253&amp;"',TO_DATE('"&amp;REGLAS!H1253&amp;"','yyyymmdd'),TO_DATE('"&amp;REGLAS!I1253&amp;"','yyyymmdd'),'"&amp;REGLAS!J1253&amp;"');")</f>
        <v>INSERT INTO INYCEXT.INYC_CONF_INF_REGLAS (COD_INFORME,TABLA,NOMBRE,REGLA,F_INICIO,F_FIN,DESCRIPCION) VALUES (107.1,'INYC_PEPI_E_RESUMEN','SM - Prima Inspector Accidentes Mensual','SM-E-GEN-Inspector-Prima-Accidente-TotalMes',TO_DATE('20180101','yyyymmdd'),TO_DATE('22000101','yyyymmdd'),'Version 20180116');</v>
      </c>
      <c r="B1252" t="str">
        <f>IF(REGLAS!J1253="OBSOLETO","","INSERT INTO INYCEXT.INYC_CONF_INF_REGLAS@tc_link (COD_INFORME,TABLA,NOMBRE,REGLA,F_INICIO,F_FIN,DESCRIPCION) VALUES ("&amp;REGLAS!B1253&amp;",'"&amp;REGLAS!C1253&amp;"','"&amp;REGLAS!D1253&amp;"','"&amp;REGLAS!G1253&amp;"',TO_DATE('"&amp;REGLAS!H1253&amp;"','yyyymmdd'),TO_DATE('"&amp;REGLAS!I1253&amp;"','yyyymmdd'),'"&amp;REGLAS!J1253&amp;"');")</f>
        <v>INSERT INTO INYCEXT.INYC_CONF_INF_REGLAS@tc_link (COD_INFORME,TABLA,NOMBRE,REGLA,F_INICIO,F_FIN,DESCRIPCION) VALUES (107.1,'INYC_PEPI_E_RESUMEN','SM - Prima Inspector Accidentes Mensual','SM-E-GEN-Inspector-Prima-Accidente-TotalMes',TO_DATE('20180101','yyyymmdd'),TO_DATE('22000101','yyyymmdd'),'Version 20180116');</v>
      </c>
    </row>
    <row r="1253" spans="1:2" x14ac:dyDescent="0.25">
      <c r="A1253" t="str">
        <f>IF(REGLAS!J1254="OBSOLETO","","INSERT INTO INYCEXT.INYC_CONF_INF_REGLAS (COD_INFORME,TABLA,NOMBRE,REGLA,F_INICIO,F_FIN,DESCRIPCION) VALUES ("&amp;REGLAS!B1254&amp;",'"&amp;REGLAS!C1254&amp;"','"&amp;REGLAS!D1254&amp;"','"&amp;REGLAS!G1254&amp;"',TO_DATE('"&amp;REGLAS!H1254&amp;"','yyyymmdd'),TO_DATE('"&amp;REGLAS!I1254&amp;"','yyyymmdd'),'"&amp;REGLAS!J1254&amp;"');")</f>
        <v>INSERT INTO INYCEXT.INYC_CONF_INF_REGLAS (COD_INFORME,TABLA,NOMBRE,REGLA,F_INICIO,F_FIN,DESCRIPCION) VALUES (107.1,'INYC_PEPI_E_RESUMEN','SM - Prima Inspector Hogar Mensual','SM-E-GEN-Inspector-Prima-Hogar-TotalMes',TO_DATE('20180101','yyyymmdd'),TO_DATE('22000101','yyyymmdd'),'Version 20180116');</v>
      </c>
      <c r="B1253" t="str">
        <f>IF(REGLAS!J1254="OBSOLETO","","INSERT INTO INYCEXT.INYC_CONF_INF_REGLAS@tc_link (COD_INFORME,TABLA,NOMBRE,REGLA,F_INICIO,F_FIN,DESCRIPCION) VALUES ("&amp;REGLAS!B1254&amp;",'"&amp;REGLAS!C1254&amp;"','"&amp;REGLAS!D1254&amp;"','"&amp;REGLAS!G1254&amp;"',TO_DATE('"&amp;REGLAS!H1254&amp;"','yyyymmdd'),TO_DATE('"&amp;REGLAS!I1254&amp;"','yyyymmdd'),'"&amp;REGLAS!J1254&amp;"');")</f>
        <v>INSERT INTO INYCEXT.INYC_CONF_INF_REGLAS@tc_link (COD_INFORME,TABLA,NOMBRE,REGLA,F_INICIO,F_FIN,DESCRIPCION) VALUES (107.1,'INYC_PEPI_E_RESUMEN','SM - Prima Inspector Hogar Mensual','SM-E-GEN-Inspector-Prima-Hogar-TotalMes',TO_DATE('20180101','yyyymmdd'),TO_DATE('22000101','yyyymmdd'),'Version 20180116');</v>
      </c>
    </row>
    <row r="1254" spans="1:2" x14ac:dyDescent="0.25">
      <c r="A1254" t="str">
        <f>IF(REGLAS!J1255="OBSOLETO","","INSERT INTO INYCEXT.INYC_CONF_INF_REGLAS (COD_INFORME,TABLA,NOMBRE,REGLA,F_INICIO,F_FIN,DESCRIPCION) VALUES ("&amp;REGLAS!B1255&amp;",'"&amp;REGLAS!C1255&amp;"','"&amp;REGLAS!D1255&amp;"','"&amp;REGLAS!G1255&amp;"',TO_DATE('"&amp;REGLAS!H1255&amp;"','yyyymmdd'),TO_DATE('"&amp;REGLAS!I1255&amp;"','yyyymmdd'),'"&amp;REGLAS!J1255&amp;"');")</f>
        <v>INSERT INTO INYCEXT.INYC_CONF_INF_REGLAS (COD_INFORME,TABLA,NOMBRE,REGLA,F_INICIO,F_FIN,DESCRIPCION) VALUES (107.1,'INYC_PEPI_E_RESUMEN','SM - Prima Inspector Comunidades Mensual','SM-E-GEN-Inspector-Prima-Comunidades-TotalMes',TO_DATE('20180101','yyyymmdd'),TO_DATE('22000101','yyyymmdd'),'Version 20180116');</v>
      </c>
      <c r="B1254" t="str">
        <f>IF(REGLAS!J1255="OBSOLETO","","INSERT INTO INYCEXT.INYC_CONF_INF_REGLAS@tc_link (COD_INFORME,TABLA,NOMBRE,REGLA,F_INICIO,F_FIN,DESCRIPCION) VALUES ("&amp;REGLAS!B1255&amp;",'"&amp;REGLAS!C1255&amp;"','"&amp;REGLAS!D1255&amp;"','"&amp;REGLAS!G1255&amp;"',TO_DATE('"&amp;REGLAS!H1255&amp;"','yyyymmdd'),TO_DATE('"&amp;REGLAS!I1255&amp;"','yyyymmdd'),'"&amp;REGLAS!J1255&amp;"');")</f>
        <v>INSERT INTO INYCEXT.INYC_CONF_INF_REGLAS@tc_link (COD_INFORME,TABLA,NOMBRE,REGLA,F_INICIO,F_FIN,DESCRIPCION) VALUES (107.1,'INYC_PEPI_E_RESUMEN','SM - Prima Inspector Comunidades Mensual','SM-E-GEN-Inspector-Prima-Comunidades-TotalMes',TO_DATE('20180101','yyyymmdd'),TO_DATE('22000101','yyyymmdd'),'Version 20180116');</v>
      </c>
    </row>
    <row r="1255" spans="1:2" x14ac:dyDescent="0.25">
      <c r="A1255" t="str">
        <f>IF(REGLAS!J1256="OBSOLETO","","INSERT INTO INYCEXT.INYC_CONF_INF_REGLAS (COD_INFORME,TABLA,NOMBRE,REGLA,F_INICIO,F_FIN,DESCRIPCION) VALUES ("&amp;REGLAS!B1256&amp;",'"&amp;REGLAS!C1256&amp;"','"&amp;REGLAS!D1256&amp;"','"&amp;REGLAS!G1256&amp;"',TO_DATE('"&amp;REGLAS!H1256&amp;"','yyyymmdd'),TO_DATE('"&amp;REGLAS!I1256&amp;"','yyyymmdd'),'"&amp;REGLAS!J1256&amp;"');")</f>
        <v>INSERT INTO INYCEXT.INYC_CONF_INF_REGLAS (COD_INFORME,TABLA,NOMBRE,REGLA,F_INICIO,F_FIN,DESCRIPCION) VALUES (107.1,'INYC_PEPI_E_RESUMEN','SM - Prima Inspector RRGG Mensual','SM-E-GEN-Inspector-Prima-RRGG-TotalMes',TO_DATE('20180101','yyyymmdd'),TO_DATE('22000101','yyyymmdd'),'Version 20180116');</v>
      </c>
      <c r="B1255" t="str">
        <f>IF(REGLAS!J1256="OBSOLETO","","INSERT INTO INYCEXT.INYC_CONF_INF_REGLAS@tc_link (COD_INFORME,TABLA,NOMBRE,REGLA,F_INICIO,F_FIN,DESCRIPCION) VALUES ("&amp;REGLAS!B1256&amp;",'"&amp;REGLAS!C1256&amp;"','"&amp;REGLAS!D1256&amp;"','"&amp;REGLAS!G1256&amp;"',TO_DATE('"&amp;REGLAS!H1256&amp;"','yyyymmdd'),TO_DATE('"&amp;REGLAS!I1256&amp;"','yyyymmdd'),'"&amp;REGLAS!J1256&amp;"');")</f>
        <v>INSERT INTO INYCEXT.INYC_CONF_INF_REGLAS@tc_link (COD_INFORME,TABLA,NOMBRE,REGLA,F_INICIO,F_FIN,DESCRIPCION) VALUES (107.1,'INYC_PEPI_E_RESUMEN','SM - Prima Inspector RRGG Mensual','SM-E-GEN-Inspector-Prima-RRGG-TotalMes',TO_DATE('20180101','yyyymmdd'),TO_DATE('22000101','yyyymmdd'),'Version 20180116');</v>
      </c>
    </row>
    <row r="1256" spans="1:2" x14ac:dyDescent="0.25">
      <c r="A1256" t="str">
        <f>IF(REGLAS!J1257="OBSOLETO","","INSERT INTO INYCEXT.INYC_CONF_INF_REGLAS (COD_INFORME,TABLA,NOMBRE,REGLA,F_INICIO,F_FIN,DESCRIPCION) VALUES ("&amp;REGLAS!B1257&amp;",'"&amp;REGLAS!C1257&amp;"','"&amp;REGLAS!D1257&amp;"','"&amp;REGLAS!G1257&amp;"',TO_DATE('"&amp;REGLAS!H1257&amp;"','yyyymmdd'),TO_DATE('"&amp;REGLAS!I1257&amp;"','yyyymmdd'),'"&amp;REGLAS!J1257&amp;"');")</f>
        <v>INSERT INTO INYCEXT.INYC_CONF_INF_REGLAS (COD_INFORME,TABLA,NOMBRE,REGLA,F_INICIO,F_FIN,DESCRIPCION) VALUES (107.1,'INYC_PEPI_E_RESUMEN','SM - Prima Inspector RRTT Mensual','SM-E-GEN-Inspector-Prima-Decesos-TotalMes',TO_DATE('20180101','yyyymmdd'),TO_DATE('22000101','yyyymmdd'),'Version 20180116');</v>
      </c>
      <c r="B1256" t="str">
        <f>IF(REGLAS!J1257="OBSOLETO","","INSERT INTO INYCEXT.INYC_CONF_INF_REGLAS@tc_link (COD_INFORME,TABLA,NOMBRE,REGLA,F_INICIO,F_FIN,DESCRIPCION) VALUES ("&amp;REGLAS!B1257&amp;",'"&amp;REGLAS!C1257&amp;"','"&amp;REGLAS!D1257&amp;"','"&amp;REGLAS!G1257&amp;"',TO_DATE('"&amp;REGLAS!H1257&amp;"','yyyymmdd'),TO_DATE('"&amp;REGLAS!I1257&amp;"','yyyymmdd'),'"&amp;REGLAS!J1257&amp;"');")</f>
        <v>INSERT INTO INYCEXT.INYC_CONF_INF_REGLAS@tc_link (COD_INFORME,TABLA,NOMBRE,REGLA,F_INICIO,F_FIN,DESCRIPCION) VALUES (107.1,'INYC_PEPI_E_RESUMEN','SM - Prima Inspector RRTT Mensual','SM-E-GEN-Inspector-Prima-Decesos-TotalMes',TO_DATE('20180101','yyyymmdd'),TO_DATE('22000101','yyyymmdd'),'Version 20180116');</v>
      </c>
    </row>
    <row r="1257" spans="1:2" x14ac:dyDescent="0.25">
      <c r="A1257" t="str">
        <f>IF(REGLAS!J1258="OBSOLETO","","INSERT INTO INYCEXT.INYC_CONF_INF_REGLAS (COD_INFORME,TABLA,NOMBRE,REGLA,F_INICIO,F_FIN,DESCRIPCION) VALUES ("&amp;REGLAS!B1258&amp;",'"&amp;REGLAS!C1258&amp;"','"&amp;REGLAS!D1258&amp;"','"&amp;REGLAS!G1258&amp;"',TO_DATE('"&amp;REGLAS!H1258&amp;"','yyyymmdd'),TO_DATE('"&amp;REGLAS!I1258&amp;"','yyyymmdd'),'"&amp;REGLAS!J1258&amp;"');")</f>
        <v>INSERT INTO INYCEXT.INYC_CONF_INF_REGLAS (COD_INFORME,TABLA,NOMBRE,REGLA,F_INICIO,F_FIN,DESCRIPCION) VALUES (107.1,'INYC_PEPI_E_RESUMEN','SM - Prima Inspector Prod. Prioritarios Mensual','SM-E-GEN-Inspector-Prima-ProdPrioritarios-TotalMes',TO_DATE('20180101','yyyymmdd'),TO_DATE('22000101','yyyymmdd'),'Version 20180116');</v>
      </c>
      <c r="B1257" t="str">
        <f>IF(REGLAS!J1258="OBSOLETO","","INSERT INTO INYCEXT.INYC_CONF_INF_REGLAS@tc_link (COD_INFORME,TABLA,NOMBRE,REGLA,F_INICIO,F_FIN,DESCRIPCION) VALUES ("&amp;REGLAS!B1258&amp;",'"&amp;REGLAS!C1258&amp;"','"&amp;REGLAS!D1258&amp;"','"&amp;REGLAS!G1258&amp;"',TO_DATE('"&amp;REGLAS!H1258&amp;"','yyyymmdd'),TO_DATE('"&amp;REGLAS!I1258&amp;"','yyyymmdd'),'"&amp;REGLAS!J1258&amp;"');")</f>
        <v>INSERT INTO INYCEXT.INYC_CONF_INF_REGLAS@tc_link (COD_INFORME,TABLA,NOMBRE,REGLA,F_INICIO,F_FIN,DESCRIPCION) VALUES (107.1,'INYC_PEPI_E_RESUMEN','SM - Prima Inspector Prod. Prioritarios Mensual','SM-E-GEN-Inspector-Prima-ProdPrioritarios-TotalMes',TO_DATE('20180101','yyyymmdd'),TO_DATE('22000101','yyyymmdd'),'Version 20180116');</v>
      </c>
    </row>
    <row r="1258" spans="1:2" x14ac:dyDescent="0.25">
      <c r="A1258" t="str">
        <f>IF(REGLAS!J1259="OBSOLETO","","INSERT INTO INYCEXT.INYC_CONF_INF_REGLAS (COD_INFORME,TABLA,NOMBRE,REGLA,F_INICIO,F_FIN,DESCRIPCION) VALUES ("&amp;REGLAS!B1259&amp;",'"&amp;REGLAS!C1259&amp;"','"&amp;REGLAS!D1259&amp;"','"&amp;REGLAS!G1259&amp;"',TO_DATE('"&amp;REGLAS!H1259&amp;"','yyyymmdd'),TO_DATE('"&amp;REGLAS!I1259&amp;"','yyyymmdd'),'"&amp;REGLAS!J1259&amp;"');")</f>
        <v>INSERT INTO INYCEXT.INYC_CONF_INF_REGLAS (COD_INFORME,TABLA,NOMBRE,REGLA,F_INICIO,F_FIN,DESCRIPCION) VALUES (107.1,'INYC_PEPI_E_RESUMEN','SM - Prima Inspector Otros Decesos Mensual','SM-E-GEN-Inspector-Prima-OtrosDecesos-TotalMes',TO_DATE('20180101','yyyymmdd'),TO_DATE('22000101','yyyymmdd'),'Version 20180116');</v>
      </c>
      <c r="B1258" t="str">
        <f>IF(REGLAS!J1259="OBSOLETO","","INSERT INTO INYCEXT.INYC_CONF_INF_REGLAS@tc_link (COD_INFORME,TABLA,NOMBRE,REGLA,F_INICIO,F_FIN,DESCRIPCION) VALUES ("&amp;REGLAS!B1259&amp;",'"&amp;REGLAS!C1259&amp;"','"&amp;REGLAS!D1259&amp;"','"&amp;REGLAS!G1259&amp;"',TO_DATE('"&amp;REGLAS!H1259&amp;"','yyyymmdd'),TO_DATE('"&amp;REGLAS!I1259&amp;"','yyyymmdd'),'"&amp;REGLAS!J1259&amp;"');")</f>
        <v>INSERT INTO INYCEXT.INYC_CONF_INF_REGLAS@tc_link (COD_INFORME,TABLA,NOMBRE,REGLA,F_INICIO,F_FIN,DESCRIPCION) VALUES (107.1,'INYC_PEPI_E_RESUMEN','SM - Prima Inspector Otros Decesos Mensual','SM-E-GEN-Inspector-Prima-OtrosDecesos-TotalMes',TO_DATE('20180101','yyyymmdd'),TO_DATE('22000101','yyyymmdd'),'Version 20180116');</v>
      </c>
    </row>
    <row r="1259" spans="1:2" x14ac:dyDescent="0.25">
      <c r="A1259" t="str">
        <f>IF(REGLAS!J1260="OBSOLETO","","INSERT INTO INYCEXT.INYC_CONF_INF_REGLAS (COD_INFORME,TABLA,NOMBRE,REGLA,F_INICIO,F_FIN,DESCRIPCION) VALUES ("&amp;REGLAS!B1260&amp;",'"&amp;REGLAS!C1260&amp;"','"&amp;REGLAS!D1260&amp;"','"&amp;REGLAS!G1260&amp;"',TO_DATE('"&amp;REGLAS!H1260&amp;"','yyyymmdd'),TO_DATE('"&amp;REGLAS!I1260&amp;"','yyyymmdd'),'"&amp;REGLAS!J1260&amp;"');")</f>
        <v>INSERT INTO INYCEXT.INYC_CONF_INF_REGLAS (COD_INFORME,TABLA,NOMBRE,REGLA,F_INICIO,F_FIN,DESCRIPCION) VALUES (107.1,'INYC_PEPI_E_RESUMEN','SM - Prima Inspector Total Productos Mensual','SM-E-GEN-Inspector-Prima-TotalProduccion-TotalMes',TO_DATE('20180101','yyyymmdd'),TO_DATE('22000101','yyyymmdd'),'Version 20180116');</v>
      </c>
      <c r="B1259" t="str">
        <f>IF(REGLAS!J1260="OBSOLETO","","INSERT INTO INYCEXT.INYC_CONF_INF_REGLAS@tc_link (COD_INFORME,TABLA,NOMBRE,REGLA,F_INICIO,F_FIN,DESCRIPCION) VALUES ("&amp;REGLAS!B1260&amp;",'"&amp;REGLAS!C1260&amp;"','"&amp;REGLAS!D1260&amp;"','"&amp;REGLAS!G1260&amp;"',TO_DATE('"&amp;REGLAS!H1260&amp;"','yyyymmdd'),TO_DATE('"&amp;REGLAS!I1260&amp;"','yyyymmdd'),'"&amp;REGLAS!J1260&amp;"');")</f>
        <v>INSERT INTO INYCEXT.INYC_CONF_INF_REGLAS@tc_link (COD_INFORME,TABLA,NOMBRE,REGLA,F_INICIO,F_FIN,DESCRIPCION) VALUES (107.1,'INYC_PEPI_E_RESUMEN','SM - Prima Inspector Total Productos Mensual','SM-E-GEN-Inspector-Prima-TotalProduccion-TotalMes',TO_DATE('20180101','yyyymmdd'),TO_DATE('22000101','yyyymmdd'),'Version 20180116');</v>
      </c>
    </row>
    <row r="1260" spans="1:2" x14ac:dyDescent="0.25">
      <c r="A1260" t="str">
        <f>IF(REGLAS!J1261="OBSOLETO","","INSERT INTO INYCEXT.INYC_CONF_INF_REGLAS (COD_INFORME,TABLA,NOMBRE,REGLA,F_INICIO,F_FIN,DESCRIPCION) VALUES ("&amp;REGLAS!B1261&amp;",'"&amp;REGLAS!C1261&amp;"','"&amp;REGLAS!D1261&amp;"','"&amp;REGLAS!G1261&amp;"',TO_DATE('"&amp;REGLAS!H1261&amp;"','yyyymmdd'),TO_DATE('"&amp;REGLAS!I1261&amp;"','yyyymmdd'),'"&amp;REGLAS!J1261&amp;"');")</f>
        <v>INSERT INTO INYCEXT.INYC_CONF_INF_REGLAS (COD_INFORME,TABLA,NOMBRE,REGLA,F_INICIO,F_FIN,DESCRIPCION) VALUES (107.1,'INYC_PEPI_E_RESUMEN','SM - Prima Corregida Inspector Accidentes Mensual','SM-E-GEN-Inspector-PrimaCorregida-Accidente-TotalMes',TO_DATE('20180101','yyyymmdd'),TO_DATE('22000101','yyyymmdd'),'Version 20180116');</v>
      </c>
      <c r="B1260" t="str">
        <f>IF(REGLAS!J1261="OBSOLETO","","INSERT INTO INYCEXT.INYC_CONF_INF_REGLAS@tc_link (COD_INFORME,TABLA,NOMBRE,REGLA,F_INICIO,F_FIN,DESCRIPCION) VALUES ("&amp;REGLAS!B1261&amp;",'"&amp;REGLAS!C1261&amp;"','"&amp;REGLAS!D1261&amp;"','"&amp;REGLAS!G1261&amp;"',TO_DATE('"&amp;REGLAS!H1261&amp;"','yyyymmdd'),TO_DATE('"&amp;REGLAS!I1261&amp;"','yyyymmdd'),'"&amp;REGLAS!J1261&amp;"');")</f>
        <v>INSERT INTO INYCEXT.INYC_CONF_INF_REGLAS@tc_link (COD_INFORME,TABLA,NOMBRE,REGLA,F_INICIO,F_FIN,DESCRIPCION) VALUES (107.1,'INYC_PEPI_E_RESUMEN','SM - Prima Corregida Inspector Accidentes Mensual','SM-E-GEN-Inspector-PrimaCorregida-Accidente-TotalMes',TO_DATE('20180101','yyyymmdd'),TO_DATE('22000101','yyyymmdd'),'Version 20180116');</v>
      </c>
    </row>
    <row r="1261" spans="1:2" x14ac:dyDescent="0.25">
      <c r="A1261" t="str">
        <f>IF(REGLAS!J1262="OBSOLETO","","INSERT INTO INYCEXT.INYC_CONF_INF_REGLAS (COD_INFORME,TABLA,NOMBRE,REGLA,F_INICIO,F_FIN,DESCRIPCION) VALUES ("&amp;REGLAS!B1262&amp;",'"&amp;REGLAS!C1262&amp;"','"&amp;REGLAS!D1262&amp;"','"&amp;REGLAS!G1262&amp;"',TO_DATE('"&amp;REGLAS!H1262&amp;"','yyyymmdd'),TO_DATE('"&amp;REGLAS!I1262&amp;"','yyyymmdd'),'"&amp;REGLAS!J1262&amp;"');")</f>
        <v>INSERT INTO INYCEXT.INYC_CONF_INF_REGLAS (COD_INFORME,TABLA,NOMBRE,REGLA,F_INICIO,F_FIN,DESCRIPCION) VALUES (107.1,'INYC_PEPI_E_RESUMEN','SM - Prima Corregida Inspector Hogar Mensual','SM-E-GEN-Inspector-PrimaCorregida-Hogar-TotalMes',TO_DATE('20180101','yyyymmdd'),TO_DATE('22000101','yyyymmdd'),'Version 20180116');</v>
      </c>
      <c r="B1261" t="str">
        <f>IF(REGLAS!J1262="OBSOLETO","","INSERT INTO INYCEXT.INYC_CONF_INF_REGLAS@tc_link (COD_INFORME,TABLA,NOMBRE,REGLA,F_INICIO,F_FIN,DESCRIPCION) VALUES ("&amp;REGLAS!B1262&amp;",'"&amp;REGLAS!C1262&amp;"','"&amp;REGLAS!D1262&amp;"','"&amp;REGLAS!G1262&amp;"',TO_DATE('"&amp;REGLAS!H1262&amp;"','yyyymmdd'),TO_DATE('"&amp;REGLAS!I1262&amp;"','yyyymmdd'),'"&amp;REGLAS!J1262&amp;"');")</f>
        <v>INSERT INTO INYCEXT.INYC_CONF_INF_REGLAS@tc_link (COD_INFORME,TABLA,NOMBRE,REGLA,F_INICIO,F_FIN,DESCRIPCION) VALUES (107.1,'INYC_PEPI_E_RESUMEN','SM - Prima Corregida Inspector Hogar Mensual','SM-E-GEN-Inspector-PrimaCorregida-Hogar-TotalMes',TO_DATE('20180101','yyyymmdd'),TO_DATE('22000101','yyyymmdd'),'Version 20180116');</v>
      </c>
    </row>
    <row r="1262" spans="1:2" x14ac:dyDescent="0.25">
      <c r="A1262" t="str">
        <f>IF(REGLAS!J1263="OBSOLETO","","INSERT INTO INYCEXT.INYC_CONF_INF_REGLAS (COD_INFORME,TABLA,NOMBRE,REGLA,F_INICIO,F_FIN,DESCRIPCION) VALUES ("&amp;REGLAS!B1263&amp;",'"&amp;REGLAS!C1263&amp;"','"&amp;REGLAS!D1263&amp;"','"&amp;REGLAS!G1263&amp;"',TO_DATE('"&amp;REGLAS!H1263&amp;"','yyyymmdd'),TO_DATE('"&amp;REGLAS!I1263&amp;"','yyyymmdd'),'"&amp;REGLAS!J1263&amp;"');")</f>
        <v>INSERT INTO INYCEXT.INYC_CONF_INF_REGLAS (COD_INFORME,TABLA,NOMBRE,REGLA,F_INICIO,F_FIN,DESCRIPCION) VALUES (107.1,'INYC_PEPI_E_RESUMEN','SM - Prima Corregida Inspector Comunidades Mensual','SM-E-GEN-Inspector-PrimaCorregida-Comunidades-TotalMes',TO_DATE('20180101','yyyymmdd'),TO_DATE('22000101','yyyymmdd'),'Version 20180116');</v>
      </c>
      <c r="B1262" t="str">
        <f>IF(REGLAS!J1263="OBSOLETO","","INSERT INTO INYCEXT.INYC_CONF_INF_REGLAS@tc_link (COD_INFORME,TABLA,NOMBRE,REGLA,F_INICIO,F_FIN,DESCRIPCION) VALUES ("&amp;REGLAS!B1263&amp;",'"&amp;REGLAS!C1263&amp;"','"&amp;REGLAS!D1263&amp;"','"&amp;REGLAS!G1263&amp;"',TO_DATE('"&amp;REGLAS!H1263&amp;"','yyyymmdd'),TO_DATE('"&amp;REGLAS!I1263&amp;"','yyyymmdd'),'"&amp;REGLAS!J1263&amp;"');")</f>
        <v>INSERT INTO INYCEXT.INYC_CONF_INF_REGLAS@tc_link (COD_INFORME,TABLA,NOMBRE,REGLA,F_INICIO,F_FIN,DESCRIPCION) VALUES (107.1,'INYC_PEPI_E_RESUMEN','SM - Prima Corregida Inspector Comunidades Mensual','SM-E-GEN-Inspector-PrimaCorregida-Comunidades-TotalMes',TO_DATE('20180101','yyyymmdd'),TO_DATE('22000101','yyyymmdd'),'Version 20180116');</v>
      </c>
    </row>
    <row r="1263" spans="1:2" x14ac:dyDescent="0.25">
      <c r="A1263" t="str">
        <f>IF(REGLAS!J1264="OBSOLETO","","INSERT INTO INYCEXT.INYC_CONF_INF_REGLAS (COD_INFORME,TABLA,NOMBRE,REGLA,F_INICIO,F_FIN,DESCRIPCION) VALUES ("&amp;REGLAS!B1264&amp;",'"&amp;REGLAS!C1264&amp;"','"&amp;REGLAS!D1264&amp;"','"&amp;REGLAS!G1264&amp;"',TO_DATE('"&amp;REGLAS!H1264&amp;"','yyyymmdd'),TO_DATE('"&amp;REGLAS!I1264&amp;"','yyyymmdd'),'"&amp;REGLAS!J1264&amp;"');")</f>
        <v>INSERT INTO INYCEXT.INYC_CONF_INF_REGLAS (COD_INFORME,TABLA,NOMBRE,REGLA,F_INICIO,F_FIN,DESCRIPCION) VALUES (107.1,'INYC_PEPI_E_RESUMEN','SM - Prima Corregida Inspector RRGG Mensual','SM-E-GEN-Inspector-PrimaCorregida-RRGG-TotalMes',TO_DATE('20180101','yyyymmdd'),TO_DATE('22000101','yyyymmdd'),'Version 20180116');</v>
      </c>
      <c r="B1263" t="str">
        <f>IF(REGLAS!J1264="OBSOLETO","","INSERT INTO INYCEXT.INYC_CONF_INF_REGLAS@tc_link (COD_INFORME,TABLA,NOMBRE,REGLA,F_INICIO,F_FIN,DESCRIPCION) VALUES ("&amp;REGLAS!B1264&amp;",'"&amp;REGLAS!C1264&amp;"','"&amp;REGLAS!D1264&amp;"','"&amp;REGLAS!G1264&amp;"',TO_DATE('"&amp;REGLAS!H1264&amp;"','yyyymmdd'),TO_DATE('"&amp;REGLAS!I1264&amp;"','yyyymmdd'),'"&amp;REGLAS!J1264&amp;"');")</f>
        <v>INSERT INTO INYCEXT.INYC_CONF_INF_REGLAS@tc_link (COD_INFORME,TABLA,NOMBRE,REGLA,F_INICIO,F_FIN,DESCRIPCION) VALUES (107.1,'INYC_PEPI_E_RESUMEN','SM - Prima Corregida Inspector RRGG Mensual','SM-E-GEN-Inspector-PrimaCorregida-RRGG-TotalMes',TO_DATE('20180101','yyyymmdd'),TO_DATE('22000101','yyyymmdd'),'Version 20180116');</v>
      </c>
    </row>
    <row r="1264" spans="1:2" x14ac:dyDescent="0.25">
      <c r="A1264" t="str">
        <f>IF(REGLAS!J1265="OBSOLETO","","INSERT INTO INYCEXT.INYC_CONF_INF_REGLAS (COD_INFORME,TABLA,NOMBRE,REGLA,F_INICIO,F_FIN,DESCRIPCION) VALUES ("&amp;REGLAS!B1265&amp;",'"&amp;REGLAS!C1265&amp;"','"&amp;REGLAS!D1265&amp;"','"&amp;REGLAS!G1265&amp;"',TO_DATE('"&amp;REGLAS!H1265&amp;"','yyyymmdd'),TO_DATE('"&amp;REGLAS!I1265&amp;"','yyyymmdd'),'"&amp;REGLAS!J1265&amp;"');")</f>
        <v>INSERT INTO INYCEXT.INYC_CONF_INF_REGLAS (COD_INFORME,TABLA,NOMBRE,REGLA,F_INICIO,F_FIN,DESCRIPCION) VALUES (107.1,'INYC_PEPI_E_RESUMEN','SM - Prima Corregida Inspector RRTT Mensual','SM-E-GEN-Inspector-PrimaCorregida-Decesos-TotalMes',TO_DATE('20180101','yyyymmdd'),TO_DATE('22000101','yyyymmdd'),'Version 20180116');</v>
      </c>
      <c r="B1264" t="str">
        <f>IF(REGLAS!J1265="OBSOLETO","","INSERT INTO INYCEXT.INYC_CONF_INF_REGLAS@tc_link (COD_INFORME,TABLA,NOMBRE,REGLA,F_INICIO,F_FIN,DESCRIPCION) VALUES ("&amp;REGLAS!B1265&amp;",'"&amp;REGLAS!C1265&amp;"','"&amp;REGLAS!D1265&amp;"','"&amp;REGLAS!G1265&amp;"',TO_DATE('"&amp;REGLAS!H1265&amp;"','yyyymmdd'),TO_DATE('"&amp;REGLAS!I1265&amp;"','yyyymmdd'),'"&amp;REGLAS!J1265&amp;"');")</f>
        <v>INSERT INTO INYCEXT.INYC_CONF_INF_REGLAS@tc_link (COD_INFORME,TABLA,NOMBRE,REGLA,F_INICIO,F_FIN,DESCRIPCION) VALUES (107.1,'INYC_PEPI_E_RESUMEN','SM - Prima Corregida Inspector RRTT Mensual','SM-E-GEN-Inspector-PrimaCorregida-Decesos-TotalMes',TO_DATE('20180101','yyyymmdd'),TO_DATE('22000101','yyyymmdd'),'Version 20180116');</v>
      </c>
    </row>
    <row r="1265" spans="1:2" x14ac:dyDescent="0.25">
      <c r="A1265" t="str">
        <f>IF(REGLAS!J1266="OBSOLETO","","INSERT INTO INYCEXT.INYC_CONF_INF_REGLAS (COD_INFORME,TABLA,NOMBRE,REGLA,F_INICIO,F_FIN,DESCRIPCION) VALUES ("&amp;REGLAS!B1266&amp;",'"&amp;REGLAS!C1266&amp;"','"&amp;REGLAS!D1266&amp;"','"&amp;REGLAS!G1266&amp;"',TO_DATE('"&amp;REGLAS!H1266&amp;"','yyyymmdd'),TO_DATE('"&amp;REGLAS!I1266&amp;"','yyyymmdd'),'"&amp;REGLAS!J1266&amp;"');")</f>
        <v>INSERT INTO INYCEXT.INYC_CONF_INF_REGLAS (COD_INFORME,TABLA,NOMBRE,REGLA,F_INICIO,F_FIN,DESCRIPCION) VALUES (107.1,'INYC_PEPI_E_RESUMEN','SM - Prima Corregida Inspector Prod. Prioritarios Mensual','SM-E-GEN-Inspector-PrimaCorregida-ProdPrioritarios-TotalMes',TO_DATE('20180101','yyyymmdd'),TO_DATE('22000101','yyyymmdd'),'Version 20180116');</v>
      </c>
      <c r="B1265" t="str">
        <f>IF(REGLAS!J1266="OBSOLETO","","INSERT INTO INYCEXT.INYC_CONF_INF_REGLAS@tc_link (COD_INFORME,TABLA,NOMBRE,REGLA,F_INICIO,F_FIN,DESCRIPCION) VALUES ("&amp;REGLAS!B1266&amp;",'"&amp;REGLAS!C1266&amp;"','"&amp;REGLAS!D1266&amp;"','"&amp;REGLAS!G1266&amp;"',TO_DATE('"&amp;REGLAS!H1266&amp;"','yyyymmdd'),TO_DATE('"&amp;REGLAS!I1266&amp;"','yyyymmdd'),'"&amp;REGLAS!J1266&amp;"');")</f>
        <v>INSERT INTO INYCEXT.INYC_CONF_INF_REGLAS@tc_link (COD_INFORME,TABLA,NOMBRE,REGLA,F_INICIO,F_FIN,DESCRIPCION) VALUES (107.1,'INYC_PEPI_E_RESUMEN','SM - Prima Corregida Inspector Prod. Prioritarios Mensual','SM-E-GEN-Inspector-PrimaCorregida-ProdPrioritarios-TotalMes',TO_DATE('20180101','yyyymmdd'),TO_DATE('22000101','yyyymmdd'),'Version 20180116');</v>
      </c>
    </row>
    <row r="1266" spans="1:2" x14ac:dyDescent="0.25">
      <c r="A1266" t="str">
        <f>IF(REGLAS!J1267="OBSOLETO","","INSERT INTO INYCEXT.INYC_CONF_INF_REGLAS (COD_INFORME,TABLA,NOMBRE,REGLA,F_INICIO,F_FIN,DESCRIPCION) VALUES ("&amp;REGLAS!B1267&amp;",'"&amp;REGLAS!C1267&amp;"','"&amp;REGLAS!D1267&amp;"','"&amp;REGLAS!G1267&amp;"',TO_DATE('"&amp;REGLAS!H1267&amp;"','yyyymmdd'),TO_DATE('"&amp;REGLAS!I1267&amp;"','yyyymmdd'),'"&amp;REGLAS!J1267&amp;"');")</f>
        <v>INSERT INTO INYCEXT.INYC_CONF_INF_REGLAS (COD_INFORME,TABLA,NOMBRE,REGLA,F_INICIO,F_FIN,DESCRIPCION) VALUES (107.1,'INYC_PEPI_E_RESUMEN','SM - Prima Corregida Inspector Otros Decesos Mensual','SM-E-GEN-Inspector-PrimaCorregida-OtrosDecesos-TotalMes',TO_DATE('20180101','yyyymmdd'),TO_DATE('22000101','yyyymmdd'),'Version 20180116');</v>
      </c>
      <c r="B1266" t="str">
        <f>IF(REGLAS!J1267="OBSOLETO","","INSERT INTO INYCEXT.INYC_CONF_INF_REGLAS@tc_link (COD_INFORME,TABLA,NOMBRE,REGLA,F_INICIO,F_FIN,DESCRIPCION) VALUES ("&amp;REGLAS!B1267&amp;",'"&amp;REGLAS!C1267&amp;"','"&amp;REGLAS!D1267&amp;"','"&amp;REGLAS!G1267&amp;"',TO_DATE('"&amp;REGLAS!H1267&amp;"','yyyymmdd'),TO_DATE('"&amp;REGLAS!I1267&amp;"','yyyymmdd'),'"&amp;REGLAS!J1267&amp;"');")</f>
        <v>INSERT INTO INYCEXT.INYC_CONF_INF_REGLAS@tc_link (COD_INFORME,TABLA,NOMBRE,REGLA,F_INICIO,F_FIN,DESCRIPCION) VALUES (107.1,'INYC_PEPI_E_RESUMEN','SM - Prima Corregida Inspector Otros Decesos Mensual','SM-E-GEN-Inspector-PrimaCorregida-OtrosDecesos-TotalMes',TO_DATE('20180101','yyyymmdd'),TO_DATE('22000101','yyyymmdd'),'Version 20180116');</v>
      </c>
    </row>
    <row r="1267" spans="1:2" x14ac:dyDescent="0.25">
      <c r="A1267" t="str">
        <f>IF(REGLAS!J1268="OBSOLETO","","INSERT INTO INYCEXT.INYC_CONF_INF_REGLAS (COD_INFORME,TABLA,NOMBRE,REGLA,F_INICIO,F_FIN,DESCRIPCION) VALUES ("&amp;REGLAS!B1268&amp;",'"&amp;REGLAS!C1268&amp;"','"&amp;REGLAS!D1268&amp;"','"&amp;REGLAS!G1268&amp;"',TO_DATE('"&amp;REGLAS!H1268&amp;"','yyyymmdd'),TO_DATE('"&amp;REGLAS!I1268&amp;"','yyyymmdd'),'"&amp;REGLAS!J1268&amp;"');")</f>
        <v>INSERT INTO INYCEXT.INYC_CONF_INF_REGLAS (COD_INFORME,TABLA,NOMBRE,REGLA,F_INICIO,F_FIN,DESCRIPCION) VALUES (107.1,'INYC_PEPI_E_RESUMEN','SM - Prima Corregida Inspector Total Productos Mensual','SM-E-GEN-Inspector-PrimaCorregida-TotalProduccion-TotalMes',TO_DATE('20180101','yyyymmdd'),TO_DATE('22000101','yyyymmdd'),'Version 20180116');</v>
      </c>
      <c r="B1267" t="str">
        <f>IF(REGLAS!J1268="OBSOLETO","","INSERT INTO INYCEXT.INYC_CONF_INF_REGLAS@tc_link (COD_INFORME,TABLA,NOMBRE,REGLA,F_INICIO,F_FIN,DESCRIPCION) VALUES ("&amp;REGLAS!B1268&amp;",'"&amp;REGLAS!C1268&amp;"','"&amp;REGLAS!D1268&amp;"','"&amp;REGLAS!G1268&amp;"',TO_DATE('"&amp;REGLAS!H1268&amp;"','yyyymmdd'),TO_DATE('"&amp;REGLAS!I1268&amp;"','yyyymmdd'),'"&amp;REGLAS!J1268&amp;"');")</f>
        <v>INSERT INTO INYCEXT.INYC_CONF_INF_REGLAS@tc_link (COD_INFORME,TABLA,NOMBRE,REGLA,F_INICIO,F_FIN,DESCRIPCION) VALUES (107.1,'INYC_PEPI_E_RESUMEN','SM - Prima Corregida Inspector Total Productos Mensual','SM-E-GEN-Inspector-PrimaCorregida-TotalProduccion-TotalMes',TO_DATE('20180101','yyyymmdd'),TO_DATE('22000101','yyyymmdd'),'Version 20180116');</v>
      </c>
    </row>
    <row r="1268" spans="1:2" x14ac:dyDescent="0.25">
      <c r="A1268" t="str">
        <f>IF(REGLAS!J1269="OBSOLETO","","INSERT INTO INYCEXT.INYC_CONF_INF_REGLAS (COD_INFORME,TABLA,NOMBRE,REGLA,F_INICIO,F_FIN,DESCRIPCION) VALUES ("&amp;REGLAS!B1269&amp;",'"&amp;REGLAS!C1269&amp;"','"&amp;REGLAS!D1269&amp;"','"&amp;REGLAS!G1269&amp;"',TO_DATE('"&amp;REGLAS!H1269&amp;"','yyyymmdd'),TO_DATE('"&amp;REGLAS!I1269&amp;"','yyyymmdd'),'"&amp;REGLAS!J1269&amp;"');")</f>
        <v>INSERT INTO INYCEXT.INYC_CONF_INF_REGLAS (COD_INFORME,TABLA,NOMBRE,REGLA,F_INICIO,F_FIN,DESCRIPCION) VALUES (107.1,'INYC_PEPI_E_RESUMEN','SM - Nº Asegurados Inspector Mensual','SM-E-GEN-Inspector-NumAsegurados-TotalMes',TO_DATE('20180101','yyyymmdd'),TO_DATE('22000101','yyyymmdd'),'Version 20180116');</v>
      </c>
      <c r="B1268" t="str">
        <f>IF(REGLAS!J1269="OBSOLETO","","INSERT INTO INYCEXT.INYC_CONF_INF_REGLAS@tc_link (COD_INFORME,TABLA,NOMBRE,REGLA,F_INICIO,F_FIN,DESCRIPCION) VALUES ("&amp;REGLAS!B1269&amp;",'"&amp;REGLAS!C1269&amp;"','"&amp;REGLAS!D1269&amp;"','"&amp;REGLAS!G1269&amp;"',TO_DATE('"&amp;REGLAS!H1269&amp;"','yyyymmdd'),TO_DATE('"&amp;REGLAS!I1269&amp;"','yyyymmdd'),'"&amp;REGLAS!J1269&amp;"');")</f>
        <v>INSERT INTO INYCEXT.INYC_CONF_INF_REGLAS@tc_link (COD_INFORME,TABLA,NOMBRE,REGLA,F_INICIO,F_FIN,DESCRIPCION) VALUES (107.1,'INYC_PEPI_E_RESUMEN','SM - Nº Asegurados Inspector Mensual','SM-E-GEN-Inspector-NumAsegurados-TotalMes',TO_DATE('20180101','yyyymmdd'),TO_DATE('22000101','yyyymmdd'),'Version 20180116');</v>
      </c>
    </row>
    <row r="1269" spans="1:2" x14ac:dyDescent="0.25">
      <c r="A1269" t="str">
        <f>IF(REGLAS!J1270="OBSOLETO","","INSERT INTO INYCEXT.INYC_CONF_INF_REGLAS (COD_INFORME,TABLA,NOMBRE,REGLA,F_INICIO,F_FIN,DESCRIPCION) VALUES ("&amp;REGLAS!B1270&amp;",'"&amp;REGLAS!C1270&amp;"','"&amp;REGLAS!D1270&amp;"','"&amp;REGLAS!G1270&amp;"',TO_DATE('"&amp;REGLAS!H1270&amp;"','yyyymmdd'),TO_DATE('"&amp;REGLAS!I1270&amp;"','yyyymmdd'),'"&amp;REGLAS!J1270&amp;"');")</f>
        <v>INSERT INTO INYCEXT.INYC_CONF_INF_REGLAS (COD_INFORME,TABLA,NOMBRE,REGLA,F_INICIO,F_FIN,DESCRIPCION) VALUES (107.1,'INYC_PEPI_E_RESUMEN','SM - Nº Asegurados Inspector Anual','SM-E-GEN-Inspector-NumAsegurados-TotalAnual',TO_DATE('20180101','yyyymmdd'),TO_DATE('22000101','yyyymmdd'),'Version 20180116');</v>
      </c>
      <c r="B1269" t="str">
        <f>IF(REGLAS!J1270="OBSOLETO","","INSERT INTO INYCEXT.INYC_CONF_INF_REGLAS@tc_link (COD_INFORME,TABLA,NOMBRE,REGLA,F_INICIO,F_FIN,DESCRIPCION) VALUES ("&amp;REGLAS!B1270&amp;",'"&amp;REGLAS!C1270&amp;"','"&amp;REGLAS!D1270&amp;"','"&amp;REGLAS!G1270&amp;"',TO_DATE('"&amp;REGLAS!H1270&amp;"','yyyymmdd'),TO_DATE('"&amp;REGLAS!I1270&amp;"','yyyymmdd'),'"&amp;REGLAS!J1270&amp;"');")</f>
        <v>INSERT INTO INYCEXT.INYC_CONF_INF_REGLAS@tc_link (COD_INFORME,TABLA,NOMBRE,REGLA,F_INICIO,F_FIN,DESCRIPCION) VALUES (107.1,'INYC_PEPI_E_RESUMEN','SM - Nº Asegurados Inspector Anual','SM-E-GEN-Inspector-NumAsegurados-TotalAnual',TO_DATE('20180101','yyyymmdd'),TO_DATE('22000101','yyyymmdd'),'Version 20180116');</v>
      </c>
    </row>
    <row r="1270" spans="1:2" x14ac:dyDescent="0.25">
      <c r="A1270" t="str">
        <f>IF(REGLAS!J1271="OBSOLETO","","INSERT INTO INYCEXT.INYC_CONF_INF_REGLAS (COD_INFORME,TABLA,NOMBRE,REGLA,F_INICIO,F_FIN,DESCRIPCION) VALUES ("&amp;REGLAS!B1271&amp;",'"&amp;REGLAS!C1271&amp;"','"&amp;REGLAS!D1271&amp;"','"&amp;REGLAS!G1271&amp;"',TO_DATE('"&amp;REGLAS!H1271&amp;"','yyyymmdd'),TO_DATE('"&amp;REGLAS!I1271&amp;"','yyyymmdd'),'"&amp;REGLAS!J1271&amp;"');")</f>
        <v>INSERT INTO INYCEXT.INYC_CONF_INF_REGLAS (COD_INFORME,TABLA,NOMBRE,REGLA,F_INICIO,F_FIN,DESCRIPCION) VALUES (107.1,'INYC_PEPI_E_RESUMEN','SM - Nº Pólizas Inspector Accidentes Anual','SM-E-GEN-Inspector-NumeroPolizas-Accidente-TotalAnual',TO_DATE('20180101','yyyymmdd'),TO_DATE('22000101','yyyymmdd'),'Version 20180116');</v>
      </c>
      <c r="B1270" t="str">
        <f>IF(REGLAS!J1271="OBSOLETO","","INSERT INTO INYCEXT.INYC_CONF_INF_REGLAS@tc_link (COD_INFORME,TABLA,NOMBRE,REGLA,F_INICIO,F_FIN,DESCRIPCION) VALUES ("&amp;REGLAS!B1271&amp;",'"&amp;REGLAS!C1271&amp;"','"&amp;REGLAS!D1271&amp;"','"&amp;REGLAS!G1271&amp;"',TO_DATE('"&amp;REGLAS!H1271&amp;"','yyyymmdd'),TO_DATE('"&amp;REGLAS!I1271&amp;"','yyyymmdd'),'"&amp;REGLAS!J1271&amp;"');")</f>
        <v>INSERT INTO INYCEXT.INYC_CONF_INF_REGLAS@tc_link (COD_INFORME,TABLA,NOMBRE,REGLA,F_INICIO,F_FIN,DESCRIPCION) VALUES (107.1,'INYC_PEPI_E_RESUMEN','SM - Nº Pólizas Inspector Accidentes Anual','SM-E-GEN-Inspector-NumeroPolizas-Accidente-TotalAnual',TO_DATE('20180101','yyyymmdd'),TO_DATE('22000101','yyyymmdd'),'Version 20180116');</v>
      </c>
    </row>
    <row r="1271" spans="1:2" x14ac:dyDescent="0.25">
      <c r="A1271" t="str">
        <f>IF(REGLAS!J1272="OBSOLETO","","INSERT INTO INYCEXT.INYC_CONF_INF_REGLAS (COD_INFORME,TABLA,NOMBRE,REGLA,F_INICIO,F_FIN,DESCRIPCION) VALUES ("&amp;REGLAS!B1272&amp;",'"&amp;REGLAS!C1272&amp;"','"&amp;REGLAS!D1272&amp;"','"&amp;REGLAS!G1272&amp;"',TO_DATE('"&amp;REGLAS!H1272&amp;"','yyyymmdd'),TO_DATE('"&amp;REGLAS!I1272&amp;"','yyyymmdd'),'"&amp;REGLAS!J1272&amp;"');")</f>
        <v>INSERT INTO INYCEXT.INYC_CONF_INF_REGLAS (COD_INFORME,TABLA,NOMBRE,REGLA,F_INICIO,F_FIN,DESCRIPCION) VALUES (107.1,'INYC_PEPI_E_RESUMEN','SM - Nº Pólizas Inspector Hogar Anual','SM-E-GEN-Inspector-NumeroPolizas-Hogar-TotalAnual',TO_DATE('20180101','yyyymmdd'),TO_DATE('22000101','yyyymmdd'),'Version 20180116');</v>
      </c>
      <c r="B1271" t="str">
        <f>IF(REGLAS!J1272="OBSOLETO","","INSERT INTO INYCEXT.INYC_CONF_INF_REGLAS@tc_link (COD_INFORME,TABLA,NOMBRE,REGLA,F_INICIO,F_FIN,DESCRIPCION) VALUES ("&amp;REGLAS!B1272&amp;",'"&amp;REGLAS!C1272&amp;"','"&amp;REGLAS!D1272&amp;"','"&amp;REGLAS!G1272&amp;"',TO_DATE('"&amp;REGLAS!H1272&amp;"','yyyymmdd'),TO_DATE('"&amp;REGLAS!I1272&amp;"','yyyymmdd'),'"&amp;REGLAS!J1272&amp;"');")</f>
        <v>INSERT INTO INYCEXT.INYC_CONF_INF_REGLAS@tc_link (COD_INFORME,TABLA,NOMBRE,REGLA,F_INICIO,F_FIN,DESCRIPCION) VALUES (107.1,'INYC_PEPI_E_RESUMEN','SM - Nº Pólizas Inspector Hogar Anual','SM-E-GEN-Inspector-NumeroPolizas-Hogar-TotalAnual',TO_DATE('20180101','yyyymmdd'),TO_DATE('22000101','yyyymmdd'),'Version 20180116');</v>
      </c>
    </row>
    <row r="1272" spans="1:2" x14ac:dyDescent="0.25">
      <c r="A1272" t="str">
        <f>IF(REGLAS!J1273="OBSOLETO","","INSERT INTO INYCEXT.INYC_CONF_INF_REGLAS (COD_INFORME,TABLA,NOMBRE,REGLA,F_INICIO,F_FIN,DESCRIPCION) VALUES ("&amp;REGLAS!B1273&amp;",'"&amp;REGLAS!C1273&amp;"','"&amp;REGLAS!D1273&amp;"','"&amp;REGLAS!G1273&amp;"',TO_DATE('"&amp;REGLAS!H1273&amp;"','yyyymmdd'),TO_DATE('"&amp;REGLAS!I1273&amp;"','yyyymmdd'),'"&amp;REGLAS!J1273&amp;"');")</f>
        <v>INSERT INTO INYCEXT.INYC_CONF_INF_REGLAS (COD_INFORME,TABLA,NOMBRE,REGLA,F_INICIO,F_FIN,DESCRIPCION) VALUES (107.1,'INYC_PEPI_E_RESUMEN','SM - Nº Pólizas Inspector Comunidades Anual','SM-E-GEN-Inspector-NumeroPolizas-Comunidades-TotalAnual',TO_DATE('20180101','yyyymmdd'),TO_DATE('22000101','yyyymmdd'),'Version 20180116');</v>
      </c>
      <c r="B1272" t="str">
        <f>IF(REGLAS!J1273="OBSOLETO","","INSERT INTO INYCEXT.INYC_CONF_INF_REGLAS@tc_link (COD_INFORME,TABLA,NOMBRE,REGLA,F_INICIO,F_FIN,DESCRIPCION) VALUES ("&amp;REGLAS!B1273&amp;",'"&amp;REGLAS!C1273&amp;"','"&amp;REGLAS!D1273&amp;"','"&amp;REGLAS!G1273&amp;"',TO_DATE('"&amp;REGLAS!H1273&amp;"','yyyymmdd'),TO_DATE('"&amp;REGLAS!I1273&amp;"','yyyymmdd'),'"&amp;REGLAS!J1273&amp;"');")</f>
        <v>INSERT INTO INYCEXT.INYC_CONF_INF_REGLAS@tc_link (COD_INFORME,TABLA,NOMBRE,REGLA,F_INICIO,F_FIN,DESCRIPCION) VALUES (107.1,'INYC_PEPI_E_RESUMEN','SM - Nº Pólizas Inspector Comunidades Anual','SM-E-GEN-Inspector-NumeroPolizas-Comunidades-TotalAnual',TO_DATE('20180101','yyyymmdd'),TO_DATE('22000101','yyyymmdd'),'Version 20180116');</v>
      </c>
    </row>
    <row r="1273" spans="1:2" x14ac:dyDescent="0.25">
      <c r="A1273" t="str">
        <f>IF(REGLAS!J1274="OBSOLETO","","INSERT INTO INYCEXT.INYC_CONF_INF_REGLAS (COD_INFORME,TABLA,NOMBRE,REGLA,F_INICIO,F_FIN,DESCRIPCION) VALUES ("&amp;REGLAS!B1274&amp;",'"&amp;REGLAS!C1274&amp;"','"&amp;REGLAS!D1274&amp;"','"&amp;REGLAS!G1274&amp;"',TO_DATE('"&amp;REGLAS!H1274&amp;"','yyyymmdd'),TO_DATE('"&amp;REGLAS!I1274&amp;"','yyyymmdd'),'"&amp;REGLAS!J1274&amp;"');")</f>
        <v>INSERT INTO INYCEXT.INYC_CONF_INF_REGLAS (COD_INFORME,TABLA,NOMBRE,REGLA,F_INICIO,F_FIN,DESCRIPCION) VALUES (107.1,'INYC_PEPI_E_RESUMEN','SM - Nº Pólizas Inspector RRGG Anual','SM-E-GEN-Inspector-NumeroPolizas-RRGG-TotalAnual',TO_DATE('20180101','yyyymmdd'),TO_DATE('22000101','yyyymmdd'),'Version 20180116');</v>
      </c>
      <c r="B1273" t="str">
        <f>IF(REGLAS!J1274="OBSOLETO","","INSERT INTO INYCEXT.INYC_CONF_INF_REGLAS@tc_link (COD_INFORME,TABLA,NOMBRE,REGLA,F_INICIO,F_FIN,DESCRIPCION) VALUES ("&amp;REGLAS!B1274&amp;",'"&amp;REGLAS!C1274&amp;"','"&amp;REGLAS!D1274&amp;"','"&amp;REGLAS!G1274&amp;"',TO_DATE('"&amp;REGLAS!H1274&amp;"','yyyymmdd'),TO_DATE('"&amp;REGLAS!I1274&amp;"','yyyymmdd'),'"&amp;REGLAS!J1274&amp;"');")</f>
        <v>INSERT INTO INYCEXT.INYC_CONF_INF_REGLAS@tc_link (COD_INFORME,TABLA,NOMBRE,REGLA,F_INICIO,F_FIN,DESCRIPCION) VALUES (107.1,'INYC_PEPI_E_RESUMEN','SM - Nº Pólizas Inspector RRGG Anual','SM-E-GEN-Inspector-NumeroPolizas-RRGG-TotalAnual',TO_DATE('20180101','yyyymmdd'),TO_DATE('22000101','yyyymmdd'),'Version 20180116');</v>
      </c>
    </row>
    <row r="1274" spans="1:2" x14ac:dyDescent="0.25">
      <c r="A1274" t="str">
        <f>IF(REGLAS!J1275="OBSOLETO","","INSERT INTO INYCEXT.INYC_CONF_INF_REGLAS (COD_INFORME,TABLA,NOMBRE,REGLA,F_INICIO,F_FIN,DESCRIPCION) VALUES ("&amp;REGLAS!B1275&amp;",'"&amp;REGLAS!C1275&amp;"','"&amp;REGLAS!D1275&amp;"','"&amp;REGLAS!G1275&amp;"',TO_DATE('"&amp;REGLAS!H1275&amp;"','yyyymmdd'),TO_DATE('"&amp;REGLAS!I1275&amp;"','yyyymmdd'),'"&amp;REGLAS!J1275&amp;"');")</f>
        <v>INSERT INTO INYCEXT.INYC_CONF_INF_REGLAS (COD_INFORME,TABLA,NOMBRE,REGLA,F_INICIO,F_FIN,DESCRIPCION) VALUES (107.1,'INYC_PEPI_E_RESUMEN','SM - Nº Pólizas Inspector RRTT Anual','SM-E-GEN-Inspector-NumeroPolizas-Decesos-TotalAnual',TO_DATE('20180101','yyyymmdd'),TO_DATE('22000101','yyyymmdd'),'Version 20180116');</v>
      </c>
      <c r="B1274" t="str">
        <f>IF(REGLAS!J1275="OBSOLETO","","INSERT INTO INYCEXT.INYC_CONF_INF_REGLAS@tc_link (COD_INFORME,TABLA,NOMBRE,REGLA,F_INICIO,F_FIN,DESCRIPCION) VALUES ("&amp;REGLAS!B1275&amp;",'"&amp;REGLAS!C1275&amp;"','"&amp;REGLAS!D1275&amp;"','"&amp;REGLAS!G1275&amp;"',TO_DATE('"&amp;REGLAS!H1275&amp;"','yyyymmdd'),TO_DATE('"&amp;REGLAS!I1275&amp;"','yyyymmdd'),'"&amp;REGLAS!J1275&amp;"');")</f>
        <v>INSERT INTO INYCEXT.INYC_CONF_INF_REGLAS@tc_link (COD_INFORME,TABLA,NOMBRE,REGLA,F_INICIO,F_FIN,DESCRIPCION) VALUES (107.1,'INYC_PEPI_E_RESUMEN','SM - Nº Pólizas Inspector RRTT Anual','SM-E-GEN-Inspector-NumeroPolizas-Decesos-TotalAnual',TO_DATE('20180101','yyyymmdd'),TO_DATE('22000101','yyyymmdd'),'Version 20180116');</v>
      </c>
    </row>
    <row r="1275" spans="1:2" x14ac:dyDescent="0.25">
      <c r="A1275" t="str">
        <f>IF(REGLAS!J1276="OBSOLETO","","INSERT INTO INYCEXT.INYC_CONF_INF_REGLAS (COD_INFORME,TABLA,NOMBRE,REGLA,F_INICIO,F_FIN,DESCRIPCION) VALUES ("&amp;REGLAS!B1276&amp;",'"&amp;REGLAS!C1276&amp;"','"&amp;REGLAS!D1276&amp;"','"&amp;REGLAS!G1276&amp;"',TO_DATE('"&amp;REGLAS!H1276&amp;"','yyyymmdd'),TO_DATE('"&amp;REGLAS!I1276&amp;"','yyyymmdd'),'"&amp;REGLAS!J1276&amp;"');")</f>
        <v>INSERT INTO INYCEXT.INYC_CONF_INF_REGLAS (COD_INFORME,TABLA,NOMBRE,REGLA,F_INICIO,F_FIN,DESCRIPCION) VALUES (107.1,'INYC_PEPI_E_RESUMEN','SM - Nº Pólizas Inspector Prod. Prioritarios Anual','SM-E-GEN-Inspector-NumeroPolizas-ProdPrioritarios-TotalAnual',TO_DATE('20180101','yyyymmdd'),TO_DATE('22000101','yyyymmdd'),'Version 20180116');</v>
      </c>
      <c r="B1275" t="str">
        <f>IF(REGLAS!J1276="OBSOLETO","","INSERT INTO INYCEXT.INYC_CONF_INF_REGLAS@tc_link (COD_INFORME,TABLA,NOMBRE,REGLA,F_INICIO,F_FIN,DESCRIPCION) VALUES ("&amp;REGLAS!B1276&amp;",'"&amp;REGLAS!C1276&amp;"','"&amp;REGLAS!D1276&amp;"','"&amp;REGLAS!G1276&amp;"',TO_DATE('"&amp;REGLAS!H1276&amp;"','yyyymmdd'),TO_DATE('"&amp;REGLAS!I1276&amp;"','yyyymmdd'),'"&amp;REGLAS!J1276&amp;"');")</f>
        <v>INSERT INTO INYCEXT.INYC_CONF_INF_REGLAS@tc_link (COD_INFORME,TABLA,NOMBRE,REGLA,F_INICIO,F_FIN,DESCRIPCION) VALUES (107.1,'INYC_PEPI_E_RESUMEN','SM - Nº Pólizas Inspector Prod. Prioritarios Anual','SM-E-GEN-Inspector-NumeroPolizas-ProdPrioritarios-TotalAnual',TO_DATE('20180101','yyyymmdd'),TO_DATE('22000101','yyyymmdd'),'Version 20180116');</v>
      </c>
    </row>
    <row r="1276" spans="1:2" x14ac:dyDescent="0.25">
      <c r="A1276" t="str">
        <f>IF(REGLAS!J1277="OBSOLETO","","INSERT INTO INYCEXT.INYC_CONF_INF_REGLAS (COD_INFORME,TABLA,NOMBRE,REGLA,F_INICIO,F_FIN,DESCRIPCION) VALUES ("&amp;REGLAS!B1277&amp;",'"&amp;REGLAS!C1277&amp;"','"&amp;REGLAS!D1277&amp;"','"&amp;REGLAS!G1277&amp;"',TO_DATE('"&amp;REGLAS!H1277&amp;"','yyyymmdd'),TO_DATE('"&amp;REGLAS!I1277&amp;"','yyyymmdd'),'"&amp;REGLAS!J1277&amp;"');")</f>
        <v>INSERT INTO INYCEXT.INYC_CONF_INF_REGLAS (COD_INFORME,TABLA,NOMBRE,REGLA,F_INICIO,F_FIN,DESCRIPCION) VALUES (107.1,'INYC_PEPI_E_RESUMEN','SM - Nº Pólizas Inspector Otros Decesos Anual','SM-E-GEN-Inspector-NumeroPolizas-OtrosDecesos-TotalAnual',TO_DATE('20180101','yyyymmdd'),TO_DATE('22000101','yyyymmdd'),'Version 20180116');</v>
      </c>
      <c r="B1276" t="str">
        <f>IF(REGLAS!J1277="OBSOLETO","","INSERT INTO INYCEXT.INYC_CONF_INF_REGLAS@tc_link (COD_INFORME,TABLA,NOMBRE,REGLA,F_INICIO,F_FIN,DESCRIPCION) VALUES ("&amp;REGLAS!B1277&amp;",'"&amp;REGLAS!C1277&amp;"','"&amp;REGLAS!D1277&amp;"','"&amp;REGLAS!G1277&amp;"',TO_DATE('"&amp;REGLAS!H1277&amp;"','yyyymmdd'),TO_DATE('"&amp;REGLAS!I1277&amp;"','yyyymmdd'),'"&amp;REGLAS!J1277&amp;"');")</f>
        <v>INSERT INTO INYCEXT.INYC_CONF_INF_REGLAS@tc_link (COD_INFORME,TABLA,NOMBRE,REGLA,F_INICIO,F_FIN,DESCRIPCION) VALUES (107.1,'INYC_PEPI_E_RESUMEN','SM - Nº Pólizas Inspector Otros Decesos Anual','SM-E-GEN-Inspector-NumeroPolizas-OtrosDecesos-TotalAnual',TO_DATE('20180101','yyyymmdd'),TO_DATE('22000101','yyyymmdd'),'Version 20180116');</v>
      </c>
    </row>
    <row r="1277" spans="1:2" x14ac:dyDescent="0.25">
      <c r="A1277" t="str">
        <f>IF(REGLAS!J1278="OBSOLETO","","INSERT INTO INYCEXT.INYC_CONF_INF_REGLAS (COD_INFORME,TABLA,NOMBRE,REGLA,F_INICIO,F_FIN,DESCRIPCION) VALUES ("&amp;REGLAS!B1278&amp;",'"&amp;REGLAS!C1278&amp;"','"&amp;REGLAS!D1278&amp;"','"&amp;REGLAS!G1278&amp;"',TO_DATE('"&amp;REGLAS!H1278&amp;"','yyyymmdd'),TO_DATE('"&amp;REGLAS!I1278&amp;"','yyyymmdd'),'"&amp;REGLAS!J1278&amp;"');")</f>
        <v>INSERT INTO INYCEXT.INYC_CONF_INF_REGLAS (COD_INFORME,TABLA,NOMBRE,REGLA,F_INICIO,F_FIN,DESCRIPCION) VALUES (107.1,'INYC_PEPI_E_RESUMEN','SM - Nº Pólizas Inspector Total Productos Anual','SM-E-GEN-Inspector-NumeroPolizas-TotalProduccion-TotalAnual',TO_DATE('20180101','yyyymmdd'),TO_DATE('22000101','yyyymmdd'),'Version 20180116');</v>
      </c>
      <c r="B1277" t="str">
        <f>IF(REGLAS!J1278="OBSOLETO","","INSERT INTO INYCEXT.INYC_CONF_INF_REGLAS@tc_link (COD_INFORME,TABLA,NOMBRE,REGLA,F_INICIO,F_FIN,DESCRIPCION) VALUES ("&amp;REGLAS!B1278&amp;",'"&amp;REGLAS!C1278&amp;"','"&amp;REGLAS!D1278&amp;"','"&amp;REGLAS!G1278&amp;"',TO_DATE('"&amp;REGLAS!H1278&amp;"','yyyymmdd'),TO_DATE('"&amp;REGLAS!I1278&amp;"','yyyymmdd'),'"&amp;REGLAS!J1278&amp;"');")</f>
        <v>INSERT INTO INYCEXT.INYC_CONF_INF_REGLAS@tc_link (COD_INFORME,TABLA,NOMBRE,REGLA,F_INICIO,F_FIN,DESCRIPCION) VALUES (107.1,'INYC_PEPI_E_RESUMEN','SM - Nº Pólizas Inspector Total Productos Anual','SM-E-GEN-Inspector-NumeroPolizas-TotalProduccion-TotalAnual',TO_DATE('20180101','yyyymmdd'),TO_DATE('22000101','yyyymmdd'),'Version 20180116');</v>
      </c>
    </row>
    <row r="1278" spans="1:2" x14ac:dyDescent="0.25">
      <c r="A1278" t="str">
        <f>IF(REGLAS!J1279="OBSOLETO","","INSERT INTO INYCEXT.INYC_CONF_INF_REGLAS (COD_INFORME,TABLA,NOMBRE,REGLA,F_INICIO,F_FIN,DESCRIPCION) VALUES ("&amp;REGLAS!B1279&amp;",'"&amp;REGLAS!C1279&amp;"','"&amp;REGLAS!D1279&amp;"','"&amp;REGLAS!G1279&amp;"',TO_DATE('"&amp;REGLAS!H1279&amp;"','yyyymmdd'),TO_DATE('"&amp;REGLAS!I1279&amp;"','yyyymmdd'),'"&amp;REGLAS!J1279&amp;"');")</f>
        <v>INSERT INTO INYCEXT.INYC_CONF_INF_REGLAS (COD_INFORME,TABLA,NOMBRE,REGLA,F_INICIO,F_FIN,DESCRIPCION) VALUES (107.1,'INYC_PEPI_E_RESUMEN','SM - Nº Pólizas Corregidas Inspector Accidentes Anual','SM-E-GEN-Inspector-NumeroPolizasCorregidas-Accidente-TotalAnual',TO_DATE('20180101','yyyymmdd'),TO_DATE('22000101','yyyymmdd'),'Version 20180116');</v>
      </c>
      <c r="B1278" t="str">
        <f>IF(REGLAS!J1279="OBSOLETO","","INSERT INTO INYCEXT.INYC_CONF_INF_REGLAS@tc_link (COD_INFORME,TABLA,NOMBRE,REGLA,F_INICIO,F_FIN,DESCRIPCION) VALUES ("&amp;REGLAS!B1279&amp;",'"&amp;REGLAS!C1279&amp;"','"&amp;REGLAS!D1279&amp;"','"&amp;REGLAS!G1279&amp;"',TO_DATE('"&amp;REGLAS!H1279&amp;"','yyyymmdd'),TO_DATE('"&amp;REGLAS!I1279&amp;"','yyyymmdd'),'"&amp;REGLAS!J1279&amp;"');")</f>
        <v>INSERT INTO INYCEXT.INYC_CONF_INF_REGLAS@tc_link (COD_INFORME,TABLA,NOMBRE,REGLA,F_INICIO,F_FIN,DESCRIPCION) VALUES (107.1,'INYC_PEPI_E_RESUMEN','SM - Nº Pólizas Corregidas Inspector Accidentes Anual','SM-E-GEN-Inspector-NumeroPolizasCorregidas-Accidente-TotalAnual',TO_DATE('20180101','yyyymmdd'),TO_DATE('22000101','yyyymmdd'),'Version 20180116');</v>
      </c>
    </row>
    <row r="1279" spans="1:2" x14ac:dyDescent="0.25">
      <c r="A1279" t="str">
        <f>IF(REGLAS!J1280="OBSOLETO","","INSERT INTO INYCEXT.INYC_CONF_INF_REGLAS (COD_INFORME,TABLA,NOMBRE,REGLA,F_INICIO,F_FIN,DESCRIPCION) VALUES ("&amp;REGLAS!B1280&amp;",'"&amp;REGLAS!C1280&amp;"','"&amp;REGLAS!D1280&amp;"','"&amp;REGLAS!G1280&amp;"',TO_DATE('"&amp;REGLAS!H1280&amp;"','yyyymmdd'),TO_DATE('"&amp;REGLAS!I1280&amp;"','yyyymmdd'),'"&amp;REGLAS!J1280&amp;"');")</f>
        <v>INSERT INTO INYCEXT.INYC_CONF_INF_REGLAS (COD_INFORME,TABLA,NOMBRE,REGLA,F_INICIO,F_FIN,DESCRIPCION) VALUES (107.1,'INYC_PEPI_E_RESUMEN','SM - Nº Pólizas Corregidas Inspector Hogar Anual','SM-E-GEN-Inspector-NumeroPolizasCorregidas-Hogar-TotalAnual',TO_DATE('20180101','yyyymmdd'),TO_DATE('22000101','yyyymmdd'),'Version 20180116');</v>
      </c>
      <c r="B1279" t="str">
        <f>IF(REGLAS!J1280="OBSOLETO","","INSERT INTO INYCEXT.INYC_CONF_INF_REGLAS@tc_link (COD_INFORME,TABLA,NOMBRE,REGLA,F_INICIO,F_FIN,DESCRIPCION) VALUES ("&amp;REGLAS!B1280&amp;",'"&amp;REGLAS!C1280&amp;"','"&amp;REGLAS!D1280&amp;"','"&amp;REGLAS!G1280&amp;"',TO_DATE('"&amp;REGLAS!H1280&amp;"','yyyymmdd'),TO_DATE('"&amp;REGLAS!I1280&amp;"','yyyymmdd'),'"&amp;REGLAS!J1280&amp;"');")</f>
        <v>INSERT INTO INYCEXT.INYC_CONF_INF_REGLAS@tc_link (COD_INFORME,TABLA,NOMBRE,REGLA,F_INICIO,F_FIN,DESCRIPCION) VALUES (107.1,'INYC_PEPI_E_RESUMEN','SM - Nº Pólizas Corregidas Inspector Hogar Anual','SM-E-GEN-Inspector-NumeroPolizasCorregidas-Hogar-TotalAnual',TO_DATE('20180101','yyyymmdd'),TO_DATE('22000101','yyyymmdd'),'Version 20180116');</v>
      </c>
    </row>
    <row r="1280" spans="1:2" x14ac:dyDescent="0.25">
      <c r="A1280" t="str">
        <f>IF(REGLAS!J1281="OBSOLETO","","INSERT INTO INYCEXT.INYC_CONF_INF_REGLAS (COD_INFORME,TABLA,NOMBRE,REGLA,F_INICIO,F_FIN,DESCRIPCION) VALUES ("&amp;REGLAS!B1281&amp;",'"&amp;REGLAS!C1281&amp;"','"&amp;REGLAS!D1281&amp;"','"&amp;REGLAS!G1281&amp;"',TO_DATE('"&amp;REGLAS!H1281&amp;"','yyyymmdd'),TO_DATE('"&amp;REGLAS!I1281&amp;"','yyyymmdd'),'"&amp;REGLAS!J1281&amp;"');")</f>
        <v>INSERT INTO INYCEXT.INYC_CONF_INF_REGLAS (COD_INFORME,TABLA,NOMBRE,REGLA,F_INICIO,F_FIN,DESCRIPCION) VALUES (107.1,'INYC_PEPI_E_RESUMEN','SM - Nº Pólizas Corregidas Inspector Comunidades Anual','SM-E-GEN-Inspector-NumeroPolizasCorregidas-Comunidades-TotalAnual',TO_DATE('20180101','yyyymmdd'),TO_DATE('22000101','yyyymmdd'),'Version 20180116');</v>
      </c>
      <c r="B1280" t="str">
        <f>IF(REGLAS!J1281="OBSOLETO","","INSERT INTO INYCEXT.INYC_CONF_INF_REGLAS@tc_link (COD_INFORME,TABLA,NOMBRE,REGLA,F_INICIO,F_FIN,DESCRIPCION) VALUES ("&amp;REGLAS!B1281&amp;",'"&amp;REGLAS!C1281&amp;"','"&amp;REGLAS!D1281&amp;"','"&amp;REGLAS!G1281&amp;"',TO_DATE('"&amp;REGLAS!H1281&amp;"','yyyymmdd'),TO_DATE('"&amp;REGLAS!I1281&amp;"','yyyymmdd'),'"&amp;REGLAS!J1281&amp;"');")</f>
        <v>INSERT INTO INYCEXT.INYC_CONF_INF_REGLAS@tc_link (COD_INFORME,TABLA,NOMBRE,REGLA,F_INICIO,F_FIN,DESCRIPCION) VALUES (107.1,'INYC_PEPI_E_RESUMEN','SM - Nº Pólizas Corregidas Inspector Comunidades Anual','SM-E-GEN-Inspector-NumeroPolizasCorregidas-Comunidades-TotalAnual',TO_DATE('20180101','yyyymmdd'),TO_DATE('22000101','yyyymmdd'),'Version 20180116');</v>
      </c>
    </row>
    <row r="1281" spans="1:2" x14ac:dyDescent="0.25">
      <c r="A1281" t="str">
        <f>IF(REGLAS!J1282="OBSOLETO","","INSERT INTO INYCEXT.INYC_CONF_INF_REGLAS (COD_INFORME,TABLA,NOMBRE,REGLA,F_INICIO,F_FIN,DESCRIPCION) VALUES ("&amp;REGLAS!B1282&amp;",'"&amp;REGLAS!C1282&amp;"','"&amp;REGLAS!D1282&amp;"','"&amp;REGLAS!G1282&amp;"',TO_DATE('"&amp;REGLAS!H1282&amp;"','yyyymmdd'),TO_DATE('"&amp;REGLAS!I1282&amp;"','yyyymmdd'),'"&amp;REGLAS!J1282&amp;"');")</f>
        <v>INSERT INTO INYCEXT.INYC_CONF_INF_REGLAS (COD_INFORME,TABLA,NOMBRE,REGLA,F_INICIO,F_FIN,DESCRIPCION) VALUES (107.1,'INYC_PEPI_E_RESUMEN','SM - Nº Pólizas Corregidas Inspector RRGG Anual','SM-E-GEN-Inspector-NumeroPolizasCorregidas-RRGG-TotalAnual',TO_DATE('20180101','yyyymmdd'),TO_DATE('22000101','yyyymmdd'),'Version 20180116');</v>
      </c>
      <c r="B1281" t="str">
        <f>IF(REGLAS!J1282="OBSOLETO","","INSERT INTO INYCEXT.INYC_CONF_INF_REGLAS@tc_link (COD_INFORME,TABLA,NOMBRE,REGLA,F_INICIO,F_FIN,DESCRIPCION) VALUES ("&amp;REGLAS!B1282&amp;",'"&amp;REGLAS!C1282&amp;"','"&amp;REGLAS!D1282&amp;"','"&amp;REGLAS!G1282&amp;"',TO_DATE('"&amp;REGLAS!H1282&amp;"','yyyymmdd'),TO_DATE('"&amp;REGLAS!I1282&amp;"','yyyymmdd'),'"&amp;REGLAS!J1282&amp;"');")</f>
        <v>INSERT INTO INYCEXT.INYC_CONF_INF_REGLAS@tc_link (COD_INFORME,TABLA,NOMBRE,REGLA,F_INICIO,F_FIN,DESCRIPCION) VALUES (107.1,'INYC_PEPI_E_RESUMEN','SM - Nº Pólizas Corregidas Inspector RRGG Anual','SM-E-GEN-Inspector-NumeroPolizasCorregidas-RRGG-TotalAnual',TO_DATE('20180101','yyyymmdd'),TO_DATE('22000101','yyyymmdd'),'Version 20180116');</v>
      </c>
    </row>
    <row r="1282" spans="1:2" x14ac:dyDescent="0.25">
      <c r="A1282" t="str">
        <f>IF(REGLAS!J1283="OBSOLETO","","INSERT INTO INYCEXT.INYC_CONF_INF_REGLAS (COD_INFORME,TABLA,NOMBRE,REGLA,F_INICIO,F_FIN,DESCRIPCION) VALUES ("&amp;REGLAS!B1283&amp;",'"&amp;REGLAS!C1283&amp;"','"&amp;REGLAS!D1283&amp;"','"&amp;REGLAS!G1283&amp;"',TO_DATE('"&amp;REGLAS!H1283&amp;"','yyyymmdd'),TO_DATE('"&amp;REGLAS!I1283&amp;"','yyyymmdd'),'"&amp;REGLAS!J1283&amp;"');")</f>
        <v>INSERT INTO INYCEXT.INYC_CONF_INF_REGLAS (COD_INFORME,TABLA,NOMBRE,REGLA,F_INICIO,F_FIN,DESCRIPCION) VALUES (107.1,'INYC_PEPI_E_RESUMEN','SM - Nº Pólizas Corregidas Inspector RRTT Anual','SM-E-GEN-Inspector-NumeroPolizasCorregidas-Decesos-TotalAnual',TO_DATE('20180101','yyyymmdd'),TO_DATE('22000101','yyyymmdd'),'Version 20180116');</v>
      </c>
      <c r="B1282" t="str">
        <f>IF(REGLAS!J1283="OBSOLETO","","INSERT INTO INYCEXT.INYC_CONF_INF_REGLAS@tc_link (COD_INFORME,TABLA,NOMBRE,REGLA,F_INICIO,F_FIN,DESCRIPCION) VALUES ("&amp;REGLAS!B1283&amp;",'"&amp;REGLAS!C1283&amp;"','"&amp;REGLAS!D1283&amp;"','"&amp;REGLAS!G1283&amp;"',TO_DATE('"&amp;REGLAS!H1283&amp;"','yyyymmdd'),TO_DATE('"&amp;REGLAS!I1283&amp;"','yyyymmdd'),'"&amp;REGLAS!J1283&amp;"');")</f>
        <v>INSERT INTO INYCEXT.INYC_CONF_INF_REGLAS@tc_link (COD_INFORME,TABLA,NOMBRE,REGLA,F_INICIO,F_FIN,DESCRIPCION) VALUES (107.1,'INYC_PEPI_E_RESUMEN','SM - Nº Pólizas Corregidas Inspector RRTT Anual','SM-E-GEN-Inspector-NumeroPolizasCorregidas-Decesos-TotalAnual',TO_DATE('20180101','yyyymmdd'),TO_DATE('22000101','yyyymmdd'),'Version 20180116');</v>
      </c>
    </row>
    <row r="1283" spans="1:2" x14ac:dyDescent="0.25">
      <c r="A1283" t="str">
        <f>IF(REGLAS!J1284="OBSOLETO","","INSERT INTO INYCEXT.INYC_CONF_INF_REGLAS (COD_INFORME,TABLA,NOMBRE,REGLA,F_INICIO,F_FIN,DESCRIPCION) VALUES ("&amp;REGLAS!B1284&amp;",'"&amp;REGLAS!C1284&amp;"','"&amp;REGLAS!D1284&amp;"','"&amp;REGLAS!G1284&amp;"',TO_DATE('"&amp;REGLAS!H1284&amp;"','yyyymmdd'),TO_DATE('"&amp;REGLAS!I1284&amp;"','yyyymmdd'),'"&amp;REGLAS!J1284&amp;"');")</f>
        <v>INSERT INTO INYCEXT.INYC_CONF_INF_REGLAS (COD_INFORME,TABLA,NOMBRE,REGLA,F_INICIO,F_FIN,DESCRIPCION) VALUES (107.1,'INYC_PEPI_E_RESUMEN','SM - Nº Pólizas Corregidas Inspector Prod. Prioritarios Anual','SM-E-GEN-Inspector-NumeroPolizasCorregidas-ProdPrioritarios-TotalAnual',TO_DATE('20180101','yyyymmdd'),TO_DATE('22000101','yyyymmdd'),'Version 20180116');</v>
      </c>
      <c r="B1283" t="str">
        <f>IF(REGLAS!J1284="OBSOLETO","","INSERT INTO INYCEXT.INYC_CONF_INF_REGLAS@tc_link (COD_INFORME,TABLA,NOMBRE,REGLA,F_INICIO,F_FIN,DESCRIPCION) VALUES ("&amp;REGLAS!B1284&amp;",'"&amp;REGLAS!C1284&amp;"','"&amp;REGLAS!D1284&amp;"','"&amp;REGLAS!G1284&amp;"',TO_DATE('"&amp;REGLAS!H1284&amp;"','yyyymmdd'),TO_DATE('"&amp;REGLAS!I1284&amp;"','yyyymmdd'),'"&amp;REGLAS!J1284&amp;"');")</f>
        <v>INSERT INTO INYCEXT.INYC_CONF_INF_REGLAS@tc_link (COD_INFORME,TABLA,NOMBRE,REGLA,F_INICIO,F_FIN,DESCRIPCION) VALUES (107.1,'INYC_PEPI_E_RESUMEN','SM - Nº Pólizas Corregidas Inspector Prod. Prioritarios Anual','SM-E-GEN-Inspector-NumeroPolizasCorregidas-ProdPrioritarios-TotalAnual',TO_DATE('20180101','yyyymmdd'),TO_DATE('22000101','yyyymmdd'),'Version 20180116');</v>
      </c>
    </row>
    <row r="1284" spans="1:2" x14ac:dyDescent="0.25">
      <c r="A1284" t="str">
        <f>IF(REGLAS!J1285="OBSOLETO","","INSERT INTO INYCEXT.INYC_CONF_INF_REGLAS (COD_INFORME,TABLA,NOMBRE,REGLA,F_INICIO,F_FIN,DESCRIPCION) VALUES ("&amp;REGLAS!B1285&amp;",'"&amp;REGLAS!C1285&amp;"','"&amp;REGLAS!D1285&amp;"','"&amp;REGLAS!G1285&amp;"',TO_DATE('"&amp;REGLAS!H1285&amp;"','yyyymmdd'),TO_DATE('"&amp;REGLAS!I1285&amp;"','yyyymmdd'),'"&amp;REGLAS!J1285&amp;"');")</f>
        <v>INSERT INTO INYCEXT.INYC_CONF_INF_REGLAS (COD_INFORME,TABLA,NOMBRE,REGLA,F_INICIO,F_FIN,DESCRIPCION) VALUES (107.1,'INYC_PEPI_E_RESUMEN','SM - Nº Pólizas Corregidas Inspector Otros Decesos Anual','SM-E-GEN-Inspector-NumeroPolizasCorregidas-OtrosDecesos-TotalAnual',TO_DATE('20180101','yyyymmdd'),TO_DATE('22000101','yyyymmdd'),'Version 20180116');</v>
      </c>
      <c r="B1284" t="str">
        <f>IF(REGLAS!J1285="OBSOLETO","","INSERT INTO INYCEXT.INYC_CONF_INF_REGLAS@tc_link (COD_INFORME,TABLA,NOMBRE,REGLA,F_INICIO,F_FIN,DESCRIPCION) VALUES ("&amp;REGLAS!B1285&amp;",'"&amp;REGLAS!C1285&amp;"','"&amp;REGLAS!D1285&amp;"','"&amp;REGLAS!G1285&amp;"',TO_DATE('"&amp;REGLAS!H1285&amp;"','yyyymmdd'),TO_DATE('"&amp;REGLAS!I1285&amp;"','yyyymmdd'),'"&amp;REGLAS!J1285&amp;"');")</f>
        <v>INSERT INTO INYCEXT.INYC_CONF_INF_REGLAS@tc_link (COD_INFORME,TABLA,NOMBRE,REGLA,F_INICIO,F_FIN,DESCRIPCION) VALUES (107.1,'INYC_PEPI_E_RESUMEN','SM - Nº Pólizas Corregidas Inspector Otros Decesos Anual','SM-E-GEN-Inspector-NumeroPolizasCorregidas-OtrosDecesos-TotalAnual',TO_DATE('20180101','yyyymmdd'),TO_DATE('22000101','yyyymmdd'),'Version 20180116');</v>
      </c>
    </row>
    <row r="1285" spans="1:2" x14ac:dyDescent="0.25">
      <c r="A1285" t="str">
        <f>IF(REGLAS!J1286="OBSOLETO","","INSERT INTO INYCEXT.INYC_CONF_INF_REGLAS (COD_INFORME,TABLA,NOMBRE,REGLA,F_INICIO,F_FIN,DESCRIPCION) VALUES ("&amp;REGLAS!B1286&amp;",'"&amp;REGLAS!C1286&amp;"','"&amp;REGLAS!D1286&amp;"','"&amp;REGLAS!G1286&amp;"',TO_DATE('"&amp;REGLAS!H1286&amp;"','yyyymmdd'),TO_DATE('"&amp;REGLAS!I1286&amp;"','yyyymmdd'),'"&amp;REGLAS!J1286&amp;"');")</f>
        <v>INSERT INTO INYCEXT.INYC_CONF_INF_REGLAS (COD_INFORME,TABLA,NOMBRE,REGLA,F_INICIO,F_FIN,DESCRIPCION) VALUES (107.1,'INYC_PEPI_E_RESUMEN','SM - Nº Pólizas Corregidas Inspector Total Productos Anual','SM-E-GEN-Inspector-NumeroPolizasCorregidas-TotalProduccion-TotalAnual',TO_DATE('20180101','yyyymmdd'),TO_DATE('22000101','yyyymmdd'),'Version 20180116');</v>
      </c>
      <c r="B1285" t="str">
        <f>IF(REGLAS!J1286="OBSOLETO","","INSERT INTO INYCEXT.INYC_CONF_INF_REGLAS@tc_link (COD_INFORME,TABLA,NOMBRE,REGLA,F_INICIO,F_FIN,DESCRIPCION) VALUES ("&amp;REGLAS!B1286&amp;",'"&amp;REGLAS!C1286&amp;"','"&amp;REGLAS!D1286&amp;"','"&amp;REGLAS!G1286&amp;"',TO_DATE('"&amp;REGLAS!H1286&amp;"','yyyymmdd'),TO_DATE('"&amp;REGLAS!I1286&amp;"','yyyymmdd'),'"&amp;REGLAS!J1286&amp;"');")</f>
        <v>INSERT INTO INYCEXT.INYC_CONF_INF_REGLAS@tc_link (COD_INFORME,TABLA,NOMBRE,REGLA,F_INICIO,F_FIN,DESCRIPCION) VALUES (107.1,'INYC_PEPI_E_RESUMEN','SM - Nº Pólizas Corregidas Inspector Total Productos Anual','SM-E-GEN-Inspector-NumeroPolizasCorregidas-TotalProduccion-TotalAnual',TO_DATE('20180101','yyyymmdd'),TO_DATE('22000101','yyyymmdd'),'Version 20180116');</v>
      </c>
    </row>
    <row r="1286" spans="1:2" x14ac:dyDescent="0.25">
      <c r="A1286" t="str">
        <f>IF(REGLAS!J1287="OBSOLETO","","INSERT INTO INYCEXT.INYC_CONF_INF_REGLAS (COD_INFORME,TABLA,NOMBRE,REGLA,F_INICIO,F_FIN,DESCRIPCION) VALUES ("&amp;REGLAS!B1287&amp;",'"&amp;REGLAS!C1287&amp;"','"&amp;REGLAS!D1287&amp;"','"&amp;REGLAS!G1287&amp;"',TO_DATE('"&amp;REGLAS!H1287&amp;"','yyyymmdd'),TO_DATE('"&amp;REGLAS!I1287&amp;"','yyyymmdd'),'"&amp;REGLAS!J1287&amp;"');")</f>
        <v>INSERT INTO INYCEXT.INYC_CONF_INF_REGLAS (COD_INFORME,TABLA,NOMBRE,REGLA,F_INICIO,F_FIN,DESCRIPCION) VALUES (107.1,'INYC_PEPI_E_RESUMEN','SM - Prima Inspector Accidentes Anual','SM-E-GEN-Inspector-Prima-Accidente-TotalAnual',TO_DATE('20180101','yyyymmdd'),TO_DATE('22000101','yyyymmdd'),'Version 20180116');</v>
      </c>
      <c r="B1286" t="str">
        <f>IF(REGLAS!J1287="OBSOLETO","","INSERT INTO INYCEXT.INYC_CONF_INF_REGLAS@tc_link (COD_INFORME,TABLA,NOMBRE,REGLA,F_INICIO,F_FIN,DESCRIPCION) VALUES ("&amp;REGLAS!B1287&amp;",'"&amp;REGLAS!C1287&amp;"','"&amp;REGLAS!D1287&amp;"','"&amp;REGLAS!G1287&amp;"',TO_DATE('"&amp;REGLAS!H1287&amp;"','yyyymmdd'),TO_DATE('"&amp;REGLAS!I1287&amp;"','yyyymmdd'),'"&amp;REGLAS!J1287&amp;"');")</f>
        <v>INSERT INTO INYCEXT.INYC_CONF_INF_REGLAS@tc_link (COD_INFORME,TABLA,NOMBRE,REGLA,F_INICIO,F_FIN,DESCRIPCION) VALUES (107.1,'INYC_PEPI_E_RESUMEN','SM - Prima Inspector Accidentes Anual','SM-E-GEN-Inspector-Prima-Accidente-TotalAnual',TO_DATE('20180101','yyyymmdd'),TO_DATE('22000101','yyyymmdd'),'Version 20180116');</v>
      </c>
    </row>
    <row r="1287" spans="1:2" x14ac:dyDescent="0.25">
      <c r="A1287" t="str">
        <f>IF(REGLAS!J1288="OBSOLETO","","INSERT INTO INYCEXT.INYC_CONF_INF_REGLAS (COD_INFORME,TABLA,NOMBRE,REGLA,F_INICIO,F_FIN,DESCRIPCION) VALUES ("&amp;REGLAS!B1288&amp;",'"&amp;REGLAS!C1288&amp;"','"&amp;REGLAS!D1288&amp;"','"&amp;REGLAS!G1288&amp;"',TO_DATE('"&amp;REGLAS!H1288&amp;"','yyyymmdd'),TO_DATE('"&amp;REGLAS!I1288&amp;"','yyyymmdd'),'"&amp;REGLAS!J1288&amp;"');")</f>
        <v>INSERT INTO INYCEXT.INYC_CONF_INF_REGLAS (COD_INFORME,TABLA,NOMBRE,REGLA,F_INICIO,F_FIN,DESCRIPCION) VALUES (107.1,'INYC_PEPI_E_RESUMEN','SM - Prima Inspector Hogar Anual','SM-E-GEN-Inspector-Prima-Hogar-TotalAnual',TO_DATE('20180101','yyyymmdd'),TO_DATE('22000101','yyyymmdd'),'Version 20180116');</v>
      </c>
      <c r="B1287" t="str">
        <f>IF(REGLAS!J1288="OBSOLETO","","INSERT INTO INYCEXT.INYC_CONF_INF_REGLAS@tc_link (COD_INFORME,TABLA,NOMBRE,REGLA,F_INICIO,F_FIN,DESCRIPCION) VALUES ("&amp;REGLAS!B1288&amp;",'"&amp;REGLAS!C1288&amp;"','"&amp;REGLAS!D1288&amp;"','"&amp;REGLAS!G1288&amp;"',TO_DATE('"&amp;REGLAS!H1288&amp;"','yyyymmdd'),TO_DATE('"&amp;REGLAS!I1288&amp;"','yyyymmdd'),'"&amp;REGLAS!J1288&amp;"');")</f>
        <v>INSERT INTO INYCEXT.INYC_CONF_INF_REGLAS@tc_link (COD_INFORME,TABLA,NOMBRE,REGLA,F_INICIO,F_FIN,DESCRIPCION) VALUES (107.1,'INYC_PEPI_E_RESUMEN','SM - Prima Inspector Hogar Anual','SM-E-GEN-Inspector-Prima-Hogar-TotalAnual',TO_DATE('20180101','yyyymmdd'),TO_DATE('22000101','yyyymmdd'),'Version 20180116');</v>
      </c>
    </row>
    <row r="1288" spans="1:2" x14ac:dyDescent="0.25">
      <c r="A1288" t="str">
        <f>IF(REGLAS!J1289="OBSOLETO","","INSERT INTO INYCEXT.INYC_CONF_INF_REGLAS (COD_INFORME,TABLA,NOMBRE,REGLA,F_INICIO,F_FIN,DESCRIPCION) VALUES ("&amp;REGLAS!B1289&amp;",'"&amp;REGLAS!C1289&amp;"','"&amp;REGLAS!D1289&amp;"','"&amp;REGLAS!G1289&amp;"',TO_DATE('"&amp;REGLAS!H1289&amp;"','yyyymmdd'),TO_DATE('"&amp;REGLAS!I1289&amp;"','yyyymmdd'),'"&amp;REGLAS!J1289&amp;"');")</f>
        <v>INSERT INTO INYCEXT.INYC_CONF_INF_REGLAS (COD_INFORME,TABLA,NOMBRE,REGLA,F_INICIO,F_FIN,DESCRIPCION) VALUES (107.1,'INYC_PEPI_E_RESUMEN','SM - Prima Inspector Comunidades Anual','SM-E-GEN-Inspector-Prima-Comunidades-TotalAnual',TO_DATE('20180101','yyyymmdd'),TO_DATE('22000101','yyyymmdd'),'Version 20180116');</v>
      </c>
      <c r="B1288" t="str">
        <f>IF(REGLAS!J1289="OBSOLETO","","INSERT INTO INYCEXT.INYC_CONF_INF_REGLAS@tc_link (COD_INFORME,TABLA,NOMBRE,REGLA,F_INICIO,F_FIN,DESCRIPCION) VALUES ("&amp;REGLAS!B1289&amp;",'"&amp;REGLAS!C1289&amp;"','"&amp;REGLAS!D1289&amp;"','"&amp;REGLAS!G1289&amp;"',TO_DATE('"&amp;REGLAS!H1289&amp;"','yyyymmdd'),TO_DATE('"&amp;REGLAS!I1289&amp;"','yyyymmdd'),'"&amp;REGLAS!J1289&amp;"');")</f>
        <v>INSERT INTO INYCEXT.INYC_CONF_INF_REGLAS@tc_link (COD_INFORME,TABLA,NOMBRE,REGLA,F_INICIO,F_FIN,DESCRIPCION) VALUES (107.1,'INYC_PEPI_E_RESUMEN','SM - Prima Inspector Comunidades Anual','SM-E-GEN-Inspector-Prima-Comunidades-TotalAnual',TO_DATE('20180101','yyyymmdd'),TO_DATE('22000101','yyyymmdd'),'Version 20180116');</v>
      </c>
    </row>
    <row r="1289" spans="1:2" x14ac:dyDescent="0.25">
      <c r="A1289" t="str">
        <f>IF(REGLAS!J1290="OBSOLETO","","INSERT INTO INYCEXT.INYC_CONF_INF_REGLAS (COD_INFORME,TABLA,NOMBRE,REGLA,F_INICIO,F_FIN,DESCRIPCION) VALUES ("&amp;REGLAS!B1290&amp;",'"&amp;REGLAS!C1290&amp;"','"&amp;REGLAS!D1290&amp;"','"&amp;REGLAS!G1290&amp;"',TO_DATE('"&amp;REGLAS!H1290&amp;"','yyyymmdd'),TO_DATE('"&amp;REGLAS!I1290&amp;"','yyyymmdd'),'"&amp;REGLAS!J1290&amp;"');")</f>
        <v>INSERT INTO INYCEXT.INYC_CONF_INF_REGLAS (COD_INFORME,TABLA,NOMBRE,REGLA,F_INICIO,F_FIN,DESCRIPCION) VALUES (107.1,'INYC_PEPI_E_RESUMEN','SM - Prima Inspector RRGG Anual','SM-E-GEN-Inspector-Prima-RRGG-TotalAnual',TO_DATE('20180101','yyyymmdd'),TO_DATE('22000101','yyyymmdd'),'Version 20180116');</v>
      </c>
      <c r="B1289" t="str">
        <f>IF(REGLAS!J1290="OBSOLETO","","INSERT INTO INYCEXT.INYC_CONF_INF_REGLAS@tc_link (COD_INFORME,TABLA,NOMBRE,REGLA,F_INICIO,F_FIN,DESCRIPCION) VALUES ("&amp;REGLAS!B1290&amp;",'"&amp;REGLAS!C1290&amp;"','"&amp;REGLAS!D1290&amp;"','"&amp;REGLAS!G1290&amp;"',TO_DATE('"&amp;REGLAS!H1290&amp;"','yyyymmdd'),TO_DATE('"&amp;REGLAS!I1290&amp;"','yyyymmdd'),'"&amp;REGLAS!J1290&amp;"');")</f>
        <v>INSERT INTO INYCEXT.INYC_CONF_INF_REGLAS@tc_link (COD_INFORME,TABLA,NOMBRE,REGLA,F_INICIO,F_FIN,DESCRIPCION) VALUES (107.1,'INYC_PEPI_E_RESUMEN','SM - Prima Inspector RRGG Anual','SM-E-GEN-Inspector-Prima-RRGG-TotalAnual',TO_DATE('20180101','yyyymmdd'),TO_DATE('22000101','yyyymmdd'),'Version 20180116');</v>
      </c>
    </row>
    <row r="1290" spans="1:2" x14ac:dyDescent="0.25">
      <c r="A1290" t="str">
        <f>IF(REGLAS!J1291="OBSOLETO","","INSERT INTO INYCEXT.INYC_CONF_INF_REGLAS (COD_INFORME,TABLA,NOMBRE,REGLA,F_INICIO,F_FIN,DESCRIPCION) VALUES ("&amp;REGLAS!B1291&amp;",'"&amp;REGLAS!C1291&amp;"','"&amp;REGLAS!D1291&amp;"','"&amp;REGLAS!G1291&amp;"',TO_DATE('"&amp;REGLAS!H1291&amp;"','yyyymmdd'),TO_DATE('"&amp;REGLAS!I1291&amp;"','yyyymmdd'),'"&amp;REGLAS!J1291&amp;"');")</f>
        <v>INSERT INTO INYCEXT.INYC_CONF_INF_REGLAS (COD_INFORME,TABLA,NOMBRE,REGLA,F_INICIO,F_FIN,DESCRIPCION) VALUES (107.1,'INYC_PEPI_E_RESUMEN','SM - Prima Inspector RRTT Anual','SM-E-GEN-Inspector-Prima-Decesos-TotalAnual',TO_DATE('20180101','yyyymmdd'),TO_DATE('22000101','yyyymmdd'),'Version 20180116');</v>
      </c>
      <c r="B1290" t="str">
        <f>IF(REGLAS!J1291="OBSOLETO","","INSERT INTO INYCEXT.INYC_CONF_INF_REGLAS@tc_link (COD_INFORME,TABLA,NOMBRE,REGLA,F_INICIO,F_FIN,DESCRIPCION) VALUES ("&amp;REGLAS!B1291&amp;",'"&amp;REGLAS!C1291&amp;"','"&amp;REGLAS!D1291&amp;"','"&amp;REGLAS!G1291&amp;"',TO_DATE('"&amp;REGLAS!H1291&amp;"','yyyymmdd'),TO_DATE('"&amp;REGLAS!I1291&amp;"','yyyymmdd'),'"&amp;REGLAS!J1291&amp;"');")</f>
        <v>INSERT INTO INYCEXT.INYC_CONF_INF_REGLAS@tc_link (COD_INFORME,TABLA,NOMBRE,REGLA,F_INICIO,F_FIN,DESCRIPCION) VALUES (107.1,'INYC_PEPI_E_RESUMEN','SM - Prima Inspector RRTT Anual','SM-E-GEN-Inspector-Prima-Decesos-TotalAnual',TO_DATE('20180101','yyyymmdd'),TO_DATE('22000101','yyyymmdd'),'Version 20180116');</v>
      </c>
    </row>
    <row r="1291" spans="1:2" x14ac:dyDescent="0.25">
      <c r="A1291" t="str">
        <f>IF(REGLAS!J1292="OBSOLETO","","INSERT INTO INYCEXT.INYC_CONF_INF_REGLAS (COD_INFORME,TABLA,NOMBRE,REGLA,F_INICIO,F_FIN,DESCRIPCION) VALUES ("&amp;REGLAS!B1292&amp;",'"&amp;REGLAS!C1292&amp;"','"&amp;REGLAS!D1292&amp;"','"&amp;REGLAS!G1292&amp;"',TO_DATE('"&amp;REGLAS!H1292&amp;"','yyyymmdd'),TO_DATE('"&amp;REGLAS!I1292&amp;"','yyyymmdd'),'"&amp;REGLAS!J1292&amp;"');")</f>
        <v>INSERT INTO INYCEXT.INYC_CONF_INF_REGLAS (COD_INFORME,TABLA,NOMBRE,REGLA,F_INICIO,F_FIN,DESCRIPCION) VALUES (107.1,'INYC_PEPI_E_RESUMEN','SM - Prima Inspector Prod. Prioritarios Anual','SM-E-GEN-Inspector-Prima-ProdPrioritarios-TotalAnual',TO_DATE('20180101','yyyymmdd'),TO_DATE('22000101','yyyymmdd'),'Version 20180116');</v>
      </c>
      <c r="B1291" t="str">
        <f>IF(REGLAS!J1292="OBSOLETO","","INSERT INTO INYCEXT.INYC_CONF_INF_REGLAS@tc_link (COD_INFORME,TABLA,NOMBRE,REGLA,F_INICIO,F_FIN,DESCRIPCION) VALUES ("&amp;REGLAS!B1292&amp;",'"&amp;REGLAS!C1292&amp;"','"&amp;REGLAS!D1292&amp;"','"&amp;REGLAS!G1292&amp;"',TO_DATE('"&amp;REGLAS!H1292&amp;"','yyyymmdd'),TO_DATE('"&amp;REGLAS!I1292&amp;"','yyyymmdd'),'"&amp;REGLAS!J1292&amp;"');")</f>
        <v>INSERT INTO INYCEXT.INYC_CONF_INF_REGLAS@tc_link (COD_INFORME,TABLA,NOMBRE,REGLA,F_INICIO,F_FIN,DESCRIPCION) VALUES (107.1,'INYC_PEPI_E_RESUMEN','SM - Prima Inspector Prod. Prioritarios Anual','SM-E-GEN-Inspector-Prima-ProdPrioritarios-TotalAnual',TO_DATE('20180101','yyyymmdd'),TO_DATE('22000101','yyyymmdd'),'Version 20180116');</v>
      </c>
    </row>
    <row r="1292" spans="1:2" x14ac:dyDescent="0.25">
      <c r="A1292" t="str">
        <f>IF(REGLAS!J1293="OBSOLETO","","INSERT INTO INYCEXT.INYC_CONF_INF_REGLAS (COD_INFORME,TABLA,NOMBRE,REGLA,F_INICIO,F_FIN,DESCRIPCION) VALUES ("&amp;REGLAS!B1293&amp;",'"&amp;REGLAS!C1293&amp;"','"&amp;REGLAS!D1293&amp;"','"&amp;REGLAS!G1293&amp;"',TO_DATE('"&amp;REGLAS!H1293&amp;"','yyyymmdd'),TO_DATE('"&amp;REGLAS!I1293&amp;"','yyyymmdd'),'"&amp;REGLAS!J1293&amp;"');")</f>
        <v>INSERT INTO INYCEXT.INYC_CONF_INF_REGLAS (COD_INFORME,TABLA,NOMBRE,REGLA,F_INICIO,F_FIN,DESCRIPCION) VALUES (107.1,'INYC_PEPI_E_RESUMEN','SM - Prima Inspector Otros Decesos Anual','SM-E-GEN-Inspector-Prima-OtrosDecesos-TotalAnual',TO_DATE('20180101','yyyymmdd'),TO_DATE('22000101','yyyymmdd'),'Version 20180116');</v>
      </c>
      <c r="B1292" t="str">
        <f>IF(REGLAS!J1293="OBSOLETO","","INSERT INTO INYCEXT.INYC_CONF_INF_REGLAS@tc_link (COD_INFORME,TABLA,NOMBRE,REGLA,F_INICIO,F_FIN,DESCRIPCION) VALUES ("&amp;REGLAS!B1293&amp;",'"&amp;REGLAS!C1293&amp;"','"&amp;REGLAS!D1293&amp;"','"&amp;REGLAS!G1293&amp;"',TO_DATE('"&amp;REGLAS!H1293&amp;"','yyyymmdd'),TO_DATE('"&amp;REGLAS!I1293&amp;"','yyyymmdd'),'"&amp;REGLAS!J1293&amp;"');")</f>
        <v>INSERT INTO INYCEXT.INYC_CONF_INF_REGLAS@tc_link (COD_INFORME,TABLA,NOMBRE,REGLA,F_INICIO,F_FIN,DESCRIPCION) VALUES (107.1,'INYC_PEPI_E_RESUMEN','SM - Prima Inspector Otros Decesos Anual','SM-E-GEN-Inspector-Prima-OtrosDecesos-TotalAnual',TO_DATE('20180101','yyyymmdd'),TO_DATE('22000101','yyyymmdd'),'Version 20180116');</v>
      </c>
    </row>
    <row r="1293" spans="1:2" x14ac:dyDescent="0.25">
      <c r="A1293" t="str">
        <f>IF(REGLAS!J1294="OBSOLETO","","INSERT INTO INYCEXT.INYC_CONF_INF_REGLAS (COD_INFORME,TABLA,NOMBRE,REGLA,F_INICIO,F_FIN,DESCRIPCION) VALUES ("&amp;REGLAS!B1294&amp;",'"&amp;REGLAS!C1294&amp;"','"&amp;REGLAS!D1294&amp;"','"&amp;REGLAS!G1294&amp;"',TO_DATE('"&amp;REGLAS!H1294&amp;"','yyyymmdd'),TO_DATE('"&amp;REGLAS!I1294&amp;"','yyyymmdd'),'"&amp;REGLAS!J1294&amp;"');")</f>
        <v>INSERT INTO INYCEXT.INYC_CONF_INF_REGLAS (COD_INFORME,TABLA,NOMBRE,REGLA,F_INICIO,F_FIN,DESCRIPCION) VALUES (107.1,'INYC_PEPI_E_RESUMEN','SM - Prima Inspector Total Productos Anual','SM-E-GEN-Inspector-Prima-TotalProduccion-TotalAnual',TO_DATE('20180101','yyyymmdd'),TO_DATE('22000101','yyyymmdd'),'Version 20180116');</v>
      </c>
      <c r="B1293" t="str">
        <f>IF(REGLAS!J1294="OBSOLETO","","INSERT INTO INYCEXT.INYC_CONF_INF_REGLAS@tc_link (COD_INFORME,TABLA,NOMBRE,REGLA,F_INICIO,F_FIN,DESCRIPCION) VALUES ("&amp;REGLAS!B1294&amp;",'"&amp;REGLAS!C1294&amp;"','"&amp;REGLAS!D1294&amp;"','"&amp;REGLAS!G1294&amp;"',TO_DATE('"&amp;REGLAS!H1294&amp;"','yyyymmdd'),TO_DATE('"&amp;REGLAS!I1294&amp;"','yyyymmdd'),'"&amp;REGLAS!J1294&amp;"');")</f>
        <v>INSERT INTO INYCEXT.INYC_CONF_INF_REGLAS@tc_link (COD_INFORME,TABLA,NOMBRE,REGLA,F_INICIO,F_FIN,DESCRIPCION) VALUES (107.1,'INYC_PEPI_E_RESUMEN','SM - Prima Inspector Total Productos Anual','SM-E-GEN-Inspector-Prima-TotalProduccion-TotalAnual',TO_DATE('20180101','yyyymmdd'),TO_DATE('22000101','yyyymmdd'),'Version 20180116');</v>
      </c>
    </row>
    <row r="1294" spans="1:2" x14ac:dyDescent="0.25">
      <c r="A1294" t="str">
        <f>IF(REGLAS!J1295="OBSOLETO","","INSERT INTO INYCEXT.INYC_CONF_INF_REGLAS (COD_INFORME,TABLA,NOMBRE,REGLA,F_INICIO,F_FIN,DESCRIPCION) VALUES ("&amp;REGLAS!B1295&amp;",'"&amp;REGLAS!C1295&amp;"','"&amp;REGLAS!D1295&amp;"','"&amp;REGLAS!G1295&amp;"',TO_DATE('"&amp;REGLAS!H1295&amp;"','yyyymmdd'),TO_DATE('"&amp;REGLAS!I1295&amp;"','yyyymmdd'),'"&amp;REGLAS!J1295&amp;"');")</f>
        <v>INSERT INTO INYCEXT.INYC_CONF_INF_REGLAS (COD_INFORME,TABLA,NOMBRE,REGLA,F_INICIO,F_FIN,DESCRIPCION) VALUES (107.1,'INYC_PEPI_E_RESUMEN','SM - Prima Corregida Inspector Accidentes Anual','SM-E-GEN-Inspector-PrimaCorregida-Accidente-TotalAnual',TO_DATE('20180101','yyyymmdd'),TO_DATE('22000101','yyyymmdd'),'Version 20180116');</v>
      </c>
      <c r="B1294" t="str">
        <f>IF(REGLAS!J1295="OBSOLETO","","INSERT INTO INYCEXT.INYC_CONF_INF_REGLAS@tc_link (COD_INFORME,TABLA,NOMBRE,REGLA,F_INICIO,F_FIN,DESCRIPCION) VALUES ("&amp;REGLAS!B1295&amp;",'"&amp;REGLAS!C1295&amp;"','"&amp;REGLAS!D1295&amp;"','"&amp;REGLAS!G1295&amp;"',TO_DATE('"&amp;REGLAS!H1295&amp;"','yyyymmdd'),TO_DATE('"&amp;REGLAS!I1295&amp;"','yyyymmdd'),'"&amp;REGLAS!J1295&amp;"');")</f>
        <v>INSERT INTO INYCEXT.INYC_CONF_INF_REGLAS@tc_link (COD_INFORME,TABLA,NOMBRE,REGLA,F_INICIO,F_FIN,DESCRIPCION) VALUES (107.1,'INYC_PEPI_E_RESUMEN','SM - Prima Corregida Inspector Accidentes Anual','SM-E-GEN-Inspector-PrimaCorregida-Accidente-TotalAnual',TO_DATE('20180101','yyyymmdd'),TO_DATE('22000101','yyyymmdd'),'Version 20180116');</v>
      </c>
    </row>
    <row r="1295" spans="1:2" x14ac:dyDescent="0.25">
      <c r="A1295" t="str">
        <f>IF(REGLAS!J1296="OBSOLETO","","INSERT INTO INYCEXT.INYC_CONF_INF_REGLAS (COD_INFORME,TABLA,NOMBRE,REGLA,F_INICIO,F_FIN,DESCRIPCION) VALUES ("&amp;REGLAS!B1296&amp;",'"&amp;REGLAS!C1296&amp;"','"&amp;REGLAS!D1296&amp;"','"&amp;REGLAS!G1296&amp;"',TO_DATE('"&amp;REGLAS!H1296&amp;"','yyyymmdd'),TO_DATE('"&amp;REGLAS!I1296&amp;"','yyyymmdd'),'"&amp;REGLAS!J1296&amp;"');")</f>
        <v>INSERT INTO INYCEXT.INYC_CONF_INF_REGLAS (COD_INFORME,TABLA,NOMBRE,REGLA,F_INICIO,F_FIN,DESCRIPCION) VALUES (107.1,'INYC_PEPI_E_RESUMEN','SM - Prima Corregida Inspector Hogar Anual','SM-E-GEN-Inspector-PrimaCorregida-Hogar-TotalAnual',TO_DATE('20180101','yyyymmdd'),TO_DATE('22000101','yyyymmdd'),'Version 20180116');</v>
      </c>
      <c r="B1295" t="str">
        <f>IF(REGLAS!J1296="OBSOLETO","","INSERT INTO INYCEXT.INYC_CONF_INF_REGLAS@tc_link (COD_INFORME,TABLA,NOMBRE,REGLA,F_INICIO,F_FIN,DESCRIPCION) VALUES ("&amp;REGLAS!B1296&amp;",'"&amp;REGLAS!C1296&amp;"','"&amp;REGLAS!D1296&amp;"','"&amp;REGLAS!G1296&amp;"',TO_DATE('"&amp;REGLAS!H1296&amp;"','yyyymmdd'),TO_DATE('"&amp;REGLAS!I1296&amp;"','yyyymmdd'),'"&amp;REGLAS!J1296&amp;"');")</f>
        <v>INSERT INTO INYCEXT.INYC_CONF_INF_REGLAS@tc_link (COD_INFORME,TABLA,NOMBRE,REGLA,F_INICIO,F_FIN,DESCRIPCION) VALUES (107.1,'INYC_PEPI_E_RESUMEN','SM - Prima Corregida Inspector Hogar Anual','SM-E-GEN-Inspector-PrimaCorregida-Hogar-TotalAnual',TO_DATE('20180101','yyyymmdd'),TO_DATE('22000101','yyyymmdd'),'Version 20180116');</v>
      </c>
    </row>
    <row r="1296" spans="1:2" x14ac:dyDescent="0.25">
      <c r="A1296" t="str">
        <f>IF(REGLAS!J1297="OBSOLETO","","INSERT INTO INYCEXT.INYC_CONF_INF_REGLAS (COD_INFORME,TABLA,NOMBRE,REGLA,F_INICIO,F_FIN,DESCRIPCION) VALUES ("&amp;REGLAS!B1297&amp;",'"&amp;REGLAS!C1297&amp;"','"&amp;REGLAS!D1297&amp;"','"&amp;REGLAS!G1297&amp;"',TO_DATE('"&amp;REGLAS!H1297&amp;"','yyyymmdd'),TO_DATE('"&amp;REGLAS!I1297&amp;"','yyyymmdd'),'"&amp;REGLAS!J1297&amp;"');")</f>
        <v>INSERT INTO INYCEXT.INYC_CONF_INF_REGLAS (COD_INFORME,TABLA,NOMBRE,REGLA,F_INICIO,F_FIN,DESCRIPCION) VALUES (107.1,'INYC_PEPI_E_RESUMEN','SM - Prima Corregida Inspector Comunidades Anual','SM-E-GEN-Inspector-PrimaCorregida-Comunidades-TotalAnual',TO_DATE('20180101','yyyymmdd'),TO_DATE('22000101','yyyymmdd'),'Version 20180116');</v>
      </c>
      <c r="B1296" t="str">
        <f>IF(REGLAS!J1297="OBSOLETO","","INSERT INTO INYCEXT.INYC_CONF_INF_REGLAS@tc_link (COD_INFORME,TABLA,NOMBRE,REGLA,F_INICIO,F_FIN,DESCRIPCION) VALUES ("&amp;REGLAS!B1297&amp;",'"&amp;REGLAS!C1297&amp;"','"&amp;REGLAS!D1297&amp;"','"&amp;REGLAS!G1297&amp;"',TO_DATE('"&amp;REGLAS!H1297&amp;"','yyyymmdd'),TO_DATE('"&amp;REGLAS!I1297&amp;"','yyyymmdd'),'"&amp;REGLAS!J1297&amp;"');")</f>
        <v>INSERT INTO INYCEXT.INYC_CONF_INF_REGLAS@tc_link (COD_INFORME,TABLA,NOMBRE,REGLA,F_INICIO,F_FIN,DESCRIPCION) VALUES (107.1,'INYC_PEPI_E_RESUMEN','SM - Prima Corregida Inspector Comunidades Anual','SM-E-GEN-Inspector-PrimaCorregida-Comunidades-TotalAnual',TO_DATE('20180101','yyyymmdd'),TO_DATE('22000101','yyyymmdd'),'Version 20180116');</v>
      </c>
    </row>
    <row r="1297" spans="1:2" x14ac:dyDescent="0.25">
      <c r="A1297" t="str">
        <f>IF(REGLAS!J1298="OBSOLETO","","INSERT INTO INYCEXT.INYC_CONF_INF_REGLAS (COD_INFORME,TABLA,NOMBRE,REGLA,F_INICIO,F_FIN,DESCRIPCION) VALUES ("&amp;REGLAS!B1298&amp;",'"&amp;REGLAS!C1298&amp;"','"&amp;REGLAS!D1298&amp;"','"&amp;REGLAS!G1298&amp;"',TO_DATE('"&amp;REGLAS!H1298&amp;"','yyyymmdd'),TO_DATE('"&amp;REGLAS!I1298&amp;"','yyyymmdd'),'"&amp;REGLAS!J1298&amp;"');")</f>
        <v>INSERT INTO INYCEXT.INYC_CONF_INF_REGLAS (COD_INFORME,TABLA,NOMBRE,REGLA,F_INICIO,F_FIN,DESCRIPCION) VALUES (107.1,'INYC_PEPI_E_RESUMEN','SM - Prima Corregida Inspector RRGG Anual','SM-E-GEN-Inspector-PrimaCorregida-RRGG-TotalAnual',TO_DATE('20180101','yyyymmdd'),TO_DATE('22000101','yyyymmdd'),'Version 20180116');</v>
      </c>
      <c r="B1297" t="str">
        <f>IF(REGLAS!J1298="OBSOLETO","","INSERT INTO INYCEXT.INYC_CONF_INF_REGLAS@tc_link (COD_INFORME,TABLA,NOMBRE,REGLA,F_INICIO,F_FIN,DESCRIPCION) VALUES ("&amp;REGLAS!B1298&amp;",'"&amp;REGLAS!C1298&amp;"','"&amp;REGLAS!D1298&amp;"','"&amp;REGLAS!G1298&amp;"',TO_DATE('"&amp;REGLAS!H1298&amp;"','yyyymmdd'),TO_DATE('"&amp;REGLAS!I1298&amp;"','yyyymmdd'),'"&amp;REGLAS!J1298&amp;"');")</f>
        <v>INSERT INTO INYCEXT.INYC_CONF_INF_REGLAS@tc_link (COD_INFORME,TABLA,NOMBRE,REGLA,F_INICIO,F_FIN,DESCRIPCION) VALUES (107.1,'INYC_PEPI_E_RESUMEN','SM - Prima Corregida Inspector RRGG Anual','SM-E-GEN-Inspector-PrimaCorregida-RRGG-TotalAnual',TO_DATE('20180101','yyyymmdd'),TO_DATE('22000101','yyyymmdd'),'Version 20180116');</v>
      </c>
    </row>
    <row r="1298" spans="1:2" x14ac:dyDescent="0.25">
      <c r="A1298" t="str">
        <f>IF(REGLAS!J1299="OBSOLETO","","INSERT INTO INYCEXT.INYC_CONF_INF_REGLAS (COD_INFORME,TABLA,NOMBRE,REGLA,F_INICIO,F_FIN,DESCRIPCION) VALUES ("&amp;REGLAS!B1299&amp;",'"&amp;REGLAS!C1299&amp;"','"&amp;REGLAS!D1299&amp;"','"&amp;REGLAS!G1299&amp;"',TO_DATE('"&amp;REGLAS!H1299&amp;"','yyyymmdd'),TO_DATE('"&amp;REGLAS!I1299&amp;"','yyyymmdd'),'"&amp;REGLAS!J1299&amp;"');")</f>
        <v>INSERT INTO INYCEXT.INYC_CONF_INF_REGLAS (COD_INFORME,TABLA,NOMBRE,REGLA,F_INICIO,F_FIN,DESCRIPCION) VALUES (107.1,'INYC_PEPI_E_RESUMEN','SM - Prima Corregida Inspector RRTT Anual','SM-E-GEN-Inspector-PrimaCorregida-Decesos-TotalAnual',TO_DATE('20180101','yyyymmdd'),TO_DATE('22000101','yyyymmdd'),'Version 20180116');</v>
      </c>
      <c r="B1298" t="str">
        <f>IF(REGLAS!J1299="OBSOLETO","","INSERT INTO INYCEXT.INYC_CONF_INF_REGLAS@tc_link (COD_INFORME,TABLA,NOMBRE,REGLA,F_INICIO,F_FIN,DESCRIPCION) VALUES ("&amp;REGLAS!B1299&amp;",'"&amp;REGLAS!C1299&amp;"','"&amp;REGLAS!D1299&amp;"','"&amp;REGLAS!G1299&amp;"',TO_DATE('"&amp;REGLAS!H1299&amp;"','yyyymmdd'),TO_DATE('"&amp;REGLAS!I1299&amp;"','yyyymmdd'),'"&amp;REGLAS!J1299&amp;"');")</f>
        <v>INSERT INTO INYCEXT.INYC_CONF_INF_REGLAS@tc_link (COD_INFORME,TABLA,NOMBRE,REGLA,F_INICIO,F_FIN,DESCRIPCION) VALUES (107.1,'INYC_PEPI_E_RESUMEN','SM - Prima Corregida Inspector RRTT Anual','SM-E-GEN-Inspector-PrimaCorregida-Decesos-TotalAnual',TO_DATE('20180101','yyyymmdd'),TO_DATE('22000101','yyyymmdd'),'Version 20180116');</v>
      </c>
    </row>
    <row r="1299" spans="1:2" x14ac:dyDescent="0.25">
      <c r="A1299" t="str">
        <f>IF(REGLAS!J1300="OBSOLETO","","INSERT INTO INYCEXT.INYC_CONF_INF_REGLAS (COD_INFORME,TABLA,NOMBRE,REGLA,F_INICIO,F_FIN,DESCRIPCION) VALUES ("&amp;REGLAS!B1300&amp;",'"&amp;REGLAS!C1300&amp;"','"&amp;REGLAS!D1300&amp;"','"&amp;REGLAS!G1300&amp;"',TO_DATE('"&amp;REGLAS!H1300&amp;"','yyyymmdd'),TO_DATE('"&amp;REGLAS!I1300&amp;"','yyyymmdd'),'"&amp;REGLAS!J1300&amp;"');")</f>
        <v>INSERT INTO INYCEXT.INYC_CONF_INF_REGLAS (COD_INFORME,TABLA,NOMBRE,REGLA,F_INICIO,F_FIN,DESCRIPCION) VALUES (107.1,'INYC_PEPI_E_RESUMEN','SM - Prima Corregida Inspector Prod. Prioritarios Anual','SM-E-GEN-Inspector-PrimaCorregida-ProdPrioritarios-TotalAnual',TO_DATE('20180101','yyyymmdd'),TO_DATE('22000101','yyyymmdd'),'Version 20180116');</v>
      </c>
      <c r="B1299" t="str">
        <f>IF(REGLAS!J1300="OBSOLETO","","INSERT INTO INYCEXT.INYC_CONF_INF_REGLAS@tc_link (COD_INFORME,TABLA,NOMBRE,REGLA,F_INICIO,F_FIN,DESCRIPCION) VALUES ("&amp;REGLAS!B1300&amp;",'"&amp;REGLAS!C1300&amp;"','"&amp;REGLAS!D1300&amp;"','"&amp;REGLAS!G1300&amp;"',TO_DATE('"&amp;REGLAS!H1300&amp;"','yyyymmdd'),TO_DATE('"&amp;REGLAS!I1300&amp;"','yyyymmdd'),'"&amp;REGLAS!J1300&amp;"');")</f>
        <v>INSERT INTO INYCEXT.INYC_CONF_INF_REGLAS@tc_link (COD_INFORME,TABLA,NOMBRE,REGLA,F_INICIO,F_FIN,DESCRIPCION) VALUES (107.1,'INYC_PEPI_E_RESUMEN','SM - Prima Corregida Inspector Prod. Prioritarios Anual','SM-E-GEN-Inspector-PrimaCorregida-ProdPrioritarios-TotalAnual',TO_DATE('20180101','yyyymmdd'),TO_DATE('22000101','yyyymmdd'),'Version 20180116');</v>
      </c>
    </row>
    <row r="1300" spans="1:2" x14ac:dyDescent="0.25">
      <c r="A1300" t="str">
        <f>IF(REGLAS!J1301="OBSOLETO","","INSERT INTO INYCEXT.INYC_CONF_INF_REGLAS (COD_INFORME,TABLA,NOMBRE,REGLA,F_INICIO,F_FIN,DESCRIPCION) VALUES ("&amp;REGLAS!B1301&amp;",'"&amp;REGLAS!C1301&amp;"','"&amp;REGLAS!D1301&amp;"','"&amp;REGLAS!G1301&amp;"',TO_DATE('"&amp;REGLAS!H1301&amp;"','yyyymmdd'),TO_DATE('"&amp;REGLAS!I1301&amp;"','yyyymmdd'),'"&amp;REGLAS!J1301&amp;"');")</f>
        <v>INSERT INTO INYCEXT.INYC_CONF_INF_REGLAS (COD_INFORME,TABLA,NOMBRE,REGLA,F_INICIO,F_FIN,DESCRIPCION) VALUES (107.1,'INYC_PEPI_E_RESUMEN','SM - Prima Corregida Inspector Otros Decesos Anual','SM-E-GEN-Inspector-PrimaCorregida-OtrosDecesos-TotalAnual',TO_DATE('20180101','yyyymmdd'),TO_DATE('22000101','yyyymmdd'),'Version 20180116');</v>
      </c>
      <c r="B1300" t="str">
        <f>IF(REGLAS!J1301="OBSOLETO","","INSERT INTO INYCEXT.INYC_CONF_INF_REGLAS@tc_link (COD_INFORME,TABLA,NOMBRE,REGLA,F_INICIO,F_FIN,DESCRIPCION) VALUES ("&amp;REGLAS!B1301&amp;",'"&amp;REGLAS!C1301&amp;"','"&amp;REGLAS!D1301&amp;"','"&amp;REGLAS!G1301&amp;"',TO_DATE('"&amp;REGLAS!H1301&amp;"','yyyymmdd'),TO_DATE('"&amp;REGLAS!I1301&amp;"','yyyymmdd'),'"&amp;REGLAS!J1301&amp;"');")</f>
        <v>INSERT INTO INYCEXT.INYC_CONF_INF_REGLAS@tc_link (COD_INFORME,TABLA,NOMBRE,REGLA,F_INICIO,F_FIN,DESCRIPCION) VALUES (107.1,'INYC_PEPI_E_RESUMEN','SM - Prima Corregida Inspector Otros Decesos Anual','SM-E-GEN-Inspector-PrimaCorregida-OtrosDecesos-TotalAnual',TO_DATE('20180101','yyyymmdd'),TO_DATE('22000101','yyyymmdd'),'Version 20180116');</v>
      </c>
    </row>
    <row r="1301" spans="1:2" x14ac:dyDescent="0.25">
      <c r="A1301" t="str">
        <f>IF(REGLAS!J1302="OBSOLETO","","INSERT INTO INYCEXT.INYC_CONF_INF_REGLAS (COD_INFORME,TABLA,NOMBRE,REGLA,F_INICIO,F_FIN,DESCRIPCION) VALUES ("&amp;REGLAS!B1302&amp;",'"&amp;REGLAS!C1302&amp;"','"&amp;REGLAS!D1302&amp;"','"&amp;REGLAS!G1302&amp;"',TO_DATE('"&amp;REGLAS!H1302&amp;"','yyyymmdd'),TO_DATE('"&amp;REGLAS!I1302&amp;"','yyyymmdd'),'"&amp;REGLAS!J1302&amp;"');")</f>
        <v>INSERT INTO INYCEXT.INYC_CONF_INF_REGLAS (COD_INFORME,TABLA,NOMBRE,REGLA,F_INICIO,F_FIN,DESCRIPCION) VALUES (107.1,'INYC_PEPI_E_RESUMEN','SM - Prima Corregida Inspector Total Productos Anual','SM-E-GEN-Inspector-PrimaCorregida-TotalProduccion-TotalAnual',TO_DATE('20180101','yyyymmdd'),TO_DATE('22000101','yyyymmdd'),'Version 20180116');</v>
      </c>
      <c r="B1301" t="str">
        <f>IF(REGLAS!J1302="OBSOLETO","","INSERT INTO INYCEXT.INYC_CONF_INF_REGLAS@tc_link (COD_INFORME,TABLA,NOMBRE,REGLA,F_INICIO,F_FIN,DESCRIPCION) VALUES ("&amp;REGLAS!B1302&amp;",'"&amp;REGLAS!C1302&amp;"','"&amp;REGLAS!D1302&amp;"','"&amp;REGLAS!G1302&amp;"',TO_DATE('"&amp;REGLAS!H1302&amp;"','yyyymmdd'),TO_DATE('"&amp;REGLAS!I1302&amp;"','yyyymmdd'),'"&amp;REGLAS!J1302&amp;"');")</f>
        <v>INSERT INTO INYCEXT.INYC_CONF_INF_REGLAS@tc_link (COD_INFORME,TABLA,NOMBRE,REGLA,F_INICIO,F_FIN,DESCRIPCION) VALUES (107.1,'INYC_PEPI_E_RESUMEN','SM - Prima Corregida Inspector Total Productos Anual','SM-E-GEN-Inspector-PrimaCorregida-TotalProduccion-TotalAnual',TO_DATE('20180101','yyyymmdd'),TO_DATE('22000101','yyyymmdd'),'Version 20180116');</v>
      </c>
    </row>
    <row r="1302" spans="1:2" x14ac:dyDescent="0.25">
      <c r="A1302" t="str">
        <f>IF(REGLAS!J1303="OBSOLETO","","INSERT INTO INYCEXT.INYC_CONF_INF_REGLAS (COD_INFORME,TABLA,NOMBRE,REGLA,F_INICIO,F_FIN,DESCRIPCION) VALUES ("&amp;REGLAS!B1303&amp;",'"&amp;REGLAS!C1303&amp;"','"&amp;REGLAS!D1303&amp;"','"&amp;REGLAS!G1303&amp;"',TO_DATE('"&amp;REGLAS!H1303&amp;"','yyyymmdd'),TO_DATE('"&amp;REGLAS!I1303&amp;"','yyyymmdd'),'"&amp;REGLAS!J1303&amp;"');")</f>
        <v>INSERT INTO INYCEXT.INYC_CONF_INF_REGLAS (COD_INFORME,TABLA,NOMBRE,REGLA,F_INICIO,F_FIN,DESCRIPCION) VALUES (107.2,'INYC_PEPI_E_DETALLE','Primas Corregidas','DC-E-GEN-Inspector-PrimaCorregida-998',TO_DATE('20140101','yyyymmdd'),TO_DATE('22000101','yyyymmdd'),'Version 20180118');</v>
      </c>
      <c r="B1302" t="str">
        <f>IF(REGLAS!J1303="OBSOLETO","","INSERT INTO INYCEXT.INYC_CONF_INF_REGLAS@tc_link (COD_INFORME,TABLA,NOMBRE,REGLA,F_INICIO,F_FIN,DESCRIPCION) VALUES ("&amp;REGLAS!B1303&amp;",'"&amp;REGLAS!C1303&amp;"','"&amp;REGLAS!D1303&amp;"','"&amp;REGLAS!G1303&amp;"',TO_DATE('"&amp;REGLAS!H1303&amp;"','yyyymmdd'),TO_DATE('"&amp;REGLAS!I1303&amp;"','yyyymmdd'),'"&amp;REGLAS!J1303&amp;"');")</f>
        <v>INSERT INTO INYCEXT.INYC_CONF_INF_REGLAS@tc_link (COD_INFORME,TABLA,NOMBRE,REGLA,F_INICIO,F_FIN,DESCRIPCION) VALUES (107.2,'INYC_PEPI_E_DETALLE','Primas Corregidas','DC-E-GEN-Inspector-PrimaCorregida-998',TO_DATE('20140101','yyyymmdd'),TO_DATE('22000101','yyyymmdd'),'Version 20180118');</v>
      </c>
    </row>
    <row r="1303" spans="1:2" x14ac:dyDescent="0.25">
      <c r="A1303" t="str">
        <f>IF(REGLAS!J1304="OBSOLETO","","INSERT INTO INYCEXT.INYC_CONF_INF_REGLAS (COD_INFORME,TABLA,NOMBRE,REGLA,F_INICIO,F_FIN,DESCRIPCION) VALUES ("&amp;REGLAS!B1304&amp;",'"&amp;REGLAS!C1304&amp;"','"&amp;REGLAS!D1304&amp;"','"&amp;REGLAS!G1304&amp;"',TO_DATE('"&amp;REGLAS!H1304&amp;"','yyyymmdd'),TO_DATE('"&amp;REGLAS!I1304&amp;"','yyyymmdd'),'"&amp;REGLAS!J1304&amp;"');")</f>
        <v>INSERT INTO INYCEXT.INYC_CONF_INF_REGLAS (COD_INFORME,TABLA,NOMBRE,REGLA,F_INICIO,F_FIN,DESCRIPCION) VALUES (107.2,'INYC_PEPI_E_DETALLE','Primas Corregidas','IC-E-GEN-Inspector-PrimaCorregida-998',TO_DATE('20140101','yyyymmdd'),TO_DATE('22000101','yyyymmdd'),'Version 20180118');</v>
      </c>
      <c r="B1303" t="str">
        <f>IF(REGLAS!J1304="OBSOLETO","","INSERT INTO INYCEXT.INYC_CONF_INF_REGLAS@tc_link (COD_INFORME,TABLA,NOMBRE,REGLA,F_INICIO,F_FIN,DESCRIPCION) VALUES ("&amp;REGLAS!B1304&amp;",'"&amp;REGLAS!C1304&amp;"','"&amp;REGLAS!D1304&amp;"','"&amp;REGLAS!G1304&amp;"',TO_DATE('"&amp;REGLAS!H1304&amp;"','yyyymmdd'),TO_DATE('"&amp;REGLAS!I1304&amp;"','yyyymmdd'),'"&amp;REGLAS!J1304&amp;"');")</f>
        <v>INSERT INTO INYCEXT.INYC_CONF_INF_REGLAS@tc_link (COD_INFORME,TABLA,NOMBRE,REGLA,F_INICIO,F_FIN,DESCRIPCION) VALUES (107.2,'INYC_PEPI_E_DETALLE','Primas Corregidas','IC-E-GEN-Inspector-PrimaCorregida-998',TO_DATE('20140101','yyyymmdd'),TO_DATE('22000101','yyyymmdd'),'Version 20180118');</v>
      </c>
    </row>
    <row r="1304" spans="1:2" x14ac:dyDescent="0.25">
      <c r="A1304" t="str">
        <f>IF(REGLAS!J1305="OBSOLETO","","INSERT INTO INYCEXT.INYC_CONF_INF_REGLAS (COD_INFORME,TABLA,NOMBRE,REGLA,F_INICIO,F_FIN,DESCRIPCION) VALUES ("&amp;REGLAS!B1305&amp;",'"&amp;REGLAS!C1305&amp;"','"&amp;REGLAS!D1305&amp;"','"&amp;REGLAS!G1305&amp;"',TO_DATE('"&amp;REGLAS!H1305&amp;"','yyyymmdd'),TO_DATE('"&amp;REGLAS!I1305&amp;"','yyyymmdd'),'"&amp;REGLAS!J1305&amp;"');")</f>
        <v>INSERT INTO INYCEXT.INYC_CONF_INF_REGLAS (COD_INFORME,TABLA,NOMBRE,REGLA,F_INICIO,F_FIN,DESCRIPCION) VALUES (107.2,'INYC_PEPI_E_DETALLE','Polizas','DC-E-GEN-Inspector-NumeroPolizas-998',TO_DATE('20140101','yyyymmdd'),TO_DATE('22000101','yyyymmdd'),'Version 20180118');</v>
      </c>
      <c r="B1304" t="str">
        <f>IF(REGLAS!J1305="OBSOLETO","","INSERT INTO INYCEXT.INYC_CONF_INF_REGLAS@tc_link (COD_INFORME,TABLA,NOMBRE,REGLA,F_INICIO,F_FIN,DESCRIPCION) VALUES ("&amp;REGLAS!B1305&amp;",'"&amp;REGLAS!C1305&amp;"','"&amp;REGLAS!D1305&amp;"','"&amp;REGLAS!G1305&amp;"',TO_DATE('"&amp;REGLAS!H1305&amp;"','yyyymmdd'),TO_DATE('"&amp;REGLAS!I1305&amp;"','yyyymmdd'),'"&amp;REGLAS!J1305&amp;"');")</f>
        <v>INSERT INTO INYCEXT.INYC_CONF_INF_REGLAS@tc_link (COD_INFORME,TABLA,NOMBRE,REGLA,F_INICIO,F_FIN,DESCRIPCION) VALUES (107.2,'INYC_PEPI_E_DETALLE','Polizas','DC-E-GEN-Inspector-NumeroPolizas-998',TO_DATE('20140101','yyyymmdd'),TO_DATE('22000101','yyyymmdd'),'Version 20180118');</v>
      </c>
    </row>
    <row r="1305" spans="1:2" x14ac:dyDescent="0.25">
      <c r="A1305" t="str">
        <f>IF(REGLAS!J1306="OBSOLETO","","INSERT INTO INYCEXT.INYC_CONF_INF_REGLAS (COD_INFORME,TABLA,NOMBRE,REGLA,F_INICIO,F_FIN,DESCRIPCION) VALUES ("&amp;REGLAS!B1306&amp;",'"&amp;REGLAS!C1306&amp;"','"&amp;REGLAS!D1306&amp;"','"&amp;REGLAS!G1306&amp;"',TO_DATE('"&amp;REGLAS!H1306&amp;"','yyyymmdd'),TO_DATE('"&amp;REGLAS!I1306&amp;"','yyyymmdd'),'"&amp;REGLAS!J1306&amp;"');")</f>
        <v>INSERT INTO INYCEXT.INYC_CONF_INF_REGLAS (COD_INFORME,TABLA,NOMBRE,REGLA,F_INICIO,F_FIN,DESCRIPCION) VALUES (107.2,'INYC_PEPI_E_DETALLE','Polizas','IC-E-GEN-Inspector-NumeroPolizas-998',TO_DATE('20140101','yyyymmdd'),TO_DATE('22000101','yyyymmdd'),'Version 20180118');</v>
      </c>
      <c r="B1305" t="str">
        <f>IF(REGLAS!J1306="OBSOLETO","","INSERT INTO INYCEXT.INYC_CONF_INF_REGLAS@tc_link (COD_INFORME,TABLA,NOMBRE,REGLA,F_INICIO,F_FIN,DESCRIPCION) VALUES ("&amp;REGLAS!B1306&amp;",'"&amp;REGLAS!C1306&amp;"','"&amp;REGLAS!D1306&amp;"','"&amp;REGLAS!G1306&amp;"',TO_DATE('"&amp;REGLAS!H1306&amp;"','yyyymmdd'),TO_DATE('"&amp;REGLAS!I1306&amp;"','yyyymmdd'),'"&amp;REGLAS!J1306&amp;"');")</f>
        <v>INSERT INTO INYCEXT.INYC_CONF_INF_REGLAS@tc_link (COD_INFORME,TABLA,NOMBRE,REGLA,F_INICIO,F_FIN,DESCRIPCION) VALUES (107.2,'INYC_PEPI_E_DETALLE','Polizas','IC-E-GEN-Inspector-NumeroPolizas-998',TO_DATE('20140101','yyyymmdd'),TO_DATE('22000101','yyyymmdd'),'Version 20180118');</v>
      </c>
    </row>
    <row r="1306" spans="1:2" x14ac:dyDescent="0.25">
      <c r="A1306" t="str">
        <f>IF(REGLAS!J1307="OBSOLETO","","INSERT INTO INYCEXT.INYC_CONF_INF_REGLAS (COD_INFORME,TABLA,NOMBRE,REGLA,F_INICIO,F_FIN,DESCRIPCION) VALUES ("&amp;REGLAS!B1307&amp;",'"&amp;REGLAS!C1307&amp;"','"&amp;REGLAS!D1307&amp;"','"&amp;REGLAS!G1307&amp;"',TO_DATE('"&amp;REGLAS!H1307&amp;"','yyyymmdd'),TO_DATE('"&amp;REGLAS!I1307&amp;"','yyyymmdd'),'"&amp;REGLAS!J1307&amp;"');")</f>
        <v>INSERT INTO INYCEXT.INYC_CONF_INF_REGLAS (COD_INFORME,TABLA,NOMBRE,REGLA,F_INICIO,F_FIN,DESCRIPCION) VALUES (112.1,'INYC_PROD_AGENTES','DC - Nº Pólizas Agente Nueva Producción','DC-O-GEN-Agente-NumeroPolizas-998',TO_DATE('20170101','yyyymmdd'),TO_DATE('22000101','yyyymmdd'),'Version 20180118');</v>
      </c>
      <c r="B1306" t="str">
        <f>IF(REGLAS!J1307="OBSOLETO","","INSERT INTO INYCEXT.INYC_CONF_INF_REGLAS@tc_link (COD_INFORME,TABLA,NOMBRE,REGLA,F_INICIO,F_FIN,DESCRIPCION) VALUES ("&amp;REGLAS!B1307&amp;",'"&amp;REGLAS!C1307&amp;"','"&amp;REGLAS!D1307&amp;"','"&amp;REGLAS!G1307&amp;"',TO_DATE('"&amp;REGLAS!H1307&amp;"','yyyymmdd'),TO_DATE('"&amp;REGLAS!I1307&amp;"','yyyymmdd'),'"&amp;REGLAS!J1307&amp;"');")</f>
        <v>INSERT INTO INYCEXT.INYC_CONF_INF_REGLAS@tc_link (COD_INFORME,TABLA,NOMBRE,REGLA,F_INICIO,F_FIN,DESCRIPCION) VALUES (112.1,'INYC_PROD_AGENTES','DC - Nº Pólizas Agente Nueva Producción','DC-O-GEN-Agente-NumeroPolizas-998',TO_DATE('20170101','yyyymmdd'),TO_DATE('22000101','yyyymmdd'),'Version 20180118');</v>
      </c>
    </row>
    <row r="1307" spans="1:2" x14ac:dyDescent="0.25">
      <c r="A1307" t="str">
        <f>IF(REGLAS!J1308="OBSOLETO","","INSERT INTO INYCEXT.INYC_CONF_INF_REGLAS (COD_INFORME,TABLA,NOMBRE,REGLA,F_INICIO,F_FIN,DESCRIPCION) VALUES ("&amp;REGLAS!B1308&amp;",'"&amp;REGLAS!C1308&amp;"','"&amp;REGLAS!D1308&amp;"','"&amp;REGLAS!G1308&amp;"',TO_DATE('"&amp;REGLAS!H1308&amp;"','yyyymmdd'),TO_DATE('"&amp;REGLAS!I1308&amp;"','yyyymmdd'),'"&amp;REGLAS!J1308&amp;"');")</f>
        <v>INSERT INTO INYCEXT.INYC_CONF_INF_REGLAS (COD_INFORME,TABLA,NOMBRE,REGLA,F_INICIO,F_FIN,DESCRIPCION) VALUES (112.1,'INYC_PROD_AGENTES','DC - Nº Pólizas Agente Renovaciones','DC-O-GEN-Agente-NumeroPolizas-998-Renov',TO_DATE('20170101','yyyymmdd'),TO_DATE('22000101','yyyymmdd'),'Version 20180118');</v>
      </c>
      <c r="B1307" t="str">
        <f>IF(REGLAS!J1308="OBSOLETO","","INSERT INTO INYCEXT.INYC_CONF_INF_REGLAS@tc_link (COD_INFORME,TABLA,NOMBRE,REGLA,F_INICIO,F_FIN,DESCRIPCION) VALUES ("&amp;REGLAS!B1308&amp;",'"&amp;REGLAS!C1308&amp;"','"&amp;REGLAS!D1308&amp;"','"&amp;REGLAS!G1308&amp;"',TO_DATE('"&amp;REGLAS!H1308&amp;"','yyyymmdd'),TO_DATE('"&amp;REGLAS!I1308&amp;"','yyyymmdd'),'"&amp;REGLAS!J1308&amp;"');")</f>
        <v>INSERT INTO INYCEXT.INYC_CONF_INF_REGLAS@tc_link (COD_INFORME,TABLA,NOMBRE,REGLA,F_INICIO,F_FIN,DESCRIPCION) VALUES (112.1,'INYC_PROD_AGENTES','DC - Nº Pólizas Agente Renovaciones','DC-O-GEN-Agente-NumeroPolizas-998-Renov',TO_DATE('20170101','yyyymmdd'),TO_DATE('22000101','yyyymmdd'),'Version 20180118');</v>
      </c>
    </row>
    <row r="1308" spans="1:2" x14ac:dyDescent="0.25">
      <c r="A1308" t="str">
        <f>IF(REGLAS!J1309="OBSOLETO","","INSERT INTO INYCEXT.INYC_CONF_INF_REGLAS (COD_INFORME,TABLA,NOMBRE,REGLA,F_INICIO,F_FIN,DESCRIPCION) VALUES ("&amp;REGLAS!B1309&amp;",'"&amp;REGLAS!C1309&amp;"','"&amp;REGLAS!D1309&amp;"','"&amp;REGLAS!G1309&amp;"',TO_DATE('"&amp;REGLAS!H1309&amp;"','yyyymmdd'),TO_DATE('"&amp;REGLAS!I1309&amp;"','yyyymmdd'),'"&amp;REGLAS!J1309&amp;"');")</f>
        <v>INSERT INTO INYCEXT.INYC_CONF_INF_REGLAS (COD_INFORME,TABLA,NOMBRE,REGLA,F_INICIO,F_FIN,DESCRIPCION) VALUES (112.1,'INYC_PROD_AGENTES','DC - Nº Pólizas Agente Recuperaciones','DC-O-GEN-Agente-NumeroPolizas-998-Recup',TO_DATE('20170101','yyyymmdd'),TO_DATE('22000101','yyyymmdd'),'Version 20180118');</v>
      </c>
      <c r="B1308" t="str">
        <f>IF(REGLAS!J1309="OBSOLETO","","INSERT INTO INYCEXT.INYC_CONF_INF_REGLAS@tc_link (COD_INFORME,TABLA,NOMBRE,REGLA,F_INICIO,F_FIN,DESCRIPCION) VALUES ("&amp;REGLAS!B1309&amp;",'"&amp;REGLAS!C1309&amp;"','"&amp;REGLAS!D1309&amp;"','"&amp;REGLAS!G1309&amp;"',TO_DATE('"&amp;REGLAS!H1309&amp;"','yyyymmdd'),TO_DATE('"&amp;REGLAS!I1309&amp;"','yyyymmdd'),'"&amp;REGLAS!J1309&amp;"');")</f>
        <v>INSERT INTO INYCEXT.INYC_CONF_INF_REGLAS@tc_link (COD_INFORME,TABLA,NOMBRE,REGLA,F_INICIO,F_FIN,DESCRIPCION) VALUES (112.1,'INYC_PROD_AGENTES','DC - Nº Pólizas Agente Recuperaciones','DC-O-GEN-Agente-NumeroPolizas-998-Recup',TO_DATE('20170101','yyyymmdd'),TO_DATE('22000101','yyyymmdd'),'Version 20180118');</v>
      </c>
    </row>
    <row r="1309" spans="1:2" x14ac:dyDescent="0.25">
      <c r="A1309" t="str">
        <f>IF(REGLAS!J1310="OBSOLETO","","INSERT INTO INYCEXT.INYC_CONF_INF_REGLAS (COD_INFORME,TABLA,NOMBRE,REGLA,F_INICIO,F_FIN,DESCRIPCION) VALUES ("&amp;REGLAS!B1310&amp;",'"&amp;REGLAS!C1310&amp;"','"&amp;REGLAS!D1310&amp;"','"&amp;REGLAS!G1310&amp;"',TO_DATE('"&amp;REGLAS!H1310&amp;"','yyyymmdd'),TO_DATE('"&amp;REGLAS!I1310&amp;"','yyyymmdd'),'"&amp;REGLAS!J1310&amp;"');")</f>
        <v>INSERT INTO INYCEXT.INYC_CONF_INF_REGLAS (COD_INFORME,TABLA,NOMBRE,REGLA,F_INICIO,F_FIN,DESCRIPCION) VALUES (112.1,'INYC_PROD_AGENTES','DC - Primas Agente Total Productos','DC-O-GEN-Agente-Prima-998',TO_DATE('20170101','yyyymmdd'),TO_DATE('22000101','yyyymmdd'),'Version 20180118');</v>
      </c>
      <c r="B1309" t="str">
        <f>IF(REGLAS!J1310="OBSOLETO","","INSERT INTO INYCEXT.INYC_CONF_INF_REGLAS@tc_link (COD_INFORME,TABLA,NOMBRE,REGLA,F_INICIO,F_FIN,DESCRIPCION) VALUES ("&amp;REGLAS!B1310&amp;",'"&amp;REGLAS!C1310&amp;"','"&amp;REGLAS!D1310&amp;"','"&amp;REGLAS!G1310&amp;"',TO_DATE('"&amp;REGLAS!H1310&amp;"','yyyymmdd'),TO_DATE('"&amp;REGLAS!I1310&amp;"','yyyymmdd'),'"&amp;REGLAS!J1310&amp;"');")</f>
        <v>INSERT INTO INYCEXT.INYC_CONF_INF_REGLAS@tc_link (COD_INFORME,TABLA,NOMBRE,REGLA,F_INICIO,F_FIN,DESCRIPCION) VALUES (112.1,'INYC_PROD_AGENTES','DC - Primas Agente Total Productos','DC-O-GEN-Agente-Prima-998',TO_DATE('20170101','yyyymmdd'),TO_DATE('22000101','yyyymmdd'),'Version 20180118');</v>
      </c>
    </row>
    <row r="1310" spans="1:2" x14ac:dyDescent="0.25">
      <c r="A1310" t="str">
        <f>IF(REGLAS!J1311="OBSOLETO","","INSERT INTO INYCEXT.INYC_CONF_INF_REGLAS (COD_INFORME,TABLA,NOMBRE,REGLA,F_INICIO,F_FIN,DESCRIPCION) VALUES ("&amp;REGLAS!B1311&amp;",'"&amp;REGLAS!C1311&amp;"','"&amp;REGLAS!D1311&amp;"','"&amp;REGLAS!G1311&amp;"',TO_DATE('"&amp;REGLAS!H1311&amp;"','yyyymmdd'),TO_DATE('"&amp;REGLAS!I1311&amp;"','yyyymmdd'),'"&amp;REGLAS!J1311&amp;"');")</f>
        <v>INSERT INTO INYCEXT.INYC_CONF_INF_REGLAS (COD_INFORME,TABLA,NOMBRE,REGLA,F_INICIO,F_FIN,DESCRIPCION) VALUES (112.1,'INYC_PROD_AGENTES','DC - Nº Pólizas Agente con Grupo Nueva Producción','DC-O-GEN-Inspector-NumeroPolizas-998',TO_DATE('20170101','yyyymmdd'),TO_DATE('22000101','yyyymmdd'),'Version 20180118');</v>
      </c>
      <c r="B1310" t="str">
        <f>IF(REGLAS!J1311="OBSOLETO","","INSERT INTO INYCEXT.INYC_CONF_INF_REGLAS@tc_link (COD_INFORME,TABLA,NOMBRE,REGLA,F_INICIO,F_FIN,DESCRIPCION) VALUES ("&amp;REGLAS!B1311&amp;",'"&amp;REGLAS!C1311&amp;"','"&amp;REGLAS!D1311&amp;"','"&amp;REGLAS!G1311&amp;"',TO_DATE('"&amp;REGLAS!H1311&amp;"','yyyymmdd'),TO_DATE('"&amp;REGLAS!I1311&amp;"','yyyymmdd'),'"&amp;REGLAS!J1311&amp;"');")</f>
        <v>INSERT INTO INYCEXT.INYC_CONF_INF_REGLAS@tc_link (COD_INFORME,TABLA,NOMBRE,REGLA,F_INICIO,F_FIN,DESCRIPCION) VALUES (112.1,'INYC_PROD_AGENTES','DC - Nº Pólizas Agente con Grupo Nueva Producción','DC-O-GEN-Inspector-NumeroPolizas-998',TO_DATE('20170101','yyyymmdd'),TO_DATE('22000101','yyyymmdd'),'Version 20180118');</v>
      </c>
    </row>
    <row r="1311" spans="1:2" x14ac:dyDescent="0.25">
      <c r="A1311" t="str">
        <f>IF(REGLAS!J1312="OBSOLETO","","INSERT INTO INYCEXT.INYC_CONF_INF_REGLAS (COD_INFORME,TABLA,NOMBRE,REGLA,F_INICIO,F_FIN,DESCRIPCION) VALUES ("&amp;REGLAS!B1312&amp;",'"&amp;REGLAS!C1312&amp;"','"&amp;REGLAS!D1312&amp;"','"&amp;REGLAS!G1312&amp;"',TO_DATE('"&amp;REGLAS!H1312&amp;"','yyyymmdd'),TO_DATE('"&amp;REGLAS!I1312&amp;"','yyyymmdd'),'"&amp;REGLAS!J1312&amp;"');")</f>
        <v>INSERT INTO INYCEXT.INYC_CONF_INF_REGLAS (COD_INFORME,TABLA,NOMBRE,REGLA,F_INICIO,F_FIN,DESCRIPCION) VALUES (112.1,'INYC_PROD_AGENTES','DC - Nº Pólizas Agente con Grupo Renovación','DC-O-GEN-Inspector-NumeroPolizas-998-Renov',TO_DATE('20180101','yyyymmdd'),TO_DATE('22000101','yyyymmdd'),'Version 20180324');</v>
      </c>
      <c r="B1311" t="str">
        <f>IF(REGLAS!J1312="OBSOLETO","","INSERT INTO INYCEXT.INYC_CONF_INF_REGLAS@tc_link (COD_INFORME,TABLA,NOMBRE,REGLA,F_INICIO,F_FIN,DESCRIPCION) VALUES ("&amp;REGLAS!B1312&amp;",'"&amp;REGLAS!C1312&amp;"','"&amp;REGLAS!D1312&amp;"','"&amp;REGLAS!G1312&amp;"',TO_DATE('"&amp;REGLAS!H1312&amp;"','yyyymmdd'),TO_DATE('"&amp;REGLAS!I1312&amp;"','yyyymmdd'),'"&amp;REGLAS!J1312&amp;"');")</f>
        <v>INSERT INTO INYCEXT.INYC_CONF_INF_REGLAS@tc_link (COD_INFORME,TABLA,NOMBRE,REGLA,F_INICIO,F_FIN,DESCRIPCION) VALUES (112.1,'INYC_PROD_AGENTES','DC - Nº Pólizas Agente con Grupo Renovación','DC-O-GEN-Inspector-NumeroPolizas-998-Renov',TO_DATE('20180101','yyyymmdd'),TO_DATE('22000101','yyyymmdd'),'Version 20180324');</v>
      </c>
    </row>
    <row r="1312" spans="1:2" x14ac:dyDescent="0.25">
      <c r="A1312" t="str">
        <f>IF(REGLAS!J1313="OBSOLETO","","INSERT INTO INYCEXT.INYC_CONF_INF_REGLAS (COD_INFORME,TABLA,NOMBRE,REGLA,F_INICIO,F_FIN,DESCRIPCION) VALUES ("&amp;REGLAS!B1313&amp;",'"&amp;REGLAS!C1313&amp;"','"&amp;REGLAS!D1313&amp;"','"&amp;REGLAS!G1313&amp;"',TO_DATE('"&amp;REGLAS!H1313&amp;"','yyyymmdd'),TO_DATE('"&amp;REGLAS!I1313&amp;"','yyyymmdd'),'"&amp;REGLAS!J1313&amp;"');")</f>
        <v>INSERT INTO INYCEXT.INYC_CONF_INF_REGLAS (COD_INFORME,TABLA,NOMBRE,REGLA,F_INICIO,F_FIN,DESCRIPCION) VALUES (112.1,'INYC_PROD_AGENTES','DC - Primas Corregidas Agente con Grupo Total Productos','DC-O-GEN-Inspector-PrimaCorregida-998',TO_DATE('20170101','yyyymmdd'),TO_DATE('22000101','yyyymmdd'),'Version 20180118');</v>
      </c>
      <c r="B1312" t="str">
        <f>IF(REGLAS!J1313="OBSOLETO","","INSERT INTO INYCEXT.INYC_CONF_INF_REGLAS@tc_link (COD_INFORME,TABLA,NOMBRE,REGLA,F_INICIO,F_FIN,DESCRIPCION) VALUES ("&amp;REGLAS!B1313&amp;",'"&amp;REGLAS!C1313&amp;"','"&amp;REGLAS!D1313&amp;"','"&amp;REGLAS!G1313&amp;"',TO_DATE('"&amp;REGLAS!H1313&amp;"','yyyymmdd'),TO_DATE('"&amp;REGLAS!I1313&amp;"','yyyymmdd'),'"&amp;REGLAS!J1313&amp;"');")</f>
        <v>INSERT INTO INYCEXT.INYC_CONF_INF_REGLAS@tc_link (COD_INFORME,TABLA,NOMBRE,REGLA,F_INICIO,F_FIN,DESCRIPCION) VALUES (112.1,'INYC_PROD_AGENTES','DC - Primas Corregidas Agente con Grupo Total Productos','DC-O-GEN-Inspector-PrimaCorregida-998',TO_DATE('20170101','yyyymmdd'),TO_DATE('22000101','yyyymmdd'),'Version 20180118');</v>
      </c>
    </row>
    <row r="1313" spans="1:2" x14ac:dyDescent="0.25">
      <c r="A1313" t="str">
        <f>IF(REGLAS!J1314="OBSOLETO","","INSERT INTO INYCEXT.INYC_CONF_INF_REGLAS (COD_INFORME,TABLA,NOMBRE,REGLA,F_INICIO,F_FIN,DESCRIPCION) VALUES ("&amp;REGLAS!B1314&amp;",'"&amp;REGLAS!C1314&amp;"','"&amp;REGLAS!D1314&amp;"','"&amp;REGLAS!G1314&amp;"',TO_DATE('"&amp;REGLAS!H1314&amp;"','yyyymmdd'),TO_DATE('"&amp;REGLAS!I1314&amp;"','yyyymmdd'),'"&amp;REGLAS!J1314&amp;"');")</f>
        <v>INSERT INTO INYCEXT.INYC_CONF_INF_REGLAS (COD_INFORME,TABLA,NOMBRE,REGLA,F_INICIO,F_FIN,DESCRIPCION) VALUES (112.1,'INYC_PROD_AGENTES','DC - Nº Asegurados Agente','DC-O-GEN-Agente-NumAsegurados',TO_DATE('20180101','yyyymmdd'),TO_DATE('22000101','yyyymmdd'),'Version 20180118');</v>
      </c>
      <c r="B1313" t="str">
        <f>IF(REGLAS!J1314="OBSOLETO","","INSERT INTO INYCEXT.INYC_CONF_INF_REGLAS@tc_link (COD_INFORME,TABLA,NOMBRE,REGLA,F_INICIO,F_FIN,DESCRIPCION) VALUES ("&amp;REGLAS!B1314&amp;",'"&amp;REGLAS!C1314&amp;"','"&amp;REGLAS!D1314&amp;"','"&amp;REGLAS!G1314&amp;"',TO_DATE('"&amp;REGLAS!H1314&amp;"','yyyymmdd'),TO_DATE('"&amp;REGLAS!I1314&amp;"','yyyymmdd'),'"&amp;REGLAS!J1314&amp;"');")</f>
        <v>INSERT INTO INYCEXT.INYC_CONF_INF_REGLAS@tc_link (COD_INFORME,TABLA,NOMBRE,REGLA,F_INICIO,F_FIN,DESCRIPCION) VALUES (112.1,'INYC_PROD_AGENTES','DC - Nº Asegurados Agente','DC-O-GEN-Agente-NumAsegurados',TO_DATE('20180101','yyyymmdd'),TO_DATE('22000101','yyyymmdd'),'Version 20180118');</v>
      </c>
    </row>
    <row r="1314" spans="1:2" x14ac:dyDescent="0.25">
      <c r="A1314" t="str">
        <f>IF(REGLAS!J1315="OBSOLETO","","INSERT INTO INYCEXT.INYC_CONF_INF_REGLAS (COD_INFORME,TABLA,NOMBRE,REGLA,F_INICIO,F_FIN,DESCRIPCION) VALUES ("&amp;REGLAS!B1315&amp;",'"&amp;REGLAS!C1315&amp;"','"&amp;REGLAS!D1315&amp;"','"&amp;REGLAS!G1315&amp;"',TO_DATE('"&amp;REGLAS!H1315&amp;"','yyyymmdd'),TO_DATE('"&amp;REGLAS!I1315&amp;"','yyyymmdd'),'"&amp;REGLAS!J1315&amp;"');")</f>
        <v>INSERT INTO INYCEXT.INYC_CONF_INF_REGLAS (COD_INFORME,TABLA,NOMBRE,REGLA,F_INICIO,F_FIN,DESCRIPCION) VALUES (114.1,'INYC_PROD_INSPECTORES','DC - Nº Pólizas Inspector Propias Nueva Producción','DC-O-GEN-Inspector-NumeroPolizas-998',TO_DATE('20170101','yyyymmdd'),TO_DATE('22000101','yyyymmdd'),'Version 20180118');</v>
      </c>
      <c r="B1314" t="str">
        <f>IF(REGLAS!J1315="OBSOLETO","","INSERT INTO INYCEXT.INYC_CONF_INF_REGLAS@tc_link (COD_INFORME,TABLA,NOMBRE,REGLA,F_INICIO,F_FIN,DESCRIPCION) VALUES ("&amp;REGLAS!B1315&amp;",'"&amp;REGLAS!C1315&amp;"','"&amp;REGLAS!D1315&amp;"','"&amp;REGLAS!G1315&amp;"',TO_DATE('"&amp;REGLAS!H1315&amp;"','yyyymmdd'),TO_DATE('"&amp;REGLAS!I1315&amp;"','yyyymmdd'),'"&amp;REGLAS!J1315&amp;"');")</f>
        <v>INSERT INTO INYCEXT.INYC_CONF_INF_REGLAS@tc_link (COD_INFORME,TABLA,NOMBRE,REGLA,F_INICIO,F_FIN,DESCRIPCION) VALUES (114.1,'INYC_PROD_INSPECTORES','DC - Nº Pólizas Inspector Propias Nueva Producción','DC-O-GEN-Inspector-NumeroPolizas-998',TO_DATE('20170101','yyyymmdd'),TO_DATE('22000101','yyyymmdd'),'Version 20180118');</v>
      </c>
    </row>
    <row r="1315" spans="1:2" x14ac:dyDescent="0.25">
      <c r="A1315" t="str">
        <f>IF(REGLAS!J1316="OBSOLETO","","INSERT INTO INYCEXT.INYC_CONF_INF_REGLAS (COD_INFORME,TABLA,NOMBRE,REGLA,F_INICIO,F_FIN,DESCRIPCION) VALUES ("&amp;REGLAS!B1316&amp;",'"&amp;REGLAS!C1316&amp;"','"&amp;REGLAS!D1316&amp;"','"&amp;REGLAS!G1316&amp;"',TO_DATE('"&amp;REGLAS!H1316&amp;"','yyyymmdd'),TO_DATE('"&amp;REGLAS!I1316&amp;"','yyyymmdd'),'"&amp;REGLAS!J1316&amp;"');")</f>
        <v>INSERT INTO INYCEXT.INYC_CONF_INF_REGLAS (COD_INFORME,TABLA,NOMBRE,REGLA,F_INICIO,F_FIN,DESCRIPCION) VALUES (114.1,'INYC_PROD_INSPECTORES','IC - Nº Pólizas Inspector Agentes Nueva Producción','IC-O-GEN-Inspector-NumeroPolizas-998',TO_DATE('20170101','yyyymmdd'),TO_DATE('22000101','yyyymmdd'),'Version 20180118');</v>
      </c>
      <c r="B1315" t="str">
        <f>IF(REGLAS!J1316="OBSOLETO","","INSERT INTO INYCEXT.INYC_CONF_INF_REGLAS@tc_link (COD_INFORME,TABLA,NOMBRE,REGLA,F_INICIO,F_FIN,DESCRIPCION) VALUES ("&amp;REGLAS!B1316&amp;",'"&amp;REGLAS!C1316&amp;"','"&amp;REGLAS!D1316&amp;"','"&amp;REGLAS!G1316&amp;"',TO_DATE('"&amp;REGLAS!H1316&amp;"','yyyymmdd'),TO_DATE('"&amp;REGLAS!I1316&amp;"','yyyymmdd'),'"&amp;REGLAS!J1316&amp;"');")</f>
        <v>INSERT INTO INYCEXT.INYC_CONF_INF_REGLAS@tc_link (COD_INFORME,TABLA,NOMBRE,REGLA,F_INICIO,F_FIN,DESCRIPCION) VALUES (114.1,'INYC_PROD_INSPECTORES','IC - Nº Pólizas Inspector Agentes Nueva Producción','IC-O-GEN-Inspector-NumeroPolizas-998',TO_DATE('20170101','yyyymmdd'),TO_DATE('22000101','yyyymmdd'),'Version 20180118');</v>
      </c>
    </row>
    <row r="1316" spans="1:2" x14ac:dyDescent="0.25">
      <c r="A1316" t="str">
        <f>IF(REGLAS!J1317="OBSOLETO","","INSERT INTO INYCEXT.INYC_CONF_INF_REGLAS (COD_INFORME,TABLA,NOMBRE,REGLA,F_INICIO,F_FIN,DESCRIPCION) VALUES ("&amp;REGLAS!B1317&amp;",'"&amp;REGLAS!C1317&amp;"','"&amp;REGLAS!D1317&amp;"','"&amp;REGLAS!G1317&amp;"',TO_DATE('"&amp;REGLAS!H1317&amp;"','yyyymmdd'),TO_DATE('"&amp;REGLAS!I1317&amp;"','yyyymmdd'),'"&amp;REGLAS!J1317&amp;"');")</f>
        <v>INSERT INTO INYCEXT.INYC_CONF_INF_REGLAS (COD_INFORME,TABLA,NOMBRE,REGLA,F_INICIO,F_FIN,DESCRIPCION) VALUES (114.1,'INYC_PROD_INSPECTORES','DC - Nº Pólizas Inspector Propias Renovación','DC-O-GEN-Inspector-NumeroPolizas-998-Renov',TO_DATE('20180101','yyyymmdd'),TO_DATE('22000101','yyyymmdd'),'Version 20180326');</v>
      </c>
      <c r="B1316" t="str">
        <f>IF(REGLAS!J1317="OBSOLETO","","INSERT INTO INYCEXT.INYC_CONF_INF_REGLAS@tc_link (COD_INFORME,TABLA,NOMBRE,REGLA,F_INICIO,F_FIN,DESCRIPCION) VALUES ("&amp;REGLAS!B1317&amp;",'"&amp;REGLAS!C1317&amp;"','"&amp;REGLAS!D1317&amp;"','"&amp;REGLAS!G1317&amp;"',TO_DATE('"&amp;REGLAS!H1317&amp;"','yyyymmdd'),TO_DATE('"&amp;REGLAS!I1317&amp;"','yyyymmdd'),'"&amp;REGLAS!J1317&amp;"');")</f>
        <v>INSERT INTO INYCEXT.INYC_CONF_INF_REGLAS@tc_link (COD_INFORME,TABLA,NOMBRE,REGLA,F_INICIO,F_FIN,DESCRIPCION) VALUES (114.1,'INYC_PROD_INSPECTORES','DC - Nº Pólizas Inspector Propias Renovación','DC-O-GEN-Inspector-NumeroPolizas-998-Renov',TO_DATE('20180101','yyyymmdd'),TO_DATE('22000101','yyyymmdd'),'Version 20180326');</v>
      </c>
    </row>
    <row r="1317" spans="1:2" x14ac:dyDescent="0.25">
      <c r="A1317" t="str">
        <f>IF(REGLAS!J1318="OBSOLETO","","INSERT INTO INYCEXT.INYC_CONF_INF_REGLAS (COD_INFORME,TABLA,NOMBRE,REGLA,F_INICIO,F_FIN,DESCRIPCION) VALUES ("&amp;REGLAS!B1318&amp;",'"&amp;REGLAS!C1318&amp;"','"&amp;REGLAS!D1318&amp;"','"&amp;REGLAS!G1318&amp;"',TO_DATE('"&amp;REGLAS!H1318&amp;"','yyyymmdd'),TO_DATE('"&amp;REGLAS!I1318&amp;"','yyyymmdd'),'"&amp;REGLAS!J1318&amp;"');")</f>
        <v>INSERT INTO INYCEXT.INYC_CONF_INF_REGLAS (COD_INFORME,TABLA,NOMBRE,REGLA,F_INICIO,F_FIN,DESCRIPCION) VALUES (114.1,'INYC_PROD_INSPECTORES','IC - Nº Pólizas Inspector Agentes Renovación','IC-O-GEN-Inspector-NumeroPolizas-998-Renov',TO_DATE('20180101','yyyymmdd'),TO_DATE('22000101','yyyymmdd'),'Version 20180326');</v>
      </c>
      <c r="B1317" t="str">
        <f>IF(REGLAS!J1318="OBSOLETO","","INSERT INTO INYCEXT.INYC_CONF_INF_REGLAS@tc_link (COD_INFORME,TABLA,NOMBRE,REGLA,F_INICIO,F_FIN,DESCRIPCION) VALUES ("&amp;REGLAS!B1318&amp;",'"&amp;REGLAS!C1318&amp;"','"&amp;REGLAS!D1318&amp;"','"&amp;REGLAS!G1318&amp;"',TO_DATE('"&amp;REGLAS!H1318&amp;"','yyyymmdd'),TO_DATE('"&amp;REGLAS!I1318&amp;"','yyyymmdd'),'"&amp;REGLAS!J1318&amp;"');")</f>
        <v>INSERT INTO INYCEXT.INYC_CONF_INF_REGLAS@tc_link (COD_INFORME,TABLA,NOMBRE,REGLA,F_INICIO,F_FIN,DESCRIPCION) VALUES (114.1,'INYC_PROD_INSPECTORES','IC - Nº Pólizas Inspector Agentes Renovación','IC-O-GEN-Inspector-NumeroPolizas-998-Renov',TO_DATE('20180101','yyyymmdd'),TO_DATE('22000101','yyyymmdd'),'Version 20180326');</v>
      </c>
    </row>
    <row r="1318" spans="1:2" x14ac:dyDescent="0.25">
      <c r="A1318" t="str">
        <f>IF(REGLAS!J1319="OBSOLETO","","INSERT INTO INYCEXT.INYC_CONF_INF_REGLAS (COD_INFORME,TABLA,NOMBRE,REGLA,F_INICIO,F_FIN,DESCRIPCION) VALUES ("&amp;REGLAS!B1319&amp;",'"&amp;REGLAS!C1319&amp;"','"&amp;REGLAS!D1319&amp;"','"&amp;REGLAS!G1319&amp;"',TO_DATE('"&amp;REGLAS!H1319&amp;"','yyyymmdd'),TO_DATE('"&amp;REGLAS!I1319&amp;"','yyyymmdd'),'"&amp;REGLAS!J1319&amp;"');")</f>
        <v>INSERT INTO INYCEXT.INYC_CONF_INF_REGLAS (COD_INFORME,TABLA,NOMBRE,REGLA,F_INICIO,F_FIN,DESCRIPCION) VALUES (114.1,'INYC_PROD_INSPECTORES','DC - Primas Corregidas Inspector Propias Total Productos','DC-O-GEN-Inspector-PrimaCorregida-998',TO_DATE('20170101','yyyymmdd'),TO_DATE('22000101','yyyymmdd'),'Version 20180118');</v>
      </c>
      <c r="B1318" t="str">
        <f>IF(REGLAS!J1319="OBSOLETO","","INSERT INTO INYCEXT.INYC_CONF_INF_REGLAS@tc_link (COD_INFORME,TABLA,NOMBRE,REGLA,F_INICIO,F_FIN,DESCRIPCION) VALUES ("&amp;REGLAS!B1319&amp;",'"&amp;REGLAS!C1319&amp;"','"&amp;REGLAS!D1319&amp;"','"&amp;REGLAS!G1319&amp;"',TO_DATE('"&amp;REGLAS!H1319&amp;"','yyyymmdd'),TO_DATE('"&amp;REGLAS!I1319&amp;"','yyyymmdd'),'"&amp;REGLAS!J1319&amp;"');")</f>
        <v>INSERT INTO INYCEXT.INYC_CONF_INF_REGLAS@tc_link (COD_INFORME,TABLA,NOMBRE,REGLA,F_INICIO,F_FIN,DESCRIPCION) VALUES (114.1,'INYC_PROD_INSPECTORES','DC - Primas Corregidas Inspector Propias Total Productos','DC-O-GEN-Inspector-PrimaCorregida-998',TO_DATE('20170101','yyyymmdd'),TO_DATE('22000101','yyyymmdd'),'Version 20180118');</v>
      </c>
    </row>
    <row r="1319" spans="1:2" x14ac:dyDescent="0.25">
      <c r="A1319" t="str">
        <f>IF(REGLAS!J1320="OBSOLETO","","INSERT INTO INYCEXT.INYC_CONF_INF_REGLAS (COD_INFORME,TABLA,NOMBRE,REGLA,F_INICIO,F_FIN,DESCRIPCION) VALUES ("&amp;REGLAS!B1320&amp;",'"&amp;REGLAS!C1320&amp;"','"&amp;REGLAS!D1320&amp;"','"&amp;REGLAS!G1320&amp;"',TO_DATE('"&amp;REGLAS!H1320&amp;"','yyyymmdd'),TO_DATE('"&amp;REGLAS!I1320&amp;"','yyyymmdd'),'"&amp;REGLAS!J1320&amp;"');")</f>
        <v>INSERT INTO INYCEXT.INYC_CONF_INF_REGLAS (COD_INFORME,TABLA,NOMBRE,REGLA,F_INICIO,F_FIN,DESCRIPCION) VALUES (114.1,'INYC_PROD_INSPECTORES','DC - Primas Corregidas Inspector Agentes Total Productos','IC-O-GEN-Inspector-PrimaCorregida-998',TO_DATE('20170101','yyyymmdd'),TO_DATE('22000101','yyyymmdd'),'Version 20180118');</v>
      </c>
      <c r="B1319" t="str">
        <f>IF(REGLAS!J1320="OBSOLETO","","INSERT INTO INYCEXT.INYC_CONF_INF_REGLAS@tc_link (COD_INFORME,TABLA,NOMBRE,REGLA,F_INICIO,F_FIN,DESCRIPCION) VALUES ("&amp;REGLAS!B1320&amp;",'"&amp;REGLAS!C1320&amp;"','"&amp;REGLAS!D1320&amp;"','"&amp;REGLAS!G1320&amp;"',TO_DATE('"&amp;REGLAS!H1320&amp;"','yyyymmdd'),TO_DATE('"&amp;REGLAS!I1320&amp;"','yyyymmdd'),'"&amp;REGLAS!J1320&amp;"');")</f>
        <v>INSERT INTO INYCEXT.INYC_CONF_INF_REGLAS@tc_link (COD_INFORME,TABLA,NOMBRE,REGLA,F_INICIO,F_FIN,DESCRIPCION) VALUES (114.1,'INYC_PROD_INSPECTORES','DC - Primas Corregidas Inspector Agentes Total Productos','IC-O-GEN-Inspector-PrimaCorregida-998',TO_DATE('20170101','yyyymmdd'),TO_DATE('22000101','yyyymmdd'),'Version 20180118');</v>
      </c>
    </row>
    <row r="1320" spans="1:2" x14ac:dyDescent="0.25">
      <c r="A1320" t="str">
        <f>IF(REGLAS!J1321="OBSOLETO","","INSERT INTO INYCEXT.INYC_CONF_INF_REGLAS (COD_INFORME,TABLA,NOMBRE,REGLA,F_INICIO,F_FIN,DESCRIPCION) VALUES ("&amp;REGLAS!B1321&amp;",'"&amp;REGLAS!C1321&amp;"','"&amp;REGLAS!D1321&amp;"','"&amp;REGLAS!G1321&amp;"',TO_DATE('"&amp;REGLAS!H1321&amp;"','yyyymmdd'),TO_DATE('"&amp;REGLAS!I1321&amp;"','yyyymmdd'),'"&amp;REGLAS!J1321&amp;"');")</f>
        <v>INSERT INTO INYCEXT.INYC_CONF_INF_REGLAS (COD_INFORME,TABLA,NOMBRE,REGLA,F_INICIO,F_FIN,DESCRIPCION) VALUES (114.1,'INYC_PROD_INSPECTORES','DC - Nº Asegurados Agente','DC-O-GEN-Agente-NumAsegurados',TO_DATE('20180101','yyyymmdd'),TO_DATE('22000101','yyyymmdd'),'Version 20180118');</v>
      </c>
      <c r="B1320" t="str">
        <f>IF(REGLAS!J1321="OBSOLETO","","INSERT INTO INYCEXT.INYC_CONF_INF_REGLAS@tc_link (COD_INFORME,TABLA,NOMBRE,REGLA,F_INICIO,F_FIN,DESCRIPCION) VALUES ("&amp;REGLAS!B1321&amp;",'"&amp;REGLAS!C1321&amp;"','"&amp;REGLAS!D1321&amp;"','"&amp;REGLAS!G1321&amp;"',TO_DATE('"&amp;REGLAS!H1321&amp;"','yyyymmdd'),TO_DATE('"&amp;REGLAS!I1321&amp;"','yyyymmdd'),'"&amp;REGLAS!J1321&amp;"');")</f>
        <v>INSERT INTO INYCEXT.INYC_CONF_INF_REGLAS@tc_link (COD_INFORME,TABLA,NOMBRE,REGLA,F_INICIO,F_FIN,DESCRIPCION) VALUES (114.1,'INYC_PROD_INSPECTORES','DC - Nº Asegurados Agente','DC-O-GEN-Agente-NumAsegurados',TO_DATE('20180101','yyyymmdd'),TO_DATE('22000101','yyyymmdd'),'Version 20180118');</v>
      </c>
    </row>
    <row r="1321" spans="1:2" x14ac:dyDescent="0.25">
      <c r="A1321" t="str">
        <f>IF(REGLAS!J1322="OBSOLETO","","INSERT INTO INYCEXT.INYC_CONF_INF_REGLAS (COD_INFORME,TABLA,NOMBRE,REGLA,F_INICIO,F_FIN,DESCRIPCION) VALUES ("&amp;REGLAS!B1322&amp;",'"&amp;REGLAS!C1322&amp;"','"&amp;REGLAS!D1322&amp;"','"&amp;REGLAS!G1322&amp;"',TO_DATE('"&amp;REGLAS!H1322&amp;"','yyyymmdd'),TO_DATE('"&amp;REGLAS!I1322&amp;"','yyyymmdd'),'"&amp;REGLAS!J1322&amp;"');")</f>
        <v>INSERT INTO INYCEXT.INYC_CONF_INF_REGLAS (COD_INFORME,TABLA,NOMBRE,REGLA,F_INICIO,F_FIN,DESCRIPCION) VALUES (114.1,'INYC_PROD_INSPECTORES','IC - Nº Asegurados Inspector','IC-O-GEN-Inspector-NumAsegurados',TO_DATE('20180101','yyyymmdd'),TO_DATE('22000101','yyyymmdd'),'Version 20180118');</v>
      </c>
      <c r="B1321" t="str">
        <f>IF(REGLAS!J1322="OBSOLETO","","INSERT INTO INYCEXT.INYC_CONF_INF_REGLAS@tc_link (COD_INFORME,TABLA,NOMBRE,REGLA,F_INICIO,F_FIN,DESCRIPCION) VALUES ("&amp;REGLAS!B1322&amp;",'"&amp;REGLAS!C1322&amp;"','"&amp;REGLAS!D1322&amp;"','"&amp;REGLAS!G1322&amp;"',TO_DATE('"&amp;REGLAS!H1322&amp;"','yyyymmdd'),TO_DATE('"&amp;REGLAS!I1322&amp;"','yyyymmdd'),'"&amp;REGLAS!J1322&amp;"');")</f>
        <v>INSERT INTO INYCEXT.INYC_CONF_INF_REGLAS@tc_link (COD_INFORME,TABLA,NOMBRE,REGLA,F_INICIO,F_FIN,DESCRIPCION) VALUES (114.1,'INYC_PROD_INSPECTORES','IC - Nº Asegurados Inspector','IC-O-GEN-Inspector-NumAsegurados',TO_DATE('20180101','yyyymmdd'),TO_DATE('22000101','yyyymmdd'),'Version 20180118');</v>
      </c>
    </row>
    <row r="1322" spans="1:2" x14ac:dyDescent="0.25">
      <c r="A1322" t="str">
        <f>IF(REGLAS!J1323="OBSOLETO","","INSERT INTO INYCEXT.INYC_CONF_INF_REGLAS (COD_INFORME,TABLA,NOMBRE,REGLA,F_INICIO,F_FIN,DESCRIPCION) VALUES ("&amp;REGLAS!B1323&amp;",'"&amp;REGLAS!C1323&amp;"','"&amp;REGLAS!D1323&amp;"','"&amp;REGLAS!G1323&amp;"',TO_DATE('"&amp;REGLAS!H1323&amp;"','yyyymmdd'),TO_DATE('"&amp;REGLAS!I1323&amp;"','yyyymmdd'),'"&amp;REGLAS!J1323&amp;"');")</f>
        <v>INSERT INTO INYCEXT.INYC_CONF_INF_REGLAS (COD_INFORME,TABLA,NOMBRE,REGLA,F_INICIO,F_FIN,DESCRIPCION) VALUES (116.1,'INYC_INSP_ACTIVOS','SM - Nº Pólizas Inspector Total Productos Mensual','SM-O-GEN-Inspector-NumeroPolizas-998-TotalMes',TO_DATE('20170101','yyyymmdd'),TO_DATE('22000101','yyyymmdd'),'');</v>
      </c>
      <c r="B1322" t="str">
        <f>IF(REGLAS!J1323="OBSOLETO","","INSERT INTO INYCEXT.INYC_CONF_INF_REGLAS@tc_link (COD_INFORME,TABLA,NOMBRE,REGLA,F_INICIO,F_FIN,DESCRIPCION) VALUES ("&amp;REGLAS!B1323&amp;",'"&amp;REGLAS!C1323&amp;"','"&amp;REGLAS!D1323&amp;"','"&amp;REGLAS!G1323&amp;"',TO_DATE('"&amp;REGLAS!H1323&amp;"','yyyymmdd'),TO_DATE('"&amp;REGLAS!I1323&amp;"','yyyymmdd'),'"&amp;REGLAS!J1323&amp;"');")</f>
        <v>INSERT INTO INYCEXT.INYC_CONF_INF_REGLAS@tc_link (COD_INFORME,TABLA,NOMBRE,REGLA,F_INICIO,F_FIN,DESCRIPCION) VALUES (116.1,'INYC_INSP_ACTIVOS','SM - Nº Pólizas Inspector Total Productos Mensual','SM-O-GEN-Inspector-NumeroPolizas-998-TotalMes',TO_DATE('20170101','yyyymmdd'),TO_DATE('22000101','yyyymmdd'),'');</v>
      </c>
    </row>
    <row r="1323" spans="1:2" x14ac:dyDescent="0.25">
      <c r="A1323" t="str">
        <f>IF(REGLAS!J1324="OBSOLETO","","INSERT INTO INYCEXT.INYC_CONF_INF_REGLAS (COD_INFORME,TABLA,NOMBRE,REGLA,F_INICIO,F_FIN,DESCRIPCION) VALUES ("&amp;REGLAS!B1324&amp;",'"&amp;REGLAS!C1324&amp;"','"&amp;REGLAS!D1324&amp;"','"&amp;REGLAS!G1324&amp;"',TO_DATE('"&amp;REGLAS!H1324&amp;"','yyyymmdd'),TO_DATE('"&amp;REGLAS!I1324&amp;"','yyyymmdd'),'"&amp;REGLAS!J1324&amp;"');")</f>
        <v>INSERT INTO INYCEXT.INYC_CONF_INF_REGLAS (COD_INFORME,TABLA,NOMBRE,REGLA,F_INICIO,F_FIN,DESCRIPCION) VALUES (116.1,'INYC_INSP_ACTIVOS','SM - Nº Pólizas Corregidas Inspector Total Productos Mensual','SM-O-GEN-Inspector-NumeroPolizasCorregidas-998-TotalMes',TO_DATE('20180101','yyyymmdd'),TO_DATE('22000101','yyyymmdd'),'Version 20180130');</v>
      </c>
      <c r="B1323" t="str">
        <f>IF(REGLAS!J1324="OBSOLETO","","INSERT INTO INYCEXT.INYC_CONF_INF_REGLAS@tc_link (COD_INFORME,TABLA,NOMBRE,REGLA,F_INICIO,F_FIN,DESCRIPCION) VALUES ("&amp;REGLAS!B1324&amp;",'"&amp;REGLAS!C1324&amp;"','"&amp;REGLAS!D1324&amp;"','"&amp;REGLAS!G1324&amp;"',TO_DATE('"&amp;REGLAS!H1324&amp;"','yyyymmdd'),TO_DATE('"&amp;REGLAS!I1324&amp;"','yyyymmdd'),'"&amp;REGLAS!J1324&amp;"');")</f>
        <v>INSERT INTO INYCEXT.INYC_CONF_INF_REGLAS@tc_link (COD_INFORME,TABLA,NOMBRE,REGLA,F_INICIO,F_FIN,DESCRIPCION) VALUES (116.1,'INYC_INSP_ACTIVOS','SM - Nº Pólizas Corregidas Inspector Total Productos Mensual','SM-O-GEN-Inspector-NumeroPolizasCorregidas-998-TotalMes',TO_DATE('20180101','yyyymmdd'),TO_DATE('22000101','yyyymmdd'),'Version 20180130');</v>
      </c>
    </row>
    <row r="1324" spans="1:2" x14ac:dyDescent="0.25">
      <c r="A1324" t="str">
        <f>IF(REGLAS!J1325="OBSOLETO","","INSERT INTO INYCEXT.INYC_CONF_INF_REGLAS (COD_INFORME,TABLA,NOMBRE,REGLA,F_INICIO,F_FIN,DESCRIPCION) VALUES ("&amp;REGLAS!B1325&amp;",'"&amp;REGLAS!C1325&amp;"','"&amp;REGLAS!D1325&amp;"','"&amp;REGLAS!G1325&amp;"',TO_DATE('"&amp;REGLAS!H1325&amp;"','yyyymmdd'),TO_DATE('"&amp;REGLAS!I1325&amp;"','yyyymmdd'),'"&amp;REGLAS!J1325&amp;"');")</f>
        <v>INSERT INTO INYCEXT.INYC_CONF_INF_REGLAS (COD_INFORME,TABLA,NOMBRE,REGLA,F_INICIO,F_FIN,DESCRIPCION) VALUES (116.1,'INYC_INSP_ACTIVOS','SM - Prima Corregida Inspector Total Productos Mensual','SM-O-GEN-Inspector-PrimaCorregida-998-TotalMes',TO_DATE('20170101','yyyymmdd'),TO_DATE('22000101','yyyymmdd'),'');</v>
      </c>
      <c r="B1324" t="str">
        <f>IF(REGLAS!J1325="OBSOLETO","","INSERT INTO INYCEXT.INYC_CONF_INF_REGLAS@tc_link (COD_INFORME,TABLA,NOMBRE,REGLA,F_INICIO,F_FIN,DESCRIPCION) VALUES ("&amp;REGLAS!B1325&amp;",'"&amp;REGLAS!C1325&amp;"','"&amp;REGLAS!D1325&amp;"','"&amp;REGLAS!G1325&amp;"',TO_DATE('"&amp;REGLAS!H1325&amp;"','yyyymmdd'),TO_DATE('"&amp;REGLAS!I1325&amp;"','yyyymmdd'),'"&amp;REGLAS!J1325&amp;"');")</f>
        <v>INSERT INTO INYCEXT.INYC_CONF_INF_REGLAS@tc_link (COD_INFORME,TABLA,NOMBRE,REGLA,F_INICIO,F_FIN,DESCRIPCION) VALUES (116.1,'INYC_INSP_ACTIVOS','SM - Prima Corregida Inspector Total Productos Mensual','SM-O-GEN-Inspector-PrimaCorregida-998-TotalMes',TO_DATE('20170101','yyyymmdd'),TO_DATE('22000101','yyyymmdd'),'');</v>
      </c>
    </row>
    <row r="1325" spans="1:2" x14ac:dyDescent="0.25">
      <c r="A1325" t="str">
        <f>IF(REGLAS!J1326="OBSOLETO","","INSERT INTO INYCEXT.INYC_CONF_INF_REGLAS (COD_INFORME,TABLA,NOMBRE,REGLA,F_INICIO,F_FIN,DESCRIPCION) VALUES ("&amp;REGLAS!B1326&amp;",'"&amp;REGLAS!C1326&amp;"','"&amp;REGLAS!D1326&amp;"','"&amp;REGLAS!G1326&amp;"',TO_DATE('"&amp;REGLAS!H1326&amp;"','yyyymmdd'),TO_DATE('"&amp;REGLAS!I1326&amp;"','yyyymmdd'),'"&amp;REGLAS!J1326&amp;"');")</f>
        <v>INSERT INTO INYCEXT.INYC_CONF_INF_REGLAS (COD_INFORME,TABLA,NOMBRE,REGLA,F_INICIO,F_FIN,DESCRIPCION) VALUES (116.1,'INYC_INSP_ACTIVOS','SM - Primas Inspector Total Productos Mensual','SM-O-GEN-Inspector-Prima-998-TotalMes',TO_DATE('20170101','yyyymmdd'),TO_DATE('22000101','yyyymmdd'),'');</v>
      </c>
      <c r="B1325" t="str">
        <f>IF(REGLAS!J1326="OBSOLETO","","INSERT INTO INYCEXT.INYC_CONF_INF_REGLAS@tc_link (COD_INFORME,TABLA,NOMBRE,REGLA,F_INICIO,F_FIN,DESCRIPCION) VALUES ("&amp;REGLAS!B1326&amp;",'"&amp;REGLAS!C1326&amp;"','"&amp;REGLAS!D1326&amp;"','"&amp;REGLAS!G1326&amp;"',TO_DATE('"&amp;REGLAS!H1326&amp;"','yyyymmdd'),TO_DATE('"&amp;REGLAS!I1326&amp;"','yyyymmdd'),'"&amp;REGLAS!J1326&amp;"');")</f>
        <v>INSERT INTO INYCEXT.INYC_CONF_INF_REGLAS@tc_link (COD_INFORME,TABLA,NOMBRE,REGLA,F_INICIO,F_FIN,DESCRIPCION) VALUES (116.1,'INYC_INSP_ACTIVOS','SM - Primas Inspector Total Productos Mensual','SM-O-GEN-Inspector-Prima-998-TotalMes',TO_DATE('20170101','yyyymmdd'),TO_DATE('22000101','yyyymmdd'),'');</v>
      </c>
    </row>
    <row r="1326" spans="1:2" x14ac:dyDescent="0.25">
      <c r="A1326" t="str">
        <f>IF(REGLAS!J1327="OBSOLETO","","INSERT INTO INYCEXT.INYC_CONF_INF_REGLAS (COD_INFORME,TABLA,NOMBRE,REGLA,F_INICIO,F_FIN,DESCRIPCION) VALUES ("&amp;REGLAS!B1327&amp;",'"&amp;REGLAS!C1327&amp;"','"&amp;REGLAS!D1327&amp;"','"&amp;REGLAS!G1327&amp;"',TO_DATE('"&amp;REGLAS!H1327&amp;"','yyyymmdd'),TO_DATE('"&amp;REGLAS!I1327&amp;"','yyyymmdd'),'"&amp;REGLAS!J1327&amp;"');")</f>
        <v>INSERT INTO INYCEXT.INYC_CONF_INF_REGLAS (COD_INFORME,TABLA,NOMBRE,REGLA,F_INICIO,F_FIN,DESCRIPCION) VALUES (116.1,'INYC_INSP_ACTIVOS','Objetivo Polizas Anual','SM-O-RPP-Inspector-ObjetivoAnual-NumPolizas-998',TO_DATE('20170101','yyyymmdd'),TO_DATE('22000101','yyyymmdd'),'');</v>
      </c>
      <c r="B1326" t="str">
        <f>IF(REGLAS!J1327="OBSOLETO","","INSERT INTO INYCEXT.INYC_CONF_INF_REGLAS@tc_link (COD_INFORME,TABLA,NOMBRE,REGLA,F_INICIO,F_FIN,DESCRIPCION) VALUES ("&amp;REGLAS!B1327&amp;",'"&amp;REGLAS!C1327&amp;"','"&amp;REGLAS!D1327&amp;"','"&amp;REGLAS!G1327&amp;"',TO_DATE('"&amp;REGLAS!H1327&amp;"','yyyymmdd'),TO_DATE('"&amp;REGLAS!I1327&amp;"','yyyymmdd'),'"&amp;REGLAS!J1327&amp;"');")</f>
        <v>INSERT INTO INYCEXT.INYC_CONF_INF_REGLAS@tc_link (COD_INFORME,TABLA,NOMBRE,REGLA,F_INICIO,F_FIN,DESCRIPCION) VALUES (116.1,'INYC_INSP_ACTIVOS','Objetivo Polizas Anual','SM-O-RPP-Inspector-ObjetivoAnual-NumPolizas-998',TO_DATE('20170101','yyyymmdd'),TO_DATE('22000101','yyyymmdd'),'');</v>
      </c>
    </row>
    <row r="1327" spans="1:2" x14ac:dyDescent="0.25">
      <c r="A1327" t="str">
        <f>IF(REGLAS!J1328="OBSOLETO","","INSERT INTO INYCEXT.INYC_CONF_INF_REGLAS (COD_INFORME,TABLA,NOMBRE,REGLA,F_INICIO,F_FIN,DESCRIPCION) VALUES ("&amp;REGLAS!B1328&amp;",'"&amp;REGLAS!C1328&amp;"','"&amp;REGLAS!D1328&amp;"','"&amp;REGLAS!G1328&amp;"',TO_DATE('"&amp;REGLAS!H1328&amp;"','yyyymmdd'),TO_DATE('"&amp;REGLAS!I1328&amp;"','yyyymmdd'),'"&amp;REGLAS!J1328&amp;"');")</f>
        <v>INSERT INTO INYCEXT.INYC_CONF_INF_REGLAS (COD_INFORME,TABLA,NOMBRE,REGLA,F_INICIO,F_FIN,DESCRIPCION) VALUES (116.1,'INYC_INSP_ACTIVOS','Objetivo Primas Anual','SM-O-RPP-Inspector-ObjetivoUnicoAnual-PrimaCorregida',TO_DATE('20170101','yyyymmdd'),TO_DATE('22000101','yyyymmdd'),'');</v>
      </c>
      <c r="B1327" t="str">
        <f>IF(REGLAS!J1328="OBSOLETO","","INSERT INTO INYCEXT.INYC_CONF_INF_REGLAS@tc_link (COD_INFORME,TABLA,NOMBRE,REGLA,F_INICIO,F_FIN,DESCRIPCION) VALUES ("&amp;REGLAS!B1328&amp;",'"&amp;REGLAS!C1328&amp;"','"&amp;REGLAS!D1328&amp;"','"&amp;REGLAS!G1328&amp;"',TO_DATE('"&amp;REGLAS!H1328&amp;"','yyyymmdd'),TO_DATE('"&amp;REGLAS!I1328&amp;"','yyyymmdd'),'"&amp;REGLAS!J1328&amp;"');")</f>
        <v>INSERT INTO INYCEXT.INYC_CONF_INF_REGLAS@tc_link (COD_INFORME,TABLA,NOMBRE,REGLA,F_INICIO,F_FIN,DESCRIPCION) VALUES (116.1,'INYC_INSP_ACTIVOS','Objetivo Primas Anual','SM-O-RPP-Inspector-ObjetivoUnicoAnual-PrimaCorregida',TO_DATE('20170101','yyyymmdd'),TO_DATE('22000101','yyyymmdd'),'');</v>
      </c>
    </row>
    <row r="1328" spans="1:2" x14ac:dyDescent="0.25">
      <c r="A1328" t="str">
        <f>IF(REGLAS!J1329="OBSOLETO","","INSERT INTO INYCEXT.INYC_CONF_INF_REGLAS (COD_INFORME,TABLA,NOMBRE,REGLA,F_INICIO,F_FIN,DESCRIPCION) VALUES ("&amp;REGLAS!B1329&amp;",'"&amp;REGLAS!C1329&amp;"','"&amp;REGLAS!D1329&amp;"','"&amp;REGLAS!G1329&amp;"',TO_DATE('"&amp;REGLAS!H1329&amp;"','yyyymmdd'),TO_DATE('"&amp;REGLAS!I1329&amp;"','yyyymmdd'),'"&amp;REGLAS!J1329&amp;"');")</f>
        <v>INSERT INTO INYCEXT.INYC_CONF_INF_REGLAS (COD_INFORME,TABLA,NOMBRE,REGLA,F_INICIO,F_FIN,DESCRIPCION) VALUES (302.1,'INYC_PROD_E_AGENTES','PM - Nº Asegurados Agente','PM-E-GEN-Agente-NumAsegurados',TO_DATE('20180101','yyyymmdd'),TO_DATE('22000101','yyyymmdd'),'Version 20180229');</v>
      </c>
      <c r="B1328" t="str">
        <f>IF(REGLAS!J1329="OBSOLETO","","INSERT INTO INYCEXT.INYC_CONF_INF_REGLAS@tc_link (COD_INFORME,TABLA,NOMBRE,REGLA,F_INICIO,F_FIN,DESCRIPCION) VALUES ("&amp;REGLAS!B1329&amp;",'"&amp;REGLAS!C1329&amp;"','"&amp;REGLAS!D1329&amp;"','"&amp;REGLAS!G1329&amp;"',TO_DATE('"&amp;REGLAS!H1329&amp;"','yyyymmdd'),TO_DATE('"&amp;REGLAS!I1329&amp;"','yyyymmdd'),'"&amp;REGLAS!J1329&amp;"');")</f>
        <v>INSERT INTO INYCEXT.INYC_CONF_INF_REGLAS@tc_link (COD_INFORME,TABLA,NOMBRE,REGLA,F_INICIO,F_FIN,DESCRIPCION) VALUES (302.1,'INYC_PROD_E_AGENTES','PM - Nº Asegurados Agente','PM-E-GEN-Agente-NumAsegurados',TO_DATE('20180101','yyyymmdd'),TO_DATE('22000101','yyyymmdd'),'Version 20180229');</v>
      </c>
    </row>
    <row r="1329" spans="1:2" x14ac:dyDescent="0.25">
      <c r="A1329" t="str">
        <f>IF(REGLAS!J1330="OBSOLETO","","INSERT INTO INYCEXT.INYC_CONF_INF_REGLAS (COD_INFORME,TABLA,NOMBRE,REGLA,F_INICIO,F_FIN,DESCRIPCION) VALUES ("&amp;REGLAS!B1330&amp;",'"&amp;REGLAS!C1330&amp;"','"&amp;REGLAS!D1330&amp;"','"&amp;REGLAS!G1330&amp;"',TO_DATE('"&amp;REGLAS!H1330&amp;"','yyyymmdd'),TO_DATE('"&amp;REGLAS!I1330&amp;"','yyyymmdd'),'"&amp;REGLAS!J1330&amp;"');")</f>
        <v>INSERT INTO INYCEXT.INYC_CONF_INF_REGLAS (COD_INFORME,TABLA,NOMBRE,REGLA,F_INICIO,F_FIN,DESCRIPCION) VALUES (302.1,'INYC_PROD_E_AGENTES','PM - Nº Pólizas Inspector Accidentes Propia','PM-E-GEN-Inspector-NumeroPolizas-Accidente-Propia',TO_DATE('20180101','yyyymmdd'),TO_DATE('22000101','yyyymmdd'),'Version 20180229');</v>
      </c>
      <c r="B1329" t="str">
        <f>IF(REGLAS!J1330="OBSOLETO","","INSERT INTO INYCEXT.INYC_CONF_INF_REGLAS@tc_link (COD_INFORME,TABLA,NOMBRE,REGLA,F_INICIO,F_FIN,DESCRIPCION) VALUES ("&amp;REGLAS!B1330&amp;",'"&amp;REGLAS!C1330&amp;"','"&amp;REGLAS!D1330&amp;"','"&amp;REGLAS!G1330&amp;"',TO_DATE('"&amp;REGLAS!H1330&amp;"','yyyymmdd'),TO_DATE('"&amp;REGLAS!I1330&amp;"','yyyymmdd'),'"&amp;REGLAS!J1330&amp;"');")</f>
        <v>INSERT INTO INYCEXT.INYC_CONF_INF_REGLAS@tc_link (COD_INFORME,TABLA,NOMBRE,REGLA,F_INICIO,F_FIN,DESCRIPCION) VALUES (302.1,'INYC_PROD_E_AGENTES','PM - Nº Pólizas Inspector Accidentes Propia','PM-E-GEN-Inspector-NumeroPolizas-Accidente-Propia',TO_DATE('20180101','yyyymmdd'),TO_DATE('22000101','yyyymmdd'),'Version 20180229');</v>
      </c>
    </row>
    <row r="1330" spans="1:2" x14ac:dyDescent="0.25">
      <c r="A1330" t="str">
        <f>IF(REGLAS!J1331="OBSOLETO","","INSERT INTO INYCEXT.INYC_CONF_INF_REGLAS (COD_INFORME,TABLA,NOMBRE,REGLA,F_INICIO,F_FIN,DESCRIPCION) VALUES ("&amp;REGLAS!B1331&amp;",'"&amp;REGLAS!C1331&amp;"','"&amp;REGLAS!D1331&amp;"','"&amp;REGLAS!G1331&amp;"',TO_DATE('"&amp;REGLAS!H1331&amp;"','yyyymmdd'),TO_DATE('"&amp;REGLAS!I1331&amp;"','yyyymmdd'),'"&amp;REGLAS!J1331&amp;"');")</f>
        <v>INSERT INTO INYCEXT.INYC_CONF_INF_REGLAS (COD_INFORME,TABLA,NOMBRE,REGLA,F_INICIO,F_FIN,DESCRIPCION) VALUES (302.1,'INYC_PROD_E_AGENTES','PM - Nº Pólizas Inspector Hogar Propia','PM-E-GEN-Inspector-NumeroPolizas-Hogar-Propia',TO_DATE('20180101','yyyymmdd'),TO_DATE('22000101','yyyymmdd'),'Version 20180229');</v>
      </c>
      <c r="B1330" t="str">
        <f>IF(REGLAS!J1331="OBSOLETO","","INSERT INTO INYCEXT.INYC_CONF_INF_REGLAS@tc_link (COD_INFORME,TABLA,NOMBRE,REGLA,F_INICIO,F_FIN,DESCRIPCION) VALUES ("&amp;REGLAS!B1331&amp;",'"&amp;REGLAS!C1331&amp;"','"&amp;REGLAS!D1331&amp;"','"&amp;REGLAS!G1331&amp;"',TO_DATE('"&amp;REGLAS!H1331&amp;"','yyyymmdd'),TO_DATE('"&amp;REGLAS!I1331&amp;"','yyyymmdd'),'"&amp;REGLAS!J1331&amp;"');")</f>
        <v>INSERT INTO INYCEXT.INYC_CONF_INF_REGLAS@tc_link (COD_INFORME,TABLA,NOMBRE,REGLA,F_INICIO,F_FIN,DESCRIPCION) VALUES (302.1,'INYC_PROD_E_AGENTES','PM - Nº Pólizas Inspector Hogar Propia','PM-E-GEN-Inspector-NumeroPolizas-Hogar-Propia',TO_DATE('20180101','yyyymmdd'),TO_DATE('22000101','yyyymmdd'),'Version 20180229');</v>
      </c>
    </row>
    <row r="1331" spans="1:2" x14ac:dyDescent="0.25">
      <c r="A1331" t="str">
        <f>IF(REGLAS!J1332="OBSOLETO","","INSERT INTO INYCEXT.INYC_CONF_INF_REGLAS (COD_INFORME,TABLA,NOMBRE,REGLA,F_INICIO,F_FIN,DESCRIPCION) VALUES ("&amp;REGLAS!B1332&amp;",'"&amp;REGLAS!C1332&amp;"','"&amp;REGLAS!D1332&amp;"','"&amp;REGLAS!G1332&amp;"',TO_DATE('"&amp;REGLAS!H1332&amp;"','yyyymmdd'),TO_DATE('"&amp;REGLAS!I1332&amp;"','yyyymmdd'),'"&amp;REGLAS!J1332&amp;"');")</f>
        <v>INSERT INTO INYCEXT.INYC_CONF_INF_REGLAS (COD_INFORME,TABLA,NOMBRE,REGLA,F_INICIO,F_FIN,DESCRIPCION) VALUES (302.1,'INYC_PROD_E_AGENTES','PM - Nº Pólizas Inspector Comunidades Propia','PM-E-GEN-Inspector-NumeroPolizas-Comunidades-Propia',TO_DATE('20180101','yyyymmdd'),TO_DATE('22000101','yyyymmdd'),'Version 20180229');</v>
      </c>
      <c r="B1331" t="str">
        <f>IF(REGLAS!J1332="OBSOLETO","","INSERT INTO INYCEXT.INYC_CONF_INF_REGLAS@tc_link (COD_INFORME,TABLA,NOMBRE,REGLA,F_INICIO,F_FIN,DESCRIPCION) VALUES ("&amp;REGLAS!B1332&amp;",'"&amp;REGLAS!C1332&amp;"','"&amp;REGLAS!D1332&amp;"','"&amp;REGLAS!G1332&amp;"',TO_DATE('"&amp;REGLAS!H1332&amp;"','yyyymmdd'),TO_DATE('"&amp;REGLAS!I1332&amp;"','yyyymmdd'),'"&amp;REGLAS!J1332&amp;"');")</f>
        <v>INSERT INTO INYCEXT.INYC_CONF_INF_REGLAS@tc_link (COD_INFORME,TABLA,NOMBRE,REGLA,F_INICIO,F_FIN,DESCRIPCION) VALUES (302.1,'INYC_PROD_E_AGENTES','PM - Nº Pólizas Inspector Comunidades Propia','PM-E-GEN-Inspector-NumeroPolizas-Comunidades-Propia',TO_DATE('20180101','yyyymmdd'),TO_DATE('22000101','yyyymmdd'),'Version 20180229');</v>
      </c>
    </row>
    <row r="1332" spans="1:2" x14ac:dyDescent="0.25">
      <c r="A1332" t="str">
        <f>IF(REGLAS!J1333="OBSOLETO","","INSERT INTO INYCEXT.INYC_CONF_INF_REGLAS (COD_INFORME,TABLA,NOMBRE,REGLA,F_INICIO,F_FIN,DESCRIPCION) VALUES ("&amp;REGLAS!B1333&amp;",'"&amp;REGLAS!C1333&amp;"','"&amp;REGLAS!D1333&amp;"','"&amp;REGLAS!G1333&amp;"',TO_DATE('"&amp;REGLAS!H1333&amp;"','yyyymmdd'),TO_DATE('"&amp;REGLAS!I1333&amp;"','yyyymmdd'),'"&amp;REGLAS!J1333&amp;"');")</f>
        <v>INSERT INTO INYCEXT.INYC_CONF_INF_REGLAS (COD_INFORME,TABLA,NOMBRE,REGLA,F_INICIO,F_FIN,DESCRIPCION) VALUES (302.1,'INYC_PROD_E_AGENTES','PM - Nº Pólizas Inspector RRGG Propia','PM-E-GEN-Inspector-NumeroPolizas-RRGG-Propia',TO_DATE('20180101','yyyymmdd'),TO_DATE('22000101','yyyymmdd'),'Version 20180229');</v>
      </c>
      <c r="B1332" t="str">
        <f>IF(REGLAS!J1333="OBSOLETO","","INSERT INTO INYCEXT.INYC_CONF_INF_REGLAS@tc_link (COD_INFORME,TABLA,NOMBRE,REGLA,F_INICIO,F_FIN,DESCRIPCION) VALUES ("&amp;REGLAS!B1333&amp;",'"&amp;REGLAS!C1333&amp;"','"&amp;REGLAS!D1333&amp;"','"&amp;REGLAS!G1333&amp;"',TO_DATE('"&amp;REGLAS!H1333&amp;"','yyyymmdd'),TO_DATE('"&amp;REGLAS!I1333&amp;"','yyyymmdd'),'"&amp;REGLAS!J1333&amp;"');")</f>
        <v>INSERT INTO INYCEXT.INYC_CONF_INF_REGLAS@tc_link (COD_INFORME,TABLA,NOMBRE,REGLA,F_INICIO,F_FIN,DESCRIPCION) VALUES (302.1,'INYC_PROD_E_AGENTES','PM - Nº Pólizas Inspector RRGG Propia','PM-E-GEN-Inspector-NumeroPolizas-RRGG-Propia',TO_DATE('20180101','yyyymmdd'),TO_DATE('22000101','yyyymmdd'),'Version 20180229');</v>
      </c>
    </row>
    <row r="1333" spans="1:2" x14ac:dyDescent="0.25">
      <c r="A1333" t="str">
        <f>IF(REGLAS!J1334="OBSOLETO","","INSERT INTO INYCEXT.INYC_CONF_INF_REGLAS (COD_INFORME,TABLA,NOMBRE,REGLA,F_INICIO,F_FIN,DESCRIPCION) VALUES ("&amp;REGLAS!B1334&amp;",'"&amp;REGLAS!C1334&amp;"','"&amp;REGLAS!D1334&amp;"','"&amp;REGLAS!G1334&amp;"',TO_DATE('"&amp;REGLAS!H1334&amp;"','yyyymmdd'),TO_DATE('"&amp;REGLAS!I1334&amp;"','yyyymmdd'),'"&amp;REGLAS!J1334&amp;"');")</f>
        <v>INSERT INTO INYCEXT.INYC_CONF_INF_REGLAS (COD_INFORME,TABLA,NOMBRE,REGLA,F_INICIO,F_FIN,DESCRIPCION) VALUES (302.1,'INYC_PROD_E_AGENTES','PM - Nº Pólizas Inspector RRTT Propia','PM-E-GEN-Inspector-NumeroPolizas-Decesos-Propia',TO_DATE('20180101','yyyymmdd'),TO_DATE('22000101','yyyymmdd'),'Version 20180229');</v>
      </c>
      <c r="B1333" t="str">
        <f>IF(REGLAS!J1334="OBSOLETO","","INSERT INTO INYCEXT.INYC_CONF_INF_REGLAS@tc_link (COD_INFORME,TABLA,NOMBRE,REGLA,F_INICIO,F_FIN,DESCRIPCION) VALUES ("&amp;REGLAS!B1334&amp;",'"&amp;REGLAS!C1334&amp;"','"&amp;REGLAS!D1334&amp;"','"&amp;REGLAS!G1334&amp;"',TO_DATE('"&amp;REGLAS!H1334&amp;"','yyyymmdd'),TO_DATE('"&amp;REGLAS!I1334&amp;"','yyyymmdd'),'"&amp;REGLAS!J1334&amp;"');")</f>
        <v>INSERT INTO INYCEXT.INYC_CONF_INF_REGLAS@tc_link (COD_INFORME,TABLA,NOMBRE,REGLA,F_INICIO,F_FIN,DESCRIPCION) VALUES (302.1,'INYC_PROD_E_AGENTES','PM - Nº Pólizas Inspector RRTT Propia','PM-E-GEN-Inspector-NumeroPolizas-Decesos-Propia',TO_DATE('20180101','yyyymmdd'),TO_DATE('22000101','yyyymmdd'),'Version 20180229');</v>
      </c>
    </row>
    <row r="1334" spans="1:2" x14ac:dyDescent="0.25">
      <c r="A1334" t="str">
        <f>IF(REGLAS!J1335="OBSOLETO","","INSERT INTO INYCEXT.INYC_CONF_INF_REGLAS (COD_INFORME,TABLA,NOMBRE,REGLA,F_INICIO,F_FIN,DESCRIPCION) VALUES ("&amp;REGLAS!B1335&amp;",'"&amp;REGLAS!C1335&amp;"','"&amp;REGLAS!D1335&amp;"','"&amp;REGLAS!G1335&amp;"',TO_DATE('"&amp;REGLAS!H1335&amp;"','yyyymmdd'),TO_DATE('"&amp;REGLAS!I1335&amp;"','yyyymmdd'),'"&amp;REGLAS!J1335&amp;"');")</f>
        <v>INSERT INTO INYCEXT.INYC_CONF_INF_REGLAS (COD_INFORME,TABLA,NOMBRE,REGLA,F_INICIO,F_FIN,DESCRIPCION) VALUES (302.1,'INYC_PROD_E_AGENTES','PM - Nº Pólizas Inspector Prod. Prioritarios Propia','PM-E-GEN-Inspector-NumeroPolizas-ProdPrioritarios-Propia',TO_DATE('20180101','yyyymmdd'),TO_DATE('22000101','yyyymmdd'),'Version 20180229');</v>
      </c>
      <c r="B1334" t="str">
        <f>IF(REGLAS!J1335="OBSOLETO","","INSERT INTO INYCEXT.INYC_CONF_INF_REGLAS@tc_link (COD_INFORME,TABLA,NOMBRE,REGLA,F_INICIO,F_FIN,DESCRIPCION) VALUES ("&amp;REGLAS!B1335&amp;",'"&amp;REGLAS!C1335&amp;"','"&amp;REGLAS!D1335&amp;"','"&amp;REGLAS!G1335&amp;"',TO_DATE('"&amp;REGLAS!H1335&amp;"','yyyymmdd'),TO_DATE('"&amp;REGLAS!I1335&amp;"','yyyymmdd'),'"&amp;REGLAS!J1335&amp;"');")</f>
        <v>INSERT INTO INYCEXT.INYC_CONF_INF_REGLAS@tc_link (COD_INFORME,TABLA,NOMBRE,REGLA,F_INICIO,F_FIN,DESCRIPCION) VALUES (302.1,'INYC_PROD_E_AGENTES','PM - Nº Pólizas Inspector Prod. Prioritarios Propia','PM-E-GEN-Inspector-NumeroPolizas-ProdPrioritarios-Propia',TO_DATE('20180101','yyyymmdd'),TO_DATE('22000101','yyyymmdd'),'Version 20180229');</v>
      </c>
    </row>
    <row r="1335" spans="1:2" x14ac:dyDescent="0.25">
      <c r="A1335" t="str">
        <f>IF(REGLAS!J1336="OBSOLETO","","INSERT INTO INYCEXT.INYC_CONF_INF_REGLAS (COD_INFORME,TABLA,NOMBRE,REGLA,F_INICIO,F_FIN,DESCRIPCION) VALUES ("&amp;REGLAS!B1336&amp;",'"&amp;REGLAS!C1336&amp;"','"&amp;REGLAS!D1336&amp;"','"&amp;REGLAS!G1336&amp;"',TO_DATE('"&amp;REGLAS!H1336&amp;"','yyyymmdd'),TO_DATE('"&amp;REGLAS!I1336&amp;"','yyyymmdd'),'"&amp;REGLAS!J1336&amp;"');")</f>
        <v>INSERT INTO INYCEXT.INYC_CONF_INF_REGLAS (COD_INFORME,TABLA,NOMBRE,REGLA,F_INICIO,F_FIN,DESCRIPCION) VALUES (302.1,'INYC_PROD_E_AGENTES','PM - Nº Pólizas Inspector Otros Decesos Propia','PM-E-GEN-Inspector-NumeroPolizas-OtrosDecesos-Propia',TO_DATE('20180101','yyyymmdd'),TO_DATE('22000101','yyyymmdd'),'Version 20180229');</v>
      </c>
      <c r="B1335" t="str">
        <f>IF(REGLAS!J1336="OBSOLETO","","INSERT INTO INYCEXT.INYC_CONF_INF_REGLAS@tc_link (COD_INFORME,TABLA,NOMBRE,REGLA,F_INICIO,F_FIN,DESCRIPCION) VALUES ("&amp;REGLAS!B1336&amp;",'"&amp;REGLAS!C1336&amp;"','"&amp;REGLAS!D1336&amp;"','"&amp;REGLAS!G1336&amp;"',TO_DATE('"&amp;REGLAS!H1336&amp;"','yyyymmdd'),TO_DATE('"&amp;REGLAS!I1336&amp;"','yyyymmdd'),'"&amp;REGLAS!J1336&amp;"');")</f>
        <v>INSERT INTO INYCEXT.INYC_CONF_INF_REGLAS@tc_link (COD_INFORME,TABLA,NOMBRE,REGLA,F_INICIO,F_FIN,DESCRIPCION) VALUES (302.1,'INYC_PROD_E_AGENTES','PM - Nº Pólizas Inspector Otros Decesos Propia','PM-E-GEN-Inspector-NumeroPolizas-OtrosDecesos-Propia',TO_DATE('20180101','yyyymmdd'),TO_DATE('22000101','yyyymmdd'),'Version 20180229');</v>
      </c>
    </row>
    <row r="1336" spans="1:2" x14ac:dyDescent="0.25">
      <c r="A1336" t="str">
        <f>IF(REGLAS!J1337="OBSOLETO","","INSERT INTO INYCEXT.INYC_CONF_INF_REGLAS (COD_INFORME,TABLA,NOMBRE,REGLA,F_INICIO,F_FIN,DESCRIPCION) VALUES ("&amp;REGLAS!B1337&amp;",'"&amp;REGLAS!C1337&amp;"','"&amp;REGLAS!D1337&amp;"','"&amp;REGLAS!G1337&amp;"',TO_DATE('"&amp;REGLAS!H1337&amp;"','yyyymmdd'),TO_DATE('"&amp;REGLAS!I1337&amp;"','yyyymmdd'),'"&amp;REGLAS!J1337&amp;"');")</f>
        <v>INSERT INTO INYCEXT.INYC_CONF_INF_REGLAS (COD_INFORME,TABLA,NOMBRE,REGLA,F_INICIO,F_FIN,DESCRIPCION) VALUES (302.1,'INYC_PROD_E_AGENTES','PM - Nº Pólizas Inspector Total Productos Propia','PM-E-GEN-Inspector-NumeroPolizas-TotalProduccion-Propia',TO_DATE('20180101','yyyymmdd'),TO_DATE('22000101','yyyymmdd'),'Version 20180229');</v>
      </c>
      <c r="B1336" t="str">
        <f>IF(REGLAS!J1337="OBSOLETO","","INSERT INTO INYCEXT.INYC_CONF_INF_REGLAS@tc_link (COD_INFORME,TABLA,NOMBRE,REGLA,F_INICIO,F_FIN,DESCRIPCION) VALUES ("&amp;REGLAS!B1337&amp;",'"&amp;REGLAS!C1337&amp;"','"&amp;REGLAS!D1337&amp;"','"&amp;REGLAS!G1337&amp;"',TO_DATE('"&amp;REGLAS!H1337&amp;"','yyyymmdd'),TO_DATE('"&amp;REGLAS!I1337&amp;"','yyyymmdd'),'"&amp;REGLAS!J1337&amp;"');")</f>
        <v>INSERT INTO INYCEXT.INYC_CONF_INF_REGLAS@tc_link (COD_INFORME,TABLA,NOMBRE,REGLA,F_INICIO,F_FIN,DESCRIPCION) VALUES (302.1,'INYC_PROD_E_AGENTES','PM - Nº Pólizas Inspector Total Productos Propia','PM-E-GEN-Inspector-NumeroPolizas-TotalProduccion-Propia',TO_DATE('20180101','yyyymmdd'),TO_DATE('22000101','yyyymmdd'),'Version 20180229');</v>
      </c>
    </row>
    <row r="1337" spans="1:2" x14ac:dyDescent="0.25">
      <c r="A1337" t="str">
        <f>IF(REGLAS!J1338="OBSOLETO","","INSERT INTO INYCEXT.INYC_CONF_INF_REGLAS (COD_INFORME,TABLA,NOMBRE,REGLA,F_INICIO,F_FIN,DESCRIPCION) VALUES ("&amp;REGLAS!B1338&amp;",'"&amp;REGLAS!C1338&amp;"','"&amp;REGLAS!D1338&amp;"','"&amp;REGLAS!G1338&amp;"',TO_DATE('"&amp;REGLAS!H1338&amp;"','yyyymmdd'),TO_DATE('"&amp;REGLAS!I1338&amp;"','yyyymmdd'),'"&amp;REGLAS!J1338&amp;"');")</f>
        <v>INSERT INTO INYCEXT.INYC_CONF_INF_REGLAS (COD_INFORME,TABLA,NOMBRE,REGLA,F_INICIO,F_FIN,DESCRIPCION) VALUES (302.1,'INYC_PROD_E_AGENTES','PM - Nº Pólizas Corregidas Inspector Accidentes Propia','PM-E-GEN-Inspector-NumeroPolizasCorregidas-Accidente-Propia',TO_DATE('20180101','yyyymmdd'),TO_DATE('22000101','yyyymmdd'),'Version 20180229');</v>
      </c>
      <c r="B1337" t="str">
        <f>IF(REGLAS!J1338="OBSOLETO","","INSERT INTO INYCEXT.INYC_CONF_INF_REGLAS@tc_link (COD_INFORME,TABLA,NOMBRE,REGLA,F_INICIO,F_FIN,DESCRIPCION) VALUES ("&amp;REGLAS!B1338&amp;",'"&amp;REGLAS!C1338&amp;"','"&amp;REGLAS!D1338&amp;"','"&amp;REGLAS!G1338&amp;"',TO_DATE('"&amp;REGLAS!H1338&amp;"','yyyymmdd'),TO_DATE('"&amp;REGLAS!I1338&amp;"','yyyymmdd'),'"&amp;REGLAS!J1338&amp;"');")</f>
        <v>INSERT INTO INYCEXT.INYC_CONF_INF_REGLAS@tc_link (COD_INFORME,TABLA,NOMBRE,REGLA,F_INICIO,F_FIN,DESCRIPCION) VALUES (302.1,'INYC_PROD_E_AGENTES','PM - Nº Pólizas Corregidas Inspector Accidentes Propia','PM-E-GEN-Inspector-NumeroPolizasCorregidas-Accidente-Propia',TO_DATE('20180101','yyyymmdd'),TO_DATE('22000101','yyyymmdd'),'Version 20180229');</v>
      </c>
    </row>
    <row r="1338" spans="1:2" x14ac:dyDescent="0.25">
      <c r="A1338" t="str">
        <f>IF(REGLAS!J1339="OBSOLETO","","INSERT INTO INYCEXT.INYC_CONF_INF_REGLAS (COD_INFORME,TABLA,NOMBRE,REGLA,F_INICIO,F_FIN,DESCRIPCION) VALUES ("&amp;REGLAS!B1339&amp;",'"&amp;REGLAS!C1339&amp;"','"&amp;REGLAS!D1339&amp;"','"&amp;REGLAS!G1339&amp;"',TO_DATE('"&amp;REGLAS!H1339&amp;"','yyyymmdd'),TO_DATE('"&amp;REGLAS!I1339&amp;"','yyyymmdd'),'"&amp;REGLAS!J1339&amp;"');")</f>
        <v>INSERT INTO INYCEXT.INYC_CONF_INF_REGLAS (COD_INFORME,TABLA,NOMBRE,REGLA,F_INICIO,F_FIN,DESCRIPCION) VALUES (302.1,'INYC_PROD_E_AGENTES','PM - Nº Pólizas Corregidas Inspector Hogar Propia','PM-E-GEN-Inspector-NumeroPolizasCorregidas-Hogar-Propia',TO_DATE('20180101','yyyymmdd'),TO_DATE('22000101','yyyymmdd'),'Version 20180229');</v>
      </c>
      <c r="B1338" t="str">
        <f>IF(REGLAS!J1339="OBSOLETO","","INSERT INTO INYCEXT.INYC_CONF_INF_REGLAS@tc_link (COD_INFORME,TABLA,NOMBRE,REGLA,F_INICIO,F_FIN,DESCRIPCION) VALUES ("&amp;REGLAS!B1339&amp;",'"&amp;REGLAS!C1339&amp;"','"&amp;REGLAS!D1339&amp;"','"&amp;REGLAS!G1339&amp;"',TO_DATE('"&amp;REGLAS!H1339&amp;"','yyyymmdd'),TO_DATE('"&amp;REGLAS!I1339&amp;"','yyyymmdd'),'"&amp;REGLAS!J1339&amp;"');")</f>
        <v>INSERT INTO INYCEXT.INYC_CONF_INF_REGLAS@tc_link (COD_INFORME,TABLA,NOMBRE,REGLA,F_INICIO,F_FIN,DESCRIPCION) VALUES (302.1,'INYC_PROD_E_AGENTES','PM - Nº Pólizas Corregidas Inspector Hogar Propia','PM-E-GEN-Inspector-NumeroPolizasCorregidas-Hogar-Propia',TO_DATE('20180101','yyyymmdd'),TO_DATE('22000101','yyyymmdd'),'Version 20180229');</v>
      </c>
    </row>
    <row r="1339" spans="1:2" x14ac:dyDescent="0.25">
      <c r="A1339" t="str">
        <f>IF(REGLAS!J1340="OBSOLETO","","INSERT INTO INYCEXT.INYC_CONF_INF_REGLAS (COD_INFORME,TABLA,NOMBRE,REGLA,F_INICIO,F_FIN,DESCRIPCION) VALUES ("&amp;REGLAS!B1340&amp;",'"&amp;REGLAS!C1340&amp;"','"&amp;REGLAS!D1340&amp;"','"&amp;REGLAS!G1340&amp;"',TO_DATE('"&amp;REGLAS!H1340&amp;"','yyyymmdd'),TO_DATE('"&amp;REGLAS!I1340&amp;"','yyyymmdd'),'"&amp;REGLAS!J1340&amp;"');")</f>
        <v>INSERT INTO INYCEXT.INYC_CONF_INF_REGLAS (COD_INFORME,TABLA,NOMBRE,REGLA,F_INICIO,F_FIN,DESCRIPCION) VALUES (302.1,'INYC_PROD_E_AGENTES','PM - Nº Pólizas Corregidas Inspector Comunidades Propia','PM-E-GEN-Inspector-NumeroPolizasCorregidas-Comunidades-Propia',TO_DATE('20180101','yyyymmdd'),TO_DATE('22000101','yyyymmdd'),'Version 20180229');</v>
      </c>
      <c r="B1339" t="str">
        <f>IF(REGLAS!J1340="OBSOLETO","","INSERT INTO INYCEXT.INYC_CONF_INF_REGLAS@tc_link (COD_INFORME,TABLA,NOMBRE,REGLA,F_INICIO,F_FIN,DESCRIPCION) VALUES ("&amp;REGLAS!B1340&amp;",'"&amp;REGLAS!C1340&amp;"','"&amp;REGLAS!D1340&amp;"','"&amp;REGLAS!G1340&amp;"',TO_DATE('"&amp;REGLAS!H1340&amp;"','yyyymmdd'),TO_DATE('"&amp;REGLAS!I1340&amp;"','yyyymmdd'),'"&amp;REGLAS!J1340&amp;"');")</f>
        <v>INSERT INTO INYCEXT.INYC_CONF_INF_REGLAS@tc_link (COD_INFORME,TABLA,NOMBRE,REGLA,F_INICIO,F_FIN,DESCRIPCION) VALUES (302.1,'INYC_PROD_E_AGENTES','PM - Nº Pólizas Corregidas Inspector Comunidades Propia','PM-E-GEN-Inspector-NumeroPolizasCorregidas-Comunidades-Propia',TO_DATE('20180101','yyyymmdd'),TO_DATE('22000101','yyyymmdd'),'Version 20180229');</v>
      </c>
    </row>
    <row r="1340" spans="1:2" x14ac:dyDescent="0.25">
      <c r="A1340" t="str">
        <f>IF(REGLAS!J1341="OBSOLETO","","INSERT INTO INYCEXT.INYC_CONF_INF_REGLAS (COD_INFORME,TABLA,NOMBRE,REGLA,F_INICIO,F_FIN,DESCRIPCION) VALUES ("&amp;REGLAS!B1341&amp;",'"&amp;REGLAS!C1341&amp;"','"&amp;REGLAS!D1341&amp;"','"&amp;REGLAS!G1341&amp;"',TO_DATE('"&amp;REGLAS!H1341&amp;"','yyyymmdd'),TO_DATE('"&amp;REGLAS!I1341&amp;"','yyyymmdd'),'"&amp;REGLAS!J1341&amp;"');")</f>
        <v>INSERT INTO INYCEXT.INYC_CONF_INF_REGLAS (COD_INFORME,TABLA,NOMBRE,REGLA,F_INICIO,F_FIN,DESCRIPCION) VALUES (302.1,'INYC_PROD_E_AGENTES','PM - Nº Pólizas Corregidas Inspector RRGG Propia','PM-E-GEN-Inspector-NumeroPolizasCorregidas-RRGG-Propia',TO_DATE('20180101','yyyymmdd'),TO_DATE('22000101','yyyymmdd'),'Version 20180229');</v>
      </c>
      <c r="B1340" t="str">
        <f>IF(REGLAS!J1341="OBSOLETO","","INSERT INTO INYCEXT.INYC_CONF_INF_REGLAS@tc_link (COD_INFORME,TABLA,NOMBRE,REGLA,F_INICIO,F_FIN,DESCRIPCION) VALUES ("&amp;REGLAS!B1341&amp;",'"&amp;REGLAS!C1341&amp;"','"&amp;REGLAS!D1341&amp;"','"&amp;REGLAS!G1341&amp;"',TO_DATE('"&amp;REGLAS!H1341&amp;"','yyyymmdd'),TO_DATE('"&amp;REGLAS!I1341&amp;"','yyyymmdd'),'"&amp;REGLAS!J1341&amp;"');")</f>
        <v>INSERT INTO INYCEXT.INYC_CONF_INF_REGLAS@tc_link (COD_INFORME,TABLA,NOMBRE,REGLA,F_INICIO,F_FIN,DESCRIPCION) VALUES (302.1,'INYC_PROD_E_AGENTES','PM - Nº Pólizas Corregidas Inspector RRGG Propia','PM-E-GEN-Inspector-NumeroPolizasCorregidas-RRGG-Propia',TO_DATE('20180101','yyyymmdd'),TO_DATE('22000101','yyyymmdd'),'Version 20180229');</v>
      </c>
    </row>
    <row r="1341" spans="1:2" x14ac:dyDescent="0.25">
      <c r="A1341" t="str">
        <f>IF(REGLAS!J1342="OBSOLETO","","INSERT INTO INYCEXT.INYC_CONF_INF_REGLAS (COD_INFORME,TABLA,NOMBRE,REGLA,F_INICIO,F_FIN,DESCRIPCION) VALUES ("&amp;REGLAS!B1342&amp;",'"&amp;REGLAS!C1342&amp;"','"&amp;REGLAS!D1342&amp;"','"&amp;REGLAS!G1342&amp;"',TO_DATE('"&amp;REGLAS!H1342&amp;"','yyyymmdd'),TO_DATE('"&amp;REGLAS!I1342&amp;"','yyyymmdd'),'"&amp;REGLAS!J1342&amp;"');")</f>
        <v>INSERT INTO INYCEXT.INYC_CONF_INF_REGLAS (COD_INFORME,TABLA,NOMBRE,REGLA,F_INICIO,F_FIN,DESCRIPCION) VALUES (302.1,'INYC_PROD_E_AGENTES','PM - Nº Pólizas Corregidas Inspector RRTT Propia','PM-E-GEN-Inspector-NumeroPolizasCorregidas-Decesos-Propia',TO_DATE('20180101','yyyymmdd'),TO_DATE('22000101','yyyymmdd'),'Version 20180229');</v>
      </c>
      <c r="B1341" t="str">
        <f>IF(REGLAS!J1342="OBSOLETO","","INSERT INTO INYCEXT.INYC_CONF_INF_REGLAS@tc_link (COD_INFORME,TABLA,NOMBRE,REGLA,F_INICIO,F_FIN,DESCRIPCION) VALUES ("&amp;REGLAS!B1342&amp;",'"&amp;REGLAS!C1342&amp;"','"&amp;REGLAS!D1342&amp;"','"&amp;REGLAS!G1342&amp;"',TO_DATE('"&amp;REGLAS!H1342&amp;"','yyyymmdd'),TO_DATE('"&amp;REGLAS!I1342&amp;"','yyyymmdd'),'"&amp;REGLAS!J1342&amp;"');")</f>
        <v>INSERT INTO INYCEXT.INYC_CONF_INF_REGLAS@tc_link (COD_INFORME,TABLA,NOMBRE,REGLA,F_INICIO,F_FIN,DESCRIPCION) VALUES (302.1,'INYC_PROD_E_AGENTES','PM - Nº Pólizas Corregidas Inspector RRTT Propia','PM-E-GEN-Inspector-NumeroPolizasCorregidas-Decesos-Propia',TO_DATE('20180101','yyyymmdd'),TO_DATE('22000101','yyyymmdd'),'Version 20180229');</v>
      </c>
    </row>
    <row r="1342" spans="1:2" x14ac:dyDescent="0.25">
      <c r="A1342" t="str">
        <f>IF(REGLAS!J1343="OBSOLETO","","INSERT INTO INYCEXT.INYC_CONF_INF_REGLAS (COD_INFORME,TABLA,NOMBRE,REGLA,F_INICIO,F_FIN,DESCRIPCION) VALUES ("&amp;REGLAS!B1343&amp;",'"&amp;REGLAS!C1343&amp;"','"&amp;REGLAS!D1343&amp;"','"&amp;REGLAS!G1343&amp;"',TO_DATE('"&amp;REGLAS!H1343&amp;"','yyyymmdd'),TO_DATE('"&amp;REGLAS!I1343&amp;"','yyyymmdd'),'"&amp;REGLAS!J1343&amp;"');")</f>
        <v>INSERT INTO INYCEXT.INYC_CONF_INF_REGLAS (COD_INFORME,TABLA,NOMBRE,REGLA,F_INICIO,F_FIN,DESCRIPCION) VALUES (302.1,'INYC_PROD_E_AGENTES','PM - Nº Pólizas Corregidas Inspector Prod. Prioritarios Propia','PM-E-GEN-Inspector-NumeroPolizasCorregidas-ProdPrioritarios-Propia',TO_DATE('20180101','yyyymmdd'),TO_DATE('22000101','yyyymmdd'),'Version 20180229');</v>
      </c>
      <c r="B1342" t="str">
        <f>IF(REGLAS!J1343="OBSOLETO","","INSERT INTO INYCEXT.INYC_CONF_INF_REGLAS@tc_link (COD_INFORME,TABLA,NOMBRE,REGLA,F_INICIO,F_FIN,DESCRIPCION) VALUES ("&amp;REGLAS!B1343&amp;",'"&amp;REGLAS!C1343&amp;"','"&amp;REGLAS!D1343&amp;"','"&amp;REGLAS!G1343&amp;"',TO_DATE('"&amp;REGLAS!H1343&amp;"','yyyymmdd'),TO_DATE('"&amp;REGLAS!I1343&amp;"','yyyymmdd'),'"&amp;REGLAS!J1343&amp;"');")</f>
        <v>INSERT INTO INYCEXT.INYC_CONF_INF_REGLAS@tc_link (COD_INFORME,TABLA,NOMBRE,REGLA,F_INICIO,F_FIN,DESCRIPCION) VALUES (302.1,'INYC_PROD_E_AGENTES','PM - Nº Pólizas Corregidas Inspector Prod. Prioritarios Propia','PM-E-GEN-Inspector-NumeroPolizasCorregidas-ProdPrioritarios-Propia',TO_DATE('20180101','yyyymmdd'),TO_DATE('22000101','yyyymmdd'),'Version 20180229');</v>
      </c>
    </row>
    <row r="1343" spans="1:2" x14ac:dyDescent="0.25">
      <c r="A1343" t="str">
        <f>IF(REGLAS!J1344="OBSOLETO","","INSERT INTO INYCEXT.INYC_CONF_INF_REGLAS (COD_INFORME,TABLA,NOMBRE,REGLA,F_INICIO,F_FIN,DESCRIPCION) VALUES ("&amp;REGLAS!B1344&amp;",'"&amp;REGLAS!C1344&amp;"','"&amp;REGLAS!D1344&amp;"','"&amp;REGLAS!G1344&amp;"',TO_DATE('"&amp;REGLAS!H1344&amp;"','yyyymmdd'),TO_DATE('"&amp;REGLAS!I1344&amp;"','yyyymmdd'),'"&amp;REGLAS!J1344&amp;"');")</f>
        <v>INSERT INTO INYCEXT.INYC_CONF_INF_REGLAS (COD_INFORME,TABLA,NOMBRE,REGLA,F_INICIO,F_FIN,DESCRIPCION) VALUES (302.1,'INYC_PROD_E_AGENTES','PM - Nº Pólizas Corregidas Inspector Otros Decesos Propia','PM-E-GEN-Inspector-NumeroPolizasCorregidas-OtrosDecesos-Propia',TO_DATE('20180101','yyyymmdd'),TO_DATE('22000101','yyyymmdd'),'Version 20180229');</v>
      </c>
      <c r="B1343" t="str">
        <f>IF(REGLAS!J1344="OBSOLETO","","INSERT INTO INYCEXT.INYC_CONF_INF_REGLAS@tc_link (COD_INFORME,TABLA,NOMBRE,REGLA,F_INICIO,F_FIN,DESCRIPCION) VALUES ("&amp;REGLAS!B1344&amp;",'"&amp;REGLAS!C1344&amp;"','"&amp;REGLAS!D1344&amp;"','"&amp;REGLAS!G1344&amp;"',TO_DATE('"&amp;REGLAS!H1344&amp;"','yyyymmdd'),TO_DATE('"&amp;REGLAS!I1344&amp;"','yyyymmdd'),'"&amp;REGLAS!J1344&amp;"');")</f>
        <v>INSERT INTO INYCEXT.INYC_CONF_INF_REGLAS@tc_link (COD_INFORME,TABLA,NOMBRE,REGLA,F_INICIO,F_FIN,DESCRIPCION) VALUES (302.1,'INYC_PROD_E_AGENTES','PM - Nº Pólizas Corregidas Inspector Otros Decesos Propia','PM-E-GEN-Inspector-NumeroPolizasCorregidas-OtrosDecesos-Propia',TO_DATE('20180101','yyyymmdd'),TO_DATE('22000101','yyyymmdd'),'Version 20180229');</v>
      </c>
    </row>
    <row r="1344" spans="1:2" x14ac:dyDescent="0.25">
      <c r="A1344" t="str">
        <f>IF(REGLAS!J1345="OBSOLETO","","INSERT INTO INYCEXT.INYC_CONF_INF_REGLAS (COD_INFORME,TABLA,NOMBRE,REGLA,F_INICIO,F_FIN,DESCRIPCION) VALUES ("&amp;REGLAS!B1345&amp;",'"&amp;REGLAS!C1345&amp;"','"&amp;REGLAS!D1345&amp;"','"&amp;REGLAS!G1345&amp;"',TO_DATE('"&amp;REGLAS!H1345&amp;"','yyyymmdd'),TO_DATE('"&amp;REGLAS!I1345&amp;"','yyyymmdd'),'"&amp;REGLAS!J1345&amp;"');")</f>
        <v>INSERT INTO INYCEXT.INYC_CONF_INF_REGLAS (COD_INFORME,TABLA,NOMBRE,REGLA,F_INICIO,F_FIN,DESCRIPCION) VALUES (302.1,'INYC_PROD_E_AGENTES','PM - Nº Pólizas Corregidas Inspector Total Productos Propia','PM-E-GEN-Inspector-NumeroPolizasCorregidas-TotalProduccion-Propia',TO_DATE('20180101','yyyymmdd'),TO_DATE('22000101','yyyymmdd'),'Version 20180229');</v>
      </c>
      <c r="B1344" t="str">
        <f>IF(REGLAS!J1345="OBSOLETO","","INSERT INTO INYCEXT.INYC_CONF_INF_REGLAS@tc_link (COD_INFORME,TABLA,NOMBRE,REGLA,F_INICIO,F_FIN,DESCRIPCION) VALUES ("&amp;REGLAS!B1345&amp;",'"&amp;REGLAS!C1345&amp;"','"&amp;REGLAS!D1345&amp;"','"&amp;REGLAS!G1345&amp;"',TO_DATE('"&amp;REGLAS!H1345&amp;"','yyyymmdd'),TO_DATE('"&amp;REGLAS!I1345&amp;"','yyyymmdd'),'"&amp;REGLAS!J1345&amp;"');")</f>
        <v>INSERT INTO INYCEXT.INYC_CONF_INF_REGLAS@tc_link (COD_INFORME,TABLA,NOMBRE,REGLA,F_INICIO,F_FIN,DESCRIPCION) VALUES (302.1,'INYC_PROD_E_AGENTES','PM - Nº Pólizas Corregidas Inspector Total Productos Propia','PM-E-GEN-Inspector-NumeroPolizasCorregidas-TotalProduccion-Propia',TO_DATE('20180101','yyyymmdd'),TO_DATE('22000101','yyyymmdd'),'Version 20180229');</v>
      </c>
    </row>
    <row r="1345" spans="1:2" x14ac:dyDescent="0.25">
      <c r="A1345" t="str">
        <f>IF(REGLAS!J1346="OBSOLETO","","INSERT INTO INYCEXT.INYC_CONF_INF_REGLAS (COD_INFORME,TABLA,NOMBRE,REGLA,F_INICIO,F_FIN,DESCRIPCION) VALUES ("&amp;REGLAS!B1346&amp;",'"&amp;REGLAS!C1346&amp;"','"&amp;REGLAS!D1346&amp;"','"&amp;REGLAS!G1346&amp;"',TO_DATE('"&amp;REGLAS!H1346&amp;"','yyyymmdd'),TO_DATE('"&amp;REGLAS!I1346&amp;"','yyyymmdd'),'"&amp;REGLAS!J1346&amp;"');")</f>
        <v>INSERT INTO INYCEXT.INYC_CONF_INF_REGLAS (COD_INFORME,TABLA,NOMBRE,REGLA,F_INICIO,F_FIN,DESCRIPCION) VALUES (302.1,'INYC_PROD_E_AGENTES','PM - Prima Inspector Accidentes Propia','PM-E-GEN-Inspector-Prima-Accidente-Propia',TO_DATE('20180101','yyyymmdd'),TO_DATE('22000101','yyyymmdd'),'Version 20180229');</v>
      </c>
      <c r="B1345" t="str">
        <f>IF(REGLAS!J1346="OBSOLETO","","INSERT INTO INYCEXT.INYC_CONF_INF_REGLAS@tc_link (COD_INFORME,TABLA,NOMBRE,REGLA,F_INICIO,F_FIN,DESCRIPCION) VALUES ("&amp;REGLAS!B1346&amp;",'"&amp;REGLAS!C1346&amp;"','"&amp;REGLAS!D1346&amp;"','"&amp;REGLAS!G1346&amp;"',TO_DATE('"&amp;REGLAS!H1346&amp;"','yyyymmdd'),TO_DATE('"&amp;REGLAS!I1346&amp;"','yyyymmdd'),'"&amp;REGLAS!J1346&amp;"');")</f>
        <v>INSERT INTO INYCEXT.INYC_CONF_INF_REGLAS@tc_link (COD_INFORME,TABLA,NOMBRE,REGLA,F_INICIO,F_FIN,DESCRIPCION) VALUES (302.1,'INYC_PROD_E_AGENTES','PM - Prima Inspector Accidentes Propia','PM-E-GEN-Inspector-Prima-Accidente-Propia',TO_DATE('20180101','yyyymmdd'),TO_DATE('22000101','yyyymmdd'),'Version 20180229');</v>
      </c>
    </row>
    <row r="1346" spans="1:2" x14ac:dyDescent="0.25">
      <c r="A1346" t="str">
        <f>IF(REGLAS!J1347="OBSOLETO","","INSERT INTO INYCEXT.INYC_CONF_INF_REGLAS (COD_INFORME,TABLA,NOMBRE,REGLA,F_INICIO,F_FIN,DESCRIPCION) VALUES ("&amp;REGLAS!B1347&amp;",'"&amp;REGLAS!C1347&amp;"','"&amp;REGLAS!D1347&amp;"','"&amp;REGLAS!G1347&amp;"',TO_DATE('"&amp;REGLAS!H1347&amp;"','yyyymmdd'),TO_DATE('"&amp;REGLAS!I1347&amp;"','yyyymmdd'),'"&amp;REGLAS!J1347&amp;"');")</f>
        <v>INSERT INTO INYCEXT.INYC_CONF_INF_REGLAS (COD_INFORME,TABLA,NOMBRE,REGLA,F_INICIO,F_FIN,DESCRIPCION) VALUES (302.1,'INYC_PROD_E_AGENTES','PM - Prima Inspector Hogar Propia','PM-E-GEN-Inspector-Prima-Hogar-Propia ',TO_DATE('20180101','yyyymmdd'),TO_DATE('20180401','yyyymmdd'),'Version 20180517');</v>
      </c>
      <c r="B1346" t="str">
        <f>IF(REGLAS!J1347="OBSOLETO","","INSERT INTO INYCEXT.INYC_CONF_INF_REGLAS@tc_link (COD_INFORME,TABLA,NOMBRE,REGLA,F_INICIO,F_FIN,DESCRIPCION) VALUES ("&amp;REGLAS!B1347&amp;",'"&amp;REGLAS!C1347&amp;"','"&amp;REGLAS!D1347&amp;"','"&amp;REGLAS!G1347&amp;"',TO_DATE('"&amp;REGLAS!H1347&amp;"','yyyymmdd'),TO_DATE('"&amp;REGLAS!I1347&amp;"','yyyymmdd'),'"&amp;REGLAS!J1347&amp;"');")</f>
        <v>INSERT INTO INYCEXT.INYC_CONF_INF_REGLAS@tc_link (COD_INFORME,TABLA,NOMBRE,REGLA,F_INICIO,F_FIN,DESCRIPCION) VALUES (302.1,'INYC_PROD_E_AGENTES','PM - Prima Inspector Hogar Propia','PM-E-GEN-Inspector-Prima-Hogar-Propia ',TO_DATE('20180101','yyyymmdd'),TO_DATE('20180401','yyyymmdd'),'Version 20180517');</v>
      </c>
    </row>
    <row r="1347" spans="1:2" x14ac:dyDescent="0.25">
      <c r="A1347" t="str">
        <f>IF(REGLAS!J1348="OBSOLETO","","INSERT INTO INYCEXT.INYC_CONF_INF_REGLAS (COD_INFORME,TABLA,NOMBRE,REGLA,F_INICIO,F_FIN,DESCRIPCION) VALUES ("&amp;REGLAS!B1348&amp;",'"&amp;REGLAS!C1348&amp;"','"&amp;REGLAS!D1348&amp;"','"&amp;REGLAS!G1348&amp;"',TO_DATE('"&amp;REGLAS!H1348&amp;"','yyyymmdd'),TO_DATE('"&amp;REGLAS!I1348&amp;"','yyyymmdd'),'"&amp;REGLAS!J1348&amp;"');")</f>
        <v>INSERT INTO INYCEXT.INYC_CONF_INF_REGLAS (COD_INFORME,TABLA,NOMBRE,REGLA,F_INICIO,F_FIN,DESCRIPCION) VALUES (302.1,'INYC_PROD_E_AGENTES','PM - Prima Inspector Hogar Propia','PM-E-GEN-Inspector-Prima-Hogar-Propia',TO_DATE('20180401','yyyymmdd'),TO_DATE('22000101','yyyymmdd'),'Version 20180517');</v>
      </c>
      <c r="B1347" t="str">
        <f>IF(REGLAS!J1348="OBSOLETO","","INSERT INTO INYCEXT.INYC_CONF_INF_REGLAS@tc_link (COD_INFORME,TABLA,NOMBRE,REGLA,F_INICIO,F_FIN,DESCRIPCION) VALUES ("&amp;REGLAS!B1348&amp;",'"&amp;REGLAS!C1348&amp;"','"&amp;REGLAS!D1348&amp;"','"&amp;REGLAS!G1348&amp;"',TO_DATE('"&amp;REGLAS!H1348&amp;"','yyyymmdd'),TO_DATE('"&amp;REGLAS!I1348&amp;"','yyyymmdd'),'"&amp;REGLAS!J1348&amp;"');")</f>
        <v>INSERT INTO INYCEXT.INYC_CONF_INF_REGLAS@tc_link (COD_INFORME,TABLA,NOMBRE,REGLA,F_INICIO,F_FIN,DESCRIPCION) VALUES (302.1,'INYC_PROD_E_AGENTES','PM - Prima Inspector Hogar Propia','PM-E-GEN-Inspector-Prima-Hogar-Propia',TO_DATE('20180401','yyyymmdd'),TO_DATE('22000101','yyyymmdd'),'Version 20180517');</v>
      </c>
    </row>
    <row r="1348" spans="1:2" x14ac:dyDescent="0.25">
      <c r="A1348" t="str">
        <f>IF(REGLAS!J1349="OBSOLETO","","INSERT INTO INYCEXT.INYC_CONF_INF_REGLAS (COD_INFORME,TABLA,NOMBRE,REGLA,F_INICIO,F_FIN,DESCRIPCION) VALUES ("&amp;REGLAS!B1349&amp;",'"&amp;REGLAS!C1349&amp;"','"&amp;REGLAS!D1349&amp;"','"&amp;REGLAS!G1349&amp;"',TO_DATE('"&amp;REGLAS!H1349&amp;"','yyyymmdd'),TO_DATE('"&amp;REGLAS!I1349&amp;"','yyyymmdd'),'"&amp;REGLAS!J1349&amp;"');")</f>
        <v>INSERT INTO INYCEXT.INYC_CONF_INF_REGLAS (COD_INFORME,TABLA,NOMBRE,REGLA,F_INICIO,F_FIN,DESCRIPCION) VALUES (302.1,'INYC_PROD_E_AGENTES','PM - Prima Inspector Comunidades Propia','PM-E-GEN-Inspector-Prima-Comunidades-Propia',TO_DATE('20180101','yyyymmdd'),TO_DATE('22000101','yyyymmdd'),'Version 20180229');</v>
      </c>
      <c r="B1348" t="str">
        <f>IF(REGLAS!J1349="OBSOLETO","","INSERT INTO INYCEXT.INYC_CONF_INF_REGLAS@tc_link (COD_INFORME,TABLA,NOMBRE,REGLA,F_INICIO,F_FIN,DESCRIPCION) VALUES ("&amp;REGLAS!B1349&amp;",'"&amp;REGLAS!C1349&amp;"','"&amp;REGLAS!D1349&amp;"','"&amp;REGLAS!G1349&amp;"',TO_DATE('"&amp;REGLAS!H1349&amp;"','yyyymmdd'),TO_DATE('"&amp;REGLAS!I1349&amp;"','yyyymmdd'),'"&amp;REGLAS!J1349&amp;"');")</f>
        <v>INSERT INTO INYCEXT.INYC_CONF_INF_REGLAS@tc_link (COD_INFORME,TABLA,NOMBRE,REGLA,F_INICIO,F_FIN,DESCRIPCION) VALUES (302.1,'INYC_PROD_E_AGENTES','PM - Prima Inspector Comunidades Propia','PM-E-GEN-Inspector-Prima-Comunidades-Propia',TO_DATE('20180101','yyyymmdd'),TO_DATE('22000101','yyyymmdd'),'Version 20180229');</v>
      </c>
    </row>
    <row r="1349" spans="1:2" x14ac:dyDescent="0.25">
      <c r="A1349" t="str">
        <f>IF(REGLAS!J1350="OBSOLETO","","INSERT INTO INYCEXT.INYC_CONF_INF_REGLAS (COD_INFORME,TABLA,NOMBRE,REGLA,F_INICIO,F_FIN,DESCRIPCION) VALUES ("&amp;REGLAS!B1350&amp;",'"&amp;REGLAS!C1350&amp;"','"&amp;REGLAS!D1350&amp;"','"&amp;REGLAS!G1350&amp;"',TO_DATE('"&amp;REGLAS!H1350&amp;"','yyyymmdd'),TO_DATE('"&amp;REGLAS!I1350&amp;"','yyyymmdd'),'"&amp;REGLAS!J1350&amp;"');")</f>
        <v>INSERT INTO INYCEXT.INYC_CONF_INF_REGLAS (COD_INFORME,TABLA,NOMBRE,REGLA,F_INICIO,F_FIN,DESCRIPCION) VALUES (302.1,'INYC_PROD_E_AGENTES','PM - Prima Inspector RRGG Propia','PM-E-GEN-Inspector-Prima-RRGG-Propia',TO_DATE('20180101','yyyymmdd'),TO_DATE('22000101','yyyymmdd'),'Version 20180229');</v>
      </c>
      <c r="B1349" t="str">
        <f>IF(REGLAS!J1350="OBSOLETO","","INSERT INTO INYCEXT.INYC_CONF_INF_REGLAS@tc_link (COD_INFORME,TABLA,NOMBRE,REGLA,F_INICIO,F_FIN,DESCRIPCION) VALUES ("&amp;REGLAS!B1350&amp;",'"&amp;REGLAS!C1350&amp;"','"&amp;REGLAS!D1350&amp;"','"&amp;REGLAS!G1350&amp;"',TO_DATE('"&amp;REGLAS!H1350&amp;"','yyyymmdd'),TO_DATE('"&amp;REGLAS!I1350&amp;"','yyyymmdd'),'"&amp;REGLAS!J1350&amp;"');")</f>
        <v>INSERT INTO INYCEXT.INYC_CONF_INF_REGLAS@tc_link (COD_INFORME,TABLA,NOMBRE,REGLA,F_INICIO,F_FIN,DESCRIPCION) VALUES (302.1,'INYC_PROD_E_AGENTES','PM - Prima Inspector RRGG Propia','PM-E-GEN-Inspector-Prima-RRGG-Propia',TO_DATE('20180101','yyyymmdd'),TO_DATE('22000101','yyyymmdd'),'Version 20180229');</v>
      </c>
    </row>
    <row r="1350" spans="1:2" x14ac:dyDescent="0.25">
      <c r="A1350" t="str">
        <f>IF(REGLAS!J1351="OBSOLETO","","INSERT INTO INYCEXT.INYC_CONF_INF_REGLAS (COD_INFORME,TABLA,NOMBRE,REGLA,F_INICIO,F_FIN,DESCRIPCION) VALUES ("&amp;REGLAS!B1351&amp;",'"&amp;REGLAS!C1351&amp;"','"&amp;REGLAS!D1351&amp;"','"&amp;REGLAS!G1351&amp;"',TO_DATE('"&amp;REGLAS!H1351&amp;"','yyyymmdd'),TO_DATE('"&amp;REGLAS!I1351&amp;"','yyyymmdd'),'"&amp;REGLAS!J1351&amp;"');")</f>
        <v>INSERT INTO INYCEXT.INYC_CONF_INF_REGLAS (COD_INFORME,TABLA,NOMBRE,REGLA,F_INICIO,F_FIN,DESCRIPCION) VALUES (302.1,'INYC_PROD_E_AGENTES','PM - Prima Inspector RRTT Propia','PM-E-GEN-Inspector-Prima-Decesos-Propia',TO_DATE('20180101','yyyymmdd'),TO_DATE('22000101','yyyymmdd'),'Version 20180229');</v>
      </c>
      <c r="B1350" t="str">
        <f>IF(REGLAS!J1351="OBSOLETO","","INSERT INTO INYCEXT.INYC_CONF_INF_REGLAS@tc_link (COD_INFORME,TABLA,NOMBRE,REGLA,F_INICIO,F_FIN,DESCRIPCION) VALUES ("&amp;REGLAS!B1351&amp;",'"&amp;REGLAS!C1351&amp;"','"&amp;REGLAS!D1351&amp;"','"&amp;REGLAS!G1351&amp;"',TO_DATE('"&amp;REGLAS!H1351&amp;"','yyyymmdd'),TO_DATE('"&amp;REGLAS!I1351&amp;"','yyyymmdd'),'"&amp;REGLAS!J1351&amp;"');")</f>
        <v>INSERT INTO INYCEXT.INYC_CONF_INF_REGLAS@tc_link (COD_INFORME,TABLA,NOMBRE,REGLA,F_INICIO,F_FIN,DESCRIPCION) VALUES (302.1,'INYC_PROD_E_AGENTES','PM - Prima Inspector RRTT Propia','PM-E-GEN-Inspector-Prima-Decesos-Propia',TO_DATE('20180101','yyyymmdd'),TO_DATE('22000101','yyyymmdd'),'Version 20180229');</v>
      </c>
    </row>
    <row r="1351" spans="1:2" x14ac:dyDescent="0.25">
      <c r="A1351" t="str">
        <f>IF(REGLAS!J1352="OBSOLETO","","INSERT INTO INYCEXT.INYC_CONF_INF_REGLAS (COD_INFORME,TABLA,NOMBRE,REGLA,F_INICIO,F_FIN,DESCRIPCION) VALUES ("&amp;REGLAS!B1352&amp;",'"&amp;REGLAS!C1352&amp;"','"&amp;REGLAS!D1352&amp;"','"&amp;REGLAS!G1352&amp;"',TO_DATE('"&amp;REGLAS!H1352&amp;"','yyyymmdd'),TO_DATE('"&amp;REGLAS!I1352&amp;"','yyyymmdd'),'"&amp;REGLAS!J1352&amp;"');")</f>
        <v>INSERT INTO INYCEXT.INYC_CONF_INF_REGLAS (COD_INFORME,TABLA,NOMBRE,REGLA,F_INICIO,F_FIN,DESCRIPCION) VALUES (302.1,'INYC_PROD_E_AGENTES','PM - Prima Inspector Prod. Prioritarios Propia','PM-E-GEN-Inspector-Prima-ProdPrioritarios-Propia',TO_DATE('20180101','yyyymmdd'),TO_DATE('22000101','yyyymmdd'),'Version 20180229');</v>
      </c>
      <c r="B1351" t="str">
        <f>IF(REGLAS!J1352="OBSOLETO","","INSERT INTO INYCEXT.INYC_CONF_INF_REGLAS@tc_link (COD_INFORME,TABLA,NOMBRE,REGLA,F_INICIO,F_FIN,DESCRIPCION) VALUES ("&amp;REGLAS!B1352&amp;",'"&amp;REGLAS!C1352&amp;"','"&amp;REGLAS!D1352&amp;"','"&amp;REGLAS!G1352&amp;"',TO_DATE('"&amp;REGLAS!H1352&amp;"','yyyymmdd'),TO_DATE('"&amp;REGLAS!I1352&amp;"','yyyymmdd'),'"&amp;REGLAS!J1352&amp;"');")</f>
        <v>INSERT INTO INYCEXT.INYC_CONF_INF_REGLAS@tc_link (COD_INFORME,TABLA,NOMBRE,REGLA,F_INICIO,F_FIN,DESCRIPCION) VALUES (302.1,'INYC_PROD_E_AGENTES','PM - Prima Inspector Prod. Prioritarios Propia','PM-E-GEN-Inspector-Prima-ProdPrioritarios-Propia',TO_DATE('20180101','yyyymmdd'),TO_DATE('22000101','yyyymmdd'),'Version 20180229');</v>
      </c>
    </row>
    <row r="1352" spans="1:2" x14ac:dyDescent="0.25">
      <c r="A1352" t="str">
        <f>IF(REGLAS!J1353="OBSOLETO","","INSERT INTO INYCEXT.INYC_CONF_INF_REGLAS (COD_INFORME,TABLA,NOMBRE,REGLA,F_INICIO,F_FIN,DESCRIPCION) VALUES ("&amp;REGLAS!B1353&amp;",'"&amp;REGLAS!C1353&amp;"','"&amp;REGLAS!D1353&amp;"','"&amp;REGLAS!G1353&amp;"',TO_DATE('"&amp;REGLAS!H1353&amp;"','yyyymmdd'),TO_DATE('"&amp;REGLAS!I1353&amp;"','yyyymmdd'),'"&amp;REGLAS!J1353&amp;"');")</f>
        <v>INSERT INTO INYCEXT.INYC_CONF_INF_REGLAS (COD_INFORME,TABLA,NOMBRE,REGLA,F_INICIO,F_FIN,DESCRIPCION) VALUES (302.1,'INYC_PROD_E_AGENTES','PM - Prima Inspector Otros Decesos Propia','PM-E-GEN-Inspector-Prima-OtrosDecesos-Propia',TO_DATE('20180101','yyyymmdd'),TO_DATE('22000101','yyyymmdd'),'Version 20180229');</v>
      </c>
      <c r="B1352" t="str">
        <f>IF(REGLAS!J1353="OBSOLETO","","INSERT INTO INYCEXT.INYC_CONF_INF_REGLAS@tc_link (COD_INFORME,TABLA,NOMBRE,REGLA,F_INICIO,F_FIN,DESCRIPCION) VALUES ("&amp;REGLAS!B1353&amp;",'"&amp;REGLAS!C1353&amp;"','"&amp;REGLAS!D1353&amp;"','"&amp;REGLAS!G1353&amp;"',TO_DATE('"&amp;REGLAS!H1353&amp;"','yyyymmdd'),TO_DATE('"&amp;REGLAS!I1353&amp;"','yyyymmdd'),'"&amp;REGLAS!J1353&amp;"');")</f>
        <v>INSERT INTO INYCEXT.INYC_CONF_INF_REGLAS@tc_link (COD_INFORME,TABLA,NOMBRE,REGLA,F_INICIO,F_FIN,DESCRIPCION) VALUES (302.1,'INYC_PROD_E_AGENTES','PM - Prima Inspector Otros Decesos Propia','PM-E-GEN-Inspector-Prima-OtrosDecesos-Propia',TO_DATE('20180101','yyyymmdd'),TO_DATE('22000101','yyyymmdd'),'Version 20180229');</v>
      </c>
    </row>
    <row r="1353" spans="1:2" x14ac:dyDescent="0.25">
      <c r="A1353" t="str">
        <f>IF(REGLAS!J1354="OBSOLETO","","INSERT INTO INYCEXT.INYC_CONF_INF_REGLAS (COD_INFORME,TABLA,NOMBRE,REGLA,F_INICIO,F_FIN,DESCRIPCION) VALUES ("&amp;REGLAS!B1354&amp;",'"&amp;REGLAS!C1354&amp;"','"&amp;REGLAS!D1354&amp;"','"&amp;REGLAS!G1354&amp;"',TO_DATE('"&amp;REGLAS!H1354&amp;"','yyyymmdd'),TO_DATE('"&amp;REGLAS!I1354&amp;"','yyyymmdd'),'"&amp;REGLAS!J1354&amp;"');")</f>
        <v>INSERT INTO INYCEXT.INYC_CONF_INF_REGLAS (COD_INFORME,TABLA,NOMBRE,REGLA,F_INICIO,F_FIN,DESCRIPCION) VALUES (302.1,'INYC_PROD_E_AGENTES','PM - Prima Inspector Total Productos Propia','PM-E-GEN-Inspector-Prima-TotalProduccion-Propia',TO_DATE('20180101','yyyymmdd'),TO_DATE('22000101','yyyymmdd'),'Version 20180229');</v>
      </c>
      <c r="B1353" t="str">
        <f>IF(REGLAS!J1354="OBSOLETO","","INSERT INTO INYCEXT.INYC_CONF_INF_REGLAS@tc_link (COD_INFORME,TABLA,NOMBRE,REGLA,F_INICIO,F_FIN,DESCRIPCION) VALUES ("&amp;REGLAS!B1354&amp;",'"&amp;REGLAS!C1354&amp;"','"&amp;REGLAS!D1354&amp;"','"&amp;REGLAS!G1354&amp;"',TO_DATE('"&amp;REGLAS!H1354&amp;"','yyyymmdd'),TO_DATE('"&amp;REGLAS!I1354&amp;"','yyyymmdd'),'"&amp;REGLAS!J1354&amp;"');")</f>
        <v>INSERT INTO INYCEXT.INYC_CONF_INF_REGLAS@tc_link (COD_INFORME,TABLA,NOMBRE,REGLA,F_INICIO,F_FIN,DESCRIPCION) VALUES (302.1,'INYC_PROD_E_AGENTES','PM - Prima Inspector Total Productos Propia','PM-E-GEN-Inspector-Prima-TotalProduccion-Propia',TO_DATE('20180101','yyyymmdd'),TO_DATE('22000101','yyyymmdd'),'Version 20180229');</v>
      </c>
    </row>
    <row r="1354" spans="1:2" x14ac:dyDescent="0.25">
      <c r="A1354" t="str">
        <f>IF(REGLAS!J1355="OBSOLETO","","INSERT INTO INYCEXT.INYC_CONF_INF_REGLAS (COD_INFORME,TABLA,NOMBRE,REGLA,F_INICIO,F_FIN,DESCRIPCION) VALUES ("&amp;REGLAS!B1355&amp;",'"&amp;REGLAS!C1355&amp;"','"&amp;REGLAS!D1355&amp;"','"&amp;REGLAS!G1355&amp;"',TO_DATE('"&amp;REGLAS!H1355&amp;"','yyyymmdd'),TO_DATE('"&amp;REGLAS!I1355&amp;"','yyyymmdd'),'"&amp;REGLAS!J1355&amp;"');")</f>
        <v>INSERT INTO INYCEXT.INYC_CONF_INF_REGLAS (COD_INFORME,TABLA,NOMBRE,REGLA,F_INICIO,F_FIN,DESCRIPCION) VALUES (128.1,'INYC_SAC_RESUMEN','SM - Primas Total Mensual','SM-O-CSA-Agente-Prima-TotalMes',TO_DATE('20210901','yyyymmdd'),TO_DATE('22000101','yyyymmdd'),'Versión 20211006');</v>
      </c>
      <c r="B1354" t="str">
        <f>IF(REGLAS!J1355="OBSOLETO","","INSERT INTO INYCEXT.INYC_CONF_INF_REGLAS@tc_link (COD_INFORME,TABLA,NOMBRE,REGLA,F_INICIO,F_FIN,DESCRIPCION) VALUES ("&amp;REGLAS!B1355&amp;",'"&amp;REGLAS!C1355&amp;"','"&amp;REGLAS!D1355&amp;"','"&amp;REGLAS!G1355&amp;"',TO_DATE('"&amp;REGLAS!H1355&amp;"','yyyymmdd'),TO_DATE('"&amp;REGLAS!I1355&amp;"','yyyymmdd'),'"&amp;REGLAS!J1355&amp;"');")</f>
        <v>INSERT INTO INYCEXT.INYC_CONF_INF_REGLAS@tc_link (COD_INFORME,TABLA,NOMBRE,REGLA,F_INICIO,F_FIN,DESCRIPCION) VALUES (128.1,'INYC_SAC_RESUMEN','SM - Primas Total Mensual','SM-O-CSA-Agente-Prima-TotalMes',TO_DATE('20210901','yyyymmdd'),TO_DATE('22000101','yyyymmdd'),'Versión 20211006');</v>
      </c>
    </row>
    <row r="1355" spans="1:2" x14ac:dyDescent="0.25">
      <c r="A1355" t="str">
        <f>IF(REGLAS!J1356="OBSOLETO","","INSERT INTO INYCEXT.INYC_CONF_INF_REGLAS (COD_INFORME,TABLA,NOMBRE,REGLA,F_INICIO,F_FIN,DESCRIPCION) VALUES ("&amp;REGLAS!B1356&amp;",'"&amp;REGLAS!C1356&amp;"','"&amp;REGLAS!D1356&amp;"','"&amp;REGLAS!G1356&amp;"',TO_DATE('"&amp;REGLAS!H1356&amp;"','yyyymmdd'),TO_DATE('"&amp;REGLAS!I1356&amp;"','yyyymmdd'),'"&amp;REGLAS!J1356&amp;"');")</f>
        <v>INSERT INTO INYCEXT.INYC_CONF_INF_REGLAS (COD_INFORME,TABLA,NOMBRE,REGLA,F_INICIO,F_FIN,DESCRIPCION) VALUES (128.1,'INYC_SAC_RESUMEN','SM - Primas Total Acumulado','SM-O-CSA-Agente-Prima-Acum',TO_DATE('20210901','yyyymmdd'),TO_DATE('22000101','yyyymmdd'),'Versión 20211006');</v>
      </c>
      <c r="B1355" t="str">
        <f>IF(REGLAS!J1356="OBSOLETO","","INSERT INTO INYCEXT.INYC_CONF_INF_REGLAS@tc_link (COD_INFORME,TABLA,NOMBRE,REGLA,F_INICIO,F_FIN,DESCRIPCION) VALUES ("&amp;REGLAS!B1356&amp;",'"&amp;REGLAS!C1356&amp;"','"&amp;REGLAS!D1356&amp;"','"&amp;REGLAS!G1356&amp;"',TO_DATE('"&amp;REGLAS!H1356&amp;"','yyyymmdd'),TO_DATE('"&amp;REGLAS!I1356&amp;"','yyyymmdd'),'"&amp;REGLAS!J1356&amp;"');")</f>
        <v>INSERT INTO INYCEXT.INYC_CONF_INF_REGLAS@tc_link (COD_INFORME,TABLA,NOMBRE,REGLA,F_INICIO,F_FIN,DESCRIPCION) VALUES (128.1,'INYC_SAC_RESUMEN','SM - Primas Total Acumulado','SM-O-CSA-Agente-Prima-Acum',TO_DATE('20210901','yyyymmdd'),TO_DATE('22000101','yyyymmdd'),'Versión 20211006');</v>
      </c>
    </row>
    <row r="1356" spans="1:2" x14ac:dyDescent="0.25">
      <c r="A1356" t="str">
        <f>IF(REGLAS!J1357="OBSOLETO","","INSERT INTO INYCEXT.INYC_CONF_INF_REGLAS (COD_INFORME,TABLA,NOMBRE,REGLA,F_INICIO,F_FIN,DESCRIPCION) VALUES ("&amp;REGLAS!B1357&amp;",'"&amp;REGLAS!C1357&amp;"','"&amp;REGLAS!D1357&amp;"','"&amp;REGLAS!G1357&amp;"',TO_DATE('"&amp;REGLAS!H1357&amp;"','yyyymmdd'),TO_DATE('"&amp;REGLAS!I1357&amp;"','yyyymmdd'),'"&amp;REGLAS!J1357&amp;"');")</f>
        <v>INSERT INTO INYCEXT.INYC_CONF_INF_REGLAS (COD_INFORME,TABLA,NOMBRE,REGLA,F_INICIO,F_FIN,DESCRIPCION) VALUES (128.2,'INYC_SAC_DETALLE','PM - Detalle Primas','PM-O-CSA-Agente-Prima',TO_DATE('20210901','yyyymmdd'),TO_DATE('22000101','yyyymmdd'),'Versión 20211006');</v>
      </c>
      <c r="B1356" t="str">
        <f>IF(REGLAS!J1357="OBSOLETO","","INSERT INTO INYCEXT.INYC_CONF_INF_REGLAS@tc_link (COD_INFORME,TABLA,NOMBRE,REGLA,F_INICIO,F_FIN,DESCRIPCION) VALUES ("&amp;REGLAS!B1357&amp;",'"&amp;REGLAS!C1357&amp;"','"&amp;REGLAS!D1357&amp;"','"&amp;REGLAS!G1357&amp;"',TO_DATE('"&amp;REGLAS!H1357&amp;"','yyyymmdd'),TO_DATE('"&amp;REGLAS!I1357&amp;"','yyyymmdd'),'"&amp;REGLAS!J1357&amp;"');")</f>
        <v>INSERT INTO INYCEXT.INYC_CONF_INF_REGLAS@tc_link (COD_INFORME,TABLA,NOMBRE,REGLA,F_INICIO,F_FIN,DESCRIPCION) VALUES (128.2,'INYC_SAC_DETALLE','PM - Detalle Primas','PM-O-CSA-Agente-Prima',TO_DATE('20210901','yyyymmdd'),TO_DATE('22000101','yyyymmdd'),'Versión 20211006');</v>
      </c>
    </row>
    <row r="1357" spans="1:2" x14ac:dyDescent="0.25">
      <c r="A1357" t="str">
        <f>IF(REGLAS!J1358="OBSOLETO","","INSERT INTO INYCEXT.INYC_CONF_INF_REGLAS (COD_INFORME,TABLA,NOMBRE,REGLA,F_INICIO,F_FIN,DESCRIPCION) VALUES ("&amp;REGLAS!B1358&amp;",'"&amp;REGLAS!C1358&amp;"','"&amp;REGLAS!D1358&amp;"','"&amp;REGLAS!G1358&amp;"',TO_DATE('"&amp;REGLAS!H1358&amp;"','yyyymmdd'),TO_DATE('"&amp;REGLAS!I1358&amp;"','yyyymmdd'),'"&amp;REGLAS!J1358&amp;"');")</f>
        <v>INSERT INTO INYCEXT.INYC_CONF_INF_REGLAS (COD_INFORME,TABLA,NOMBRE,REGLA,F_INICIO,F_FIN,DESCRIPCION) VALUES (103.2,'INYC_S5_E_POLIZAS','Diferenciales','IC-E-GEN-Inspector-NumeroPolizas-998-Renov',TO_DATE('20220101','yyyymmdd'),TO_DATE('22000101','yyyymmdd'),'Version 20220101');</v>
      </c>
      <c r="B1357" t="str">
        <f>IF(REGLAS!J1358="OBSOLETO","","INSERT INTO INYCEXT.INYC_CONF_INF_REGLAS@tc_link (COD_INFORME,TABLA,NOMBRE,REGLA,F_INICIO,F_FIN,DESCRIPCION) VALUES ("&amp;REGLAS!B1358&amp;",'"&amp;REGLAS!C1358&amp;"','"&amp;REGLAS!D1358&amp;"','"&amp;REGLAS!G1358&amp;"',TO_DATE('"&amp;REGLAS!H1358&amp;"','yyyymmdd'),TO_DATE('"&amp;REGLAS!I1358&amp;"','yyyymmdd'),'"&amp;REGLAS!J1358&amp;"');")</f>
        <v>INSERT INTO INYCEXT.INYC_CONF_INF_REGLAS@tc_link (COD_INFORME,TABLA,NOMBRE,REGLA,F_INICIO,F_FIN,DESCRIPCION) VALUES (103.2,'INYC_S5_E_POLIZAS','Diferenciales','IC-E-GEN-Inspector-NumeroPolizas-998-Renov',TO_DATE('20220101','yyyymmdd'),TO_DATE('22000101','yyyymmdd'),'Version 20220101');</v>
      </c>
    </row>
    <row r="1358" spans="1:2" x14ac:dyDescent="0.25">
      <c r="A1358" t="str">
        <f>IF(REGLAS!J1359="OBSOLETO","","INSERT INTO INYCEXT.INYC_CONF_INF_REGLAS (COD_INFORME,TABLA,NOMBRE,REGLA,F_INICIO,F_FIN,DESCRIPCION) VALUES ("&amp;REGLAS!B1359&amp;",'"&amp;REGLAS!C1359&amp;"','"&amp;REGLAS!D1359&amp;"','"&amp;REGLAS!G1359&amp;"',TO_DATE('"&amp;REGLAS!H1359&amp;"','yyyymmdd'),TO_DATE('"&amp;REGLAS!I1359&amp;"','yyyymmdd'),'"&amp;REGLAS!J1359&amp;"');")</f>
        <v>INSERT INTO INYCEXT.INYC_CONF_INF_REGLAS (COD_INFORME,TABLA,NOMBRE,REGLA,F_INICIO,F_FIN,DESCRIPCION) VALUES (100.2,'INYC_S4_POLIZAS','Gestiones referencias explotación','DC-O-COM-GestionExplotacion',TO_DATE('20220201','yyyymmdd'),TO_DATE('22000101','yyyymmdd'),'Versión 20220121');</v>
      </c>
      <c r="B1358" t="str">
        <f>IF(REGLAS!J1359="OBSOLETO","","INSERT INTO INYCEXT.INYC_CONF_INF_REGLAS@tc_link (COD_INFORME,TABLA,NOMBRE,REGLA,F_INICIO,F_FIN,DESCRIPCION) VALUES ("&amp;REGLAS!B1359&amp;",'"&amp;REGLAS!C1359&amp;"','"&amp;REGLAS!D1359&amp;"','"&amp;REGLAS!G1359&amp;"',TO_DATE('"&amp;REGLAS!H1359&amp;"','yyyymmdd'),TO_DATE('"&amp;REGLAS!I1359&amp;"','yyyymmdd'),'"&amp;REGLAS!J1359&amp;"');")</f>
        <v>INSERT INTO INYCEXT.INYC_CONF_INF_REGLAS@tc_link (COD_INFORME,TABLA,NOMBRE,REGLA,F_INICIO,F_FIN,DESCRIPCION) VALUES (100.2,'INYC_S4_POLIZAS','Gestiones referencias explotación','DC-O-COM-GestionExplotacion',TO_DATE('20220201','yyyymmdd'),TO_DATE('22000101','yyyymmdd'),'Versión 20220121');</v>
      </c>
    </row>
    <row r="1359" spans="1:2" x14ac:dyDescent="0.25">
      <c r="A1359" t="str">
        <f>IF(REGLAS!J1360="OBSOLETO","","INSERT INTO INYCEXT.INYC_CONF_INF_REGLAS (COD_INFORME,TABLA,NOMBRE,REGLA,F_INICIO,F_FIN,DESCRIPCION) VALUES ("&amp;REGLAS!B1360&amp;",'"&amp;REGLAS!C1360&amp;"','"&amp;REGLAS!D1360&amp;"','"&amp;REGLAS!G1360&amp;"',TO_DATE('"&amp;REGLAS!H1360&amp;"','yyyymmdd'),TO_DATE('"&amp;REGLAS!I1360&amp;"','yyyymmdd'),'"&amp;REGLAS!J1360&amp;"');")</f>
        <v>INSERT INTO INYCEXT.INYC_CONF_INF_REGLAS (COD_INFORME,TABLA,NOMBRE,REGLA,F_INICIO,F_FIN,DESCRIPCION) VALUES (100.2,'INYC_S4_POLIZAS','Gestiones referencias explotación','D-O-GestionExplotacion-PagoInicial',TO_DATE('20220101','yyyymmdd'),TO_DATE('20220201','yyyymmdd'),'Versión 20220121');</v>
      </c>
      <c r="B1359" t="str">
        <f>IF(REGLAS!J1360="OBSOLETO","","INSERT INTO INYCEXT.INYC_CONF_INF_REGLAS@tc_link (COD_INFORME,TABLA,NOMBRE,REGLA,F_INICIO,F_FIN,DESCRIPCION) VALUES ("&amp;REGLAS!B1360&amp;",'"&amp;REGLAS!C1360&amp;"','"&amp;REGLAS!D1360&amp;"','"&amp;REGLAS!G1360&amp;"',TO_DATE('"&amp;REGLAS!H1360&amp;"','yyyymmdd'),TO_DATE('"&amp;REGLAS!I1360&amp;"','yyyymmdd'),'"&amp;REGLAS!J1360&amp;"');")</f>
        <v>INSERT INTO INYCEXT.INYC_CONF_INF_REGLAS@tc_link (COD_INFORME,TABLA,NOMBRE,REGLA,F_INICIO,F_FIN,DESCRIPCION) VALUES (100.2,'INYC_S4_POLIZAS','Gestiones referencias explotación','D-O-GestionExplotacion-PagoInicial',TO_DATE('20220101','yyyymmdd'),TO_DATE('20220201','yyyymmdd'),'Versión 20220121');</v>
      </c>
    </row>
    <row r="1360" spans="1:2" x14ac:dyDescent="0.25">
      <c r="A1360" t="str">
        <f>IF(REGLAS!J1361="OBSOLETO","","INSERT INTO INYCEXT.INYC_CONF_INF_REGLAS (COD_INFORME,TABLA,NOMBRE,REGLA,F_INICIO,F_FIN,DESCRIPCION) VALUES ("&amp;REGLAS!B1361&amp;",'"&amp;REGLAS!C1361&amp;"','"&amp;REGLAS!D1361&amp;"','"&amp;REGLAS!G1361&amp;"',TO_DATE('"&amp;REGLAS!H1361&amp;"','yyyymmdd'),TO_DATE('"&amp;REGLAS!I1361&amp;"','yyyymmdd'),'"&amp;REGLAS!J1361&amp;"');")</f>
        <v>INSERT INTO INYCEXT.INYC_CONF_INF_REGLAS (COD_INFORME,TABLA,NOMBRE,REGLA,F_INICIO,F_FIN,DESCRIPCION) VALUES (33.1,'INYC_GES_RESUMEN','SM - Porcentaje Consecucion','SM-O-COM-GestionExplotacion-PorcentajeConsecucion',TO_DATE('20220501','yyyymmdd'),TO_DATE('22000101','yyyymmdd'),'Versión 20220523');</v>
      </c>
      <c r="B1360" t="str">
        <f>IF(REGLAS!J1361="OBSOLETO","","INSERT INTO INYCEXT.INYC_CONF_INF_REGLAS@tc_link (COD_INFORME,TABLA,NOMBRE,REGLA,F_INICIO,F_FIN,DESCRIPCION) VALUES ("&amp;REGLAS!B1361&amp;",'"&amp;REGLAS!C1361&amp;"','"&amp;REGLAS!D1361&amp;"','"&amp;REGLAS!G1361&amp;"',TO_DATE('"&amp;REGLAS!H1361&amp;"','yyyymmdd'),TO_DATE('"&amp;REGLAS!I1361&amp;"','yyyymmdd'),'"&amp;REGLAS!J1361&amp;"');")</f>
        <v>INSERT INTO INYCEXT.INYC_CONF_INF_REGLAS@tc_link (COD_INFORME,TABLA,NOMBRE,REGLA,F_INICIO,F_FIN,DESCRIPCION) VALUES (33.1,'INYC_GES_RESUMEN','SM - Porcentaje Consecucion','SM-O-COM-GestionExplotacion-PorcentajeConsecucion',TO_DATE('20220501','yyyymmdd'),TO_DATE('22000101','yyyymmdd'),'Versión 20220523');</v>
      </c>
    </row>
    <row r="1361" spans="1:2" x14ac:dyDescent="0.25">
      <c r="A1361" t="str">
        <f>IF(REGLAS!J1362="OBSOLETO","","INSERT INTO INYCEXT.INYC_CONF_INF_REGLAS (COD_INFORME,TABLA,NOMBRE,REGLA,F_INICIO,F_FIN,DESCRIPCION) VALUES ("&amp;REGLAS!B1362&amp;",'"&amp;REGLAS!C1362&amp;"','"&amp;REGLAS!D1362&amp;"','"&amp;REGLAS!G1362&amp;"',TO_DATE('"&amp;REGLAS!H1362&amp;"','yyyymmdd'),TO_DATE('"&amp;REGLAS!I1362&amp;"','yyyymmdd'),'"&amp;REGLAS!J1362&amp;"');")</f>
        <v>INSERT INTO INYCEXT.INYC_CONF_INF_REGLAS (COD_INFORME,TABLA,NOMBRE,REGLA,F_INICIO,F_FIN,DESCRIPCION) VALUES (33.1,'INYC_GES_RESUMEN','SM - Gestiones','SM-O-COM-GestionExplotacion',TO_DATE('20220501','yyyymmdd'),TO_DATE('22000101','yyyymmdd'),'Versión 20220523');</v>
      </c>
      <c r="B1361" t="str">
        <f>IF(REGLAS!J1362="OBSOLETO","","INSERT INTO INYCEXT.INYC_CONF_INF_REGLAS@tc_link (COD_INFORME,TABLA,NOMBRE,REGLA,F_INICIO,F_FIN,DESCRIPCION) VALUES ("&amp;REGLAS!B1362&amp;",'"&amp;REGLAS!C1362&amp;"','"&amp;REGLAS!D1362&amp;"','"&amp;REGLAS!G1362&amp;"',TO_DATE('"&amp;REGLAS!H1362&amp;"','yyyymmdd'),TO_DATE('"&amp;REGLAS!I1362&amp;"','yyyymmdd'),'"&amp;REGLAS!J1362&amp;"');")</f>
        <v>INSERT INTO INYCEXT.INYC_CONF_INF_REGLAS@tc_link (COD_INFORME,TABLA,NOMBRE,REGLA,F_INICIO,F_FIN,DESCRIPCION) VALUES (33.1,'INYC_GES_RESUMEN','SM - Gestiones','SM-O-COM-GestionExplotacion',TO_DATE('20220501','yyyymmdd'),TO_DATE('22000101','yyyymmdd'),'Versión 20220523');</v>
      </c>
    </row>
    <row r="1362" spans="1:2" x14ac:dyDescent="0.25">
      <c r="A1362" t="str">
        <f>IF(REGLAS!J1363="OBSOLETO","","INSERT INTO INYCEXT.INYC_CONF_INF_REGLAS (COD_INFORME,TABLA,NOMBRE,REGLA,F_INICIO,F_FIN,DESCRIPCION) VALUES ("&amp;REGLAS!B1363&amp;",'"&amp;REGLAS!C1363&amp;"','"&amp;REGLAS!D1363&amp;"','"&amp;REGLAS!G1363&amp;"',TO_DATE('"&amp;REGLAS!H1363&amp;"','yyyymmdd'),TO_DATE('"&amp;REGLAS!I1363&amp;"','yyyymmdd'),'"&amp;REGLAS!J1363&amp;"');")</f>
        <v>INSERT INTO INYCEXT.INYC_CONF_INF_REGLAS (COD_INFORME,TABLA,NOMBRE,REGLA,F_INICIO,F_FIN,DESCRIPCION) VALUES (33.1,'INYC_GES_RESUMEN','SM - Porcentaje Pago','SM-O-COM-GestionExplotacion-PorcentajePagoFinal',TO_DATE('20220501','yyyymmdd'),TO_DATE('22000101','yyyymmdd'),'Versión 20220523');</v>
      </c>
      <c r="B1362" t="str">
        <f>IF(REGLAS!J1363="OBSOLETO","","INSERT INTO INYCEXT.INYC_CONF_INF_REGLAS@tc_link (COD_INFORME,TABLA,NOMBRE,REGLA,F_INICIO,F_FIN,DESCRIPCION) VALUES ("&amp;REGLAS!B1363&amp;",'"&amp;REGLAS!C1363&amp;"','"&amp;REGLAS!D1363&amp;"','"&amp;REGLAS!G1363&amp;"',TO_DATE('"&amp;REGLAS!H1363&amp;"','yyyymmdd'),TO_DATE('"&amp;REGLAS!I1363&amp;"','yyyymmdd'),'"&amp;REGLAS!J1363&amp;"');")</f>
        <v>INSERT INTO INYCEXT.INYC_CONF_INF_REGLAS@tc_link (COD_INFORME,TABLA,NOMBRE,REGLA,F_INICIO,F_FIN,DESCRIPCION) VALUES (33.1,'INYC_GES_RESUMEN','SM - Porcentaje Pago','SM-O-COM-GestionExplotacion-PorcentajePagoFinal',TO_DATE('20220501','yyyymmdd'),TO_DATE('22000101','yyyymmdd'),'Versión 20220523');</v>
      </c>
    </row>
    <row r="1363" spans="1:2" x14ac:dyDescent="0.25">
      <c r="A1363" t="str">
        <f>IF(REGLAS!J1364="OBSOLETO","","INSERT INTO INYCEXT.INYC_CONF_INF_REGLAS (COD_INFORME,TABLA,NOMBRE,REGLA,F_INICIO,F_FIN,DESCRIPCION) VALUES ("&amp;REGLAS!B1364&amp;",'"&amp;REGLAS!C1364&amp;"','"&amp;REGLAS!D1364&amp;"','"&amp;REGLAS!G1364&amp;"',TO_DATE('"&amp;REGLAS!H1364&amp;"','yyyymmdd'),TO_DATE('"&amp;REGLAS!I1364&amp;"','yyyymmdd'),'"&amp;REGLAS!J1364&amp;"');")</f>
        <v>INSERT INTO INYCEXT.INYC_CONF_INF_REGLAS (COD_INFORME,TABLA,NOMBRE,REGLA,F_INICIO,F_FIN,DESCRIPCION) VALUES (33.1,'INYC_GES_RESUMEN','SM - Importe Pago','SM-O-COM-GestionExplotacion-ImportePago',TO_DATE('20220501','yyyymmdd'),TO_DATE('22000101','yyyymmdd'),'Versión 20220523');</v>
      </c>
      <c r="B1363" t="str">
        <f>IF(REGLAS!J1364="OBSOLETO","","INSERT INTO INYCEXT.INYC_CONF_INF_REGLAS@tc_link (COD_INFORME,TABLA,NOMBRE,REGLA,F_INICIO,F_FIN,DESCRIPCION) VALUES ("&amp;REGLAS!B1364&amp;",'"&amp;REGLAS!C1364&amp;"','"&amp;REGLAS!D1364&amp;"','"&amp;REGLAS!G1364&amp;"',TO_DATE('"&amp;REGLAS!H1364&amp;"','yyyymmdd'),TO_DATE('"&amp;REGLAS!I1364&amp;"','yyyymmdd'),'"&amp;REGLAS!J1364&amp;"');")</f>
        <v>INSERT INTO INYCEXT.INYC_CONF_INF_REGLAS@tc_link (COD_INFORME,TABLA,NOMBRE,REGLA,F_INICIO,F_FIN,DESCRIPCION) VALUES (33.1,'INYC_GES_RESUMEN','SM - Importe Pago','SM-O-COM-GestionExplotacion-ImportePago',TO_DATE('20220501','yyyymmdd'),TO_DATE('22000101','yyyymmdd'),'Versión 20220523');</v>
      </c>
    </row>
    <row r="1364" spans="1:2" x14ac:dyDescent="0.25">
      <c r="A1364" t="str">
        <f>IF(REGLAS!J1365="OBSOLETO","","INSERT INTO INYCEXT.INYC_CONF_INF_REGLAS (COD_INFORME,TABLA,NOMBRE,REGLA,F_INICIO,F_FIN,DESCRIPCION) VALUES ("&amp;REGLAS!B1365&amp;",'"&amp;REGLAS!C1365&amp;"','"&amp;REGLAS!D1365&amp;"','"&amp;REGLAS!G1365&amp;"',TO_DATE('"&amp;REGLAS!H1365&amp;"','yyyymmdd'),TO_DATE('"&amp;REGLAS!I1365&amp;"','yyyymmdd'),'"&amp;REGLAS!J1365&amp;"');")</f>
        <v>INSERT INTO INYCEXT.INYC_CONF_INF_REGLAS (COD_INFORME,TABLA,NOMBRE,REGLA,F_INICIO,F_FIN,DESCRIPCION) VALUES (33.2,'INYC_GES_DETALLE','DC - Detalle Gestiones','DC-O-COM-GestionExplotacion',TO_DATE('20220501','yyyymmdd'),TO_DATE('22000101','yyyymmdd'),'Versión 20220523');</v>
      </c>
      <c r="B1364" t="str">
        <f>IF(REGLAS!J1365="OBSOLETO","","INSERT INTO INYCEXT.INYC_CONF_INF_REGLAS@tc_link (COD_INFORME,TABLA,NOMBRE,REGLA,F_INICIO,F_FIN,DESCRIPCION) VALUES ("&amp;REGLAS!B1365&amp;",'"&amp;REGLAS!C1365&amp;"','"&amp;REGLAS!D1365&amp;"','"&amp;REGLAS!G1365&amp;"',TO_DATE('"&amp;REGLAS!H1365&amp;"','yyyymmdd'),TO_DATE('"&amp;REGLAS!I1365&amp;"','yyyymmdd'),'"&amp;REGLAS!J1365&amp;"');")</f>
        <v>INSERT INTO INYCEXT.INYC_CONF_INF_REGLAS@tc_link (COD_INFORME,TABLA,NOMBRE,REGLA,F_INICIO,F_FIN,DESCRIPCION) VALUES (33.2,'INYC_GES_DETALLE','DC - Detalle Gestiones','DC-O-COM-GestionExplotacion',TO_DATE('20220501','yyyymmdd'),TO_DATE('22000101','yyyymmdd'),'Versión 20220523');</v>
      </c>
    </row>
    <row r="1365" spans="1:2" x14ac:dyDescent="0.25">
      <c r="A1365" t="str">
        <f>IF(REGLAS!J1366="OBSOLETO","","INSERT INTO INYCEXT.INYC_CONF_INF_REGLAS (COD_INFORME,TABLA,NOMBRE,REGLA,F_INICIO,F_FIN,DESCRIPCION) VALUES ("&amp;REGLAS!B1366&amp;",'"&amp;REGLAS!C1366&amp;"','"&amp;REGLAS!D1366&amp;"','"&amp;REGLAS!G1366&amp;"',TO_DATE('"&amp;REGLAS!H1366&amp;"','yyyymmdd'),TO_DATE('"&amp;REGLAS!I1366&amp;"','yyyymmdd'),'"&amp;REGLAS!J1366&amp;"');")</f>
        <v>INSERT INTO INYCEXT.INYC_CONF_INF_REGLAS (COD_INFORME,TABLA,NOMBRE,REGLA,F_INICIO,F_FIN,DESCRIPCION) VALUES (3.1,'INYC_RA_RESUMEN','SM-E-GEN-Agente-NumPolCorregidas-ProdPrioritarios-TotalSemestre','SM-E-GEN-Agente-NumPolCorregidas-ProdPrioritarios-TotalSemestre',TO_DATE('20230101','yyyymmdd'),TO_DATE('22000101','yyyymmdd'),'Version 20230101');</v>
      </c>
      <c r="B1365" t="str">
        <f>IF(REGLAS!J1366="OBSOLETO","","INSERT INTO INYCEXT.INYC_CONF_INF_REGLAS@tc_link (COD_INFORME,TABLA,NOMBRE,REGLA,F_INICIO,F_FIN,DESCRIPCION) VALUES ("&amp;REGLAS!B1366&amp;",'"&amp;REGLAS!C1366&amp;"','"&amp;REGLAS!D1366&amp;"','"&amp;REGLAS!G1366&amp;"',TO_DATE('"&amp;REGLAS!H1366&amp;"','yyyymmdd'),TO_DATE('"&amp;REGLAS!I1366&amp;"','yyyymmdd'),'"&amp;REGLAS!J1366&amp;"');")</f>
        <v>INSERT INTO INYCEXT.INYC_CONF_INF_REGLAS@tc_link (COD_INFORME,TABLA,NOMBRE,REGLA,F_INICIO,F_FIN,DESCRIPCION) VALUES (3.1,'INYC_RA_RESUMEN','SM-E-GEN-Agente-NumPolCorregidas-ProdPrioritarios-TotalSemestre','SM-E-GEN-Agente-NumPolCorregidas-ProdPrioritarios-TotalSemestre',TO_DATE('20230101','yyyymmdd'),TO_DATE('22000101','yyyymmdd'),'Version 20230101');</v>
      </c>
    </row>
    <row r="1366" spans="1:2" x14ac:dyDescent="0.25">
      <c r="A1366" t="str">
        <f>IF(REGLAS!J1367="OBSOLETO","","INSERT INTO INYCEXT.INYC_CONF_INF_REGLAS (COD_INFORME,TABLA,NOMBRE,REGLA,F_INICIO,F_FIN,DESCRIPCION) VALUES ("&amp;REGLAS!B1367&amp;",'"&amp;REGLAS!C1367&amp;"','"&amp;REGLAS!D1367&amp;"','"&amp;REGLAS!G1367&amp;"',TO_DATE('"&amp;REGLAS!H1367&amp;"','yyyymmdd'),TO_DATE('"&amp;REGLAS!I1367&amp;"','yyyymmdd'),'"&amp;REGLAS!J1367&amp;"');")</f>
        <v>INSERT INTO INYCEXT.INYC_CONF_INF_REGLAS (COD_INFORME,TABLA,NOMBRE,REGLA,F_INICIO,F_FIN,DESCRIPCION) VALUES (3.1,'INYC_RA_RESUMEN','SM-E-RSemestral-Agente-Pago','SM-E-RSemestral-Agente-Pago',TO_DATE('20230101','yyyymmdd'),TO_DATE('22000101','yyyymmdd'),'Version 20230101');</v>
      </c>
      <c r="B1366" t="str">
        <f>IF(REGLAS!J1367="OBSOLETO","","INSERT INTO INYCEXT.INYC_CONF_INF_REGLAS@tc_link (COD_INFORME,TABLA,NOMBRE,REGLA,F_INICIO,F_FIN,DESCRIPCION) VALUES ("&amp;REGLAS!B1367&amp;",'"&amp;REGLAS!C1367&amp;"','"&amp;REGLAS!D1367&amp;"','"&amp;REGLAS!G1367&amp;"',TO_DATE('"&amp;REGLAS!H1367&amp;"','yyyymmdd'),TO_DATE('"&amp;REGLAS!I1367&amp;"','yyyymmdd'),'"&amp;REGLAS!J1367&amp;"');")</f>
        <v>INSERT INTO INYCEXT.INYC_CONF_INF_REGLAS@tc_link (COD_INFORME,TABLA,NOMBRE,REGLA,F_INICIO,F_FIN,DESCRIPCION) VALUES (3.1,'INYC_RA_RESUMEN','SM-E-RSemestral-Agente-Pago','SM-E-RSemestral-Agente-Pago',TO_DATE('20230101','yyyymmdd'),TO_DATE('22000101','yyyymmdd'),'Version 20230101');</v>
      </c>
    </row>
    <row r="1367" spans="1:2" x14ac:dyDescent="0.25">
      <c r="A1367" t="str">
        <f>IF(REGLAS!J1368="OBSOLETO","","INSERT INTO INYCEXT.INYC_CONF_INF_REGLAS (COD_INFORME,TABLA,NOMBRE,REGLA,F_INICIO,F_FIN,DESCRIPCION) VALUES ("&amp;REGLAS!B1368&amp;",'"&amp;REGLAS!C1368&amp;"','"&amp;REGLAS!D1368&amp;"','"&amp;REGLAS!G1368&amp;"',TO_DATE('"&amp;REGLAS!H1368&amp;"','yyyymmdd'),TO_DATE('"&amp;REGLAS!I1368&amp;"','yyyymmdd'),'"&amp;REGLAS!J1368&amp;"');")</f>
        <v>INSERT INTO INYCEXT.INYC_CONF_INF_REGLAS (COD_INFORME,TABLA,NOMBRE,REGLA,F_INICIO,F_FIN,DESCRIPCION) VALUES (6.1,'INYC_RPA_RESUMEN','SM-O-RPP-Agente-Rappel-Pago-MensualXXL','SM-O-RPP-Agente-Rappel-Pago-MensualXXL',TO_DATE('20230101','yyyymmdd'),TO_DATE('22000101','yyyymmdd'),'Version 20220801');</v>
      </c>
      <c r="B1367" t="str">
        <f>IF(REGLAS!J1368="OBSOLETO","","INSERT INTO INYCEXT.INYC_CONF_INF_REGLAS@tc_link (COD_INFORME,TABLA,NOMBRE,REGLA,F_INICIO,F_FIN,DESCRIPCION) VALUES ("&amp;REGLAS!B1368&amp;",'"&amp;REGLAS!C1368&amp;"','"&amp;REGLAS!D1368&amp;"','"&amp;REGLAS!G1368&amp;"',TO_DATE('"&amp;REGLAS!H1368&amp;"','yyyymmdd'),TO_DATE('"&amp;REGLAS!I1368&amp;"','yyyymmdd'),'"&amp;REGLAS!J1368&amp;"');")</f>
        <v>INSERT INTO INYCEXT.INYC_CONF_INF_REGLAS@tc_link (COD_INFORME,TABLA,NOMBRE,REGLA,F_INICIO,F_FIN,DESCRIPCION) VALUES (6.1,'INYC_RPA_RESUMEN','SM-O-RPP-Agente-Rappel-Pago-MensualXXL','SM-O-RPP-Agente-Rappel-Pago-MensualXXL',TO_DATE('20230101','yyyymmdd'),TO_DATE('22000101','yyyymmdd'),'Version 20220801');</v>
      </c>
    </row>
    <row r="1368" spans="1:2" x14ac:dyDescent="0.25">
      <c r="A1368" t="str">
        <f>IF(REGLAS!J1369="OBSOLETO","","INSERT INTO INYCEXT.INYC_CONF_INF_REGLAS (COD_INFORME,TABLA,NOMBRE,REGLA,F_INICIO,F_FIN,DESCRIPCION) VALUES ("&amp;REGLAS!B1369&amp;",'"&amp;REGLAS!C1369&amp;"','"&amp;REGLAS!D1369&amp;"','"&amp;REGLAS!G1369&amp;"',TO_DATE('"&amp;REGLAS!H1369&amp;"','yyyymmdd'),TO_DATE('"&amp;REGLAS!I1369&amp;"','yyyymmdd'),'"&amp;REGLAS!J1369&amp;"');")</f>
        <v>INSERT INTO INYCEXT.INYC_CONF_INF_REGLAS (COD_INFORME,TABLA,NOMBRE,REGLA,F_INICIO,F_FIN,DESCRIPCION) VALUES (6.1,'INYC_RPA_RESUMEN','SM-O-RPP-Agente-Rappel-Pago-MensualXL','SM-O-RPP-Agente-Rappel-Pago-MensualXL',TO_DATE('20230101','yyyymmdd'),TO_DATE('22000101','yyyymmdd'),'Version 20220801');</v>
      </c>
      <c r="B1368" t="str">
        <f>IF(REGLAS!J1369="OBSOLETO","","INSERT INTO INYCEXT.INYC_CONF_INF_REGLAS@tc_link (COD_INFORME,TABLA,NOMBRE,REGLA,F_INICIO,F_FIN,DESCRIPCION) VALUES ("&amp;REGLAS!B1369&amp;",'"&amp;REGLAS!C1369&amp;"','"&amp;REGLAS!D1369&amp;"','"&amp;REGLAS!G1369&amp;"',TO_DATE('"&amp;REGLAS!H1369&amp;"','yyyymmdd'),TO_DATE('"&amp;REGLAS!I1369&amp;"','yyyymmdd'),'"&amp;REGLAS!J1369&amp;"');")</f>
        <v>INSERT INTO INYCEXT.INYC_CONF_INF_REGLAS@tc_link (COD_INFORME,TABLA,NOMBRE,REGLA,F_INICIO,F_FIN,DESCRIPCION) VALUES (6.1,'INYC_RPA_RESUMEN','SM-O-RPP-Agente-Rappel-Pago-MensualXL','SM-O-RPP-Agente-Rappel-Pago-MensualXL',TO_DATE('20230101','yyyymmdd'),TO_DATE('22000101','yyyymmdd'),'Version 20220801');</v>
      </c>
    </row>
    <row r="1369" spans="1:2" x14ac:dyDescent="0.25">
      <c r="A1369" t="str">
        <f>IF(REGLAS!J1370="OBSOLETO","","INSERT INTO INYCEXT.INYC_CONF_INF_REGLAS (COD_INFORME,TABLA,NOMBRE,REGLA,F_INICIO,F_FIN,DESCRIPCION) VALUES ("&amp;REGLAS!B1370&amp;",'"&amp;REGLAS!C1370&amp;"','"&amp;REGLAS!D1370&amp;"','"&amp;REGLAS!G1370&amp;"',TO_DATE('"&amp;REGLAS!H1370&amp;"','yyyymmdd'),TO_DATE('"&amp;REGLAS!I1370&amp;"','yyyymmdd'),'"&amp;REGLAS!J1370&amp;"');")</f>
        <v>INSERT INTO INYCEXT.INYC_CONF_INF_REGLAS (COD_INFORME,TABLA,NOMBRE,REGLA,F_INICIO,F_FIN,DESCRIPCION) VALUES (19.1,'INYC_ASI_RESUMEN','SM-O-RPP-Agente-Rappel-Pago-MensualXXL','SM-O-RPP-Agente-Rappel-Pago-MensualXXL',TO_DATE('20230101','yyyymmdd'),TO_DATE('22000101','yyyymmdd'),'Version 20220419');</v>
      </c>
      <c r="B1369" t="str">
        <f>IF(REGLAS!J1370="OBSOLETO","","INSERT INTO INYCEXT.INYC_CONF_INF_REGLAS@tc_link (COD_INFORME,TABLA,NOMBRE,REGLA,F_INICIO,F_FIN,DESCRIPCION) VALUES ("&amp;REGLAS!B1370&amp;",'"&amp;REGLAS!C1370&amp;"','"&amp;REGLAS!D1370&amp;"','"&amp;REGLAS!G1370&amp;"',TO_DATE('"&amp;REGLAS!H1370&amp;"','yyyymmdd'),TO_DATE('"&amp;REGLAS!I1370&amp;"','yyyymmdd'),'"&amp;REGLAS!J1370&amp;"');")</f>
        <v>INSERT INTO INYCEXT.INYC_CONF_INF_REGLAS@tc_link (COD_INFORME,TABLA,NOMBRE,REGLA,F_INICIO,F_FIN,DESCRIPCION) VALUES (19.1,'INYC_ASI_RESUMEN','SM-O-RPP-Agente-Rappel-Pago-MensualXXL','SM-O-RPP-Agente-Rappel-Pago-MensualXXL',TO_DATE('20230101','yyyymmdd'),TO_DATE('22000101','yyyymmdd'),'Version 20220419');</v>
      </c>
    </row>
    <row r="1370" spans="1:2" x14ac:dyDescent="0.25">
      <c r="A1370" t="str">
        <f>IF(REGLAS!J1371="OBSOLETO","","INSERT INTO INYCEXT.INYC_CONF_INF_REGLAS (COD_INFORME,TABLA,NOMBRE,REGLA,F_INICIO,F_FIN,DESCRIPCION) VALUES ("&amp;REGLAS!B1371&amp;",'"&amp;REGLAS!C1371&amp;"','"&amp;REGLAS!D1371&amp;"','"&amp;REGLAS!G1371&amp;"',TO_DATE('"&amp;REGLAS!H1371&amp;"','yyyymmdd'),TO_DATE('"&amp;REGLAS!I1371&amp;"','yyyymmdd'),'"&amp;REGLAS!J1371&amp;"');")</f>
        <v>INSERT INTO INYCEXT.INYC_CONF_INF_REGLAS (COD_INFORME,TABLA,NOMBRE,REGLA,F_INICIO,F_FIN,DESCRIPCION) VALUES (19.1,'INYC_ASI_RESUMEN','SM-O-RPP-Agente-Rappel-Pago-MensualXL','SM-O-RPP-Agente-Rappel-Pago-MensualXL',TO_DATE('20230101','yyyymmdd'),TO_DATE('22000101','yyyymmdd'),'Version 20220419');</v>
      </c>
      <c r="B1370" t="str">
        <f>IF(REGLAS!J1371="OBSOLETO","","INSERT INTO INYCEXT.INYC_CONF_INF_REGLAS@tc_link (COD_INFORME,TABLA,NOMBRE,REGLA,F_INICIO,F_FIN,DESCRIPCION) VALUES ("&amp;REGLAS!B1371&amp;",'"&amp;REGLAS!C1371&amp;"','"&amp;REGLAS!D1371&amp;"','"&amp;REGLAS!G1371&amp;"',TO_DATE('"&amp;REGLAS!H1371&amp;"','yyyymmdd'),TO_DATE('"&amp;REGLAS!I1371&amp;"','yyyymmdd'),'"&amp;REGLAS!J1371&amp;"');")</f>
        <v>INSERT INTO INYCEXT.INYC_CONF_INF_REGLAS@tc_link (COD_INFORME,TABLA,NOMBRE,REGLA,F_INICIO,F_FIN,DESCRIPCION) VALUES (19.1,'INYC_ASI_RESUMEN','SM-O-RPP-Agente-Rappel-Pago-MensualXL','SM-O-RPP-Agente-Rappel-Pago-MensualXL',TO_DATE('20230101','yyyymmdd'),TO_DATE('22000101','yyyymmdd'),'Version 20220419');</v>
      </c>
    </row>
    <row r="1371" spans="1:2" x14ac:dyDescent="0.25">
      <c r="A1371" t="str">
        <f>IF(REGLAS!J1372="OBSOLETO","","INSERT INTO INYCEXT.INYC_CONF_INF_REGLAS (COD_INFORME,TABLA,NOMBRE,REGLA,F_INICIO,F_FIN,DESCRIPCION) VALUES ("&amp;REGLAS!B1372&amp;",'"&amp;REGLAS!C1372&amp;"','"&amp;REGLAS!D1372&amp;"','"&amp;REGLAS!G1372&amp;"',TO_DATE('"&amp;REGLAS!H1372&amp;"','yyyymmdd'),TO_DATE('"&amp;REGLAS!I1372&amp;"','yyyymmdd'),'"&amp;REGLAS!J1372&amp;"');")</f>
        <v>INSERT INTO INYCEXT.INYC_CONF_INF_REGLAS (COD_INFORME,TABLA,NOMBRE,REGLA,F_INICIO,F_FIN,DESCRIPCION) VALUES (101.2,'INYC_S5_POLIZAS','Captacion Agentes','IC-O-GEN-Inspector-PrimaCorregida-998-Captacion',TO_DATE('20230101','yyyymmdd'),TO_DATE('22000101','yyyymmdd'),'Version 20230101');</v>
      </c>
      <c r="B1371" t="str">
        <f>IF(REGLAS!J1372="OBSOLETO","","INSERT INTO INYCEXT.INYC_CONF_INF_REGLAS@tc_link (COD_INFORME,TABLA,NOMBRE,REGLA,F_INICIO,F_FIN,DESCRIPCION) VALUES ("&amp;REGLAS!B1372&amp;",'"&amp;REGLAS!C1372&amp;"','"&amp;REGLAS!D1372&amp;"','"&amp;REGLAS!G1372&amp;"',TO_DATE('"&amp;REGLAS!H1372&amp;"','yyyymmdd'),TO_DATE('"&amp;REGLAS!I1372&amp;"','yyyymmdd'),'"&amp;REGLAS!J1372&amp;"');")</f>
        <v>INSERT INTO INYCEXT.INYC_CONF_INF_REGLAS@tc_link (COD_INFORME,TABLA,NOMBRE,REGLA,F_INICIO,F_FIN,DESCRIPCION) VALUES (101.2,'INYC_S5_POLIZAS','Captacion Agentes','IC-O-GEN-Inspector-PrimaCorregida-998-Captacion',TO_DATE('20230101','yyyymmdd'),TO_DATE('22000101','yyyymmdd'),'Version 20230101');</v>
      </c>
    </row>
    <row r="1372" spans="1:2" x14ac:dyDescent="0.25">
      <c r="A1372" t="str">
        <f>IF(REGLAS!J1373="OBSOLETO","","INSERT INTO INYCEXT.INYC_CONF_INF_REGLAS (COD_INFORME,TABLA,NOMBRE,REGLA,F_INICIO,F_FIN,DESCRIPCION) VALUES ("&amp;REGLAS!B1373&amp;",'"&amp;REGLAS!C1373&amp;"','"&amp;REGLAS!D1373&amp;"','"&amp;REGLAS!G1373&amp;"',TO_DATE('"&amp;REGLAS!H1373&amp;"','yyyymmdd'),TO_DATE('"&amp;REGLAS!I1373&amp;"','yyyymmdd'),'"&amp;REGLAS!J1373&amp;"');")</f>
        <v>INSERT INTO INYCEXT.INYC_CONF_INF_REGLAS (COD_INFORME,TABLA,NOMBRE,REGLA,F_INICIO,F_FIN,DESCRIPCION) VALUES (101.2,'INYC_S5_POLIZAS','Captacion Agentes','IC-O-GEN-Inspector-NumeroPolizas-998-Captacion',TO_DATE('20230101','yyyymmdd'),TO_DATE('22000101','yyyymmdd'),'Version 20230101');</v>
      </c>
      <c r="B1372" t="str">
        <f>IF(REGLAS!J1373="OBSOLETO","","INSERT INTO INYCEXT.INYC_CONF_INF_REGLAS@tc_link (COD_INFORME,TABLA,NOMBRE,REGLA,F_INICIO,F_FIN,DESCRIPCION) VALUES ("&amp;REGLAS!B1373&amp;",'"&amp;REGLAS!C1373&amp;"','"&amp;REGLAS!D1373&amp;"','"&amp;REGLAS!G1373&amp;"',TO_DATE('"&amp;REGLAS!H1373&amp;"','yyyymmdd'),TO_DATE('"&amp;REGLAS!I1373&amp;"','yyyymmdd'),'"&amp;REGLAS!J1373&amp;"');")</f>
        <v>INSERT INTO INYCEXT.INYC_CONF_INF_REGLAS@tc_link (COD_INFORME,TABLA,NOMBRE,REGLA,F_INICIO,F_FIN,DESCRIPCION) VALUES (101.2,'INYC_S5_POLIZAS','Captacion Agentes','IC-O-GEN-Inspector-NumeroPolizas-998-Captacion',TO_DATE('20230101','yyyymmdd'),TO_DATE('22000101','yyyymmdd'),'Version 20230101');</v>
      </c>
    </row>
    <row r="1373" spans="1:2" x14ac:dyDescent="0.25">
      <c r="A1373" t="str">
        <f>IF(REGLAS!J1374="OBSOLETO","","INSERT INTO INYCEXT.INYC_CONF_INF_REGLAS (COD_INFORME,TABLA,NOMBRE,REGLA,F_INICIO,F_FIN,DESCRIPCION) VALUES ("&amp;REGLAS!B1374&amp;",'"&amp;REGLAS!C1374&amp;"','"&amp;REGLAS!D1374&amp;"','"&amp;REGLAS!G1374&amp;"',TO_DATE('"&amp;REGLAS!H1374&amp;"','yyyymmdd'),TO_DATE('"&amp;REGLAS!I1374&amp;"','yyyymmdd'),'"&amp;REGLAS!J1374&amp;"');")</f>
        <v>INSERT INTO INYCEXT.INYC_CONF_INF_REGLAS (COD_INFORME,TABLA,NOMBRE,REGLA,F_INICIO,F_FIN,DESCRIPCION) VALUES (2.1,'INYC_RAGT_RESUMEN','SM-E-GEN-Inspector-NumPolCorregidas-ProdPrioritarios-TotalSemestre','SM-E-GEN-Inspector-NumPolCorregidas-ProdPrioritarios-TotalSemestre',TO_DATE('20230101','yyyymmdd'),TO_DATE('22000101','yyyymmdd'),'Version 20230101');</v>
      </c>
    </row>
    <row r="1374" spans="1:2" x14ac:dyDescent="0.25">
      <c r="A1374" t="str">
        <f>IF(REGLAS!J1375="OBSOLETO","","INSERT INTO INYCEXT.INYC_CONF_INF_REGLAS (COD_INFORME,TABLA,NOMBRE,REGLA,F_INICIO,F_FIN,DESCRIPCION) VALUES ("&amp;REGLAS!B1375&amp;",'"&amp;REGLAS!C1375&amp;"','"&amp;REGLAS!D1375&amp;"','"&amp;REGLAS!G1375&amp;"',TO_DATE('"&amp;REGLAS!H1375&amp;"','yyyymmdd'),TO_DATE('"&amp;REGLAS!I1375&amp;"','yyyymmdd'),'"&amp;REGLAS!J1375&amp;"');")</f>
        <v>INSERT INTO INYCEXT.INYC_CONF_INF_REGLAS (COD_INFORME,TABLA,NOMBRE,REGLA,F_INICIO,F_FIN,DESCRIPCION) VALUES (2.1,'INYC_RAGT_RESUMEN','SM-E-ImportePago-Semestral','SM-E-RSEM-AG-ImportePago',TO_DATE('20230101','yyyymmdd'),TO_DATE('22000101','yyyymmdd'),'Version 20230101');</v>
      </c>
    </row>
    <row r="1375" spans="1:2" x14ac:dyDescent="0.25">
      <c r="A1375" t="str">
        <f>IF(REGLAS!J1376="OBSOLETO","","INSERT INTO INYCEXT.INYC_CONF_INF_REGLAS (COD_INFORME,TABLA,NOMBRE,REGLA,F_INICIO,F_FIN,DESCRIPCION) VALUES ("&amp;REGLAS!B1376&amp;",'"&amp;REGLAS!C1376&amp;"','"&amp;REGLAS!D1376&amp;"','"&amp;REGLAS!G1376&amp;"',TO_DATE('"&amp;REGLAS!H1376&amp;"','yyyymmdd'),TO_DATE('"&amp;REGLAS!I1376&amp;"','yyyymmdd'),'"&amp;REGLAS!J1376&amp;"');")</f>
        <v>INSERT INTO INYCEXT.INYC_CONF_INF_REGLAS (COD_INFORME,TABLA,NOMBRE,REGLA,F_INICIO,F_FIN,DESCRIPCION) VALUES (6.1,'INYC_RPA_RESUMEN','SM-O-RPP-Agente-Rappel-Pago-MensualXL','SM-O-RPP-Agente-Rappel-Pago-MensualXL',TO_DATE('20230101','yyyymmdd'),TO_DATE('22000101','yyyymmdd'),'Version 20220801');</v>
      </c>
    </row>
    <row r="1376" spans="1:2" x14ac:dyDescent="0.25">
      <c r="A1376" t="str">
        <f>IF(REGLAS!J1377="OBSOLETO","","INSERT INTO INYCEXT.INYC_CONF_INF_REGLAS (COD_INFORME,TABLA,NOMBRE,REGLA,F_INICIO,F_FIN,DESCRIPCION) VALUES ("&amp;REGLAS!B1377&amp;",'"&amp;REGLAS!C1377&amp;"','"&amp;REGLAS!D1377&amp;"','"&amp;REGLAS!G1377&amp;"',TO_DATE('"&amp;REGLAS!H1377&amp;"','yyyymmdd'),TO_DATE('"&amp;REGLAS!I1377&amp;"','yyyymmdd'),'"&amp;REGLAS!J1377&amp;"');")</f>
        <v>INSERT INTO INYCEXT.INYC_CONF_INF_REGLAS (COD_INFORME,TABLA,NOMBRE,REGLA,F_INICIO,F_FIN,DESCRIPCION) VALUES (6.1,'INYC_RPA_RESUMEN','SM - Porcentaje Consecucion','SM-O-COM-GestionExplotacion-PorcentajeConsecucion',TO_DATE('20230101','yyyymmdd'),TO_DATE('22000101','yyyymmdd'),'Versión 20230525');</v>
      </c>
    </row>
    <row r="1377" spans="1:1" x14ac:dyDescent="0.25">
      <c r="A1377" t="str">
        <f>IF(REGLAS!J1378="OBSOLETO","","INSERT INTO INYCEXT.INYC_CONF_INF_REGLAS (COD_INFORME,TABLA,NOMBRE,REGLA,F_INICIO,F_FIN,DESCRIPCION) VALUES ("&amp;REGLAS!B1378&amp;",'"&amp;REGLAS!C1378&amp;"','"&amp;REGLAS!D1378&amp;"','"&amp;REGLAS!G1378&amp;"',TO_DATE('"&amp;REGLAS!H1378&amp;"','yyyymmdd'),TO_DATE('"&amp;REGLAS!I1378&amp;"','yyyymmdd'),'"&amp;REGLAS!J1378&amp;"');")</f>
        <v>INSERT INTO INYCEXT.INYC_CONF_INF_REGLAS (COD_INFORME,TABLA,NOMBRE,REGLA,F_INICIO,F_FIN,DESCRIPCION) VALUES (6.1,'INYC_RPA_RESUMEN','SM - Gestiones','SM-O-COM-GestionExplotacion',TO_DATE('20230101','yyyymmdd'),TO_DATE('22000101','yyyymmdd'),'Versión 20230525');</v>
      </c>
    </row>
    <row r="1378" spans="1:1" x14ac:dyDescent="0.25">
      <c r="A1378" t="str">
        <f>IF(REGLAS!J1379="OBSOLETO","","INSERT INTO INYCEXT.INYC_CONF_INF_REGLAS (COD_INFORME,TABLA,NOMBRE,REGLA,F_INICIO,F_FIN,DESCRIPCION) VALUES ("&amp;REGLAS!B1379&amp;",'"&amp;REGLAS!C1379&amp;"','"&amp;REGLAS!D1379&amp;"','"&amp;REGLAS!G1379&amp;"',TO_DATE('"&amp;REGLAS!H1379&amp;"','yyyymmdd'),TO_DATE('"&amp;REGLAS!I1379&amp;"','yyyymmdd'),'"&amp;REGLAS!J1379&amp;"');")</f>
        <v>INSERT INTO INYCEXT.INYC_CONF_INF_REGLAS (COD_INFORME,TABLA,NOMBRE,REGLA,F_INICIO,F_FIN,DESCRIPCION) VALUES (6.1,'INYC_RPA_RESUMEN','SM - Porcentaje Pago','SM-O-COM-GestionExplotacion-PorcentajePagoFinal',TO_DATE('20230101','yyyymmdd'),TO_DATE('22000101','yyyymmdd'),'Versión 20230525');</v>
      </c>
    </row>
    <row r="1379" spans="1:1" x14ac:dyDescent="0.25">
      <c r="A1379" t="str">
        <f>IF(REGLAS!J1380="OBSOLETO","","INSERT INTO INYCEXT.INYC_CONF_INF_REGLAS (COD_INFORME,TABLA,NOMBRE,REGLA,F_INICIO,F_FIN,DESCRIPCION) VALUES ("&amp;REGLAS!B1380&amp;",'"&amp;REGLAS!C1380&amp;"','"&amp;REGLAS!D1380&amp;"','"&amp;REGLAS!G1380&amp;"',TO_DATE('"&amp;REGLAS!H1380&amp;"','yyyymmdd'),TO_DATE('"&amp;REGLAS!I1380&amp;"','yyyymmdd'),'"&amp;REGLAS!J1380&amp;"');")</f>
        <v>INSERT INTO INYCEXT.INYC_CONF_INF_REGLAS (COD_INFORME,TABLA,NOMBRE,REGLA,F_INICIO,F_FIN,DESCRIPCION) VALUES (6.1,'INYC_RPA_RESUMEN','SM - Importe Pago','SM-O-COM-GestionExplotacion-ImportePago',TO_DATE('20230101','yyyymmdd'),TO_DATE('22000101','yyyymmdd'),'Versión 20230525');</v>
      </c>
    </row>
    <row r="1380" spans="1:1" x14ac:dyDescent="0.25">
      <c r="A1380" t="str">
        <f>IF(REGLAS!J1381="OBSOLETO","","INSERT INTO INYCEXT.INYC_CONF_INF_REGLAS (COD_INFORME,TABLA,NOMBRE,REGLA,F_INICIO,F_FIN,DESCRIPCION) VALUES ("&amp;REGLAS!B1381&amp;",'"&amp;REGLAS!C1381&amp;"','"&amp;REGLAS!D1381&amp;"','"&amp;REGLAS!G1381&amp;"',TO_DATE('"&amp;REGLAS!H1381&amp;"','yyyymmdd'),TO_DATE('"&amp;REGLAS!I1381&amp;"','yyyymmdd'),'"&amp;REGLAS!J1381&amp;"');")</f>
        <v>INSERT INTO INYCEXT.INYC_CONF_INF_REGLAS (COD_INFORME,TABLA,NOMBRE,REGLA,F_INICIO,F_FIN,DESCRIPCION) VALUES (3.1,'INYC_RA_RESUMEN','PrimaCorregida-ProdPrioritarios Trimestre','SM-E-GEN-Agente-PrimaCorregida-ProdPrioritarios-TotalTrimestre',TO_DATE('20240101','yyyymmdd'),TO_DATE('22000101','yyyymmdd'),'Version 20240101');</v>
      </c>
    </row>
    <row r="1381" spans="1:1" x14ac:dyDescent="0.25">
      <c r="A1381" t="str">
        <f>IF(REGLAS!J1382="OBSOLETO","","INSERT INTO INYCEXT.INYC_CONF_INF_REGLAS (COD_INFORME,TABLA,NOMBRE,REGLA,F_INICIO,F_FIN,DESCRIPCION) VALUES ("&amp;REGLAS!B1382&amp;",'"&amp;REGLAS!C1382&amp;"','"&amp;REGLAS!D1382&amp;"','"&amp;REGLAS!G1382&amp;"',TO_DATE('"&amp;REGLAS!H1382&amp;"','yyyymmdd'),TO_DATE('"&amp;REGLAS!I1382&amp;"','yyyymmdd'),'"&amp;REGLAS!J1382&amp;"');")</f>
        <v>INSERT INTO INYCEXT.INYC_CONF_INF_REGLAS (COD_INFORME,TABLA,NOMBRE,REGLA,F_INICIO,F_FIN,DESCRIPCION) VALUES (3.1,'INYC_RA_RESUMEN','Rappel Trimestral por Primas Corregidas de nueva producción.','SM-E-R-Agente-Pago-Primas-Trimestre',TO_DATE('20240101','yyyymmdd'),TO_DATE('22000101','yyyymmdd'),'Version 20240101');</v>
      </c>
    </row>
    <row r="1382" spans="1:1" x14ac:dyDescent="0.25">
      <c r="A1382" t="str">
        <f>IF(REGLAS!J1383="OBSOLETO","","INSERT INTO INYCEXT.INYC_CONF_INF_REGLAS (COD_INFORME,TABLA,NOMBRE,REGLA,F_INICIO,F_FIN,DESCRIPCION) VALUES ("&amp;REGLAS!B1383&amp;",'"&amp;REGLAS!C1383&amp;"','"&amp;REGLAS!D1383&amp;"','"&amp;REGLAS!G1383&amp;"',TO_DATE('"&amp;REGLAS!H1383&amp;"','yyyymmdd'),TO_DATE('"&amp;REGLAS!I1383&amp;"','yyyymmdd'),'"&amp;REGLAS!J1383&amp;"');")</f>
        <v>INSERT INTO INYCEXT.INYC_CONF_INF_REGLAS (COD_INFORME,TABLA,NOMBRE,REGLA,F_INICIO,F_FIN,DESCRIPCION) VALUES (17.1,'INYC_RE_RESUMEN','SM-Polizas fisicas Vida/Accidente','SM-O-REP-Inspector-NumeroPolizas-VidaAccidentes-TotalMes',TO_DATE('20240301','yyyymmdd'),TO_DATE('22000101','yyyymmdd'),'Version 20240101');</v>
      </c>
    </row>
    <row r="1383" spans="1:1" x14ac:dyDescent="0.25">
      <c r="A1383" t="str">
        <f>IF(REGLAS!J1384="OBSOLETO","","INSERT INTO INYCEXT.INYC_CONF_INF_REGLAS (COD_INFORME,TABLA,NOMBRE,REGLA,F_INICIO,F_FIN,DESCRIPCION) VALUES ("&amp;REGLAS!B1384&amp;",'"&amp;REGLAS!C1384&amp;"','"&amp;REGLAS!D1384&amp;"','"&amp;REGLAS!G1384&amp;"',TO_DATE('"&amp;REGLAS!H1384&amp;"','yyyymmdd'),TO_DATE('"&amp;REGLAS!I1384&amp;"','yyyymmdd'),'"&amp;REGLAS!J1384&amp;"');")</f>
        <v>INSERT INTO INYCEXT.INYC_CONF_INF_REGLAS (COD_INFORME,TABLA,NOMBRE,REGLA,F_INICIO,F_FIN,DESCRIPCION) VALUES (17.1,'INYC_RE_RESUMEN','SM-Polizas Corregidas Vida/Accidente','SM-O-REP-Inspector-NumeroPolizasCorregidas-VidaAccidentes-TotalMes',TO_DATE('20240301','yyyymmdd'),TO_DATE('22000101','yyyymmdd'),'Version 20240101');</v>
      </c>
    </row>
    <row r="1384" spans="1:1" x14ac:dyDescent="0.25">
      <c r="A1384" t="str">
        <f>IF(REGLAS!J1385="OBSOLETO","","INSERT INTO INYCEXT.INYC_CONF_INF_REGLAS (COD_INFORME,TABLA,NOMBRE,REGLA,F_INICIO,F_FIN,DESCRIPCION) VALUES ("&amp;REGLAS!B1385&amp;",'"&amp;REGLAS!C1385&amp;"','"&amp;REGLAS!D1385&amp;"','"&amp;REGLAS!G1385&amp;"',TO_DATE('"&amp;REGLAS!H1385&amp;"','yyyymmdd'),TO_DATE('"&amp;REGLAS!I1385&amp;"','yyyymmdd'),'"&amp;REGLAS!J1385&amp;"');")</f>
        <v>INSERT INTO INYCEXT.INYC_CONF_INF_REGLAS (COD_INFORME,TABLA,NOMBRE,REGLA,F_INICIO,F_FIN,DESCRIPCION) VALUES (17.1,'INYC_RE_RESUMEN','PM- PolizasCorregidas Vida/Accidente Propia','PM-O-REP-Inspector-NumeroPolizasCorregidas-VidaAccidentes',TO_DATE('20240301','yyyymmdd'),TO_DATE('22000101','yyyymmdd'),'Version 20240101');</v>
      </c>
    </row>
    <row r="1385" spans="1:1" x14ac:dyDescent="0.25">
      <c r="A1385" t="str">
        <f>IF(REGLAS!J1386="OBSOLETO","","INSERT INTO INYCEXT.INYC_CONF_INF_REGLAS (COD_INFORME,TABLA,NOMBRE,REGLA,F_INICIO,F_FIN,DESCRIPCION) VALUES ("&amp;REGLAS!B1386&amp;",'"&amp;REGLAS!C1386&amp;"','"&amp;REGLAS!D1386&amp;"','"&amp;REGLAS!G1386&amp;"',TO_DATE('"&amp;REGLAS!H1386&amp;"','yyyymmdd'),TO_DATE('"&amp;REGLAS!I1386&amp;"','yyyymmdd'),'"&amp;REGLAS!J1386&amp;"');")</f>
        <v>INSERT INTO INYCEXT.INYC_CONF_INF_REGLAS (COD_INFORME,TABLA,NOMBRE,REGLA,F_INICIO,F_FIN,DESCRIPCION) VALUES (17.1,'INYC_RE_RESUMEN','PM- PolizasCorregidas Vida/Accidente Agentes','PM-O-REP-Inspector-NumeroPolizasCorregidas-VidaAccidentes-Agentes',TO_DATE('20240301','yyyymmdd'),TO_DATE('22000101','yyyymmdd'),'Version 20240101');</v>
      </c>
    </row>
    <row r="1386" spans="1:1" x14ac:dyDescent="0.25">
      <c r="A1386" t="str">
        <f>IF(REGLAS!J1387="OBSOLETO","","INSERT INTO INYCEXT.INYC_CONF_INF_REGLAS (COD_INFORME,TABLA,NOMBRE,REGLA,F_INICIO,F_FIN,DESCRIPCION) VALUES ("&amp;REGLAS!B1387&amp;",'"&amp;REGLAS!C1387&amp;"','"&amp;REGLAS!D1387&amp;"','"&amp;REGLAS!G1387&amp;"',TO_DATE('"&amp;REGLAS!H1387&amp;"','yyyymmdd'),TO_DATE('"&amp;REGLAS!I1387&amp;"','yyyymmdd'),'"&amp;REGLAS!J1387&amp;"');")</f>
        <v>INSERT INTO INYCEXT.INYC_CONF_INF_REGLAS (COD_INFORME,TABLA,NOMBRE,REGLA,F_INICIO,F_FIN,DESCRIPCION) VALUES (17.1,'INYC_RE_RESUMEN','SM-Primas Anual Vida/Accidente','SM-O-REP-Inspector-PrimaAnual-VidaAccidentes',TO_DATE('20240301','yyyymmdd'),TO_DATE('22000101','yyyymmdd'),'Version 20240101');</v>
      </c>
    </row>
    <row r="1387" spans="1:1" x14ac:dyDescent="0.25">
      <c r="A1387" t="str">
        <f>IF(REGLAS!J1388="OBSOLETO","","INSERT INTO INYCEXT.INYC_CONF_INF_REGLAS (COD_INFORME,TABLA,NOMBRE,REGLA,F_INICIO,F_FIN,DESCRIPCION) VALUES ("&amp;REGLAS!B1388&amp;",'"&amp;REGLAS!C1388&amp;"','"&amp;REGLAS!D1388&amp;"','"&amp;REGLAS!G1388&amp;"',TO_DATE('"&amp;REGLAS!H1388&amp;"','yyyymmdd'),TO_DATE('"&amp;REGLAS!I1388&amp;"','yyyymmdd'),'"&amp;REGLAS!J1388&amp;"');")</f>
        <v>INSERT INTO INYCEXT.INYC_CONF_INF_REGLAS (COD_INFORME,TABLA,NOMBRE,REGLA,F_INICIO,F_FIN,DESCRIPCION) VALUES (17.1,'INYC_RE_RESUMEN','PM-Primas Anual Vida/Accidente ','PM-O-REP-Inspector-PrimaAnual-VidaAccidentes',TO_DATE('20240301','yyyymmdd'),TO_DATE('22000101','yyyymmdd'),'Version 20240101');</v>
      </c>
    </row>
    <row r="1388" spans="1:1" x14ac:dyDescent="0.25">
      <c r="A1388" t="str">
        <f>IF(REGLAS!J1389="OBSOLETO","","INSERT INTO INYCEXT.INYC_CONF_INF_REGLAS (COD_INFORME,TABLA,NOMBRE,REGLA,F_INICIO,F_FIN,DESCRIPCION) VALUES ("&amp;REGLAS!B1389&amp;",'"&amp;REGLAS!C1389&amp;"','"&amp;REGLAS!D1389&amp;"','"&amp;REGLAS!G1389&amp;"',TO_DATE('"&amp;REGLAS!H1389&amp;"','yyyymmdd'),TO_DATE('"&amp;REGLAS!I1389&amp;"','yyyymmdd'),'"&amp;REGLAS!J1389&amp;"');")</f>
        <v>INSERT INTO INYCEXT.INYC_CONF_INF_REGLAS (COD_INFORME,TABLA,NOMBRE,REGLA,F_INICIO,F_FIN,DESCRIPCION) VALUES (17.1,'INYC_RE_RESUMEN','SM-Primas Anual Vida/Accidente trimestral','SM-O-REP-Inspector-PrimaAnual-VidaAccidentes-Trim',TO_DATE('20240301','yyyymmdd'),TO_DATE('22000101','yyyymmdd'),'Version 20240101');</v>
      </c>
    </row>
    <row r="1389" spans="1:1" x14ac:dyDescent="0.25">
      <c r="A1389" t="str">
        <f>IF(REGLAS!J1390="OBSOLETO","","INSERT INTO INYCEXT.INYC_CONF_INF_REGLAS (COD_INFORME,TABLA,NOMBRE,REGLA,F_INICIO,F_FIN,DESCRIPCION) VALUES ("&amp;REGLAS!B1390&amp;",'"&amp;REGLAS!C1390&amp;"','"&amp;REGLAS!D1390&amp;"','"&amp;REGLAS!G1390&amp;"',TO_DATE('"&amp;REGLAS!H1390&amp;"','yyyymmdd'),TO_DATE('"&amp;REGLAS!I1390&amp;"','yyyymmdd'),'"&amp;REGLAS!J1390&amp;"');")</f>
        <v>INSERT INTO INYCEXT.INYC_CONF_INF_REGLAS (COD_INFORME,TABLA,NOMBRE,REGLA,F_INICIO,F_FIN,DESCRIPCION) VALUES (17.1,'INYC_RE_RESUMEN','SM - Pago Trimestral Asegurados','SM-O-REAS-Inspector-Pago',TO_DATE('20240301','yyyymmdd'),TO_DATE('22000101','yyyymmdd'),'Version 20240101');</v>
      </c>
    </row>
    <row r="1390" spans="1:1" x14ac:dyDescent="0.25">
      <c r="A1390" t="str">
        <f>IF(REGLAS!J1391="OBSOLETO","","INSERT INTO INYCEXT.INYC_CONF_INF_REGLAS (COD_INFORME,TABLA,NOMBRE,REGLA,F_INICIO,F_FIN,DESCRIPCION) VALUES ("&amp;REGLAS!B1391&amp;",'"&amp;REGLAS!C1391&amp;"','"&amp;REGLAS!D1391&amp;"','"&amp;REGLAS!G1391&amp;"',TO_DATE('"&amp;REGLAS!H1391&amp;"','yyyymmdd'),TO_DATE('"&amp;REGLAS!I1391&amp;"','yyyymmdd'),'"&amp;REGLAS!J1391&amp;"');")</f>
        <v>INSERT INTO INYCEXT.INYC_CONF_INF_REGLAS (COD_INFORME,TABLA,NOMBRE,REGLA,F_INICIO,F_FIN,DESCRIPCION) VALUES (17.1,'INYC_RE_RESUMEN','SM - Asegurados Trimestrales','SM-O-REAS-Inspector-NumAsegurados-Trim',TO_DATE('20240301','yyyymmdd'),TO_DATE('22000101','yyyymmdd'),'Version 20240101');</v>
      </c>
    </row>
    <row r="1391" spans="1:1" x14ac:dyDescent="0.25">
      <c r="A1391" t="str">
        <f>IF(REGLAS!J1392="OBSOLETO","","INSERT INTO INYCEXT.INYC_CONF_INF_REGLAS (COD_INFORME,TABLA,NOMBRE,REGLA,F_INICIO,F_FIN,DESCRIPCION) VALUES ("&amp;REGLAS!B1392&amp;",'"&amp;REGLAS!C1392&amp;"','"&amp;REGLAS!D1392&amp;"','"&amp;REGLAS!G1392&amp;"',TO_DATE('"&amp;REGLAS!H1392&amp;"','yyyymmdd'),TO_DATE('"&amp;REGLAS!I1392&amp;"','yyyymmdd'),'"&amp;REGLAS!J1392&amp;"');")</f>
        <v>INSERT INTO INYCEXT.INYC_CONF_INF_REGLAS (COD_INFORME,TABLA,NOMBRE,REGLA,F_INICIO,F_FIN,DESCRIPCION) VALUES (3.1,'INYC_RA_RESUMEN','SM-E-R1-Agente-PagoMensual','SM-E-R1-Agente-PagoMensual',TO_DATE('20240101','yyyymmdd'),TO_DATE('22000101','yyyymmdd'),'Version 20240101');</v>
      </c>
    </row>
    <row r="1392" spans="1:1" x14ac:dyDescent="0.25">
      <c r="A1392" t="str">
        <f>IF(REGLAS!J1393="OBSOLETO","","INSERT INTO INYCEXT.INYC_CONF_INF_REGLAS (COD_INFORME,TABLA,NOMBRE,REGLA,F_INICIO,F_FIN,DESCRIPCION) VALUES ("&amp;REGLAS!B1393&amp;",'"&amp;REGLAS!C1393&amp;"','"&amp;REGLAS!D1393&amp;"','"&amp;REGLAS!G1393&amp;"',TO_DATE('"&amp;REGLAS!H1393&amp;"','yyyymmdd'),TO_DATE('"&amp;REGLAS!I1393&amp;"','yyyymmdd'),'"&amp;REGLAS!J1393&amp;"');")</f>
        <v>INSERT INTO INYCEXT.INYC_CONF_INF_REGLAS (COD_INFORME,TABLA,NOMBRE,REGLA,F_INICIO,F_FIN,DESCRIPCION) VALUES (25.1,'INYC_RPI_RESUMEN','SM-O-Inspector-Incentivo-Pago','SM-O-Inspector-Incentivo-Pago',TO_DATE('20240101','yyyymmdd'),TO_DATE('22000101','yyyymmdd'),'Version 20240101');</v>
      </c>
    </row>
    <row r="1393" spans="1:1" x14ac:dyDescent="0.25">
      <c r="A1393" t="str">
        <f>IF(REGLAS!J1394="OBSOLETO","","INSERT INTO INYCEXT.INYC_CONF_INF_REGLAS (COD_INFORME,TABLA,NOMBRE,REGLA,F_INICIO,F_FIN,DESCRIPCION) VALUES ("&amp;REGLAS!B1394&amp;",'"&amp;REGLAS!C1394&amp;"','"&amp;REGLAS!D1394&amp;"','"&amp;REGLAS!G1394&amp;"',TO_DATE('"&amp;REGLAS!H1394&amp;"','yyyymmdd'),TO_DATE('"&amp;REGLAS!I1394&amp;"','yyyymmdd'),'"&amp;REGLAS!J1394&amp;"');")</f>
        <v>INSERT INTO INYCEXT.INYC_CONF_INF_REGLAS (COD_INFORME,TABLA,NOMBRE,REGLA,F_INICIO,F_FIN,DESCRIPCION) VALUES (25.1,'INYC_RPI_RESUMEN','SM-O-Inspector-Incentivo-PremEspe','SM-O-Inspector-Incentivo-PremEspe',TO_DATE('20240101','yyyymmdd'),TO_DATE('22000101','yyyymmdd'),'Version 20240101');</v>
      </c>
    </row>
    <row r="1394" spans="1:1" x14ac:dyDescent="0.25">
      <c r="A1394" t="str">
        <f>IF(REGLAS!J1395="OBSOLETO","","INSERT INTO INYCEXT.INYC_CONF_INF_REGLAS (COD_INFORME,TABLA,NOMBRE,REGLA,F_INICIO,F_FIN,DESCRIPCION) VALUES ("&amp;REGLAS!B1395&amp;",'"&amp;REGLAS!C1395&amp;"','"&amp;REGLAS!D1395&amp;"','"&amp;REGLAS!G1395&amp;"',TO_DATE('"&amp;REGLAS!H1395&amp;"','yyyymmdd'),TO_DATE('"&amp;REGLAS!I1395&amp;"','yyyymmdd'),'"&amp;REGLAS!J1395&amp;"');")</f>
        <v>INSERT INTO INYCEXT.INYC_CONF_INF_REGLAS (COD_INFORME,TABLA,NOMBRE,REGLA,F_INICIO,F_FIN,DESCRIPCION) VALUES (25.1,'INYC_RPI_RESUMEN','SM-O-Inspector-Incentivo-RegAnual','SM-O-Inspector-Incentivo-RegAnual',TO_DATE('20240101','yyyymmdd'),TO_DATE('22000101','yyyymmdd'),'Version 20240101');</v>
      </c>
    </row>
    <row r="1395" spans="1:1" x14ac:dyDescent="0.25">
      <c r="A1395" t="str">
        <f>IF(REGLAS!J1396="OBSOLETO","","INSERT INTO INYCEXT.INYC_CONF_INF_REGLAS (COD_INFORME,TABLA,NOMBRE,REGLA,F_INICIO,F_FIN,DESCRIPCION) VALUES ("&amp;REGLAS!B1396&amp;",'"&amp;REGLAS!C1396&amp;"','"&amp;REGLAS!D1396&amp;"','"&amp;REGLAS!G1396&amp;"',TO_DATE('"&amp;REGLAS!H1396&amp;"','yyyymmdd'),TO_DATE('"&amp;REGLAS!I1396&amp;"','yyyymmdd'),'"&amp;REGLAS!J1396&amp;"');")</f>
        <v>INSERT INTO INYCEXT.INYC_CONF_INF_REGLAS (COD_INFORME,TABLA,NOMBRE,REGLA,F_INICIO,F_FIN,DESCRIPCION) VALUES (25.1,'INYC_RPI_RESUMEN','SM-O-Inspector-Incentivo-RRGG-Mes','SM-O-Inspector-Incentivo-RRGG-Mes',TO_DATE('20240101','yyyymmdd'),TO_DATE('22000101','yyyymmdd'),'Version 20240101');</v>
      </c>
    </row>
    <row r="1396" spans="1:1" x14ac:dyDescent="0.25">
      <c r="A1396" t="str">
        <f>IF(REGLAS!J1397="OBSOLETO","","INSERT INTO INYCEXT.INYC_CONF_INF_REGLAS (COD_INFORME,TABLA,NOMBRE,REGLA,F_INICIO,F_FIN,DESCRIPCION) VALUES ("&amp;REGLAS!B1397&amp;",'"&amp;REGLAS!C1397&amp;"','"&amp;REGLAS!D1397&amp;"','"&amp;REGLAS!G1397&amp;"',TO_DATE('"&amp;REGLAS!H1397&amp;"','yyyymmdd'),TO_DATE('"&amp;REGLAS!I1397&amp;"','yyyymmdd'),'"&amp;REGLAS!J1397&amp;"');")</f>
        <v>INSERT INTO INYCEXT.INYC_CONF_INF_REGLAS (COD_INFORME,TABLA,NOMBRE,REGLA,F_INICIO,F_FIN,DESCRIPCION) VALUES (25.1,'INYC_RPI_RESUMEN','SM-O-Inspector-Incentivo-RRGG-Pago','SM-O-Inspector-Incentivo-RRGG-Pago',TO_DATE('20240101','yyyymmdd'),TO_DATE('22000101','yyyymmdd'),'Version 20240101');</v>
      </c>
    </row>
    <row r="1397" spans="1:1" x14ac:dyDescent="0.25">
      <c r="A1397" t="str">
        <f>IF(REGLAS!J1398="OBSOLETO","","INSERT INTO INYCEXT.INYC_CONF_INF_REGLAS (COD_INFORME,TABLA,NOMBRE,REGLA,F_INICIO,F_FIN,DESCRIPCION) VALUES ("&amp;REGLAS!B1398&amp;",'"&amp;REGLAS!C1398&amp;"','"&amp;REGLAS!D1398&amp;"','"&amp;REGLAS!G1398&amp;"',TO_DATE('"&amp;REGLAS!H1398&amp;"','yyyymmdd'),TO_DATE('"&amp;REGLAS!I1398&amp;"','yyyymmdd'),'"&amp;REGLAS!J1398&amp;"');")</f>
        <v>INSERT INTO INYCEXT.INYC_CONF_INF_REGLAS (COD_INFORME,TABLA,NOMBRE,REGLA,F_INICIO,F_FIN,DESCRIPCION) VALUES (25.1,'INYC_RPI_RESUMEN','SM-O-Inspector-Incentivo-RRPP-Mes','SM-O-Inspector-Incentivo-RRPP-Mes',TO_DATE('20240101','yyyymmdd'),TO_DATE('22000101','yyyymmdd'),'Version 20240101');</v>
      </c>
    </row>
    <row r="1398" spans="1:1" x14ac:dyDescent="0.25">
      <c r="A1398" t="str">
        <f>IF(REGLAS!J1399="OBSOLETO","","INSERT INTO INYCEXT.INYC_CONF_INF_REGLAS (COD_INFORME,TABLA,NOMBRE,REGLA,F_INICIO,F_FIN,DESCRIPCION) VALUES ("&amp;REGLAS!B1399&amp;",'"&amp;REGLAS!C1399&amp;"','"&amp;REGLAS!D1399&amp;"','"&amp;REGLAS!G1399&amp;"',TO_DATE('"&amp;REGLAS!H1399&amp;"','yyyymmdd'),TO_DATE('"&amp;REGLAS!I1399&amp;"','yyyymmdd'),'"&amp;REGLAS!J1399&amp;"');")</f>
        <v>INSERT INTO INYCEXT.INYC_CONF_INF_REGLAS (COD_INFORME,TABLA,NOMBRE,REGLA,F_INICIO,F_FIN,DESCRIPCION) VALUES (25.1,'INYC_RPI_RESUMEN','SM-O-Inspector-Incentivo-RRPP-Pago','SM-O-Inspector-Incentivo-RRPP-Pago',TO_DATE('20240101','yyyymmdd'),TO_DATE('22000101','yyyymmdd'),'Version 20240101');</v>
      </c>
    </row>
    <row r="1399" spans="1:1" x14ac:dyDescent="0.25">
      <c r="A1399" t="str">
        <f>IF(REGLAS!J1400="OBSOLETO","","INSERT INTO INYCEXT.INYC_CONF_INF_REGLAS (COD_INFORME,TABLA,NOMBRE,REGLA,F_INICIO,F_FIN,DESCRIPCION) VALUES ("&amp;REGLAS!B1400&amp;",'"&amp;REGLAS!C1400&amp;"','"&amp;REGLAS!D1400&amp;"','"&amp;REGLAS!G1400&amp;"',TO_DATE('"&amp;REGLAS!H1400&amp;"','yyyymmdd'),TO_DATE('"&amp;REGLAS!I1400&amp;"','yyyymmdd'),'"&amp;REGLAS!J1400&amp;"');")</f>
        <v>INSERT INTO INYCEXT.INYC_CONF_INF_REGLAS (COD_INFORME,TABLA,NOMBRE,REGLA,F_INICIO,F_FIN,DESCRIPCION) VALUES (25.1,'INYC_RPI_RESUMEN','SM-O-Inspector-Incentivo-Asegurados-Pago','SM-O-Inspector-Incentivo-Asegurados-Pago',TO_DATE('20240101','yyyymmdd'),TO_DATE('22000101','yyyymmdd'),'Version 20240101');</v>
      </c>
    </row>
    <row r="1400" spans="1:1" x14ac:dyDescent="0.25">
      <c r="A1400" t="str">
        <f>IF(REGLAS!J1401="OBSOLETO","","INSERT INTO INYCEXT.INYC_CONF_INF_REGLAS (COD_INFORME,TABLA,NOMBRE,REGLA,F_INICIO,F_FIN,DESCRIPCION) VALUES ("&amp;REGLAS!B1401&amp;",'"&amp;REGLAS!C1401&amp;"','"&amp;REGLAS!D1401&amp;"','"&amp;REGLAS!G1401&amp;"',TO_DATE('"&amp;REGLAS!H1401&amp;"','yyyymmdd'),TO_DATE('"&amp;REGLAS!I1401&amp;"','yyyymmdd'),'"&amp;REGLAS!J1401&amp;"');")</f>
        <v>INSERT INTO INYCEXT.INYC_CONF_INF_REGLAS (COD_INFORME,TABLA,NOMBRE,REGLA,F_INICIO,F_FIN,DESCRIPCION) VALUES (25.1,'INYC_RPI_RESUMEN','SM-O-Inspector-Incentivo-Asegurados-RegAnual','SM-O-Inspector-Incentivo-Asegurados-RegAnual',TO_DATE('20240101','yyyymmdd'),TO_DATE('22000101','yyyymmdd'),'Version 20240101');</v>
      </c>
    </row>
    <row r="1401" spans="1:1" x14ac:dyDescent="0.25">
      <c r="A1401" t="str">
        <f>IF(REGLAS!J1402="OBSOLETO","","INSERT INTO INYCEXT.INYC_CONF_INF_REGLAS (COD_INFORME,TABLA,NOMBRE,REGLA,F_INICIO,F_FIN,DESCRIPCION) VALUES ("&amp;REGLAS!B1402&amp;",'"&amp;REGLAS!C1402&amp;"','"&amp;REGLAS!D1402&amp;"','"&amp;REGLAS!G1402&amp;"',TO_DATE('"&amp;REGLAS!H1402&amp;"','yyyymmdd'),TO_DATE('"&amp;REGLAS!I1402&amp;"','yyyymmdd'),'"&amp;REGLAS!J1402&amp;"');")</f>
        <v>INSERT INTO INYCEXT.INYC_CONF_INF_REGLAS (COD_INFORME,TABLA,NOMBRE,REGLA,F_INICIO,F_FIN,DESCRIPCION) VALUES (100.2,'INYC_S4_POLIZAS','Comision Cartera Agentes de Zona','DC-O-COM-AgenteZona-Porcentaje',TO_DATE('20240101','yyyymmdd'),TO_DATE('22000101','yyyymmdd'),'Version 20240101');</v>
      </c>
    </row>
    <row r="1402" spans="1:1" x14ac:dyDescent="0.25">
      <c r="A1402" t="str">
        <f>IF(REGLAS!J1403="OBSOLETO","","INSERT INTO INYCEXT.INYC_CONF_INF_REGLAS (COD_INFORME,TABLA,NOMBRE,REGLA,F_INICIO,F_FIN,DESCRIPCION) VALUES ("&amp;REGLAS!B1403&amp;",'"&amp;REGLAS!C1403&amp;"','"&amp;REGLAS!D1403&amp;"','"&amp;REGLAS!G1403&amp;"',TO_DATE('"&amp;REGLAS!H1403&amp;"','yyyymmdd'),TO_DATE('"&amp;REGLAS!I1403&amp;"','yyyymmdd'),'"&amp;REGLAS!J1403&amp;"');")</f>
        <v>INSERT INTO INYCEXT.INYC_CONF_INF_REGLAS (COD_INFORME,TABLA,NOMBRE,REGLA,F_INICIO,F_FIN,DESCRIPCION) VALUES (104.1,'INYC_PEPA_RESUMEN','SM-O-COM-AgenteZona','SM-O-COM-AgenteZona',TO_DATE('20240101','yyyymmdd'),TO_DATE('22000101','yyyymmdd'),'Version 20240102');</v>
      </c>
    </row>
    <row r="1403" spans="1:1" x14ac:dyDescent="0.25">
      <c r="A1403" t="str">
        <f>IF(REGLAS!J1404="OBSOLETO","","INSERT INTO INYCEXT.INYC_CONF_INF_REGLAS (COD_INFORME,TABLA,NOMBRE,REGLA,F_INICIO,F_FIN,DESCRIPCION) VALUES ("&amp;REGLAS!B1404&amp;",'"&amp;REGLAS!C1404&amp;"','"&amp;REGLAS!D1404&amp;"','"&amp;REGLAS!G1404&amp;"',TO_DATE('"&amp;REGLAS!H1404&amp;"','yyyymmdd'),TO_DATE('"&amp;REGLAS!I1404&amp;"','yyyymmdd'),'"&amp;REGLAS!J1404&amp;"');")</f>
        <v>INSERT INTO INYCEXT.INYC_CONF_INF_REGLAS (COD_INFORME,TABLA,NOMBRE,REGLA,F_INICIO,F_FIN,DESCRIPCION) VALUES (100.2,'INYC_S4_POLIZAS','Comision Nueva Produccion','DC-O-COM-Conservacion-ComisionCalculada-N',TO_DATE('20140101','yyyymmdd'),TO_DATE('22000101','yyyymmdd'),'Version 20250101');</v>
      </c>
    </row>
    <row r="1404" spans="1:1" x14ac:dyDescent="0.25">
      <c r="A1404" t="str">
        <f>IF(REGLAS!J1405="OBSOLETO","","INSERT INTO INYCEXT.INYC_CONF_INF_REGLAS (COD_INFORME,TABLA,NOMBRE,REGLA,F_INICIO,F_FIN,DESCRIPCION) VALUES ("&amp;REGLAS!B1405&amp;",'"&amp;REGLAS!C1405&amp;"','"&amp;REGLAS!D1405&amp;"','"&amp;REGLAS!G1405&amp;"',TO_DATE('"&amp;REGLAS!H1405&amp;"','yyyymmdd'),TO_DATE('"&amp;REGLAS!I1405&amp;"','yyyymmdd'),'"&amp;REGLAS!J1405&amp;"');")</f>
        <v>INSERT INTO INYCEXT.INYC_CONF_INF_REGLAS (COD_INFORME,TABLA,NOMBRE,REGLA,F_INICIO,F_FIN,DESCRIPCION) VALUES (100.2,'INYC_S4_POLIZAS','Comision Nueva Produccion','DC-O-COM-Conservacion-PorcentajeFijo-N',TO_DATE('20140101','yyyymmdd'),TO_DATE('22000101','yyyymmdd'),'Version 20250101');</v>
      </c>
    </row>
    <row r="1405" spans="1:1" x14ac:dyDescent="0.25">
      <c r="A1405" t="str">
        <f>IF(REGLAS!J1406="OBSOLETO","","INSERT INTO INYCEXT.INYC_CONF_INF_REGLAS (COD_INFORME,TABLA,NOMBRE,REGLA,F_INICIO,F_FIN,DESCRIPCION) VALUES ("&amp;REGLAS!B1406&amp;",'"&amp;REGLAS!C1406&amp;"','"&amp;REGLAS!D1406&amp;"','"&amp;REGLAS!G1406&amp;"',TO_DATE('"&amp;REGLAS!H1406&amp;"','yyyymmdd'),TO_DATE('"&amp;REGLAS!I1406&amp;"','yyyymmdd'),'"&amp;REGLAS!J1406&amp;"');")</f>
        <v>INSERT INTO INYCEXT.INYC_CONF_INF_REGLAS (COD_INFORME,TABLA,NOMBRE,REGLA,F_INICIO,F_FIN,DESCRIPCION) VALUES (100.2,'INYC_S4_POLIZAS','Comision Nueva Produccion','DC-O-COM-Conservacion-RecalcularPorcentaje-N',TO_DATE('20140101','yyyymmdd'),TO_DATE('22000101','yyyymmdd'),'Version 20250101');</v>
      </c>
    </row>
    <row r="1406" spans="1:1" x14ac:dyDescent="0.25">
      <c r="A1406" t="str">
        <f>IF(REGLAS!J1407="OBSOLETO","","INSERT INTO INYCEXT.INYC_CONF_INF_REGLAS (COD_INFORME,TABLA,NOMBRE,REGLA,F_INICIO,F_FIN,DESCRIPCION) VALUES ("&amp;REGLAS!B1407&amp;",'"&amp;REGLAS!C1407&amp;"','"&amp;REGLAS!D1407&amp;"','"&amp;REGLAS!G1407&amp;"',TO_DATE('"&amp;REGLAS!H1407&amp;"','yyyymmdd'),TO_DATE('"&amp;REGLAS!I1407&amp;"','yyyymmdd'),'"&amp;REGLAS!J1407&amp;"');")</f>
        <v>INSERT INTO INYCEXT.INYC_CONF_INF_REGLAS (COD_INFORME,TABLA,NOMBRE,REGLA,F_INICIO,F_FIN,DESCRIPCION) VALUES (100.2,'INYC_S4_POLIZAS','Comision Nueva Produccion','DC-O-COM-NuevaProduccion-ComisionCalculada-N',TO_DATE('20140101','yyyymmdd'),TO_DATE('22000101','yyyymmdd'),'Version 20250101');</v>
      </c>
    </row>
    <row r="1407" spans="1:1" x14ac:dyDescent="0.25">
      <c r="A1407" t="str">
        <f>IF(REGLAS!J1408="OBSOLETO","","INSERT INTO INYCEXT.INYC_CONF_INF_REGLAS (COD_INFORME,TABLA,NOMBRE,REGLA,F_INICIO,F_FIN,DESCRIPCION) VALUES ("&amp;REGLAS!B1408&amp;",'"&amp;REGLAS!C1408&amp;"','"&amp;REGLAS!D1408&amp;"','"&amp;REGLAS!G1408&amp;"',TO_DATE('"&amp;REGLAS!H1408&amp;"','yyyymmdd'),TO_DATE('"&amp;REGLAS!I1408&amp;"','yyyymmdd'),'"&amp;REGLAS!J1408&amp;"');")</f>
        <v>INSERT INTO INYCEXT.INYC_CONF_INF_REGLAS (COD_INFORME,TABLA,NOMBRE,REGLA,F_INICIO,F_FIN,DESCRIPCION) VALUES (100.2,'INYC_S4_POLIZAS','Comision Nueva Produccion','DC-O-COM-NuevaProduccion-Emision-N',TO_DATE('20140101','yyyymmdd'),TO_DATE('22000101','yyyymmdd'),'Version 20250101');</v>
      </c>
    </row>
    <row r="1408" spans="1:1" x14ac:dyDescent="0.25">
      <c r="A1408" t="str">
        <f>IF(REGLAS!J1409="OBSOLETO","","INSERT INTO INYCEXT.INYC_CONF_INF_REGLAS (COD_INFORME,TABLA,NOMBRE,REGLA,F_INICIO,F_FIN,DESCRIPCION) VALUES ("&amp;REGLAS!B1409&amp;",'"&amp;REGLAS!C1409&amp;"','"&amp;REGLAS!D1409&amp;"','"&amp;REGLAS!G1409&amp;"',TO_DATE('"&amp;REGLAS!H1409&amp;"','yyyymmdd'),TO_DATE('"&amp;REGLAS!I1409&amp;"','yyyymmdd'),'"&amp;REGLAS!J1409&amp;"');")</f>
        <v>INSERT INTO INYCEXT.INYC_CONF_INF_REGLAS (COD_INFORME,TABLA,NOMBRE,REGLA,F_INICIO,F_FIN,DESCRIPCION) VALUES (100.2,'INYC_S4_POLIZAS','Comision Nueva Produccion','DC-O-COM-NuevaProduccion-PorcentajeFijo-N',TO_DATE('20140101','yyyymmdd'),TO_DATE('22000101','yyyymmdd'),'Version 20250101');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I880"/>
  <sheetViews>
    <sheetView zoomScale="85" zoomScaleNormal="85" workbookViewId="0">
      <pane ySplit="1" topLeftCell="A845" activePane="bottomLeft" state="frozen"/>
      <selection activeCell="A177" sqref="A177"/>
      <selection pane="bottomLeft" activeCell="K17" sqref="K17"/>
    </sheetView>
  </sheetViews>
  <sheetFormatPr defaultColWidth="11.42578125" defaultRowHeight="15" x14ac:dyDescent="0.25"/>
  <cols>
    <col min="1" max="1" width="15.5703125" customWidth="1"/>
    <col min="2" max="2" width="16.42578125" bestFit="1" customWidth="1"/>
    <col min="3" max="3" width="45.28515625" customWidth="1"/>
    <col min="4" max="4" width="14.7109375" style="33" customWidth="1"/>
    <col min="5" max="5" width="18.42578125" bestFit="1" customWidth="1"/>
    <col min="6" max="6" width="63.42578125" bestFit="1" customWidth="1"/>
    <col min="7" max="7" width="11" customWidth="1"/>
    <col min="8" max="8" width="10.5703125" customWidth="1"/>
    <col min="9" max="9" width="39.42578125" bestFit="1" customWidth="1"/>
  </cols>
  <sheetData>
    <row r="1" spans="1:9" ht="13.9" customHeight="1" x14ac:dyDescent="0.25">
      <c r="A1" s="1" t="s">
        <v>0</v>
      </c>
      <c r="B1" s="1" t="s">
        <v>1</v>
      </c>
      <c r="C1" s="1" t="s">
        <v>2551</v>
      </c>
      <c r="D1" s="28" t="s">
        <v>2552</v>
      </c>
      <c r="E1" s="1" t="s">
        <v>2553</v>
      </c>
      <c r="F1" s="1" t="s">
        <v>3</v>
      </c>
      <c r="G1" s="1" t="s">
        <v>4</v>
      </c>
      <c r="H1" s="1" t="s">
        <v>5</v>
      </c>
      <c r="I1" s="1" t="s">
        <v>9</v>
      </c>
    </row>
    <row r="2" spans="1:9" x14ac:dyDescent="0.25">
      <c r="A2">
        <v>1</v>
      </c>
      <c r="B2">
        <v>1</v>
      </c>
      <c r="C2" t="s">
        <v>2554</v>
      </c>
      <c r="D2" s="29" t="s">
        <v>2555</v>
      </c>
      <c r="E2">
        <v>52</v>
      </c>
      <c r="F2" t="s">
        <v>2556</v>
      </c>
      <c r="G2">
        <v>20140101</v>
      </c>
      <c r="H2">
        <v>22000101</v>
      </c>
    </row>
    <row r="3" spans="1:9" x14ac:dyDescent="0.25">
      <c r="A3">
        <v>1</v>
      </c>
      <c r="B3">
        <v>1</v>
      </c>
      <c r="C3" t="s">
        <v>2554</v>
      </c>
      <c r="D3" s="29" t="s">
        <v>2555</v>
      </c>
      <c r="E3">
        <v>54</v>
      </c>
      <c r="F3" t="s">
        <v>2556</v>
      </c>
      <c r="G3">
        <v>20140101</v>
      </c>
      <c r="H3">
        <v>22000101</v>
      </c>
    </row>
    <row r="4" spans="1:9" x14ac:dyDescent="0.25">
      <c r="A4">
        <v>1</v>
      </c>
      <c r="B4">
        <v>1</v>
      </c>
      <c r="C4" t="s">
        <v>2554</v>
      </c>
      <c r="D4" s="29" t="s">
        <v>2555</v>
      </c>
      <c r="E4">
        <v>56</v>
      </c>
      <c r="F4" t="s">
        <v>2556</v>
      </c>
      <c r="G4">
        <v>20140101</v>
      </c>
      <c r="H4">
        <v>22000101</v>
      </c>
    </row>
    <row r="5" spans="1:9" x14ac:dyDescent="0.25">
      <c r="A5">
        <v>1</v>
      </c>
      <c r="B5">
        <v>1</v>
      </c>
      <c r="C5" t="s">
        <v>2554</v>
      </c>
      <c r="D5" s="29" t="s">
        <v>2555</v>
      </c>
      <c r="E5">
        <v>57</v>
      </c>
      <c r="F5" t="s">
        <v>2556</v>
      </c>
      <c r="G5">
        <v>20140101</v>
      </c>
      <c r="H5">
        <v>22000101</v>
      </c>
    </row>
    <row r="6" spans="1:9" x14ac:dyDescent="0.25">
      <c r="A6">
        <v>1</v>
      </c>
      <c r="B6">
        <v>1</v>
      </c>
      <c r="C6" t="s">
        <v>2554</v>
      </c>
      <c r="D6" s="29" t="s">
        <v>2555</v>
      </c>
      <c r="E6">
        <v>58</v>
      </c>
      <c r="F6" t="s">
        <v>2556</v>
      </c>
      <c r="G6">
        <v>20140101</v>
      </c>
      <c r="H6">
        <v>22000101</v>
      </c>
    </row>
    <row r="7" spans="1:9" x14ac:dyDescent="0.25">
      <c r="A7">
        <v>1</v>
      </c>
      <c r="B7">
        <v>1</v>
      </c>
      <c r="C7" t="s">
        <v>2554</v>
      </c>
      <c r="D7" s="29" t="s">
        <v>2555</v>
      </c>
      <c r="E7">
        <v>59</v>
      </c>
      <c r="F7" t="s">
        <v>2556</v>
      </c>
      <c r="G7">
        <v>20140101</v>
      </c>
      <c r="H7">
        <v>22000101</v>
      </c>
    </row>
    <row r="8" spans="1:9" x14ac:dyDescent="0.25">
      <c r="A8" s="22">
        <v>1</v>
      </c>
      <c r="B8" s="22">
        <v>1</v>
      </c>
      <c r="C8" s="22" t="s">
        <v>2554</v>
      </c>
      <c r="D8" s="30" t="s">
        <v>2555</v>
      </c>
      <c r="E8" s="22">
        <v>60</v>
      </c>
      <c r="F8" s="22" t="s">
        <v>2556</v>
      </c>
      <c r="G8" s="22">
        <v>20200101</v>
      </c>
      <c r="H8" s="22">
        <v>22000101</v>
      </c>
      <c r="I8" s="22" t="s">
        <v>2557</v>
      </c>
    </row>
    <row r="9" spans="1:9" x14ac:dyDescent="0.25">
      <c r="A9">
        <v>1</v>
      </c>
      <c r="B9">
        <v>1</v>
      </c>
      <c r="C9" t="s">
        <v>2554</v>
      </c>
      <c r="D9" s="29" t="s">
        <v>2555</v>
      </c>
      <c r="E9">
        <v>61</v>
      </c>
      <c r="F9" t="s">
        <v>2556</v>
      </c>
      <c r="G9">
        <v>20140101</v>
      </c>
      <c r="H9">
        <v>22000101</v>
      </c>
    </row>
    <row r="10" spans="1:9" x14ac:dyDescent="0.25">
      <c r="A10">
        <v>1</v>
      </c>
      <c r="B10">
        <v>1</v>
      </c>
      <c r="C10" t="s">
        <v>2554</v>
      </c>
      <c r="D10" s="29" t="s">
        <v>2555</v>
      </c>
      <c r="E10">
        <v>62</v>
      </c>
      <c r="F10" t="s">
        <v>2556</v>
      </c>
      <c r="G10">
        <v>20140101</v>
      </c>
      <c r="H10">
        <v>22000101</v>
      </c>
    </row>
    <row r="11" spans="1:9" x14ac:dyDescent="0.25">
      <c r="A11">
        <v>1</v>
      </c>
      <c r="B11">
        <v>1</v>
      </c>
      <c r="C11" t="s">
        <v>2554</v>
      </c>
      <c r="D11" s="29" t="s">
        <v>2555</v>
      </c>
      <c r="E11">
        <v>65</v>
      </c>
      <c r="F11" t="s">
        <v>2556</v>
      </c>
      <c r="G11">
        <v>20140101</v>
      </c>
      <c r="H11">
        <v>22000101</v>
      </c>
    </row>
    <row r="12" spans="1:9" x14ac:dyDescent="0.25">
      <c r="A12">
        <v>2</v>
      </c>
      <c r="B12">
        <v>2</v>
      </c>
      <c r="C12" t="s">
        <v>2558</v>
      </c>
      <c r="D12" s="29" t="s">
        <v>2559</v>
      </c>
      <c r="E12">
        <v>350</v>
      </c>
      <c r="F12" t="s">
        <v>2560</v>
      </c>
      <c r="G12">
        <v>20140101</v>
      </c>
      <c r="H12">
        <v>22000101</v>
      </c>
    </row>
    <row r="13" spans="1:9" x14ac:dyDescent="0.25">
      <c r="A13">
        <v>2</v>
      </c>
      <c r="B13">
        <v>2</v>
      </c>
      <c r="C13" t="s">
        <v>2558</v>
      </c>
      <c r="D13" s="29" t="s">
        <v>2559</v>
      </c>
      <c r="E13">
        <v>351</v>
      </c>
      <c r="F13" t="s">
        <v>2560</v>
      </c>
      <c r="G13">
        <v>20140101</v>
      </c>
      <c r="H13">
        <v>22000101</v>
      </c>
    </row>
    <row r="14" spans="1:9" x14ac:dyDescent="0.25">
      <c r="A14">
        <v>2</v>
      </c>
      <c r="B14">
        <v>2</v>
      </c>
      <c r="C14" t="s">
        <v>2558</v>
      </c>
      <c r="D14" s="29" t="s">
        <v>2559</v>
      </c>
      <c r="E14">
        <v>352</v>
      </c>
      <c r="F14" t="s">
        <v>2560</v>
      </c>
      <c r="G14">
        <v>20140101</v>
      </c>
      <c r="H14">
        <v>22000101</v>
      </c>
    </row>
    <row r="15" spans="1:9" x14ac:dyDescent="0.25">
      <c r="A15" s="2">
        <v>2</v>
      </c>
      <c r="B15" s="2">
        <v>3</v>
      </c>
      <c r="C15" s="2" t="s">
        <v>2561</v>
      </c>
      <c r="D15" s="31" t="s">
        <v>2559</v>
      </c>
      <c r="E15" s="23">
        <v>301</v>
      </c>
      <c r="F15" s="2" t="s">
        <v>2562</v>
      </c>
      <c r="G15" s="2">
        <v>20140101</v>
      </c>
      <c r="H15" s="2">
        <v>20170101</v>
      </c>
      <c r="I15" s="2" t="s">
        <v>2563</v>
      </c>
    </row>
    <row r="16" spans="1:9" x14ac:dyDescent="0.25">
      <c r="A16" s="2">
        <v>2</v>
      </c>
      <c r="B16" s="2">
        <v>3</v>
      </c>
      <c r="C16" s="2" t="s">
        <v>2561</v>
      </c>
      <c r="D16" s="31" t="s">
        <v>2559</v>
      </c>
      <c r="E16" s="2">
        <v>302</v>
      </c>
      <c r="F16" s="2" t="s">
        <v>2562</v>
      </c>
      <c r="G16" s="2">
        <v>20140101</v>
      </c>
      <c r="H16" s="2">
        <v>20170101</v>
      </c>
      <c r="I16" s="2" t="s">
        <v>2563</v>
      </c>
    </row>
    <row r="17" spans="1:9" x14ac:dyDescent="0.25">
      <c r="A17" s="2">
        <v>2</v>
      </c>
      <c r="B17" s="2">
        <v>3</v>
      </c>
      <c r="C17" s="2" t="s">
        <v>2561</v>
      </c>
      <c r="D17" s="31" t="s">
        <v>2559</v>
      </c>
      <c r="E17" s="2">
        <v>303</v>
      </c>
      <c r="F17" s="2" t="s">
        <v>2562</v>
      </c>
      <c r="G17" s="2">
        <v>20140101</v>
      </c>
      <c r="H17" s="2">
        <v>20170101</v>
      </c>
      <c r="I17" s="2" t="s">
        <v>2563</v>
      </c>
    </row>
    <row r="18" spans="1:9" x14ac:dyDescent="0.25">
      <c r="A18">
        <v>2</v>
      </c>
      <c r="B18">
        <v>3</v>
      </c>
      <c r="C18" t="s">
        <v>2561</v>
      </c>
      <c r="D18" s="29" t="s">
        <v>2559</v>
      </c>
      <c r="E18">
        <v>316</v>
      </c>
      <c r="F18" t="s">
        <v>2562</v>
      </c>
      <c r="G18">
        <v>20170101</v>
      </c>
      <c r="H18">
        <v>22000101</v>
      </c>
      <c r="I18" t="s">
        <v>2563</v>
      </c>
    </row>
    <row r="19" spans="1:9" x14ac:dyDescent="0.25">
      <c r="A19" s="22">
        <v>2</v>
      </c>
      <c r="B19" s="22">
        <v>3</v>
      </c>
      <c r="C19" s="22" t="s">
        <v>2561</v>
      </c>
      <c r="D19" s="30" t="s">
        <v>2559</v>
      </c>
      <c r="E19" s="22">
        <v>317</v>
      </c>
      <c r="F19" s="22" t="s">
        <v>2562</v>
      </c>
      <c r="G19" s="22">
        <v>20200101</v>
      </c>
      <c r="H19" s="22">
        <v>22000101</v>
      </c>
      <c r="I19" s="22" t="s">
        <v>662</v>
      </c>
    </row>
    <row r="20" spans="1:9" x14ac:dyDescent="0.25">
      <c r="A20" s="2">
        <v>2</v>
      </c>
      <c r="B20" s="2">
        <v>3</v>
      </c>
      <c r="C20" s="2" t="s">
        <v>2561</v>
      </c>
      <c r="D20" s="31" t="s">
        <v>2559</v>
      </c>
      <c r="E20" s="2">
        <v>331</v>
      </c>
      <c r="F20" s="2" t="s">
        <v>2562</v>
      </c>
      <c r="G20" s="2">
        <v>20140101</v>
      </c>
      <c r="H20" s="2">
        <v>20170101</v>
      </c>
      <c r="I20" s="2" t="s">
        <v>2563</v>
      </c>
    </row>
    <row r="21" spans="1:9" x14ac:dyDescent="0.25">
      <c r="A21" s="2">
        <v>2</v>
      </c>
      <c r="B21" s="2">
        <v>3</v>
      </c>
      <c r="C21" s="2" t="s">
        <v>2561</v>
      </c>
      <c r="D21" s="31" t="s">
        <v>2559</v>
      </c>
      <c r="E21" s="2">
        <v>334</v>
      </c>
      <c r="F21" s="2" t="s">
        <v>2562</v>
      </c>
      <c r="G21" s="2">
        <v>20140101</v>
      </c>
      <c r="H21" s="2">
        <v>20170101</v>
      </c>
      <c r="I21" s="2" t="s">
        <v>2563</v>
      </c>
    </row>
    <row r="22" spans="1:9" x14ac:dyDescent="0.25">
      <c r="A22">
        <v>2</v>
      </c>
      <c r="B22">
        <v>3</v>
      </c>
      <c r="C22" t="s">
        <v>2561</v>
      </c>
      <c r="D22" s="29" t="s">
        <v>2559</v>
      </c>
      <c r="E22">
        <v>332</v>
      </c>
      <c r="F22" t="s">
        <v>2562</v>
      </c>
      <c r="G22">
        <v>20190101</v>
      </c>
      <c r="H22">
        <v>22000101</v>
      </c>
      <c r="I22" t="s">
        <v>2564</v>
      </c>
    </row>
    <row r="23" spans="1:9" x14ac:dyDescent="0.25">
      <c r="A23">
        <v>2</v>
      </c>
      <c r="B23">
        <v>3</v>
      </c>
      <c r="C23" t="s">
        <v>2561</v>
      </c>
      <c r="D23" s="29" t="s">
        <v>2559</v>
      </c>
      <c r="E23">
        <v>333</v>
      </c>
      <c r="F23" t="s">
        <v>2562</v>
      </c>
      <c r="G23">
        <v>20190101</v>
      </c>
      <c r="H23">
        <v>22000101</v>
      </c>
      <c r="I23" t="s">
        <v>2564</v>
      </c>
    </row>
    <row r="24" spans="1:9" x14ac:dyDescent="0.25">
      <c r="A24">
        <v>2</v>
      </c>
      <c r="B24">
        <v>3</v>
      </c>
      <c r="C24" t="s">
        <v>2561</v>
      </c>
      <c r="D24" s="29" t="s">
        <v>2559</v>
      </c>
      <c r="E24">
        <v>338</v>
      </c>
      <c r="F24" t="s">
        <v>2562</v>
      </c>
      <c r="G24">
        <v>20140101</v>
      </c>
      <c r="H24">
        <v>22000101</v>
      </c>
    </row>
    <row r="25" spans="1:9" x14ac:dyDescent="0.25">
      <c r="A25">
        <v>2</v>
      </c>
      <c r="B25">
        <v>3</v>
      </c>
      <c r="C25" t="s">
        <v>2561</v>
      </c>
      <c r="D25" s="29" t="s">
        <v>2559</v>
      </c>
      <c r="E25">
        <v>340</v>
      </c>
      <c r="F25" t="s">
        <v>2562</v>
      </c>
      <c r="G25">
        <v>20140101</v>
      </c>
      <c r="H25">
        <v>22000101</v>
      </c>
    </row>
    <row r="26" spans="1:9" x14ac:dyDescent="0.25">
      <c r="A26" s="22">
        <v>2</v>
      </c>
      <c r="B26" s="22">
        <v>3</v>
      </c>
      <c r="C26" s="22" t="s">
        <v>2561</v>
      </c>
      <c r="D26" s="30" t="s">
        <v>2559</v>
      </c>
      <c r="E26" s="22">
        <v>341</v>
      </c>
      <c r="F26" s="22" t="s">
        <v>2562</v>
      </c>
      <c r="G26" s="22">
        <v>20200101</v>
      </c>
      <c r="H26" s="22">
        <v>22000101</v>
      </c>
      <c r="I26" s="22" t="s">
        <v>2565</v>
      </c>
    </row>
    <row r="27" spans="1:9" x14ac:dyDescent="0.25">
      <c r="A27">
        <v>2</v>
      </c>
      <c r="B27">
        <v>4</v>
      </c>
      <c r="C27" t="s">
        <v>2566</v>
      </c>
      <c r="D27" s="29" t="s">
        <v>2559</v>
      </c>
      <c r="E27">
        <v>13</v>
      </c>
      <c r="F27" t="s">
        <v>42</v>
      </c>
      <c r="G27">
        <v>20140101</v>
      </c>
      <c r="H27">
        <v>22000101</v>
      </c>
    </row>
    <row r="28" spans="1:9" x14ac:dyDescent="0.25">
      <c r="A28">
        <v>2</v>
      </c>
      <c r="B28">
        <v>4</v>
      </c>
      <c r="C28" t="s">
        <v>2566</v>
      </c>
      <c r="D28" s="29" t="s">
        <v>2559</v>
      </c>
      <c r="E28">
        <v>14</v>
      </c>
      <c r="F28" t="s">
        <v>42</v>
      </c>
      <c r="G28">
        <v>20140101</v>
      </c>
      <c r="H28">
        <v>22000101</v>
      </c>
    </row>
    <row r="29" spans="1:9" x14ac:dyDescent="0.25">
      <c r="A29">
        <v>2</v>
      </c>
      <c r="B29">
        <v>4</v>
      </c>
      <c r="C29" t="s">
        <v>2566</v>
      </c>
      <c r="D29" s="29" t="s">
        <v>2559</v>
      </c>
      <c r="E29">
        <v>301</v>
      </c>
      <c r="F29" t="s">
        <v>42</v>
      </c>
      <c r="G29">
        <v>20140101</v>
      </c>
      <c r="H29">
        <v>22000101</v>
      </c>
    </row>
    <row r="30" spans="1:9" x14ac:dyDescent="0.25">
      <c r="A30">
        <v>2</v>
      </c>
      <c r="B30">
        <v>4</v>
      </c>
      <c r="C30" t="s">
        <v>2566</v>
      </c>
      <c r="D30" s="29" t="s">
        <v>2559</v>
      </c>
      <c r="E30">
        <v>303</v>
      </c>
      <c r="F30" t="s">
        <v>42</v>
      </c>
      <c r="G30">
        <v>20140101</v>
      </c>
      <c r="H30">
        <v>22000101</v>
      </c>
    </row>
    <row r="31" spans="1:9" x14ac:dyDescent="0.25">
      <c r="A31">
        <v>2</v>
      </c>
      <c r="B31">
        <v>4</v>
      </c>
      <c r="C31" t="s">
        <v>2566</v>
      </c>
      <c r="D31" s="29" t="s">
        <v>2559</v>
      </c>
      <c r="E31">
        <v>331</v>
      </c>
      <c r="F31" t="s">
        <v>42</v>
      </c>
      <c r="G31">
        <v>20140101</v>
      </c>
      <c r="H31">
        <v>22000101</v>
      </c>
    </row>
    <row r="32" spans="1:9" x14ac:dyDescent="0.25">
      <c r="A32">
        <v>2</v>
      </c>
      <c r="B32">
        <v>4</v>
      </c>
      <c r="C32" t="s">
        <v>2566</v>
      </c>
      <c r="D32" s="29" t="s">
        <v>2559</v>
      </c>
      <c r="E32">
        <v>334</v>
      </c>
      <c r="F32" t="s">
        <v>42</v>
      </c>
      <c r="G32">
        <v>20140101</v>
      </c>
      <c r="H32">
        <v>22000101</v>
      </c>
    </row>
    <row r="33" spans="1:9" x14ac:dyDescent="0.25">
      <c r="A33">
        <v>2</v>
      </c>
      <c r="B33">
        <v>4</v>
      </c>
      <c r="C33" t="s">
        <v>2566</v>
      </c>
      <c r="D33" s="29" t="s">
        <v>2559</v>
      </c>
      <c r="E33">
        <v>338</v>
      </c>
      <c r="F33" t="s">
        <v>42</v>
      </c>
      <c r="G33">
        <v>20140101</v>
      </c>
      <c r="H33">
        <v>22000101</v>
      </c>
    </row>
    <row r="34" spans="1:9" x14ac:dyDescent="0.25">
      <c r="A34">
        <v>2</v>
      </c>
      <c r="B34">
        <v>4</v>
      </c>
      <c r="C34" t="s">
        <v>2566</v>
      </c>
      <c r="D34" s="29" t="s">
        <v>2559</v>
      </c>
      <c r="E34">
        <v>340</v>
      </c>
      <c r="F34" t="s">
        <v>42</v>
      </c>
      <c r="G34">
        <v>20140101</v>
      </c>
      <c r="H34">
        <v>22000101</v>
      </c>
    </row>
    <row r="35" spans="1:9" x14ac:dyDescent="0.25">
      <c r="A35" s="22">
        <v>2</v>
      </c>
      <c r="B35" s="22">
        <v>4</v>
      </c>
      <c r="C35" s="22" t="s">
        <v>2566</v>
      </c>
      <c r="D35" s="30" t="s">
        <v>2559</v>
      </c>
      <c r="E35" s="22">
        <v>341</v>
      </c>
      <c r="F35" s="22" t="s">
        <v>42</v>
      </c>
      <c r="G35" s="22">
        <v>20200101</v>
      </c>
      <c r="H35" s="22">
        <v>22000101</v>
      </c>
      <c r="I35" s="22" t="s">
        <v>2565</v>
      </c>
    </row>
    <row r="36" spans="1:9" x14ac:dyDescent="0.25">
      <c r="A36">
        <v>2</v>
      </c>
      <c r="B36">
        <v>4</v>
      </c>
      <c r="C36" t="s">
        <v>2566</v>
      </c>
      <c r="D36" s="29" t="s">
        <v>2559</v>
      </c>
      <c r="E36">
        <v>350</v>
      </c>
      <c r="F36" t="s">
        <v>42</v>
      </c>
      <c r="G36">
        <v>20170101</v>
      </c>
      <c r="H36">
        <v>22000101</v>
      </c>
      <c r="I36" t="s">
        <v>2567</v>
      </c>
    </row>
    <row r="37" spans="1:9" x14ac:dyDescent="0.25">
      <c r="A37">
        <v>2</v>
      </c>
      <c r="B37">
        <v>4</v>
      </c>
      <c r="C37" t="s">
        <v>2566</v>
      </c>
      <c r="D37" s="29" t="s">
        <v>2559</v>
      </c>
      <c r="E37">
        <v>351</v>
      </c>
      <c r="F37" t="s">
        <v>42</v>
      </c>
      <c r="G37">
        <v>20170101</v>
      </c>
      <c r="H37">
        <v>22000101</v>
      </c>
      <c r="I37" t="s">
        <v>2567</v>
      </c>
    </row>
    <row r="38" spans="1:9" x14ac:dyDescent="0.25">
      <c r="A38">
        <v>2</v>
      </c>
      <c r="B38">
        <v>4</v>
      </c>
      <c r="C38" t="s">
        <v>2566</v>
      </c>
      <c r="D38" s="29" t="s">
        <v>2559</v>
      </c>
      <c r="E38">
        <v>352</v>
      </c>
      <c r="F38" t="s">
        <v>42</v>
      </c>
      <c r="G38">
        <v>20170101</v>
      </c>
      <c r="H38">
        <v>22000101</v>
      </c>
      <c r="I38" t="s">
        <v>2567</v>
      </c>
    </row>
    <row r="39" spans="1:9" x14ac:dyDescent="0.25">
      <c r="A39">
        <v>2</v>
      </c>
      <c r="B39">
        <v>5</v>
      </c>
      <c r="C39" t="s">
        <v>2568</v>
      </c>
      <c r="D39" s="29" t="s">
        <v>2559</v>
      </c>
      <c r="E39">
        <v>350</v>
      </c>
      <c r="F39" t="s">
        <v>46</v>
      </c>
      <c r="G39">
        <v>20140101</v>
      </c>
      <c r="H39">
        <v>22000101</v>
      </c>
    </row>
    <row r="40" spans="1:9" x14ac:dyDescent="0.25">
      <c r="A40">
        <v>2</v>
      </c>
      <c r="B40">
        <v>5</v>
      </c>
      <c r="C40" t="s">
        <v>2568</v>
      </c>
      <c r="D40" s="29" t="s">
        <v>2559</v>
      </c>
      <c r="E40">
        <v>351</v>
      </c>
      <c r="F40" t="s">
        <v>46</v>
      </c>
      <c r="G40">
        <v>20140101</v>
      </c>
      <c r="H40">
        <v>22000101</v>
      </c>
    </row>
    <row r="41" spans="1:9" x14ac:dyDescent="0.25">
      <c r="A41">
        <v>2</v>
      </c>
      <c r="B41">
        <v>5</v>
      </c>
      <c r="C41" t="s">
        <v>2568</v>
      </c>
      <c r="D41" s="29" t="s">
        <v>2559</v>
      </c>
      <c r="E41">
        <v>352</v>
      </c>
      <c r="F41" t="s">
        <v>46</v>
      </c>
      <c r="G41">
        <v>20140101</v>
      </c>
      <c r="H41">
        <v>22000101</v>
      </c>
    </row>
    <row r="42" spans="1:9" x14ac:dyDescent="0.25">
      <c r="A42">
        <v>2</v>
      </c>
      <c r="B42">
        <v>6</v>
      </c>
      <c r="C42" t="s">
        <v>2569</v>
      </c>
      <c r="D42" s="29" t="s">
        <v>2555</v>
      </c>
      <c r="E42">
        <v>11</v>
      </c>
      <c r="F42" t="s">
        <v>2570</v>
      </c>
      <c r="G42">
        <v>20140101</v>
      </c>
      <c r="H42">
        <v>22000101</v>
      </c>
    </row>
    <row r="43" spans="1:9" x14ac:dyDescent="0.25">
      <c r="A43">
        <v>2</v>
      </c>
      <c r="B43">
        <v>6</v>
      </c>
      <c r="C43" t="s">
        <v>2569</v>
      </c>
      <c r="D43" s="29" t="s">
        <v>2555</v>
      </c>
      <c r="E43">
        <v>13</v>
      </c>
      <c r="F43" t="s">
        <v>2570</v>
      </c>
      <c r="G43">
        <v>20140101</v>
      </c>
      <c r="H43">
        <v>22000101</v>
      </c>
    </row>
    <row r="44" spans="1:9" x14ac:dyDescent="0.25">
      <c r="A44">
        <v>2</v>
      </c>
      <c r="B44">
        <v>6</v>
      </c>
      <c r="C44" t="s">
        <v>2569</v>
      </c>
      <c r="D44" s="29" t="s">
        <v>2555</v>
      </c>
      <c r="E44">
        <v>16</v>
      </c>
      <c r="F44" t="s">
        <v>2570</v>
      </c>
      <c r="G44">
        <v>20140101</v>
      </c>
      <c r="H44">
        <v>22000101</v>
      </c>
    </row>
    <row r="45" spans="1:9" x14ac:dyDescent="0.25">
      <c r="A45">
        <v>2</v>
      </c>
      <c r="B45">
        <v>6</v>
      </c>
      <c r="C45" t="s">
        <v>2569</v>
      </c>
      <c r="D45" s="29" t="s">
        <v>2555</v>
      </c>
      <c r="E45">
        <v>19</v>
      </c>
      <c r="F45" t="s">
        <v>2570</v>
      </c>
      <c r="G45">
        <v>20170801</v>
      </c>
      <c r="H45">
        <v>22000101</v>
      </c>
      <c r="I45" t="s">
        <v>2571</v>
      </c>
    </row>
    <row r="46" spans="1:9" x14ac:dyDescent="0.25">
      <c r="A46">
        <v>2</v>
      </c>
      <c r="B46">
        <v>6</v>
      </c>
      <c r="C46" t="s">
        <v>2569</v>
      </c>
      <c r="D46" s="29" t="s">
        <v>2555</v>
      </c>
      <c r="E46">
        <v>20</v>
      </c>
      <c r="F46" t="s">
        <v>2570</v>
      </c>
      <c r="G46">
        <v>20140101</v>
      </c>
      <c r="H46">
        <v>22000101</v>
      </c>
    </row>
    <row r="47" spans="1:9" x14ac:dyDescent="0.25">
      <c r="A47">
        <v>2</v>
      </c>
      <c r="B47">
        <v>6</v>
      </c>
      <c r="C47" t="s">
        <v>2569</v>
      </c>
      <c r="D47" s="29" t="s">
        <v>2555</v>
      </c>
      <c r="E47">
        <v>22</v>
      </c>
      <c r="F47" t="s">
        <v>2570</v>
      </c>
      <c r="G47">
        <v>20140101</v>
      </c>
      <c r="H47">
        <v>22000101</v>
      </c>
    </row>
    <row r="48" spans="1:9" x14ac:dyDescent="0.25">
      <c r="A48">
        <v>2</v>
      </c>
      <c r="B48">
        <v>6</v>
      </c>
      <c r="C48" t="s">
        <v>2569</v>
      </c>
      <c r="D48" s="29" t="s">
        <v>2555</v>
      </c>
      <c r="E48">
        <v>23</v>
      </c>
      <c r="F48" t="s">
        <v>2570</v>
      </c>
      <c r="G48">
        <v>20140101</v>
      </c>
      <c r="H48">
        <v>22000101</v>
      </c>
    </row>
    <row r="49" spans="1:9" x14ac:dyDescent="0.25">
      <c r="A49">
        <v>2</v>
      </c>
      <c r="B49">
        <v>6</v>
      </c>
      <c r="C49" t="s">
        <v>2569</v>
      </c>
      <c r="D49" s="29" t="s">
        <v>2555</v>
      </c>
      <c r="E49">
        <v>27</v>
      </c>
      <c r="F49" t="s">
        <v>2570</v>
      </c>
      <c r="G49">
        <v>20140101</v>
      </c>
      <c r="H49">
        <v>22000101</v>
      </c>
    </row>
    <row r="50" spans="1:9" x14ac:dyDescent="0.25">
      <c r="A50">
        <v>2</v>
      </c>
      <c r="B50">
        <v>6</v>
      </c>
      <c r="C50" t="s">
        <v>2569</v>
      </c>
      <c r="D50" s="29" t="s">
        <v>2555</v>
      </c>
      <c r="E50">
        <v>29</v>
      </c>
      <c r="F50" t="s">
        <v>2570</v>
      </c>
      <c r="G50">
        <v>20140101</v>
      </c>
      <c r="H50">
        <v>22000101</v>
      </c>
    </row>
    <row r="51" spans="1:9" x14ac:dyDescent="0.25">
      <c r="A51">
        <v>2</v>
      </c>
      <c r="B51">
        <v>6</v>
      </c>
      <c r="C51" t="s">
        <v>2569</v>
      </c>
      <c r="D51" s="29" t="s">
        <v>2555</v>
      </c>
      <c r="E51">
        <v>30</v>
      </c>
      <c r="F51" t="s">
        <v>2570</v>
      </c>
      <c r="G51">
        <v>20140101</v>
      </c>
      <c r="H51">
        <v>22000101</v>
      </c>
    </row>
    <row r="52" spans="1:9" x14ac:dyDescent="0.25">
      <c r="A52">
        <v>2</v>
      </c>
      <c r="B52">
        <v>6</v>
      </c>
      <c r="C52" t="s">
        <v>2569</v>
      </c>
      <c r="D52" s="29" t="s">
        <v>2555</v>
      </c>
      <c r="E52">
        <v>32</v>
      </c>
      <c r="F52" t="s">
        <v>2570</v>
      </c>
      <c r="G52">
        <v>20140101</v>
      </c>
      <c r="H52">
        <v>22000101</v>
      </c>
      <c r="I52" t="s">
        <v>2572</v>
      </c>
    </row>
    <row r="53" spans="1:9" x14ac:dyDescent="0.25">
      <c r="A53">
        <v>2</v>
      </c>
      <c r="B53">
        <v>6</v>
      </c>
      <c r="C53" t="s">
        <v>2569</v>
      </c>
      <c r="D53" s="29" t="s">
        <v>2555</v>
      </c>
      <c r="E53">
        <v>33</v>
      </c>
      <c r="F53" t="s">
        <v>2570</v>
      </c>
      <c r="G53">
        <v>20140101</v>
      </c>
      <c r="H53">
        <v>22000101</v>
      </c>
    </row>
    <row r="54" spans="1:9" x14ac:dyDescent="0.25">
      <c r="A54">
        <v>2</v>
      </c>
      <c r="B54">
        <v>6</v>
      </c>
      <c r="C54" t="s">
        <v>2569</v>
      </c>
      <c r="D54" s="29" t="s">
        <v>2555</v>
      </c>
      <c r="E54">
        <v>34</v>
      </c>
      <c r="F54" t="s">
        <v>2570</v>
      </c>
      <c r="G54">
        <v>20140101</v>
      </c>
      <c r="H54">
        <v>22000101</v>
      </c>
    </row>
    <row r="55" spans="1:9" x14ac:dyDescent="0.25">
      <c r="A55">
        <v>2</v>
      </c>
      <c r="B55">
        <v>6</v>
      </c>
      <c r="C55" t="s">
        <v>2569</v>
      </c>
      <c r="D55" s="29" t="s">
        <v>2555</v>
      </c>
      <c r="E55">
        <v>36</v>
      </c>
      <c r="F55" t="s">
        <v>2570</v>
      </c>
      <c r="G55">
        <v>20140101</v>
      </c>
      <c r="H55">
        <v>22000101</v>
      </c>
    </row>
    <row r="56" spans="1:9" x14ac:dyDescent="0.25">
      <c r="A56">
        <v>2</v>
      </c>
      <c r="B56">
        <v>6</v>
      </c>
      <c r="C56" t="s">
        <v>2569</v>
      </c>
      <c r="D56" s="29" t="s">
        <v>2555</v>
      </c>
      <c r="E56">
        <v>38</v>
      </c>
      <c r="F56" t="s">
        <v>2570</v>
      </c>
      <c r="G56">
        <v>20140101</v>
      </c>
      <c r="H56">
        <v>22000101</v>
      </c>
    </row>
    <row r="57" spans="1:9" x14ac:dyDescent="0.25">
      <c r="A57">
        <v>2</v>
      </c>
      <c r="B57">
        <v>6</v>
      </c>
      <c r="C57" t="s">
        <v>2569</v>
      </c>
      <c r="D57" s="29" t="s">
        <v>2555</v>
      </c>
      <c r="E57">
        <v>39</v>
      </c>
      <c r="F57" t="s">
        <v>2570</v>
      </c>
      <c r="G57">
        <v>20140101</v>
      </c>
      <c r="H57">
        <v>22000101</v>
      </c>
    </row>
    <row r="58" spans="1:9" x14ac:dyDescent="0.25">
      <c r="A58">
        <v>2</v>
      </c>
      <c r="B58">
        <v>6</v>
      </c>
      <c r="C58" t="s">
        <v>2569</v>
      </c>
      <c r="D58" s="29" t="s">
        <v>2555</v>
      </c>
      <c r="E58">
        <v>40</v>
      </c>
      <c r="F58" t="s">
        <v>2570</v>
      </c>
      <c r="G58">
        <v>20140101</v>
      </c>
      <c r="H58">
        <v>22000101</v>
      </c>
    </row>
    <row r="59" spans="1:9" x14ac:dyDescent="0.25">
      <c r="A59">
        <v>2</v>
      </c>
      <c r="B59">
        <v>6</v>
      </c>
      <c r="C59" t="s">
        <v>2569</v>
      </c>
      <c r="D59" s="29" t="s">
        <v>2555</v>
      </c>
      <c r="E59">
        <v>41</v>
      </c>
      <c r="F59" t="s">
        <v>2570</v>
      </c>
      <c r="G59">
        <v>20140101</v>
      </c>
      <c r="H59">
        <v>22000101</v>
      </c>
    </row>
    <row r="60" spans="1:9" x14ac:dyDescent="0.25">
      <c r="A60">
        <v>2</v>
      </c>
      <c r="B60">
        <v>6</v>
      </c>
      <c r="C60" t="s">
        <v>2569</v>
      </c>
      <c r="D60" s="29" t="s">
        <v>2555</v>
      </c>
      <c r="E60">
        <v>42</v>
      </c>
      <c r="F60" t="s">
        <v>2570</v>
      </c>
      <c r="G60">
        <v>20140101</v>
      </c>
      <c r="H60">
        <v>22000101</v>
      </c>
    </row>
    <row r="61" spans="1:9" x14ac:dyDescent="0.25">
      <c r="A61">
        <v>2</v>
      </c>
      <c r="B61">
        <v>6</v>
      </c>
      <c r="C61" t="s">
        <v>2569</v>
      </c>
      <c r="D61" s="29" t="s">
        <v>2555</v>
      </c>
      <c r="E61">
        <v>44</v>
      </c>
      <c r="F61" t="s">
        <v>2570</v>
      </c>
      <c r="G61">
        <v>20140101</v>
      </c>
      <c r="H61">
        <v>22000101</v>
      </c>
    </row>
    <row r="62" spans="1:9" x14ac:dyDescent="0.25">
      <c r="A62">
        <v>2</v>
      </c>
      <c r="B62">
        <v>6</v>
      </c>
      <c r="C62" t="s">
        <v>2569</v>
      </c>
      <c r="D62" s="29" t="s">
        <v>2555</v>
      </c>
      <c r="E62">
        <v>45</v>
      </c>
      <c r="F62" t="s">
        <v>2570</v>
      </c>
      <c r="G62">
        <v>20140101</v>
      </c>
      <c r="H62">
        <v>22000101</v>
      </c>
    </row>
    <row r="63" spans="1:9" x14ac:dyDescent="0.25">
      <c r="A63">
        <v>2</v>
      </c>
      <c r="B63">
        <v>6</v>
      </c>
      <c r="C63" t="s">
        <v>2569</v>
      </c>
      <c r="D63" s="29" t="s">
        <v>2555</v>
      </c>
      <c r="E63">
        <v>46</v>
      </c>
      <c r="F63" t="s">
        <v>2570</v>
      </c>
      <c r="G63">
        <v>20140101</v>
      </c>
      <c r="H63">
        <v>22000101</v>
      </c>
    </row>
    <row r="64" spans="1:9" x14ac:dyDescent="0.25">
      <c r="A64">
        <v>2</v>
      </c>
      <c r="B64">
        <v>6</v>
      </c>
      <c r="C64" t="s">
        <v>2569</v>
      </c>
      <c r="D64" s="29" t="s">
        <v>2555</v>
      </c>
      <c r="E64">
        <v>47</v>
      </c>
      <c r="F64" t="s">
        <v>2570</v>
      </c>
      <c r="G64">
        <v>20140101</v>
      </c>
      <c r="H64">
        <v>22000101</v>
      </c>
    </row>
    <row r="65" spans="1:9" x14ac:dyDescent="0.25">
      <c r="A65">
        <v>2</v>
      </c>
      <c r="B65">
        <v>6</v>
      </c>
      <c r="C65" t="s">
        <v>2569</v>
      </c>
      <c r="D65" s="29" t="s">
        <v>2555</v>
      </c>
      <c r="E65">
        <v>48</v>
      </c>
      <c r="F65" t="s">
        <v>2570</v>
      </c>
      <c r="G65">
        <v>20140101</v>
      </c>
      <c r="H65">
        <v>22000101</v>
      </c>
    </row>
    <row r="66" spans="1:9" x14ac:dyDescent="0.25">
      <c r="A66">
        <v>2</v>
      </c>
      <c r="B66">
        <v>6</v>
      </c>
      <c r="C66" t="s">
        <v>2569</v>
      </c>
      <c r="D66" s="29" t="s">
        <v>2555</v>
      </c>
      <c r="E66">
        <v>49</v>
      </c>
      <c r="F66" t="s">
        <v>2570</v>
      </c>
      <c r="G66">
        <v>20140101</v>
      </c>
      <c r="H66">
        <v>22000101</v>
      </c>
    </row>
    <row r="67" spans="1:9" x14ac:dyDescent="0.25">
      <c r="A67">
        <v>3</v>
      </c>
      <c r="B67">
        <v>7</v>
      </c>
      <c r="C67" t="s">
        <v>2573</v>
      </c>
      <c r="D67" s="29" t="s">
        <v>2555</v>
      </c>
      <c r="E67">
        <v>52</v>
      </c>
      <c r="F67" t="s">
        <v>2574</v>
      </c>
      <c r="G67">
        <v>20140101</v>
      </c>
      <c r="H67">
        <v>22000101</v>
      </c>
    </row>
    <row r="68" spans="1:9" x14ac:dyDescent="0.25">
      <c r="A68">
        <v>3</v>
      </c>
      <c r="B68">
        <v>7</v>
      </c>
      <c r="C68" t="s">
        <v>2573</v>
      </c>
      <c r="D68" s="29" t="s">
        <v>2555</v>
      </c>
      <c r="E68">
        <v>54</v>
      </c>
      <c r="F68" t="s">
        <v>2574</v>
      </c>
      <c r="G68">
        <v>20140101</v>
      </c>
      <c r="H68">
        <v>22000101</v>
      </c>
    </row>
    <row r="69" spans="1:9" x14ac:dyDescent="0.25">
      <c r="A69">
        <v>3</v>
      </c>
      <c r="B69">
        <v>7</v>
      </c>
      <c r="C69" t="s">
        <v>2573</v>
      </c>
      <c r="D69" s="29" t="s">
        <v>2555</v>
      </c>
      <c r="E69">
        <v>56</v>
      </c>
      <c r="F69" t="s">
        <v>2574</v>
      </c>
      <c r="G69">
        <v>20140101</v>
      </c>
      <c r="H69">
        <v>22000101</v>
      </c>
    </row>
    <row r="70" spans="1:9" x14ac:dyDescent="0.25">
      <c r="A70">
        <v>3</v>
      </c>
      <c r="B70">
        <v>7</v>
      </c>
      <c r="C70" t="s">
        <v>2573</v>
      </c>
      <c r="D70" s="29" t="s">
        <v>2555</v>
      </c>
      <c r="E70">
        <v>57</v>
      </c>
      <c r="F70" t="s">
        <v>2574</v>
      </c>
      <c r="G70">
        <v>20140101</v>
      </c>
      <c r="H70">
        <v>22000101</v>
      </c>
    </row>
    <row r="71" spans="1:9" x14ac:dyDescent="0.25">
      <c r="A71">
        <v>3</v>
      </c>
      <c r="B71">
        <v>7</v>
      </c>
      <c r="C71" t="s">
        <v>2573</v>
      </c>
      <c r="D71" s="29" t="s">
        <v>2555</v>
      </c>
      <c r="E71">
        <v>58</v>
      </c>
      <c r="F71" t="s">
        <v>2574</v>
      </c>
      <c r="G71">
        <v>20140101</v>
      </c>
      <c r="H71">
        <v>22000101</v>
      </c>
    </row>
    <row r="72" spans="1:9" x14ac:dyDescent="0.25">
      <c r="A72">
        <v>3</v>
      </c>
      <c r="B72">
        <v>7</v>
      </c>
      <c r="C72" t="s">
        <v>2573</v>
      </c>
      <c r="D72" s="29" t="s">
        <v>2555</v>
      </c>
      <c r="E72">
        <v>59</v>
      </c>
      <c r="F72" t="s">
        <v>2574</v>
      </c>
      <c r="G72">
        <v>20140101</v>
      </c>
      <c r="H72">
        <v>22000101</v>
      </c>
    </row>
    <row r="73" spans="1:9" x14ac:dyDescent="0.25">
      <c r="A73" s="22">
        <v>3</v>
      </c>
      <c r="B73" s="22">
        <v>7</v>
      </c>
      <c r="C73" s="22" t="s">
        <v>2573</v>
      </c>
      <c r="D73" s="30" t="s">
        <v>2555</v>
      </c>
      <c r="E73" s="22">
        <v>60</v>
      </c>
      <c r="F73" s="22" t="s">
        <v>2574</v>
      </c>
      <c r="G73" s="22">
        <v>20200101</v>
      </c>
      <c r="H73" s="22">
        <v>22000101</v>
      </c>
      <c r="I73" s="22" t="s">
        <v>2557</v>
      </c>
    </row>
    <row r="74" spans="1:9" x14ac:dyDescent="0.25">
      <c r="A74">
        <v>3</v>
      </c>
      <c r="B74">
        <v>7</v>
      </c>
      <c r="C74" t="s">
        <v>2573</v>
      </c>
      <c r="D74" s="29" t="s">
        <v>2555</v>
      </c>
      <c r="E74">
        <v>61</v>
      </c>
      <c r="F74" t="s">
        <v>2574</v>
      </c>
      <c r="G74">
        <v>20140101</v>
      </c>
      <c r="H74">
        <v>22000101</v>
      </c>
    </row>
    <row r="75" spans="1:9" x14ac:dyDescent="0.25">
      <c r="A75">
        <v>3</v>
      </c>
      <c r="B75">
        <v>7</v>
      </c>
      <c r="C75" t="s">
        <v>2573</v>
      </c>
      <c r="D75" s="29" t="s">
        <v>2555</v>
      </c>
      <c r="E75">
        <v>62</v>
      </c>
      <c r="F75" t="s">
        <v>2574</v>
      </c>
      <c r="G75">
        <v>20140101</v>
      </c>
      <c r="H75">
        <v>22000101</v>
      </c>
    </row>
    <row r="76" spans="1:9" x14ac:dyDescent="0.25">
      <c r="A76">
        <v>3</v>
      </c>
      <c r="B76">
        <v>7</v>
      </c>
      <c r="C76" t="s">
        <v>2573</v>
      </c>
      <c r="D76" s="29" t="s">
        <v>2555</v>
      </c>
      <c r="E76">
        <v>65</v>
      </c>
      <c r="F76" t="s">
        <v>2574</v>
      </c>
      <c r="G76">
        <v>20140101</v>
      </c>
      <c r="H76">
        <v>22000101</v>
      </c>
    </row>
    <row r="77" spans="1:9" x14ac:dyDescent="0.25">
      <c r="A77">
        <v>3</v>
      </c>
      <c r="B77">
        <v>7</v>
      </c>
      <c r="C77" t="s">
        <v>2573</v>
      </c>
      <c r="D77" s="29" t="s">
        <v>2555</v>
      </c>
      <c r="E77">
        <v>70</v>
      </c>
      <c r="F77" t="s">
        <v>2574</v>
      </c>
      <c r="G77">
        <v>20140101</v>
      </c>
      <c r="H77">
        <v>22000101</v>
      </c>
    </row>
    <row r="78" spans="1:9" x14ac:dyDescent="0.25">
      <c r="A78">
        <v>3</v>
      </c>
      <c r="B78">
        <v>7</v>
      </c>
      <c r="C78" t="s">
        <v>2573</v>
      </c>
      <c r="D78" s="29" t="s">
        <v>2555</v>
      </c>
      <c r="E78">
        <v>71</v>
      </c>
      <c r="F78" t="s">
        <v>2574</v>
      </c>
      <c r="G78">
        <v>20140101</v>
      </c>
      <c r="H78">
        <v>22000101</v>
      </c>
    </row>
    <row r="79" spans="1:9" x14ac:dyDescent="0.25">
      <c r="A79">
        <v>3</v>
      </c>
      <c r="B79">
        <v>7</v>
      </c>
      <c r="C79" t="s">
        <v>2573</v>
      </c>
      <c r="D79" s="29" t="s">
        <v>2555</v>
      </c>
      <c r="E79">
        <v>72</v>
      </c>
      <c r="F79" t="s">
        <v>2574</v>
      </c>
      <c r="G79">
        <v>20140101</v>
      </c>
      <c r="H79">
        <v>22000101</v>
      </c>
    </row>
    <row r="80" spans="1:9" x14ac:dyDescent="0.25">
      <c r="A80">
        <v>3</v>
      </c>
      <c r="B80">
        <v>7</v>
      </c>
      <c r="C80" t="s">
        <v>2573</v>
      </c>
      <c r="D80" s="29" t="s">
        <v>2555</v>
      </c>
      <c r="E80">
        <v>74</v>
      </c>
      <c r="F80" t="s">
        <v>2574</v>
      </c>
      <c r="G80">
        <v>20140101</v>
      </c>
      <c r="H80">
        <v>22000101</v>
      </c>
    </row>
    <row r="81" spans="1:9" x14ac:dyDescent="0.25">
      <c r="A81">
        <v>3</v>
      </c>
      <c r="B81">
        <v>7</v>
      </c>
      <c r="C81" t="s">
        <v>2573</v>
      </c>
      <c r="D81" s="29" t="s">
        <v>2555</v>
      </c>
      <c r="E81">
        <v>82</v>
      </c>
      <c r="F81" t="s">
        <v>2574</v>
      </c>
      <c r="G81">
        <v>20140101</v>
      </c>
      <c r="H81">
        <v>22000101</v>
      </c>
    </row>
    <row r="82" spans="1:9" x14ac:dyDescent="0.25">
      <c r="A82">
        <v>3</v>
      </c>
      <c r="B82">
        <v>8</v>
      </c>
      <c r="C82" t="s">
        <v>2575</v>
      </c>
      <c r="D82" s="29" t="s">
        <v>2555</v>
      </c>
      <c r="E82">
        <v>70</v>
      </c>
      <c r="F82" t="s">
        <v>65</v>
      </c>
      <c r="G82">
        <v>20140101</v>
      </c>
      <c r="H82">
        <v>22000101</v>
      </c>
    </row>
    <row r="83" spans="1:9" x14ac:dyDescent="0.25">
      <c r="A83">
        <v>3</v>
      </c>
      <c r="B83">
        <v>8</v>
      </c>
      <c r="C83" t="s">
        <v>2575</v>
      </c>
      <c r="D83" s="29" t="s">
        <v>2555</v>
      </c>
      <c r="E83">
        <v>71</v>
      </c>
      <c r="F83" t="s">
        <v>65</v>
      </c>
      <c r="G83">
        <v>20140101</v>
      </c>
      <c r="H83">
        <v>22000101</v>
      </c>
    </row>
    <row r="84" spans="1:9" x14ac:dyDescent="0.25">
      <c r="A84">
        <v>3</v>
      </c>
      <c r="B84">
        <v>8</v>
      </c>
      <c r="C84" t="s">
        <v>2575</v>
      </c>
      <c r="D84" s="29" t="s">
        <v>2555</v>
      </c>
      <c r="E84">
        <v>72</v>
      </c>
      <c r="F84" t="s">
        <v>65</v>
      </c>
      <c r="G84">
        <v>20140101</v>
      </c>
      <c r="H84">
        <v>22000101</v>
      </c>
    </row>
    <row r="85" spans="1:9" x14ac:dyDescent="0.25">
      <c r="A85">
        <v>3</v>
      </c>
      <c r="B85">
        <v>8</v>
      </c>
      <c r="C85" t="s">
        <v>2575</v>
      </c>
      <c r="D85" s="29" t="s">
        <v>2555</v>
      </c>
      <c r="E85">
        <v>74</v>
      </c>
      <c r="F85" t="s">
        <v>65</v>
      </c>
      <c r="G85">
        <v>20140101</v>
      </c>
      <c r="H85">
        <v>22000101</v>
      </c>
    </row>
    <row r="86" spans="1:9" x14ac:dyDescent="0.25">
      <c r="A86" s="2">
        <v>3</v>
      </c>
      <c r="B86" s="2">
        <v>9</v>
      </c>
      <c r="C86" s="2" t="s">
        <v>2576</v>
      </c>
      <c r="D86" s="31" t="s">
        <v>2555</v>
      </c>
      <c r="E86" s="2">
        <v>70</v>
      </c>
      <c r="F86" s="2" t="s">
        <v>2577</v>
      </c>
      <c r="G86" s="2">
        <v>20140101</v>
      </c>
      <c r="H86" s="2">
        <v>20151001</v>
      </c>
      <c r="I86" s="2" t="s">
        <v>71</v>
      </c>
    </row>
    <row r="87" spans="1:9" x14ac:dyDescent="0.25">
      <c r="A87" s="2">
        <v>3</v>
      </c>
      <c r="B87" s="2">
        <v>9</v>
      </c>
      <c r="C87" s="2" t="s">
        <v>2576</v>
      </c>
      <c r="D87" s="31" t="s">
        <v>2555</v>
      </c>
      <c r="E87" s="2">
        <v>71</v>
      </c>
      <c r="F87" s="2" t="s">
        <v>2577</v>
      </c>
      <c r="G87" s="2">
        <v>20140101</v>
      </c>
      <c r="H87" s="2">
        <v>20151001</v>
      </c>
      <c r="I87" s="2" t="s">
        <v>71</v>
      </c>
    </row>
    <row r="88" spans="1:9" x14ac:dyDescent="0.25">
      <c r="A88" s="2">
        <v>3</v>
      </c>
      <c r="B88" s="2">
        <v>9</v>
      </c>
      <c r="C88" s="2" t="s">
        <v>2576</v>
      </c>
      <c r="D88" s="31" t="s">
        <v>2555</v>
      </c>
      <c r="E88" s="2">
        <v>72</v>
      </c>
      <c r="F88" s="2" t="s">
        <v>2577</v>
      </c>
      <c r="G88" s="2">
        <v>20140101</v>
      </c>
      <c r="H88" s="2">
        <v>20151001</v>
      </c>
      <c r="I88" s="2" t="s">
        <v>71</v>
      </c>
    </row>
    <row r="89" spans="1:9" x14ac:dyDescent="0.25">
      <c r="A89" s="2">
        <v>3</v>
      </c>
      <c r="B89" s="2">
        <v>9</v>
      </c>
      <c r="C89" s="2" t="s">
        <v>2576</v>
      </c>
      <c r="D89" s="31" t="s">
        <v>2555</v>
      </c>
      <c r="E89" s="2">
        <v>74</v>
      </c>
      <c r="F89" s="2" t="s">
        <v>2577</v>
      </c>
      <c r="G89" s="2">
        <v>20140101</v>
      </c>
      <c r="H89" s="2">
        <v>20151001</v>
      </c>
      <c r="I89" s="2" t="s">
        <v>71</v>
      </c>
    </row>
    <row r="90" spans="1:9" x14ac:dyDescent="0.25">
      <c r="A90" s="2">
        <v>3</v>
      </c>
      <c r="B90" s="2">
        <v>9</v>
      </c>
      <c r="C90" s="2" t="s">
        <v>2576</v>
      </c>
      <c r="D90" s="31" t="s">
        <v>2555</v>
      </c>
      <c r="E90" s="2">
        <v>82</v>
      </c>
      <c r="F90" s="2" t="s">
        <v>2577</v>
      </c>
      <c r="G90" s="2">
        <v>20140101</v>
      </c>
      <c r="H90" s="2">
        <v>20151001</v>
      </c>
      <c r="I90" s="2" t="s">
        <v>71</v>
      </c>
    </row>
    <row r="91" spans="1:9" x14ac:dyDescent="0.25">
      <c r="A91">
        <v>3</v>
      </c>
      <c r="B91">
        <v>10</v>
      </c>
      <c r="C91" t="s">
        <v>2578</v>
      </c>
      <c r="D91" s="29" t="s">
        <v>2555</v>
      </c>
      <c r="E91">
        <v>20</v>
      </c>
      <c r="F91" t="s">
        <v>2579</v>
      </c>
      <c r="G91">
        <v>20140101</v>
      </c>
      <c r="H91">
        <v>22000101</v>
      </c>
    </row>
    <row r="92" spans="1:9" x14ac:dyDescent="0.25">
      <c r="A92">
        <v>3</v>
      </c>
      <c r="B92">
        <v>10</v>
      </c>
      <c r="C92" t="s">
        <v>2578</v>
      </c>
      <c r="D92" s="29" t="s">
        <v>2555</v>
      </c>
      <c r="E92">
        <v>39</v>
      </c>
      <c r="F92" t="s">
        <v>2579</v>
      </c>
      <c r="G92">
        <v>20170101</v>
      </c>
      <c r="H92">
        <v>22000101</v>
      </c>
      <c r="I92" t="s">
        <v>2580</v>
      </c>
    </row>
    <row r="93" spans="1:9" x14ac:dyDescent="0.25">
      <c r="A93" s="2">
        <v>3</v>
      </c>
      <c r="B93" s="2">
        <v>11</v>
      </c>
      <c r="C93" s="2" t="s">
        <v>2581</v>
      </c>
      <c r="D93" s="31" t="s">
        <v>2555</v>
      </c>
      <c r="E93" s="2">
        <v>11</v>
      </c>
      <c r="F93" s="2" t="s">
        <v>87</v>
      </c>
      <c r="G93" s="2">
        <v>20140101</v>
      </c>
      <c r="H93" s="2">
        <v>20170101</v>
      </c>
      <c r="I93" s="2" t="s">
        <v>71</v>
      </c>
    </row>
    <row r="94" spans="1:9" x14ac:dyDescent="0.25">
      <c r="A94" s="2">
        <v>3</v>
      </c>
      <c r="B94" s="2">
        <v>11</v>
      </c>
      <c r="C94" s="2" t="s">
        <v>2581</v>
      </c>
      <c r="D94" s="31" t="s">
        <v>2555</v>
      </c>
      <c r="E94" s="2">
        <v>16</v>
      </c>
      <c r="F94" s="2" t="s">
        <v>87</v>
      </c>
      <c r="G94" s="2">
        <v>20140101</v>
      </c>
      <c r="H94" s="2">
        <v>20170101</v>
      </c>
      <c r="I94" s="2" t="s">
        <v>71</v>
      </c>
    </row>
    <row r="95" spans="1:9" x14ac:dyDescent="0.25">
      <c r="A95" s="2">
        <v>3</v>
      </c>
      <c r="B95" s="2">
        <v>11</v>
      </c>
      <c r="C95" s="2" t="s">
        <v>2581</v>
      </c>
      <c r="D95" s="31" t="s">
        <v>2555</v>
      </c>
      <c r="E95" s="2">
        <v>20</v>
      </c>
      <c r="F95" s="2" t="s">
        <v>87</v>
      </c>
      <c r="G95" s="2">
        <v>20140101</v>
      </c>
      <c r="H95" s="2">
        <v>20170101</v>
      </c>
      <c r="I95" s="2" t="s">
        <v>71</v>
      </c>
    </row>
    <row r="96" spans="1:9" x14ac:dyDescent="0.25">
      <c r="A96" s="2">
        <v>3</v>
      </c>
      <c r="B96" s="2">
        <v>11</v>
      </c>
      <c r="C96" s="2" t="s">
        <v>2581</v>
      </c>
      <c r="D96" s="31" t="s">
        <v>2555</v>
      </c>
      <c r="E96" s="2">
        <v>22</v>
      </c>
      <c r="F96" s="2" t="s">
        <v>87</v>
      </c>
      <c r="G96" s="2">
        <v>20140101</v>
      </c>
      <c r="H96" s="2">
        <v>20170101</v>
      </c>
      <c r="I96" s="2" t="s">
        <v>71</v>
      </c>
    </row>
    <row r="97" spans="1:9" x14ac:dyDescent="0.25">
      <c r="A97" s="2">
        <v>3</v>
      </c>
      <c r="B97" s="2">
        <v>11</v>
      </c>
      <c r="C97" s="2" t="s">
        <v>2581</v>
      </c>
      <c r="D97" s="31" t="s">
        <v>2555</v>
      </c>
      <c r="E97" s="2">
        <v>23</v>
      </c>
      <c r="F97" s="2" t="s">
        <v>87</v>
      </c>
      <c r="G97" s="2">
        <v>20140101</v>
      </c>
      <c r="H97" s="2">
        <v>20170101</v>
      </c>
      <c r="I97" s="2" t="s">
        <v>71</v>
      </c>
    </row>
    <row r="98" spans="1:9" x14ac:dyDescent="0.25">
      <c r="A98" s="2">
        <v>3</v>
      </c>
      <c r="B98" s="2">
        <v>11</v>
      </c>
      <c r="C98" s="2" t="s">
        <v>2581</v>
      </c>
      <c r="D98" s="31" t="s">
        <v>2555</v>
      </c>
      <c r="E98" s="2">
        <v>27</v>
      </c>
      <c r="F98" s="2" t="s">
        <v>87</v>
      </c>
      <c r="G98" s="2">
        <v>20140101</v>
      </c>
      <c r="H98" s="2">
        <v>20170101</v>
      </c>
      <c r="I98" s="2" t="s">
        <v>71</v>
      </c>
    </row>
    <row r="99" spans="1:9" x14ac:dyDescent="0.25">
      <c r="A99" s="2">
        <v>3</v>
      </c>
      <c r="B99" s="2">
        <v>11</v>
      </c>
      <c r="C99" s="2" t="s">
        <v>2581</v>
      </c>
      <c r="D99" s="31" t="s">
        <v>2555</v>
      </c>
      <c r="E99" s="2">
        <v>29</v>
      </c>
      <c r="F99" s="2" t="s">
        <v>87</v>
      </c>
      <c r="G99" s="2">
        <v>20140101</v>
      </c>
      <c r="H99" s="2">
        <v>20170101</v>
      </c>
      <c r="I99" s="2" t="s">
        <v>71</v>
      </c>
    </row>
    <row r="100" spans="1:9" x14ac:dyDescent="0.25">
      <c r="A100" s="2">
        <v>3</v>
      </c>
      <c r="B100" s="2">
        <v>11</v>
      </c>
      <c r="C100" s="2" t="s">
        <v>2581</v>
      </c>
      <c r="D100" s="31" t="s">
        <v>2555</v>
      </c>
      <c r="E100" s="2">
        <v>30</v>
      </c>
      <c r="F100" s="2" t="s">
        <v>87</v>
      </c>
      <c r="G100" s="2">
        <v>20140101</v>
      </c>
      <c r="H100" s="2">
        <v>20170101</v>
      </c>
      <c r="I100" s="2" t="s">
        <v>71</v>
      </c>
    </row>
    <row r="101" spans="1:9" x14ac:dyDescent="0.25">
      <c r="A101" s="2">
        <v>3</v>
      </c>
      <c r="B101" s="2">
        <v>11</v>
      </c>
      <c r="C101" s="2" t="s">
        <v>2581</v>
      </c>
      <c r="D101" s="31" t="s">
        <v>2555</v>
      </c>
      <c r="E101" s="2">
        <v>33</v>
      </c>
      <c r="F101" s="2" t="s">
        <v>87</v>
      </c>
      <c r="G101" s="2">
        <v>20140101</v>
      </c>
      <c r="H101" s="2">
        <v>20170101</v>
      </c>
      <c r="I101" s="2" t="s">
        <v>71</v>
      </c>
    </row>
    <row r="102" spans="1:9" x14ac:dyDescent="0.25">
      <c r="A102" s="2">
        <v>3</v>
      </c>
      <c r="B102" s="2">
        <v>11</v>
      </c>
      <c r="C102" s="2" t="s">
        <v>2581</v>
      </c>
      <c r="D102" s="31" t="s">
        <v>2555</v>
      </c>
      <c r="E102" s="2">
        <v>34</v>
      </c>
      <c r="F102" s="2" t="s">
        <v>87</v>
      </c>
      <c r="G102" s="2">
        <v>20140101</v>
      </c>
      <c r="H102" s="2">
        <v>20170101</v>
      </c>
      <c r="I102" s="2" t="s">
        <v>71</v>
      </c>
    </row>
    <row r="103" spans="1:9" x14ac:dyDescent="0.25">
      <c r="A103" s="2">
        <v>3</v>
      </c>
      <c r="B103" s="2">
        <v>11</v>
      </c>
      <c r="C103" s="2" t="s">
        <v>2581</v>
      </c>
      <c r="D103" s="31" t="s">
        <v>2555</v>
      </c>
      <c r="E103" s="2">
        <v>36</v>
      </c>
      <c r="F103" s="2" t="s">
        <v>87</v>
      </c>
      <c r="G103" s="2">
        <v>20140101</v>
      </c>
      <c r="H103" s="2">
        <v>20170101</v>
      </c>
      <c r="I103" s="2" t="s">
        <v>71</v>
      </c>
    </row>
    <row r="104" spans="1:9" x14ac:dyDescent="0.25">
      <c r="A104" s="2">
        <v>3</v>
      </c>
      <c r="B104" s="2">
        <v>11</v>
      </c>
      <c r="C104" s="2" t="s">
        <v>2581</v>
      </c>
      <c r="D104" s="31" t="s">
        <v>2555</v>
      </c>
      <c r="E104" s="2">
        <v>38</v>
      </c>
      <c r="F104" s="2" t="s">
        <v>87</v>
      </c>
      <c r="G104" s="2">
        <v>20140101</v>
      </c>
      <c r="H104" s="2">
        <v>20170101</v>
      </c>
      <c r="I104" s="2" t="s">
        <v>71</v>
      </c>
    </row>
    <row r="105" spans="1:9" x14ac:dyDescent="0.25">
      <c r="A105" s="2">
        <v>3</v>
      </c>
      <c r="B105" s="2">
        <v>11</v>
      </c>
      <c r="C105" s="2" t="s">
        <v>2581</v>
      </c>
      <c r="D105" s="31" t="s">
        <v>2555</v>
      </c>
      <c r="E105" s="2">
        <v>39</v>
      </c>
      <c r="F105" s="2" t="s">
        <v>87</v>
      </c>
      <c r="G105" s="2">
        <v>20140101</v>
      </c>
      <c r="H105" s="2">
        <v>20170101</v>
      </c>
      <c r="I105" s="2" t="s">
        <v>71</v>
      </c>
    </row>
    <row r="106" spans="1:9" x14ac:dyDescent="0.25">
      <c r="A106" s="2">
        <v>3</v>
      </c>
      <c r="B106" s="2">
        <v>11</v>
      </c>
      <c r="C106" s="2" t="s">
        <v>2581</v>
      </c>
      <c r="D106" s="31" t="s">
        <v>2555</v>
      </c>
      <c r="E106" s="2">
        <v>40</v>
      </c>
      <c r="F106" s="2" t="s">
        <v>87</v>
      </c>
      <c r="G106" s="2">
        <v>20140101</v>
      </c>
      <c r="H106" s="2">
        <v>20170101</v>
      </c>
      <c r="I106" s="2" t="s">
        <v>71</v>
      </c>
    </row>
    <row r="107" spans="1:9" x14ac:dyDescent="0.25">
      <c r="A107" s="2">
        <v>3</v>
      </c>
      <c r="B107" s="2">
        <v>11</v>
      </c>
      <c r="C107" s="2" t="s">
        <v>2581</v>
      </c>
      <c r="D107" s="31" t="s">
        <v>2555</v>
      </c>
      <c r="E107" s="2">
        <v>46</v>
      </c>
      <c r="F107" s="2" t="s">
        <v>87</v>
      </c>
      <c r="G107" s="2">
        <v>20140101</v>
      </c>
      <c r="H107" s="2">
        <v>20170101</v>
      </c>
      <c r="I107" s="2" t="s">
        <v>71</v>
      </c>
    </row>
    <row r="108" spans="1:9" x14ac:dyDescent="0.25">
      <c r="A108" s="2">
        <v>3</v>
      </c>
      <c r="B108" s="2">
        <v>11</v>
      </c>
      <c r="C108" s="2" t="s">
        <v>2581</v>
      </c>
      <c r="D108" s="31" t="s">
        <v>2555</v>
      </c>
      <c r="E108" s="2">
        <v>47</v>
      </c>
      <c r="F108" s="2" t="s">
        <v>87</v>
      </c>
      <c r="G108" s="2">
        <v>20140101</v>
      </c>
      <c r="H108" s="2">
        <v>20170101</v>
      </c>
      <c r="I108" s="2" t="s">
        <v>71</v>
      </c>
    </row>
    <row r="109" spans="1:9" x14ac:dyDescent="0.25">
      <c r="A109">
        <v>3</v>
      </c>
      <c r="B109">
        <v>12</v>
      </c>
      <c r="C109" t="s">
        <v>2582</v>
      </c>
      <c r="D109" s="29" t="s">
        <v>2555</v>
      </c>
      <c r="E109">
        <v>52</v>
      </c>
      <c r="F109" t="s">
        <v>2583</v>
      </c>
      <c r="G109">
        <v>20140101</v>
      </c>
      <c r="H109">
        <v>22000101</v>
      </c>
    </row>
    <row r="110" spans="1:9" x14ac:dyDescent="0.25">
      <c r="A110">
        <v>3</v>
      </c>
      <c r="B110">
        <v>12</v>
      </c>
      <c r="C110" t="s">
        <v>2582</v>
      </c>
      <c r="D110" s="29" t="s">
        <v>2555</v>
      </c>
      <c r="E110">
        <v>54</v>
      </c>
      <c r="F110" t="s">
        <v>2583</v>
      </c>
      <c r="G110">
        <v>20140101</v>
      </c>
      <c r="H110">
        <v>22000101</v>
      </c>
    </row>
    <row r="111" spans="1:9" x14ac:dyDescent="0.25">
      <c r="A111">
        <v>3</v>
      </c>
      <c r="B111">
        <v>12</v>
      </c>
      <c r="C111" t="s">
        <v>2582</v>
      </c>
      <c r="D111" s="29" t="s">
        <v>2555</v>
      </c>
      <c r="E111">
        <v>56</v>
      </c>
      <c r="F111" t="s">
        <v>2583</v>
      </c>
      <c r="G111">
        <v>20140101</v>
      </c>
      <c r="H111">
        <v>22000101</v>
      </c>
    </row>
    <row r="112" spans="1:9" x14ac:dyDescent="0.25">
      <c r="A112">
        <v>3</v>
      </c>
      <c r="B112">
        <v>12</v>
      </c>
      <c r="C112" t="s">
        <v>2582</v>
      </c>
      <c r="D112" s="29" t="s">
        <v>2555</v>
      </c>
      <c r="E112">
        <v>57</v>
      </c>
      <c r="F112" t="s">
        <v>2583</v>
      </c>
      <c r="G112">
        <v>20140101</v>
      </c>
      <c r="H112">
        <v>22000101</v>
      </c>
    </row>
    <row r="113" spans="1:9" x14ac:dyDescent="0.25">
      <c r="A113">
        <v>3</v>
      </c>
      <c r="B113">
        <v>12</v>
      </c>
      <c r="C113" t="s">
        <v>2582</v>
      </c>
      <c r="D113" s="29" t="s">
        <v>2555</v>
      </c>
      <c r="E113">
        <v>58</v>
      </c>
      <c r="F113" t="s">
        <v>2583</v>
      </c>
      <c r="G113">
        <v>20140101</v>
      </c>
      <c r="H113">
        <v>22000101</v>
      </c>
    </row>
    <row r="114" spans="1:9" x14ac:dyDescent="0.25">
      <c r="A114">
        <v>3</v>
      </c>
      <c r="B114">
        <v>12</v>
      </c>
      <c r="C114" t="s">
        <v>2582</v>
      </c>
      <c r="D114" s="29" t="s">
        <v>2555</v>
      </c>
      <c r="E114">
        <v>59</v>
      </c>
      <c r="F114" t="s">
        <v>2583</v>
      </c>
      <c r="G114">
        <v>20140101</v>
      </c>
      <c r="H114">
        <v>22000101</v>
      </c>
    </row>
    <row r="115" spans="1:9" x14ac:dyDescent="0.25">
      <c r="A115" s="22">
        <v>3</v>
      </c>
      <c r="B115" s="22">
        <v>12</v>
      </c>
      <c r="C115" s="22" t="s">
        <v>2582</v>
      </c>
      <c r="D115" s="30" t="s">
        <v>2555</v>
      </c>
      <c r="E115" s="22">
        <v>60</v>
      </c>
      <c r="F115" s="22" t="s">
        <v>2583</v>
      </c>
      <c r="G115" s="22">
        <v>20200101</v>
      </c>
      <c r="H115" s="22">
        <v>22000101</v>
      </c>
      <c r="I115" s="22" t="s">
        <v>2557</v>
      </c>
    </row>
    <row r="116" spans="1:9" x14ac:dyDescent="0.25">
      <c r="A116">
        <v>3</v>
      </c>
      <c r="B116">
        <v>12</v>
      </c>
      <c r="C116" t="s">
        <v>2582</v>
      </c>
      <c r="D116" s="29" t="s">
        <v>2555</v>
      </c>
      <c r="E116">
        <v>61</v>
      </c>
      <c r="F116" t="s">
        <v>2583</v>
      </c>
      <c r="G116">
        <v>20140101</v>
      </c>
      <c r="H116">
        <v>22000101</v>
      </c>
    </row>
    <row r="117" spans="1:9" x14ac:dyDescent="0.25">
      <c r="A117">
        <v>3</v>
      </c>
      <c r="B117">
        <v>12</v>
      </c>
      <c r="C117" t="s">
        <v>2582</v>
      </c>
      <c r="D117" s="29" t="s">
        <v>2555</v>
      </c>
      <c r="E117">
        <v>62</v>
      </c>
      <c r="F117" t="s">
        <v>2583</v>
      </c>
      <c r="G117">
        <v>20140101</v>
      </c>
      <c r="H117">
        <v>22000101</v>
      </c>
    </row>
    <row r="118" spans="1:9" x14ac:dyDescent="0.25">
      <c r="A118">
        <v>3</v>
      </c>
      <c r="B118">
        <v>12</v>
      </c>
      <c r="C118" t="s">
        <v>2582</v>
      </c>
      <c r="D118" s="29" t="s">
        <v>2555</v>
      </c>
      <c r="E118">
        <v>65</v>
      </c>
      <c r="F118" t="s">
        <v>2583</v>
      </c>
      <c r="G118">
        <v>20140101</v>
      </c>
      <c r="H118">
        <v>22000101</v>
      </c>
    </row>
    <row r="119" spans="1:9" x14ac:dyDescent="0.25">
      <c r="A119">
        <v>3</v>
      </c>
      <c r="B119">
        <v>12</v>
      </c>
      <c r="C119" t="s">
        <v>2582</v>
      </c>
      <c r="D119" s="29" t="s">
        <v>2555</v>
      </c>
      <c r="E119">
        <v>70</v>
      </c>
      <c r="F119" t="s">
        <v>2583</v>
      </c>
      <c r="G119">
        <v>20140101</v>
      </c>
      <c r="H119">
        <v>22000101</v>
      </c>
    </row>
    <row r="120" spans="1:9" x14ac:dyDescent="0.25">
      <c r="A120">
        <v>3</v>
      </c>
      <c r="B120">
        <v>12</v>
      </c>
      <c r="C120" t="s">
        <v>2582</v>
      </c>
      <c r="D120" s="29" t="s">
        <v>2555</v>
      </c>
      <c r="E120">
        <v>71</v>
      </c>
      <c r="F120" t="s">
        <v>2583</v>
      </c>
      <c r="G120">
        <v>20140101</v>
      </c>
      <c r="H120">
        <v>22000101</v>
      </c>
    </row>
    <row r="121" spans="1:9" x14ac:dyDescent="0.25">
      <c r="A121">
        <v>3</v>
      </c>
      <c r="B121">
        <v>12</v>
      </c>
      <c r="C121" t="s">
        <v>2582</v>
      </c>
      <c r="D121" s="29" t="s">
        <v>2555</v>
      </c>
      <c r="E121">
        <v>72</v>
      </c>
      <c r="F121" t="s">
        <v>2583</v>
      </c>
      <c r="G121">
        <v>20140101</v>
      </c>
      <c r="H121">
        <v>22000101</v>
      </c>
    </row>
    <row r="122" spans="1:9" x14ac:dyDescent="0.25">
      <c r="A122">
        <v>3</v>
      </c>
      <c r="B122">
        <v>12</v>
      </c>
      <c r="C122" t="s">
        <v>2582</v>
      </c>
      <c r="D122" s="29" t="s">
        <v>2555</v>
      </c>
      <c r="E122">
        <v>74</v>
      </c>
      <c r="F122" t="s">
        <v>2583</v>
      </c>
      <c r="G122">
        <v>20140101</v>
      </c>
      <c r="H122">
        <v>22000101</v>
      </c>
    </row>
    <row r="123" spans="1:9" x14ac:dyDescent="0.25">
      <c r="A123">
        <v>3</v>
      </c>
      <c r="B123">
        <v>13</v>
      </c>
      <c r="C123" t="s">
        <v>2584</v>
      </c>
      <c r="D123" s="29" t="s">
        <v>2559</v>
      </c>
      <c r="E123">
        <v>350</v>
      </c>
      <c r="F123" t="s">
        <v>2585</v>
      </c>
      <c r="G123">
        <v>20140101</v>
      </c>
      <c r="H123">
        <v>22000101</v>
      </c>
    </row>
    <row r="124" spans="1:9" x14ac:dyDescent="0.25">
      <c r="A124">
        <v>3</v>
      </c>
      <c r="B124">
        <v>13</v>
      </c>
      <c r="C124" t="s">
        <v>2584</v>
      </c>
      <c r="D124" s="29" t="s">
        <v>2559</v>
      </c>
      <c r="E124">
        <v>351</v>
      </c>
      <c r="F124" t="s">
        <v>2585</v>
      </c>
      <c r="G124">
        <v>20140101</v>
      </c>
      <c r="H124">
        <v>22000101</v>
      </c>
    </row>
    <row r="125" spans="1:9" x14ac:dyDescent="0.25">
      <c r="A125">
        <v>3</v>
      </c>
      <c r="B125">
        <v>13</v>
      </c>
      <c r="C125" t="s">
        <v>2584</v>
      </c>
      <c r="D125" s="29" t="s">
        <v>2559</v>
      </c>
      <c r="E125">
        <v>352</v>
      </c>
      <c r="F125" t="s">
        <v>2585</v>
      </c>
      <c r="G125">
        <v>20140101</v>
      </c>
      <c r="H125">
        <v>22000101</v>
      </c>
    </row>
    <row r="126" spans="1:9" x14ac:dyDescent="0.25">
      <c r="A126">
        <v>3</v>
      </c>
      <c r="B126">
        <v>13</v>
      </c>
      <c r="C126" t="s">
        <v>2584</v>
      </c>
      <c r="D126" s="29" t="s">
        <v>2559</v>
      </c>
      <c r="E126">
        <v>52</v>
      </c>
      <c r="F126" t="s">
        <v>2585</v>
      </c>
      <c r="G126">
        <v>20140101</v>
      </c>
      <c r="H126">
        <v>22000101</v>
      </c>
    </row>
    <row r="127" spans="1:9" x14ac:dyDescent="0.25">
      <c r="A127">
        <v>3</v>
      </c>
      <c r="B127">
        <v>13</v>
      </c>
      <c r="C127" t="s">
        <v>2584</v>
      </c>
      <c r="D127" s="29" t="s">
        <v>2559</v>
      </c>
      <c r="E127">
        <v>54</v>
      </c>
      <c r="F127" t="s">
        <v>2585</v>
      </c>
      <c r="G127">
        <v>20140101</v>
      </c>
      <c r="H127">
        <v>22000101</v>
      </c>
    </row>
    <row r="128" spans="1:9" x14ac:dyDescent="0.25">
      <c r="A128">
        <v>3</v>
      </c>
      <c r="B128">
        <v>13</v>
      </c>
      <c r="C128" t="s">
        <v>2584</v>
      </c>
      <c r="D128" s="29" t="s">
        <v>2559</v>
      </c>
      <c r="E128">
        <v>56</v>
      </c>
      <c r="F128" t="s">
        <v>2585</v>
      </c>
      <c r="G128">
        <v>20140101</v>
      </c>
      <c r="H128">
        <v>22000101</v>
      </c>
    </row>
    <row r="129" spans="1:9" x14ac:dyDescent="0.25">
      <c r="A129">
        <v>3</v>
      </c>
      <c r="B129">
        <v>13</v>
      </c>
      <c r="C129" t="s">
        <v>2584</v>
      </c>
      <c r="D129" s="29" t="s">
        <v>2559</v>
      </c>
      <c r="E129">
        <v>57</v>
      </c>
      <c r="F129" t="s">
        <v>2585</v>
      </c>
      <c r="G129">
        <v>20140101</v>
      </c>
      <c r="H129">
        <v>22000101</v>
      </c>
    </row>
    <row r="130" spans="1:9" x14ac:dyDescent="0.25">
      <c r="A130">
        <v>3</v>
      </c>
      <c r="B130">
        <v>13</v>
      </c>
      <c r="C130" t="s">
        <v>2584</v>
      </c>
      <c r="D130" s="29" t="s">
        <v>2559</v>
      </c>
      <c r="E130">
        <v>58</v>
      </c>
      <c r="F130" t="s">
        <v>2585</v>
      </c>
      <c r="G130">
        <v>20140101</v>
      </c>
      <c r="H130">
        <v>22000101</v>
      </c>
    </row>
    <row r="131" spans="1:9" x14ac:dyDescent="0.25">
      <c r="A131">
        <v>3</v>
      </c>
      <c r="B131">
        <v>13</v>
      </c>
      <c r="C131" t="s">
        <v>2584</v>
      </c>
      <c r="D131" s="29" t="s">
        <v>2559</v>
      </c>
      <c r="E131">
        <v>59</v>
      </c>
      <c r="F131" t="s">
        <v>2585</v>
      </c>
      <c r="G131">
        <v>20140101</v>
      </c>
      <c r="H131">
        <v>22000101</v>
      </c>
    </row>
    <row r="132" spans="1:9" x14ac:dyDescent="0.25">
      <c r="A132" s="22">
        <v>3</v>
      </c>
      <c r="B132" s="22">
        <v>13</v>
      </c>
      <c r="C132" s="22" t="s">
        <v>2584</v>
      </c>
      <c r="D132" s="30" t="s">
        <v>2559</v>
      </c>
      <c r="E132" s="22">
        <v>60</v>
      </c>
      <c r="F132" s="22" t="s">
        <v>2585</v>
      </c>
      <c r="G132" s="22">
        <v>20200101</v>
      </c>
      <c r="H132" s="22">
        <v>22000101</v>
      </c>
      <c r="I132" s="22" t="s">
        <v>2557</v>
      </c>
    </row>
    <row r="133" spans="1:9" x14ac:dyDescent="0.25">
      <c r="A133">
        <v>3</v>
      </c>
      <c r="B133">
        <v>13</v>
      </c>
      <c r="C133" t="s">
        <v>2584</v>
      </c>
      <c r="D133" s="29" t="s">
        <v>2559</v>
      </c>
      <c r="E133">
        <v>61</v>
      </c>
      <c r="F133" t="s">
        <v>2585</v>
      </c>
      <c r="G133">
        <v>20140101</v>
      </c>
      <c r="H133">
        <v>22000101</v>
      </c>
    </row>
    <row r="134" spans="1:9" x14ac:dyDescent="0.25">
      <c r="A134">
        <v>3</v>
      </c>
      <c r="B134">
        <v>13</v>
      </c>
      <c r="C134" t="s">
        <v>2584</v>
      </c>
      <c r="D134" s="29" t="s">
        <v>2559</v>
      </c>
      <c r="E134">
        <v>62</v>
      </c>
      <c r="F134" t="s">
        <v>2585</v>
      </c>
      <c r="G134">
        <v>20140101</v>
      </c>
      <c r="H134">
        <v>22000101</v>
      </c>
    </row>
    <row r="135" spans="1:9" x14ac:dyDescent="0.25">
      <c r="A135">
        <v>3</v>
      </c>
      <c r="B135">
        <v>13</v>
      </c>
      <c r="C135" t="s">
        <v>2584</v>
      </c>
      <c r="D135" s="29" t="s">
        <v>2559</v>
      </c>
      <c r="E135">
        <v>65</v>
      </c>
      <c r="F135" t="s">
        <v>2585</v>
      </c>
      <c r="G135">
        <v>20140101</v>
      </c>
      <c r="H135">
        <v>22000101</v>
      </c>
    </row>
    <row r="136" spans="1:9" x14ac:dyDescent="0.25">
      <c r="A136">
        <v>3</v>
      </c>
      <c r="B136">
        <v>13</v>
      </c>
      <c r="C136" t="s">
        <v>2584</v>
      </c>
      <c r="D136" s="29" t="s">
        <v>2559</v>
      </c>
      <c r="E136">
        <v>70</v>
      </c>
      <c r="F136" t="s">
        <v>2585</v>
      </c>
      <c r="G136">
        <v>20140101</v>
      </c>
      <c r="H136">
        <v>22000101</v>
      </c>
    </row>
    <row r="137" spans="1:9" x14ac:dyDescent="0.25">
      <c r="A137">
        <v>3</v>
      </c>
      <c r="B137">
        <v>13</v>
      </c>
      <c r="C137" t="s">
        <v>2584</v>
      </c>
      <c r="D137" s="29" t="s">
        <v>2559</v>
      </c>
      <c r="E137">
        <v>71</v>
      </c>
      <c r="F137" t="s">
        <v>2585</v>
      </c>
      <c r="G137">
        <v>20140101</v>
      </c>
      <c r="H137">
        <v>22000101</v>
      </c>
    </row>
    <row r="138" spans="1:9" x14ac:dyDescent="0.25">
      <c r="A138">
        <v>3</v>
      </c>
      <c r="B138">
        <v>13</v>
      </c>
      <c r="C138" t="s">
        <v>2584</v>
      </c>
      <c r="D138" s="29" t="s">
        <v>2559</v>
      </c>
      <c r="E138">
        <v>72</v>
      </c>
      <c r="F138" t="s">
        <v>2585</v>
      </c>
      <c r="G138">
        <v>20140101</v>
      </c>
      <c r="H138">
        <v>22000101</v>
      </c>
    </row>
    <row r="139" spans="1:9" x14ac:dyDescent="0.25">
      <c r="A139">
        <v>3</v>
      </c>
      <c r="B139">
        <v>13</v>
      </c>
      <c r="C139" t="s">
        <v>2584</v>
      </c>
      <c r="D139" s="29" t="s">
        <v>2559</v>
      </c>
      <c r="E139">
        <v>74</v>
      </c>
      <c r="F139" t="s">
        <v>2585</v>
      </c>
      <c r="G139">
        <v>20140101</v>
      </c>
      <c r="H139">
        <v>22000101</v>
      </c>
    </row>
    <row r="140" spans="1:9" x14ac:dyDescent="0.25">
      <c r="A140">
        <v>3</v>
      </c>
      <c r="B140">
        <v>13</v>
      </c>
      <c r="C140" t="s">
        <v>2584</v>
      </c>
      <c r="D140" s="29" t="s">
        <v>2559</v>
      </c>
      <c r="E140">
        <v>82</v>
      </c>
      <c r="F140" t="s">
        <v>2585</v>
      </c>
      <c r="G140">
        <v>20140101</v>
      </c>
      <c r="H140">
        <v>22000101</v>
      </c>
    </row>
    <row r="141" spans="1:9" x14ac:dyDescent="0.25">
      <c r="A141">
        <v>3</v>
      </c>
      <c r="B141">
        <v>14</v>
      </c>
      <c r="C141" t="s">
        <v>2586</v>
      </c>
      <c r="D141" s="29" t="s">
        <v>2555</v>
      </c>
      <c r="E141">
        <v>52</v>
      </c>
      <c r="F141" t="s">
        <v>105</v>
      </c>
      <c r="G141">
        <v>20140101</v>
      </c>
      <c r="H141">
        <v>22000101</v>
      </c>
    </row>
    <row r="142" spans="1:9" x14ac:dyDescent="0.25">
      <c r="A142">
        <v>3</v>
      </c>
      <c r="B142">
        <v>14</v>
      </c>
      <c r="C142" t="s">
        <v>2586</v>
      </c>
      <c r="D142" s="29" t="s">
        <v>2555</v>
      </c>
      <c r="E142">
        <v>54</v>
      </c>
      <c r="F142" t="s">
        <v>105</v>
      </c>
      <c r="G142">
        <v>20140101</v>
      </c>
      <c r="H142">
        <v>22000101</v>
      </c>
    </row>
    <row r="143" spans="1:9" x14ac:dyDescent="0.25">
      <c r="A143">
        <v>3</v>
      </c>
      <c r="B143">
        <v>14</v>
      </c>
      <c r="C143" t="s">
        <v>2586</v>
      </c>
      <c r="D143" s="29" t="s">
        <v>2555</v>
      </c>
      <c r="E143">
        <v>56</v>
      </c>
      <c r="F143" t="s">
        <v>105</v>
      </c>
      <c r="G143">
        <v>20140101</v>
      </c>
      <c r="H143">
        <v>22000101</v>
      </c>
    </row>
    <row r="144" spans="1:9" x14ac:dyDescent="0.25">
      <c r="A144">
        <v>3</v>
      </c>
      <c r="B144">
        <v>14</v>
      </c>
      <c r="C144" t="s">
        <v>2586</v>
      </c>
      <c r="D144" s="29" t="s">
        <v>2555</v>
      </c>
      <c r="E144">
        <v>57</v>
      </c>
      <c r="F144" t="s">
        <v>105</v>
      </c>
      <c r="G144">
        <v>20140101</v>
      </c>
      <c r="H144">
        <v>22000101</v>
      </c>
    </row>
    <row r="145" spans="1:9" x14ac:dyDescent="0.25">
      <c r="A145">
        <v>3</v>
      </c>
      <c r="B145">
        <v>14</v>
      </c>
      <c r="C145" t="s">
        <v>2586</v>
      </c>
      <c r="D145" s="29" t="s">
        <v>2555</v>
      </c>
      <c r="E145">
        <v>58</v>
      </c>
      <c r="F145" t="s">
        <v>105</v>
      </c>
      <c r="G145">
        <v>20140101</v>
      </c>
      <c r="H145">
        <v>22000101</v>
      </c>
    </row>
    <row r="146" spans="1:9" x14ac:dyDescent="0.25">
      <c r="A146">
        <v>3</v>
      </c>
      <c r="B146">
        <v>14</v>
      </c>
      <c r="C146" t="s">
        <v>2586</v>
      </c>
      <c r="D146" s="29" t="s">
        <v>2555</v>
      </c>
      <c r="E146">
        <v>59</v>
      </c>
      <c r="F146" t="s">
        <v>105</v>
      </c>
      <c r="G146">
        <v>20140101</v>
      </c>
      <c r="H146">
        <v>22000101</v>
      </c>
    </row>
    <row r="147" spans="1:9" x14ac:dyDescent="0.25">
      <c r="A147" s="22">
        <v>3</v>
      </c>
      <c r="B147" s="22">
        <v>14</v>
      </c>
      <c r="C147" s="22" t="s">
        <v>2586</v>
      </c>
      <c r="D147" s="30" t="s">
        <v>2555</v>
      </c>
      <c r="E147" s="22">
        <v>60</v>
      </c>
      <c r="F147" s="22" t="s">
        <v>105</v>
      </c>
      <c r="G147" s="22">
        <v>20200101</v>
      </c>
      <c r="H147" s="22">
        <v>22000101</v>
      </c>
      <c r="I147" s="22" t="s">
        <v>2557</v>
      </c>
    </row>
    <row r="148" spans="1:9" x14ac:dyDescent="0.25">
      <c r="A148">
        <v>3</v>
      </c>
      <c r="B148">
        <v>14</v>
      </c>
      <c r="C148" t="s">
        <v>2586</v>
      </c>
      <c r="D148" s="29" t="s">
        <v>2555</v>
      </c>
      <c r="E148">
        <v>61</v>
      </c>
      <c r="F148" t="s">
        <v>105</v>
      </c>
      <c r="G148">
        <v>20140101</v>
      </c>
      <c r="H148">
        <v>22000101</v>
      </c>
    </row>
    <row r="149" spans="1:9" x14ac:dyDescent="0.25">
      <c r="A149">
        <v>3</v>
      </c>
      <c r="B149">
        <v>14</v>
      </c>
      <c r="C149" t="s">
        <v>2586</v>
      </c>
      <c r="D149" s="29" t="s">
        <v>2555</v>
      </c>
      <c r="E149">
        <v>62</v>
      </c>
      <c r="F149" t="s">
        <v>105</v>
      </c>
      <c r="G149">
        <v>20140101</v>
      </c>
      <c r="H149">
        <v>22000101</v>
      </c>
    </row>
    <row r="150" spans="1:9" x14ac:dyDescent="0.25">
      <c r="A150">
        <v>3</v>
      </c>
      <c r="B150">
        <v>14</v>
      </c>
      <c r="C150" t="s">
        <v>2586</v>
      </c>
      <c r="D150" s="29" t="s">
        <v>2555</v>
      </c>
      <c r="E150">
        <v>65</v>
      </c>
      <c r="F150" t="s">
        <v>105</v>
      </c>
      <c r="G150">
        <v>20140101</v>
      </c>
      <c r="H150">
        <v>22000101</v>
      </c>
    </row>
    <row r="151" spans="1:9" x14ac:dyDescent="0.25">
      <c r="A151">
        <v>3</v>
      </c>
      <c r="B151">
        <v>15</v>
      </c>
      <c r="C151" t="s">
        <v>2587</v>
      </c>
      <c r="D151" s="29" t="s">
        <v>2555</v>
      </c>
      <c r="E151">
        <v>32</v>
      </c>
      <c r="F151" t="s">
        <v>113</v>
      </c>
      <c r="G151">
        <v>20140101</v>
      </c>
      <c r="H151">
        <v>22000101</v>
      </c>
      <c r="I151" t="s">
        <v>2572</v>
      </c>
    </row>
    <row r="152" spans="1:9" x14ac:dyDescent="0.25">
      <c r="A152">
        <v>3</v>
      </c>
      <c r="B152">
        <v>15</v>
      </c>
      <c r="C152" t="s">
        <v>2587</v>
      </c>
      <c r="D152" s="29" t="s">
        <v>2555</v>
      </c>
      <c r="E152">
        <v>42</v>
      </c>
      <c r="F152" t="s">
        <v>113</v>
      </c>
      <c r="G152">
        <v>20140101</v>
      </c>
      <c r="H152">
        <v>22000101</v>
      </c>
    </row>
    <row r="153" spans="1:9" x14ac:dyDescent="0.25">
      <c r="A153">
        <v>3</v>
      </c>
      <c r="B153">
        <v>15</v>
      </c>
      <c r="C153" t="s">
        <v>2587</v>
      </c>
      <c r="D153" s="29" t="s">
        <v>2555</v>
      </c>
      <c r="E153">
        <v>44</v>
      </c>
      <c r="F153" t="s">
        <v>113</v>
      </c>
      <c r="G153">
        <v>20140101</v>
      </c>
      <c r="H153">
        <v>22000101</v>
      </c>
    </row>
    <row r="154" spans="1:9" x14ac:dyDescent="0.25">
      <c r="A154">
        <v>3</v>
      </c>
      <c r="B154">
        <v>15</v>
      </c>
      <c r="C154" t="s">
        <v>2587</v>
      </c>
      <c r="D154" s="29" t="s">
        <v>2555</v>
      </c>
      <c r="E154">
        <v>45</v>
      </c>
      <c r="F154" t="s">
        <v>113</v>
      </c>
      <c r="G154">
        <v>20140101</v>
      </c>
      <c r="H154">
        <v>22000101</v>
      </c>
    </row>
    <row r="155" spans="1:9" x14ac:dyDescent="0.25">
      <c r="A155">
        <v>3</v>
      </c>
      <c r="B155">
        <v>15</v>
      </c>
      <c r="C155" t="s">
        <v>2587</v>
      </c>
      <c r="D155" s="29" t="s">
        <v>2555</v>
      </c>
      <c r="E155">
        <v>48</v>
      </c>
      <c r="F155" t="s">
        <v>113</v>
      </c>
      <c r="G155">
        <v>20140101</v>
      </c>
      <c r="H155">
        <v>22000101</v>
      </c>
    </row>
    <row r="156" spans="1:9" x14ac:dyDescent="0.25">
      <c r="A156">
        <v>3</v>
      </c>
      <c r="B156">
        <v>15</v>
      </c>
      <c r="C156" t="s">
        <v>2587</v>
      </c>
      <c r="D156" s="29" t="s">
        <v>2555</v>
      </c>
      <c r="E156">
        <v>49</v>
      </c>
      <c r="F156" t="s">
        <v>113</v>
      </c>
      <c r="G156">
        <v>20140101</v>
      </c>
      <c r="H156">
        <v>22000101</v>
      </c>
    </row>
    <row r="157" spans="1:9" x14ac:dyDescent="0.25">
      <c r="A157" s="25">
        <v>3</v>
      </c>
      <c r="B157" s="25">
        <v>16</v>
      </c>
      <c r="C157" s="25" t="s">
        <v>2588</v>
      </c>
      <c r="D157" s="32" t="s">
        <v>2555</v>
      </c>
      <c r="E157" s="25">
        <v>41</v>
      </c>
      <c r="F157" s="25" t="s">
        <v>117</v>
      </c>
      <c r="G157" s="25">
        <v>20140101</v>
      </c>
      <c r="H157" s="25">
        <v>22000101</v>
      </c>
      <c r="I157" s="25" t="s">
        <v>1316</v>
      </c>
    </row>
    <row r="158" spans="1:9" x14ac:dyDescent="0.25">
      <c r="A158" s="25">
        <v>3</v>
      </c>
      <c r="B158" s="25">
        <v>16</v>
      </c>
      <c r="C158" s="25" t="s">
        <v>2588</v>
      </c>
      <c r="D158" s="32" t="s">
        <v>2555</v>
      </c>
      <c r="E158" s="25">
        <v>42</v>
      </c>
      <c r="F158" s="25" t="s">
        <v>117</v>
      </c>
      <c r="G158" s="25">
        <v>20140101</v>
      </c>
      <c r="H158" s="25">
        <v>22000101</v>
      </c>
      <c r="I158" s="25" t="s">
        <v>1316</v>
      </c>
    </row>
    <row r="159" spans="1:9" x14ac:dyDescent="0.25">
      <c r="A159">
        <v>4</v>
      </c>
      <c r="B159">
        <v>17</v>
      </c>
      <c r="C159" t="s">
        <v>2589</v>
      </c>
      <c r="D159" s="29" t="s">
        <v>2555</v>
      </c>
      <c r="E159">
        <v>52</v>
      </c>
      <c r="F159" t="s">
        <v>2590</v>
      </c>
      <c r="G159">
        <v>20140101</v>
      </c>
      <c r="H159">
        <v>22000101</v>
      </c>
    </row>
    <row r="160" spans="1:9" x14ac:dyDescent="0.25">
      <c r="A160">
        <v>4</v>
      </c>
      <c r="B160">
        <v>17</v>
      </c>
      <c r="C160" t="s">
        <v>2589</v>
      </c>
      <c r="D160" s="29" t="s">
        <v>2555</v>
      </c>
      <c r="E160">
        <v>54</v>
      </c>
      <c r="F160" t="s">
        <v>2590</v>
      </c>
      <c r="G160">
        <v>20140101</v>
      </c>
      <c r="H160">
        <v>22000101</v>
      </c>
    </row>
    <row r="161" spans="1:9" x14ac:dyDescent="0.25">
      <c r="A161">
        <v>4</v>
      </c>
      <c r="B161">
        <v>17</v>
      </c>
      <c r="C161" t="s">
        <v>2589</v>
      </c>
      <c r="D161" s="29" t="s">
        <v>2555</v>
      </c>
      <c r="E161">
        <v>56</v>
      </c>
      <c r="F161" t="s">
        <v>2590</v>
      </c>
      <c r="G161">
        <v>20140101</v>
      </c>
      <c r="H161">
        <v>22000101</v>
      </c>
    </row>
    <row r="162" spans="1:9" x14ac:dyDescent="0.25">
      <c r="A162">
        <v>4</v>
      </c>
      <c r="B162">
        <v>17</v>
      </c>
      <c r="C162" t="s">
        <v>2589</v>
      </c>
      <c r="D162" s="29" t="s">
        <v>2555</v>
      </c>
      <c r="E162">
        <v>57</v>
      </c>
      <c r="F162" t="s">
        <v>2590</v>
      </c>
      <c r="G162">
        <v>20140101</v>
      </c>
      <c r="H162">
        <v>22000101</v>
      </c>
    </row>
    <row r="163" spans="1:9" x14ac:dyDescent="0.25">
      <c r="A163">
        <v>4</v>
      </c>
      <c r="B163">
        <v>17</v>
      </c>
      <c r="C163" t="s">
        <v>2589</v>
      </c>
      <c r="D163" s="29" t="s">
        <v>2555</v>
      </c>
      <c r="E163">
        <v>58</v>
      </c>
      <c r="F163" t="s">
        <v>2590</v>
      </c>
      <c r="G163">
        <v>20140101</v>
      </c>
      <c r="H163">
        <v>22000101</v>
      </c>
    </row>
    <row r="164" spans="1:9" x14ac:dyDescent="0.25">
      <c r="A164">
        <v>4</v>
      </c>
      <c r="B164">
        <v>17</v>
      </c>
      <c r="C164" t="s">
        <v>2589</v>
      </c>
      <c r="D164" s="29" t="s">
        <v>2555</v>
      </c>
      <c r="E164">
        <v>59</v>
      </c>
      <c r="F164" t="s">
        <v>2590</v>
      </c>
      <c r="G164">
        <v>20140101</v>
      </c>
      <c r="H164">
        <v>22000101</v>
      </c>
    </row>
    <row r="165" spans="1:9" x14ac:dyDescent="0.25">
      <c r="A165" s="22">
        <v>4</v>
      </c>
      <c r="B165" s="22">
        <v>17</v>
      </c>
      <c r="C165" s="22" t="s">
        <v>2589</v>
      </c>
      <c r="D165" s="30" t="s">
        <v>2555</v>
      </c>
      <c r="E165" s="22">
        <v>60</v>
      </c>
      <c r="F165" s="22" t="s">
        <v>2590</v>
      </c>
      <c r="G165" s="22">
        <v>20200101</v>
      </c>
      <c r="H165" s="22">
        <v>22000101</v>
      </c>
      <c r="I165" s="22" t="s">
        <v>2557</v>
      </c>
    </row>
    <row r="166" spans="1:9" x14ac:dyDescent="0.25">
      <c r="A166">
        <v>4</v>
      </c>
      <c r="B166">
        <v>17</v>
      </c>
      <c r="C166" t="s">
        <v>2589</v>
      </c>
      <c r="D166" s="29" t="s">
        <v>2555</v>
      </c>
      <c r="E166">
        <v>61</v>
      </c>
      <c r="F166" t="s">
        <v>2590</v>
      </c>
      <c r="G166">
        <v>20140101</v>
      </c>
      <c r="H166">
        <v>22000101</v>
      </c>
    </row>
    <row r="167" spans="1:9" x14ac:dyDescent="0.25">
      <c r="A167">
        <v>4</v>
      </c>
      <c r="B167">
        <v>17</v>
      </c>
      <c r="C167" t="s">
        <v>2589</v>
      </c>
      <c r="D167" s="29" t="s">
        <v>2555</v>
      </c>
      <c r="E167">
        <v>62</v>
      </c>
      <c r="F167" t="s">
        <v>2590</v>
      </c>
      <c r="G167">
        <v>20140101</v>
      </c>
      <c r="H167">
        <v>22000101</v>
      </c>
    </row>
    <row r="168" spans="1:9" x14ac:dyDescent="0.25">
      <c r="A168">
        <v>4</v>
      </c>
      <c r="B168">
        <v>17</v>
      </c>
      <c r="C168" t="s">
        <v>2589</v>
      </c>
      <c r="D168" s="29" t="s">
        <v>2555</v>
      </c>
      <c r="E168">
        <v>65</v>
      </c>
      <c r="F168" t="s">
        <v>2590</v>
      </c>
      <c r="G168">
        <v>20140101</v>
      </c>
      <c r="H168">
        <v>22000101</v>
      </c>
    </row>
    <row r="169" spans="1:9" x14ac:dyDescent="0.25">
      <c r="A169">
        <v>4</v>
      </c>
      <c r="B169">
        <v>17</v>
      </c>
      <c r="C169" t="s">
        <v>2589</v>
      </c>
      <c r="D169" s="29" t="s">
        <v>2555</v>
      </c>
      <c r="E169">
        <v>70</v>
      </c>
      <c r="F169" t="s">
        <v>2590</v>
      </c>
      <c r="G169">
        <v>20140101</v>
      </c>
      <c r="H169">
        <v>22000101</v>
      </c>
    </row>
    <row r="170" spans="1:9" x14ac:dyDescent="0.25">
      <c r="A170">
        <v>4</v>
      </c>
      <c r="B170">
        <v>17</v>
      </c>
      <c r="C170" t="s">
        <v>2589</v>
      </c>
      <c r="D170" s="29" t="s">
        <v>2555</v>
      </c>
      <c r="E170">
        <v>71</v>
      </c>
      <c r="F170" t="s">
        <v>2590</v>
      </c>
      <c r="G170">
        <v>20140101</v>
      </c>
      <c r="H170">
        <v>22000101</v>
      </c>
    </row>
    <row r="171" spans="1:9" x14ac:dyDescent="0.25">
      <c r="A171">
        <v>4</v>
      </c>
      <c r="B171">
        <v>17</v>
      </c>
      <c r="C171" t="s">
        <v>2589</v>
      </c>
      <c r="D171" s="29" t="s">
        <v>2555</v>
      </c>
      <c r="E171">
        <v>72</v>
      </c>
      <c r="F171" t="s">
        <v>2590</v>
      </c>
      <c r="G171">
        <v>20140101</v>
      </c>
      <c r="H171">
        <v>22000101</v>
      </c>
    </row>
    <row r="172" spans="1:9" x14ac:dyDescent="0.25">
      <c r="A172">
        <v>4</v>
      </c>
      <c r="B172">
        <v>17</v>
      </c>
      <c r="C172" t="s">
        <v>2589</v>
      </c>
      <c r="D172" s="29" t="s">
        <v>2555</v>
      </c>
      <c r="E172">
        <v>74</v>
      </c>
      <c r="F172" t="s">
        <v>2590</v>
      </c>
      <c r="G172">
        <v>20140101</v>
      </c>
      <c r="H172">
        <v>22000101</v>
      </c>
    </row>
    <row r="173" spans="1:9" x14ac:dyDescent="0.25">
      <c r="A173" s="25">
        <v>4</v>
      </c>
      <c r="B173" s="25">
        <v>18</v>
      </c>
      <c r="C173" s="25" t="s">
        <v>2591</v>
      </c>
      <c r="D173" s="32" t="s">
        <v>2555</v>
      </c>
      <c r="E173" s="25">
        <v>52</v>
      </c>
      <c r="F173" s="25" t="s">
        <v>128</v>
      </c>
      <c r="G173" s="25">
        <v>20140101</v>
      </c>
      <c r="H173" s="25">
        <v>22000101</v>
      </c>
      <c r="I173" s="25" t="s">
        <v>1779</v>
      </c>
    </row>
    <row r="174" spans="1:9" x14ac:dyDescent="0.25">
      <c r="A174" s="25">
        <v>4</v>
      </c>
      <c r="B174" s="25">
        <v>18</v>
      </c>
      <c r="C174" s="25" t="s">
        <v>2591</v>
      </c>
      <c r="D174" s="32" t="s">
        <v>2555</v>
      </c>
      <c r="E174" s="25">
        <v>54</v>
      </c>
      <c r="F174" s="25" t="s">
        <v>128</v>
      </c>
      <c r="G174" s="25">
        <v>20140101</v>
      </c>
      <c r="H174" s="25">
        <v>22000101</v>
      </c>
      <c r="I174" s="25" t="s">
        <v>1779</v>
      </c>
    </row>
    <row r="175" spans="1:9" x14ac:dyDescent="0.25">
      <c r="A175" s="25">
        <v>4</v>
      </c>
      <c r="B175" s="25">
        <v>18</v>
      </c>
      <c r="C175" s="25" t="s">
        <v>2591</v>
      </c>
      <c r="D175" s="32" t="s">
        <v>2555</v>
      </c>
      <c r="E175" s="25">
        <v>56</v>
      </c>
      <c r="F175" s="25" t="s">
        <v>128</v>
      </c>
      <c r="G175" s="25">
        <v>20140101</v>
      </c>
      <c r="H175" s="25">
        <v>22000101</v>
      </c>
      <c r="I175" s="25" t="s">
        <v>1779</v>
      </c>
    </row>
    <row r="176" spans="1:9" x14ac:dyDescent="0.25">
      <c r="A176" s="25">
        <v>4</v>
      </c>
      <c r="B176" s="25">
        <v>18</v>
      </c>
      <c r="C176" s="25" t="s">
        <v>2591</v>
      </c>
      <c r="D176" s="32" t="s">
        <v>2555</v>
      </c>
      <c r="E176" s="25">
        <v>57</v>
      </c>
      <c r="F176" s="25" t="s">
        <v>128</v>
      </c>
      <c r="G176" s="25">
        <v>20140101</v>
      </c>
      <c r="H176" s="25">
        <v>22000101</v>
      </c>
      <c r="I176" s="25" t="s">
        <v>1779</v>
      </c>
    </row>
    <row r="177" spans="1:9" x14ac:dyDescent="0.25">
      <c r="A177" s="25">
        <v>4</v>
      </c>
      <c r="B177" s="25">
        <v>18</v>
      </c>
      <c r="C177" s="25" t="s">
        <v>2591</v>
      </c>
      <c r="D177" s="32" t="s">
        <v>2555</v>
      </c>
      <c r="E177" s="25">
        <v>58</v>
      </c>
      <c r="F177" s="25" t="s">
        <v>128</v>
      </c>
      <c r="G177" s="25">
        <v>20140101</v>
      </c>
      <c r="H177" s="25">
        <v>22000101</v>
      </c>
      <c r="I177" s="25" t="s">
        <v>1779</v>
      </c>
    </row>
    <row r="178" spans="1:9" x14ac:dyDescent="0.25">
      <c r="A178" s="25">
        <v>4</v>
      </c>
      <c r="B178" s="25">
        <v>18</v>
      </c>
      <c r="C178" s="25" t="s">
        <v>2591</v>
      </c>
      <c r="D178" s="32" t="s">
        <v>2555</v>
      </c>
      <c r="E178" s="25">
        <v>59</v>
      </c>
      <c r="F178" s="25" t="s">
        <v>128</v>
      </c>
      <c r="G178" s="25">
        <v>20140101</v>
      </c>
      <c r="H178" s="25">
        <v>22000101</v>
      </c>
      <c r="I178" s="25" t="s">
        <v>1779</v>
      </c>
    </row>
    <row r="179" spans="1:9" x14ac:dyDescent="0.25">
      <c r="A179" s="25">
        <v>4</v>
      </c>
      <c r="B179" s="25">
        <v>18</v>
      </c>
      <c r="C179" s="25" t="s">
        <v>2591</v>
      </c>
      <c r="D179" s="32" t="s">
        <v>2555</v>
      </c>
      <c r="E179" s="25">
        <v>61</v>
      </c>
      <c r="F179" s="25" t="s">
        <v>128</v>
      </c>
      <c r="G179" s="25">
        <v>20140101</v>
      </c>
      <c r="H179" s="25">
        <v>22000101</v>
      </c>
      <c r="I179" s="25" t="s">
        <v>1779</v>
      </c>
    </row>
    <row r="180" spans="1:9" x14ac:dyDescent="0.25">
      <c r="A180" s="25">
        <v>4</v>
      </c>
      <c r="B180" s="25">
        <v>18</v>
      </c>
      <c r="C180" s="25" t="s">
        <v>2591</v>
      </c>
      <c r="D180" s="32" t="s">
        <v>2555</v>
      </c>
      <c r="E180" s="25">
        <v>62</v>
      </c>
      <c r="F180" s="25" t="s">
        <v>128</v>
      </c>
      <c r="G180" s="25">
        <v>20140101</v>
      </c>
      <c r="H180" s="25">
        <v>22000101</v>
      </c>
      <c r="I180" s="25" t="s">
        <v>1779</v>
      </c>
    </row>
    <row r="181" spans="1:9" x14ac:dyDescent="0.25">
      <c r="A181" s="25">
        <v>4</v>
      </c>
      <c r="B181" s="25">
        <v>18</v>
      </c>
      <c r="C181" s="25" t="s">
        <v>2591</v>
      </c>
      <c r="D181" s="32" t="s">
        <v>2555</v>
      </c>
      <c r="E181" s="25">
        <v>65</v>
      </c>
      <c r="F181" s="25" t="s">
        <v>128</v>
      </c>
      <c r="G181" s="25">
        <v>20140101</v>
      </c>
      <c r="H181" s="25">
        <v>22000101</v>
      </c>
      <c r="I181" s="25" t="s">
        <v>1779</v>
      </c>
    </row>
    <row r="182" spans="1:9" x14ac:dyDescent="0.25">
      <c r="A182">
        <v>4</v>
      </c>
      <c r="B182">
        <v>19</v>
      </c>
      <c r="C182" t="s">
        <v>2592</v>
      </c>
      <c r="D182" s="29" t="s">
        <v>2555</v>
      </c>
      <c r="E182">
        <v>31</v>
      </c>
      <c r="F182" t="s">
        <v>2593</v>
      </c>
      <c r="G182">
        <v>20140101</v>
      </c>
      <c r="H182">
        <v>22000101</v>
      </c>
    </row>
    <row r="183" spans="1:9" x14ac:dyDescent="0.25">
      <c r="A183">
        <v>4</v>
      </c>
      <c r="B183">
        <v>19</v>
      </c>
      <c r="C183" t="s">
        <v>2592</v>
      </c>
      <c r="D183" s="29" t="s">
        <v>2555</v>
      </c>
      <c r="E183">
        <v>331</v>
      </c>
      <c r="F183" t="s">
        <v>2593</v>
      </c>
      <c r="G183">
        <v>20140101</v>
      </c>
      <c r="H183">
        <v>22000101</v>
      </c>
    </row>
    <row r="184" spans="1:9" x14ac:dyDescent="0.25">
      <c r="A184">
        <v>4</v>
      </c>
      <c r="B184">
        <v>20</v>
      </c>
      <c r="C184" t="s">
        <v>2594</v>
      </c>
      <c r="D184" s="29" t="s">
        <v>2559</v>
      </c>
      <c r="E184">
        <v>331</v>
      </c>
      <c r="F184" t="s">
        <v>2595</v>
      </c>
      <c r="G184">
        <v>20140101</v>
      </c>
      <c r="H184">
        <v>22000101</v>
      </c>
    </row>
    <row r="185" spans="1:9" x14ac:dyDescent="0.25">
      <c r="A185">
        <v>4</v>
      </c>
      <c r="B185">
        <v>20</v>
      </c>
      <c r="C185" t="s">
        <v>2594</v>
      </c>
      <c r="D185" s="29" t="s">
        <v>2559</v>
      </c>
      <c r="E185">
        <v>31</v>
      </c>
      <c r="F185" t="s">
        <v>2595</v>
      </c>
      <c r="G185">
        <v>20140101</v>
      </c>
      <c r="H185">
        <v>22000101</v>
      </c>
    </row>
    <row r="186" spans="1:9" x14ac:dyDescent="0.25">
      <c r="A186">
        <v>4</v>
      </c>
      <c r="B186">
        <v>21</v>
      </c>
      <c r="C186" t="s">
        <v>2596</v>
      </c>
      <c r="D186" s="29" t="s">
        <v>2555</v>
      </c>
      <c r="E186">
        <v>2</v>
      </c>
      <c r="F186" t="s">
        <v>148</v>
      </c>
      <c r="G186">
        <v>20140101</v>
      </c>
      <c r="H186">
        <v>22000101</v>
      </c>
    </row>
    <row r="187" spans="1:9" x14ac:dyDescent="0.25">
      <c r="A187">
        <v>4</v>
      </c>
      <c r="B187">
        <v>21</v>
      </c>
      <c r="C187" t="s">
        <v>2596</v>
      </c>
      <c r="D187" s="29" t="s">
        <v>2555</v>
      </c>
      <c r="E187">
        <v>3</v>
      </c>
      <c r="F187" t="s">
        <v>148</v>
      </c>
      <c r="G187">
        <v>20140101</v>
      </c>
      <c r="H187">
        <v>22000101</v>
      </c>
    </row>
    <row r="188" spans="1:9" x14ac:dyDescent="0.25">
      <c r="A188">
        <v>4</v>
      </c>
      <c r="B188">
        <v>21</v>
      </c>
      <c r="C188" t="s">
        <v>2596</v>
      </c>
      <c r="D188" s="29" t="s">
        <v>2555</v>
      </c>
      <c r="E188">
        <v>8</v>
      </c>
      <c r="F188" t="s">
        <v>148</v>
      </c>
      <c r="G188">
        <v>20140101</v>
      </c>
      <c r="H188">
        <v>22000101</v>
      </c>
    </row>
    <row r="189" spans="1:9" x14ac:dyDescent="0.25">
      <c r="A189">
        <v>4</v>
      </c>
      <c r="B189">
        <v>21</v>
      </c>
      <c r="C189" t="s">
        <v>2596</v>
      </c>
      <c r="D189" s="29" t="s">
        <v>2555</v>
      </c>
      <c r="E189">
        <v>9</v>
      </c>
      <c r="F189" t="s">
        <v>148</v>
      </c>
      <c r="G189">
        <v>20140101</v>
      </c>
      <c r="H189">
        <v>22000101</v>
      </c>
    </row>
    <row r="190" spans="1:9" x14ac:dyDescent="0.25">
      <c r="A190">
        <v>4</v>
      </c>
      <c r="B190">
        <v>21</v>
      </c>
      <c r="C190" t="s">
        <v>2596</v>
      </c>
      <c r="D190" s="29" t="s">
        <v>2555</v>
      </c>
      <c r="E190">
        <v>11</v>
      </c>
      <c r="F190" t="s">
        <v>148</v>
      </c>
      <c r="G190">
        <v>20140101</v>
      </c>
      <c r="H190">
        <v>22000101</v>
      </c>
    </row>
    <row r="191" spans="1:9" x14ac:dyDescent="0.25">
      <c r="A191">
        <v>4</v>
      </c>
      <c r="B191">
        <v>21</v>
      </c>
      <c r="C191" t="s">
        <v>2596</v>
      </c>
      <c r="D191" s="29" t="s">
        <v>2555</v>
      </c>
      <c r="E191">
        <v>13</v>
      </c>
      <c r="F191" t="s">
        <v>148</v>
      </c>
      <c r="G191">
        <v>20140101</v>
      </c>
      <c r="H191">
        <v>22000101</v>
      </c>
    </row>
    <row r="192" spans="1:9" x14ac:dyDescent="0.25">
      <c r="A192">
        <v>4</v>
      </c>
      <c r="B192">
        <v>21</v>
      </c>
      <c r="C192" t="s">
        <v>2596</v>
      </c>
      <c r="D192" s="29" t="s">
        <v>2555</v>
      </c>
      <c r="E192">
        <v>14</v>
      </c>
      <c r="F192" t="s">
        <v>148</v>
      </c>
      <c r="G192">
        <v>20140101</v>
      </c>
      <c r="H192">
        <v>22000101</v>
      </c>
    </row>
    <row r="193" spans="1:9" x14ac:dyDescent="0.25">
      <c r="A193">
        <v>4</v>
      </c>
      <c r="B193">
        <v>21</v>
      </c>
      <c r="C193" t="s">
        <v>2596</v>
      </c>
      <c r="D193" s="29" t="s">
        <v>2555</v>
      </c>
      <c r="E193">
        <v>15</v>
      </c>
      <c r="F193" t="s">
        <v>148</v>
      </c>
      <c r="G193">
        <v>20140101</v>
      </c>
      <c r="H193">
        <v>22000101</v>
      </c>
    </row>
    <row r="194" spans="1:9" x14ac:dyDescent="0.25">
      <c r="A194">
        <v>4</v>
      </c>
      <c r="B194">
        <v>21</v>
      </c>
      <c r="C194" t="s">
        <v>2596</v>
      </c>
      <c r="D194" s="29" t="s">
        <v>2555</v>
      </c>
      <c r="E194">
        <v>16</v>
      </c>
      <c r="F194" t="s">
        <v>148</v>
      </c>
      <c r="G194">
        <v>20140101</v>
      </c>
      <c r="H194">
        <v>22000101</v>
      </c>
    </row>
    <row r="195" spans="1:9" x14ac:dyDescent="0.25">
      <c r="A195">
        <v>4</v>
      </c>
      <c r="B195">
        <v>21</v>
      </c>
      <c r="C195" t="s">
        <v>2596</v>
      </c>
      <c r="D195" s="29" t="s">
        <v>2555</v>
      </c>
      <c r="E195">
        <v>17</v>
      </c>
      <c r="F195" t="s">
        <v>148</v>
      </c>
      <c r="G195">
        <v>20140101</v>
      </c>
      <c r="H195">
        <v>22000101</v>
      </c>
    </row>
    <row r="196" spans="1:9" x14ac:dyDescent="0.25">
      <c r="A196">
        <v>4</v>
      </c>
      <c r="B196">
        <v>21</v>
      </c>
      <c r="C196" t="s">
        <v>2596</v>
      </c>
      <c r="D196" s="29" t="s">
        <v>2555</v>
      </c>
      <c r="E196">
        <v>19</v>
      </c>
      <c r="F196" t="s">
        <v>148</v>
      </c>
      <c r="G196">
        <v>20170801</v>
      </c>
      <c r="H196">
        <v>22000101</v>
      </c>
      <c r="I196" t="s">
        <v>2571</v>
      </c>
    </row>
    <row r="197" spans="1:9" x14ac:dyDescent="0.25">
      <c r="A197">
        <v>4</v>
      </c>
      <c r="B197">
        <v>21</v>
      </c>
      <c r="C197" t="s">
        <v>2596</v>
      </c>
      <c r="D197" s="29" t="s">
        <v>2555</v>
      </c>
      <c r="E197">
        <v>20</v>
      </c>
      <c r="F197" t="s">
        <v>148</v>
      </c>
      <c r="G197">
        <v>20140101</v>
      </c>
      <c r="H197">
        <v>22000101</v>
      </c>
    </row>
    <row r="198" spans="1:9" x14ac:dyDescent="0.25">
      <c r="A198">
        <v>4</v>
      </c>
      <c r="B198">
        <v>21</v>
      </c>
      <c r="C198" t="s">
        <v>2596</v>
      </c>
      <c r="D198" s="29" t="s">
        <v>2555</v>
      </c>
      <c r="E198">
        <v>22</v>
      </c>
      <c r="F198" t="s">
        <v>148</v>
      </c>
      <c r="G198">
        <v>20140101</v>
      </c>
      <c r="H198">
        <v>22000101</v>
      </c>
    </row>
    <row r="199" spans="1:9" x14ac:dyDescent="0.25">
      <c r="A199">
        <v>4</v>
      </c>
      <c r="B199">
        <v>21</v>
      </c>
      <c r="C199" t="s">
        <v>2596</v>
      </c>
      <c r="D199" s="29" t="s">
        <v>2555</v>
      </c>
      <c r="E199">
        <v>23</v>
      </c>
      <c r="F199" t="s">
        <v>148</v>
      </c>
      <c r="G199">
        <v>20140101</v>
      </c>
      <c r="H199">
        <v>22000101</v>
      </c>
    </row>
    <row r="200" spans="1:9" x14ac:dyDescent="0.25">
      <c r="A200">
        <v>4</v>
      </c>
      <c r="B200">
        <v>21</v>
      </c>
      <c r="C200" t="s">
        <v>2596</v>
      </c>
      <c r="D200" s="29" t="s">
        <v>2555</v>
      </c>
      <c r="E200">
        <v>25</v>
      </c>
      <c r="F200" t="s">
        <v>148</v>
      </c>
      <c r="G200">
        <v>20140101</v>
      </c>
      <c r="H200">
        <v>22000101</v>
      </c>
    </row>
    <row r="201" spans="1:9" x14ac:dyDescent="0.25">
      <c r="A201">
        <v>4</v>
      </c>
      <c r="B201">
        <v>21</v>
      </c>
      <c r="C201" t="s">
        <v>2596</v>
      </c>
      <c r="D201" s="29" t="s">
        <v>2555</v>
      </c>
      <c r="E201">
        <v>26</v>
      </c>
      <c r="F201" t="s">
        <v>148</v>
      </c>
      <c r="G201">
        <v>20140101</v>
      </c>
      <c r="H201">
        <v>22000101</v>
      </c>
    </row>
    <row r="202" spans="1:9" x14ac:dyDescent="0.25">
      <c r="A202">
        <v>4</v>
      </c>
      <c r="B202">
        <v>21</v>
      </c>
      <c r="C202" t="s">
        <v>2596</v>
      </c>
      <c r="D202" s="29" t="s">
        <v>2555</v>
      </c>
      <c r="E202">
        <v>27</v>
      </c>
      <c r="F202" t="s">
        <v>148</v>
      </c>
      <c r="G202">
        <v>20140101</v>
      </c>
      <c r="H202">
        <v>22000101</v>
      </c>
    </row>
    <row r="203" spans="1:9" x14ac:dyDescent="0.25">
      <c r="A203">
        <v>4</v>
      </c>
      <c r="B203">
        <v>21</v>
      </c>
      <c r="C203" t="s">
        <v>2596</v>
      </c>
      <c r="D203" s="29" t="s">
        <v>2555</v>
      </c>
      <c r="E203">
        <v>29</v>
      </c>
      <c r="F203" t="s">
        <v>148</v>
      </c>
      <c r="G203">
        <v>20140101</v>
      </c>
      <c r="H203">
        <v>22000101</v>
      </c>
    </row>
    <row r="204" spans="1:9" x14ac:dyDescent="0.25">
      <c r="A204">
        <v>4</v>
      </c>
      <c r="B204">
        <v>21</v>
      </c>
      <c r="C204" t="s">
        <v>2596</v>
      </c>
      <c r="D204" s="29" t="s">
        <v>2555</v>
      </c>
      <c r="E204">
        <v>30</v>
      </c>
      <c r="F204" t="s">
        <v>148</v>
      </c>
      <c r="G204">
        <v>20140101</v>
      </c>
      <c r="H204">
        <v>22000101</v>
      </c>
    </row>
    <row r="205" spans="1:9" x14ac:dyDescent="0.25">
      <c r="A205">
        <v>4</v>
      </c>
      <c r="B205">
        <v>21</v>
      </c>
      <c r="C205" t="s">
        <v>2596</v>
      </c>
      <c r="D205" s="29" t="s">
        <v>2555</v>
      </c>
      <c r="E205">
        <v>31</v>
      </c>
      <c r="F205" t="s">
        <v>148</v>
      </c>
      <c r="G205">
        <v>20140101</v>
      </c>
      <c r="H205">
        <v>22000101</v>
      </c>
    </row>
    <row r="206" spans="1:9" x14ac:dyDescent="0.25">
      <c r="A206">
        <v>4</v>
      </c>
      <c r="B206">
        <v>21</v>
      </c>
      <c r="C206" t="s">
        <v>2596</v>
      </c>
      <c r="D206" s="29" t="s">
        <v>2555</v>
      </c>
      <c r="E206">
        <v>32</v>
      </c>
      <c r="F206" t="s">
        <v>148</v>
      </c>
      <c r="G206">
        <v>20140101</v>
      </c>
      <c r="H206">
        <v>22000101</v>
      </c>
      <c r="I206" t="s">
        <v>2572</v>
      </c>
    </row>
    <row r="207" spans="1:9" x14ac:dyDescent="0.25">
      <c r="A207">
        <v>4</v>
      </c>
      <c r="B207">
        <v>21</v>
      </c>
      <c r="C207" t="s">
        <v>2596</v>
      </c>
      <c r="D207" s="29" t="s">
        <v>2555</v>
      </c>
      <c r="E207">
        <v>33</v>
      </c>
      <c r="F207" t="s">
        <v>148</v>
      </c>
      <c r="G207">
        <v>20140101</v>
      </c>
      <c r="H207">
        <v>22000101</v>
      </c>
    </row>
    <row r="208" spans="1:9" x14ac:dyDescent="0.25">
      <c r="A208">
        <v>4</v>
      </c>
      <c r="B208">
        <v>21</v>
      </c>
      <c r="C208" t="s">
        <v>2596</v>
      </c>
      <c r="D208" s="29" t="s">
        <v>2555</v>
      </c>
      <c r="E208">
        <v>34</v>
      </c>
      <c r="F208" t="s">
        <v>148</v>
      </c>
      <c r="G208">
        <v>20140101</v>
      </c>
      <c r="H208">
        <v>22000101</v>
      </c>
    </row>
    <row r="209" spans="1:8" x14ac:dyDescent="0.25">
      <c r="A209">
        <v>4</v>
      </c>
      <c r="B209">
        <v>21</v>
      </c>
      <c r="C209" t="s">
        <v>2596</v>
      </c>
      <c r="D209" s="29" t="s">
        <v>2555</v>
      </c>
      <c r="E209">
        <v>35</v>
      </c>
      <c r="F209" t="s">
        <v>148</v>
      </c>
      <c r="G209">
        <v>20140101</v>
      </c>
      <c r="H209">
        <v>22000101</v>
      </c>
    </row>
    <row r="210" spans="1:8" x14ac:dyDescent="0.25">
      <c r="A210">
        <v>4</v>
      </c>
      <c r="B210">
        <v>21</v>
      </c>
      <c r="C210" t="s">
        <v>2596</v>
      </c>
      <c r="D210" s="29" t="s">
        <v>2555</v>
      </c>
      <c r="E210">
        <v>36</v>
      </c>
      <c r="F210" t="s">
        <v>148</v>
      </c>
      <c r="G210">
        <v>20140101</v>
      </c>
      <c r="H210">
        <v>22000101</v>
      </c>
    </row>
    <row r="211" spans="1:8" x14ac:dyDescent="0.25">
      <c r="A211">
        <v>4</v>
      </c>
      <c r="B211">
        <v>21</v>
      </c>
      <c r="C211" t="s">
        <v>2596</v>
      </c>
      <c r="D211" s="29" t="s">
        <v>2555</v>
      </c>
      <c r="E211">
        <v>38</v>
      </c>
      <c r="F211" t="s">
        <v>148</v>
      </c>
      <c r="G211">
        <v>20140101</v>
      </c>
      <c r="H211">
        <v>22000101</v>
      </c>
    </row>
    <row r="212" spans="1:8" x14ac:dyDescent="0.25">
      <c r="A212">
        <v>4</v>
      </c>
      <c r="B212">
        <v>21</v>
      </c>
      <c r="C212" t="s">
        <v>2596</v>
      </c>
      <c r="D212" s="29" t="s">
        <v>2555</v>
      </c>
      <c r="E212">
        <v>39</v>
      </c>
      <c r="F212" t="s">
        <v>148</v>
      </c>
      <c r="G212">
        <v>20140101</v>
      </c>
      <c r="H212">
        <v>22000101</v>
      </c>
    </row>
    <row r="213" spans="1:8" x14ac:dyDescent="0.25">
      <c r="A213">
        <v>4</v>
      </c>
      <c r="B213">
        <v>21</v>
      </c>
      <c r="C213" t="s">
        <v>2596</v>
      </c>
      <c r="D213" s="29" t="s">
        <v>2555</v>
      </c>
      <c r="E213">
        <v>40</v>
      </c>
      <c r="F213" t="s">
        <v>148</v>
      </c>
      <c r="G213">
        <v>20140101</v>
      </c>
      <c r="H213">
        <v>22000101</v>
      </c>
    </row>
    <row r="214" spans="1:8" x14ac:dyDescent="0.25">
      <c r="A214">
        <v>4</v>
      </c>
      <c r="B214">
        <v>21</v>
      </c>
      <c r="C214" t="s">
        <v>2596</v>
      </c>
      <c r="D214" s="29" t="s">
        <v>2555</v>
      </c>
      <c r="E214">
        <v>41</v>
      </c>
      <c r="F214" t="s">
        <v>148</v>
      </c>
      <c r="G214">
        <v>20140101</v>
      </c>
      <c r="H214">
        <v>22000101</v>
      </c>
    </row>
    <row r="215" spans="1:8" x14ac:dyDescent="0.25">
      <c r="A215">
        <v>4</v>
      </c>
      <c r="B215">
        <v>21</v>
      </c>
      <c r="C215" t="s">
        <v>2596</v>
      </c>
      <c r="D215" s="29" t="s">
        <v>2555</v>
      </c>
      <c r="E215">
        <v>42</v>
      </c>
      <c r="F215" t="s">
        <v>148</v>
      </c>
      <c r="G215">
        <v>20140101</v>
      </c>
      <c r="H215">
        <v>22000101</v>
      </c>
    </row>
    <row r="216" spans="1:8" x14ac:dyDescent="0.25">
      <c r="A216">
        <v>4</v>
      </c>
      <c r="B216">
        <v>21</v>
      </c>
      <c r="C216" t="s">
        <v>2596</v>
      </c>
      <c r="D216" s="29" t="s">
        <v>2555</v>
      </c>
      <c r="E216">
        <v>44</v>
      </c>
      <c r="F216" t="s">
        <v>148</v>
      </c>
      <c r="G216">
        <v>20140101</v>
      </c>
      <c r="H216">
        <v>22000101</v>
      </c>
    </row>
    <row r="217" spans="1:8" x14ac:dyDescent="0.25">
      <c r="A217">
        <v>4</v>
      </c>
      <c r="B217">
        <v>21</v>
      </c>
      <c r="C217" t="s">
        <v>2596</v>
      </c>
      <c r="D217" s="29" t="s">
        <v>2555</v>
      </c>
      <c r="E217">
        <v>45</v>
      </c>
      <c r="F217" t="s">
        <v>148</v>
      </c>
      <c r="G217">
        <v>20140101</v>
      </c>
      <c r="H217">
        <v>22000101</v>
      </c>
    </row>
    <row r="218" spans="1:8" x14ac:dyDescent="0.25">
      <c r="A218">
        <v>4</v>
      </c>
      <c r="B218">
        <v>21</v>
      </c>
      <c r="C218" t="s">
        <v>2596</v>
      </c>
      <c r="D218" s="29" t="s">
        <v>2555</v>
      </c>
      <c r="E218">
        <v>46</v>
      </c>
      <c r="F218" t="s">
        <v>148</v>
      </c>
      <c r="G218">
        <v>20140101</v>
      </c>
      <c r="H218">
        <v>22000101</v>
      </c>
    </row>
    <row r="219" spans="1:8" x14ac:dyDescent="0.25">
      <c r="A219">
        <v>4</v>
      </c>
      <c r="B219">
        <v>21</v>
      </c>
      <c r="C219" t="s">
        <v>2596</v>
      </c>
      <c r="D219" s="29" t="s">
        <v>2555</v>
      </c>
      <c r="E219">
        <v>47</v>
      </c>
      <c r="F219" t="s">
        <v>148</v>
      </c>
      <c r="G219">
        <v>20140101</v>
      </c>
      <c r="H219">
        <v>22000101</v>
      </c>
    </row>
    <row r="220" spans="1:8" x14ac:dyDescent="0.25">
      <c r="A220">
        <v>4</v>
      </c>
      <c r="B220">
        <v>21</v>
      </c>
      <c r="C220" t="s">
        <v>2596</v>
      </c>
      <c r="D220" s="29" t="s">
        <v>2555</v>
      </c>
      <c r="E220">
        <v>48</v>
      </c>
      <c r="F220" t="s">
        <v>148</v>
      </c>
      <c r="G220">
        <v>20140101</v>
      </c>
      <c r="H220">
        <v>22000101</v>
      </c>
    </row>
    <row r="221" spans="1:8" x14ac:dyDescent="0.25">
      <c r="A221">
        <v>4</v>
      </c>
      <c r="B221">
        <v>21</v>
      </c>
      <c r="C221" t="s">
        <v>2596</v>
      </c>
      <c r="D221" s="29" t="s">
        <v>2555</v>
      </c>
      <c r="E221">
        <v>49</v>
      </c>
      <c r="F221" t="s">
        <v>148</v>
      </c>
      <c r="G221">
        <v>20140101</v>
      </c>
      <c r="H221">
        <v>22000101</v>
      </c>
    </row>
    <row r="222" spans="1:8" x14ac:dyDescent="0.25">
      <c r="A222">
        <v>4</v>
      </c>
      <c r="B222">
        <v>21</v>
      </c>
      <c r="C222" t="s">
        <v>2596</v>
      </c>
      <c r="D222" s="29" t="s">
        <v>2555</v>
      </c>
      <c r="E222">
        <v>52</v>
      </c>
      <c r="F222" t="s">
        <v>148</v>
      </c>
      <c r="G222">
        <v>20140101</v>
      </c>
      <c r="H222">
        <v>22000101</v>
      </c>
    </row>
    <row r="223" spans="1:8" x14ac:dyDescent="0.25">
      <c r="A223">
        <v>4</v>
      </c>
      <c r="B223">
        <v>21</v>
      </c>
      <c r="C223" t="s">
        <v>2596</v>
      </c>
      <c r="D223" s="29" t="s">
        <v>2555</v>
      </c>
      <c r="E223">
        <v>54</v>
      </c>
      <c r="F223" t="s">
        <v>148</v>
      </c>
      <c r="G223">
        <v>20140101</v>
      </c>
      <c r="H223">
        <v>22000101</v>
      </c>
    </row>
    <row r="224" spans="1:8" x14ac:dyDescent="0.25">
      <c r="A224">
        <v>4</v>
      </c>
      <c r="B224">
        <v>21</v>
      </c>
      <c r="C224" t="s">
        <v>2596</v>
      </c>
      <c r="D224" s="29" t="s">
        <v>2555</v>
      </c>
      <c r="E224">
        <v>56</v>
      </c>
      <c r="F224" t="s">
        <v>148</v>
      </c>
      <c r="G224">
        <v>20140101</v>
      </c>
      <c r="H224">
        <v>22000101</v>
      </c>
    </row>
    <row r="225" spans="1:9" x14ac:dyDescent="0.25">
      <c r="A225">
        <v>4</v>
      </c>
      <c r="B225">
        <v>21</v>
      </c>
      <c r="C225" t="s">
        <v>2596</v>
      </c>
      <c r="D225" s="29" t="s">
        <v>2555</v>
      </c>
      <c r="E225">
        <v>57</v>
      </c>
      <c r="F225" t="s">
        <v>148</v>
      </c>
      <c r="G225">
        <v>20140101</v>
      </c>
      <c r="H225">
        <v>22000101</v>
      </c>
    </row>
    <row r="226" spans="1:9" x14ac:dyDescent="0.25">
      <c r="A226">
        <v>4</v>
      </c>
      <c r="B226">
        <v>21</v>
      </c>
      <c r="C226" t="s">
        <v>2596</v>
      </c>
      <c r="D226" s="29" t="s">
        <v>2555</v>
      </c>
      <c r="E226">
        <v>58</v>
      </c>
      <c r="F226" t="s">
        <v>148</v>
      </c>
      <c r="G226">
        <v>20140101</v>
      </c>
      <c r="H226">
        <v>22000101</v>
      </c>
    </row>
    <row r="227" spans="1:9" x14ac:dyDescent="0.25">
      <c r="A227">
        <v>4</v>
      </c>
      <c r="B227">
        <v>21</v>
      </c>
      <c r="C227" t="s">
        <v>2596</v>
      </c>
      <c r="D227" s="29" t="s">
        <v>2555</v>
      </c>
      <c r="E227">
        <v>59</v>
      </c>
      <c r="F227" t="s">
        <v>148</v>
      </c>
      <c r="G227">
        <v>20140101</v>
      </c>
      <c r="H227">
        <v>22000101</v>
      </c>
    </row>
    <row r="228" spans="1:9" x14ac:dyDescent="0.25">
      <c r="A228" s="22">
        <v>4</v>
      </c>
      <c r="B228" s="22">
        <v>21</v>
      </c>
      <c r="C228" s="22" t="s">
        <v>2596</v>
      </c>
      <c r="D228" s="30" t="s">
        <v>2555</v>
      </c>
      <c r="E228" s="22">
        <v>60</v>
      </c>
      <c r="F228" s="22" t="s">
        <v>148</v>
      </c>
      <c r="G228" s="22">
        <v>20200101</v>
      </c>
      <c r="H228" s="22">
        <v>22000101</v>
      </c>
      <c r="I228" s="22" t="s">
        <v>2557</v>
      </c>
    </row>
    <row r="229" spans="1:9" x14ac:dyDescent="0.25">
      <c r="A229">
        <v>4</v>
      </c>
      <c r="B229">
        <v>21</v>
      </c>
      <c r="C229" t="s">
        <v>2596</v>
      </c>
      <c r="D229" s="29" t="s">
        <v>2555</v>
      </c>
      <c r="E229">
        <v>61</v>
      </c>
      <c r="F229" t="s">
        <v>148</v>
      </c>
      <c r="G229">
        <v>20140101</v>
      </c>
      <c r="H229">
        <v>22000101</v>
      </c>
    </row>
    <row r="230" spans="1:9" x14ac:dyDescent="0.25">
      <c r="A230">
        <v>4</v>
      </c>
      <c r="B230">
        <v>21</v>
      </c>
      <c r="C230" t="s">
        <v>2596</v>
      </c>
      <c r="D230" s="29" t="s">
        <v>2555</v>
      </c>
      <c r="E230">
        <v>62</v>
      </c>
      <c r="F230" t="s">
        <v>148</v>
      </c>
      <c r="G230">
        <v>20140101</v>
      </c>
      <c r="H230">
        <v>22000101</v>
      </c>
    </row>
    <row r="231" spans="1:9" x14ac:dyDescent="0.25">
      <c r="A231">
        <v>4</v>
      </c>
      <c r="B231">
        <v>21</v>
      </c>
      <c r="C231" t="s">
        <v>2596</v>
      </c>
      <c r="D231" s="29" t="s">
        <v>2555</v>
      </c>
      <c r="E231">
        <v>65</v>
      </c>
      <c r="F231" t="s">
        <v>148</v>
      </c>
      <c r="G231">
        <v>20140101</v>
      </c>
      <c r="H231">
        <v>22000101</v>
      </c>
    </row>
    <row r="232" spans="1:9" x14ac:dyDescent="0.25">
      <c r="A232">
        <v>4</v>
      </c>
      <c r="B232">
        <v>21</v>
      </c>
      <c r="C232" t="s">
        <v>2596</v>
      </c>
      <c r="D232" s="29" t="s">
        <v>2555</v>
      </c>
      <c r="E232">
        <v>70</v>
      </c>
      <c r="F232" t="s">
        <v>148</v>
      </c>
      <c r="G232">
        <v>20140101</v>
      </c>
      <c r="H232">
        <v>22000101</v>
      </c>
    </row>
    <row r="233" spans="1:9" x14ac:dyDescent="0.25">
      <c r="A233">
        <v>4</v>
      </c>
      <c r="B233">
        <v>21</v>
      </c>
      <c r="C233" t="s">
        <v>2596</v>
      </c>
      <c r="D233" s="29" t="s">
        <v>2555</v>
      </c>
      <c r="E233">
        <v>71</v>
      </c>
      <c r="F233" t="s">
        <v>148</v>
      </c>
      <c r="G233">
        <v>20140101</v>
      </c>
      <c r="H233">
        <v>22000101</v>
      </c>
    </row>
    <row r="234" spans="1:9" x14ac:dyDescent="0.25">
      <c r="A234">
        <v>4</v>
      </c>
      <c r="B234">
        <v>21</v>
      </c>
      <c r="C234" t="s">
        <v>2596</v>
      </c>
      <c r="D234" s="29" t="s">
        <v>2555</v>
      </c>
      <c r="E234">
        <v>72</v>
      </c>
      <c r="F234" t="s">
        <v>148</v>
      </c>
      <c r="G234">
        <v>20140101</v>
      </c>
      <c r="H234">
        <v>22000101</v>
      </c>
    </row>
    <row r="235" spans="1:9" x14ac:dyDescent="0.25">
      <c r="A235">
        <v>4</v>
      </c>
      <c r="B235">
        <v>21</v>
      </c>
      <c r="C235" t="s">
        <v>2596</v>
      </c>
      <c r="D235" s="29" t="s">
        <v>2555</v>
      </c>
      <c r="E235">
        <v>74</v>
      </c>
      <c r="F235" t="s">
        <v>148</v>
      </c>
      <c r="G235">
        <v>20140101</v>
      </c>
      <c r="H235">
        <v>22000101</v>
      </c>
    </row>
    <row r="236" spans="1:9" x14ac:dyDescent="0.25">
      <c r="A236">
        <v>4</v>
      </c>
      <c r="B236">
        <v>21</v>
      </c>
      <c r="C236" t="s">
        <v>2596</v>
      </c>
      <c r="D236" s="29" t="s">
        <v>2555</v>
      </c>
      <c r="E236">
        <v>82</v>
      </c>
      <c r="F236" t="s">
        <v>148</v>
      </c>
      <c r="G236">
        <v>20140101</v>
      </c>
      <c r="H236">
        <v>22000101</v>
      </c>
    </row>
    <row r="237" spans="1:9" x14ac:dyDescent="0.25">
      <c r="A237">
        <v>4</v>
      </c>
      <c r="B237">
        <v>22</v>
      </c>
      <c r="C237" t="s">
        <v>2597</v>
      </c>
      <c r="D237" s="29" t="s">
        <v>2555</v>
      </c>
      <c r="E237">
        <v>52</v>
      </c>
      <c r="F237" t="s">
        <v>153</v>
      </c>
      <c r="G237">
        <v>20140101</v>
      </c>
      <c r="H237">
        <v>22000101</v>
      </c>
    </row>
    <row r="238" spans="1:9" x14ac:dyDescent="0.25">
      <c r="A238">
        <v>4</v>
      </c>
      <c r="B238">
        <v>22</v>
      </c>
      <c r="C238" t="s">
        <v>2597</v>
      </c>
      <c r="D238" s="29" t="s">
        <v>2555</v>
      </c>
      <c r="E238">
        <v>54</v>
      </c>
      <c r="F238" t="s">
        <v>153</v>
      </c>
      <c r="G238">
        <v>20140101</v>
      </c>
      <c r="H238">
        <v>22000101</v>
      </c>
    </row>
    <row r="239" spans="1:9" x14ac:dyDescent="0.25">
      <c r="A239">
        <v>4</v>
      </c>
      <c r="B239">
        <v>22</v>
      </c>
      <c r="C239" t="s">
        <v>2597</v>
      </c>
      <c r="D239" s="29" t="s">
        <v>2555</v>
      </c>
      <c r="E239">
        <v>56</v>
      </c>
      <c r="F239" t="s">
        <v>153</v>
      </c>
      <c r="G239">
        <v>20140101</v>
      </c>
      <c r="H239">
        <v>22000101</v>
      </c>
    </row>
    <row r="240" spans="1:9" x14ac:dyDescent="0.25">
      <c r="A240">
        <v>4</v>
      </c>
      <c r="B240">
        <v>22</v>
      </c>
      <c r="C240" t="s">
        <v>2597</v>
      </c>
      <c r="D240" s="29" t="s">
        <v>2555</v>
      </c>
      <c r="E240">
        <v>57</v>
      </c>
      <c r="F240" t="s">
        <v>153</v>
      </c>
      <c r="G240">
        <v>20140101</v>
      </c>
      <c r="H240">
        <v>22000101</v>
      </c>
    </row>
    <row r="241" spans="1:9" x14ac:dyDescent="0.25">
      <c r="A241">
        <v>4</v>
      </c>
      <c r="B241">
        <v>22</v>
      </c>
      <c r="C241" t="s">
        <v>2597</v>
      </c>
      <c r="D241" s="29" t="s">
        <v>2555</v>
      </c>
      <c r="E241">
        <v>58</v>
      </c>
      <c r="F241" t="s">
        <v>153</v>
      </c>
      <c r="G241">
        <v>20140101</v>
      </c>
      <c r="H241">
        <v>22000101</v>
      </c>
    </row>
    <row r="242" spans="1:9" x14ac:dyDescent="0.25">
      <c r="A242">
        <v>4</v>
      </c>
      <c r="B242">
        <v>22</v>
      </c>
      <c r="C242" t="s">
        <v>2597</v>
      </c>
      <c r="D242" s="29" t="s">
        <v>2555</v>
      </c>
      <c r="E242">
        <v>59</v>
      </c>
      <c r="F242" t="s">
        <v>153</v>
      </c>
      <c r="G242">
        <v>20140101</v>
      </c>
      <c r="H242">
        <v>22000101</v>
      </c>
    </row>
    <row r="243" spans="1:9" x14ac:dyDescent="0.25">
      <c r="A243" s="22">
        <v>4</v>
      </c>
      <c r="B243" s="22">
        <v>22</v>
      </c>
      <c r="C243" s="22" t="s">
        <v>2597</v>
      </c>
      <c r="D243" s="30" t="s">
        <v>2555</v>
      </c>
      <c r="E243" s="22">
        <v>60</v>
      </c>
      <c r="F243" s="22" t="s">
        <v>153</v>
      </c>
      <c r="G243" s="22">
        <v>20200101</v>
      </c>
      <c r="H243" s="22">
        <v>22000101</v>
      </c>
      <c r="I243" s="22" t="s">
        <v>2557</v>
      </c>
    </row>
    <row r="244" spans="1:9" x14ac:dyDescent="0.25">
      <c r="A244">
        <v>4</v>
      </c>
      <c r="B244">
        <v>22</v>
      </c>
      <c r="C244" t="s">
        <v>2597</v>
      </c>
      <c r="D244" s="29" t="s">
        <v>2555</v>
      </c>
      <c r="E244">
        <v>61</v>
      </c>
      <c r="F244" t="s">
        <v>153</v>
      </c>
      <c r="G244">
        <v>20140101</v>
      </c>
      <c r="H244">
        <v>22000101</v>
      </c>
    </row>
    <row r="245" spans="1:9" x14ac:dyDescent="0.25">
      <c r="A245">
        <v>4</v>
      </c>
      <c r="B245">
        <v>22</v>
      </c>
      <c r="C245" t="s">
        <v>2597</v>
      </c>
      <c r="D245" s="29" t="s">
        <v>2555</v>
      </c>
      <c r="E245">
        <v>62</v>
      </c>
      <c r="F245" t="s">
        <v>153</v>
      </c>
      <c r="G245">
        <v>20140101</v>
      </c>
      <c r="H245">
        <v>22000101</v>
      </c>
    </row>
    <row r="246" spans="1:9" x14ac:dyDescent="0.25">
      <c r="A246">
        <v>4</v>
      </c>
      <c r="B246">
        <v>22</v>
      </c>
      <c r="C246" t="s">
        <v>2597</v>
      </c>
      <c r="D246" s="29" t="s">
        <v>2555</v>
      </c>
      <c r="E246">
        <v>65</v>
      </c>
      <c r="F246" t="s">
        <v>153</v>
      </c>
      <c r="G246">
        <v>20140101</v>
      </c>
      <c r="H246">
        <v>22000101</v>
      </c>
    </row>
    <row r="247" spans="1:9" x14ac:dyDescent="0.25">
      <c r="A247">
        <v>4</v>
      </c>
      <c r="B247">
        <v>23</v>
      </c>
      <c r="C247" t="s">
        <v>2598</v>
      </c>
      <c r="D247" s="29" t="s">
        <v>2555</v>
      </c>
      <c r="E247">
        <v>52</v>
      </c>
      <c r="F247" t="s">
        <v>157</v>
      </c>
      <c r="G247">
        <v>20140101</v>
      </c>
      <c r="H247">
        <v>22000101</v>
      </c>
    </row>
    <row r="248" spans="1:9" x14ac:dyDescent="0.25">
      <c r="A248">
        <v>4</v>
      </c>
      <c r="B248">
        <v>23</v>
      </c>
      <c r="C248" t="s">
        <v>2598</v>
      </c>
      <c r="D248" s="29" t="s">
        <v>2555</v>
      </c>
      <c r="E248">
        <v>54</v>
      </c>
      <c r="F248" t="s">
        <v>157</v>
      </c>
      <c r="G248">
        <v>20140101</v>
      </c>
      <c r="H248">
        <v>22000101</v>
      </c>
    </row>
    <row r="249" spans="1:9" x14ac:dyDescent="0.25">
      <c r="A249">
        <v>4</v>
      </c>
      <c r="B249">
        <v>23</v>
      </c>
      <c r="C249" t="s">
        <v>2598</v>
      </c>
      <c r="D249" s="29" t="s">
        <v>2555</v>
      </c>
      <c r="E249">
        <v>56</v>
      </c>
      <c r="F249" t="s">
        <v>157</v>
      </c>
      <c r="G249">
        <v>20140101</v>
      </c>
      <c r="H249">
        <v>22000101</v>
      </c>
    </row>
    <row r="250" spans="1:9" x14ac:dyDescent="0.25">
      <c r="A250">
        <v>4</v>
      </c>
      <c r="B250">
        <v>23</v>
      </c>
      <c r="C250" t="s">
        <v>2598</v>
      </c>
      <c r="D250" s="29" t="s">
        <v>2555</v>
      </c>
      <c r="E250">
        <v>57</v>
      </c>
      <c r="F250" t="s">
        <v>157</v>
      </c>
      <c r="G250">
        <v>20140101</v>
      </c>
      <c r="H250">
        <v>22000101</v>
      </c>
    </row>
    <row r="251" spans="1:9" x14ac:dyDescent="0.25">
      <c r="A251">
        <v>4</v>
      </c>
      <c r="B251">
        <v>23</v>
      </c>
      <c r="C251" t="s">
        <v>2598</v>
      </c>
      <c r="D251" s="29" t="s">
        <v>2555</v>
      </c>
      <c r="E251">
        <v>58</v>
      </c>
      <c r="F251" t="s">
        <v>157</v>
      </c>
      <c r="G251">
        <v>20140101</v>
      </c>
      <c r="H251">
        <v>22000101</v>
      </c>
    </row>
    <row r="252" spans="1:9" x14ac:dyDescent="0.25">
      <c r="A252">
        <v>4</v>
      </c>
      <c r="B252">
        <v>23</v>
      </c>
      <c r="C252" t="s">
        <v>2598</v>
      </c>
      <c r="D252" s="29" t="s">
        <v>2555</v>
      </c>
      <c r="E252">
        <v>59</v>
      </c>
      <c r="F252" t="s">
        <v>157</v>
      </c>
      <c r="G252">
        <v>20140101</v>
      </c>
      <c r="H252">
        <v>22000101</v>
      </c>
    </row>
    <row r="253" spans="1:9" x14ac:dyDescent="0.25">
      <c r="A253" s="22">
        <v>4</v>
      </c>
      <c r="B253" s="22">
        <v>23</v>
      </c>
      <c r="C253" s="22" t="s">
        <v>2598</v>
      </c>
      <c r="D253" s="30" t="s">
        <v>2555</v>
      </c>
      <c r="E253" s="22">
        <v>60</v>
      </c>
      <c r="F253" s="22" t="s">
        <v>157</v>
      </c>
      <c r="G253" s="22">
        <v>20200101</v>
      </c>
      <c r="H253" s="22">
        <v>22000101</v>
      </c>
      <c r="I253" s="22" t="s">
        <v>2557</v>
      </c>
    </row>
    <row r="254" spans="1:9" x14ac:dyDescent="0.25">
      <c r="A254">
        <v>4</v>
      </c>
      <c r="B254">
        <v>23</v>
      </c>
      <c r="C254" t="s">
        <v>2598</v>
      </c>
      <c r="D254" s="29" t="s">
        <v>2555</v>
      </c>
      <c r="E254">
        <v>61</v>
      </c>
      <c r="F254" t="s">
        <v>157</v>
      </c>
      <c r="G254">
        <v>20140101</v>
      </c>
      <c r="H254">
        <v>22000101</v>
      </c>
    </row>
    <row r="255" spans="1:9" x14ac:dyDescent="0.25">
      <c r="A255">
        <v>4</v>
      </c>
      <c r="B255">
        <v>23</v>
      </c>
      <c r="C255" t="s">
        <v>2598</v>
      </c>
      <c r="D255" s="29" t="s">
        <v>2555</v>
      </c>
      <c r="E255">
        <v>62</v>
      </c>
      <c r="F255" t="s">
        <v>157</v>
      </c>
      <c r="G255">
        <v>20140101</v>
      </c>
      <c r="H255">
        <v>22000101</v>
      </c>
    </row>
    <row r="256" spans="1:9" x14ac:dyDescent="0.25">
      <c r="A256">
        <v>4</v>
      </c>
      <c r="B256">
        <v>23</v>
      </c>
      <c r="C256" t="s">
        <v>2598</v>
      </c>
      <c r="D256" s="29" t="s">
        <v>2555</v>
      </c>
      <c r="E256">
        <v>65</v>
      </c>
      <c r="F256" t="s">
        <v>157</v>
      </c>
      <c r="G256">
        <v>20140101</v>
      </c>
      <c r="H256">
        <v>22000101</v>
      </c>
    </row>
    <row r="257" spans="1:8" x14ac:dyDescent="0.25">
      <c r="A257">
        <v>4</v>
      </c>
      <c r="B257">
        <v>24</v>
      </c>
      <c r="C257" t="s">
        <v>2599</v>
      </c>
      <c r="D257" s="29" t="s">
        <v>2555</v>
      </c>
      <c r="E257">
        <v>1</v>
      </c>
      <c r="F257" t="s">
        <v>161</v>
      </c>
      <c r="G257">
        <v>20140101</v>
      </c>
      <c r="H257">
        <v>22000101</v>
      </c>
    </row>
    <row r="258" spans="1:8" x14ac:dyDescent="0.25">
      <c r="A258">
        <v>4</v>
      </c>
      <c r="B258">
        <v>24</v>
      </c>
      <c r="C258" t="s">
        <v>2599</v>
      </c>
      <c r="D258" s="29" t="s">
        <v>2555</v>
      </c>
      <c r="E258">
        <v>2</v>
      </c>
      <c r="F258" t="s">
        <v>161</v>
      </c>
      <c r="G258">
        <v>20140101</v>
      </c>
      <c r="H258">
        <v>22000101</v>
      </c>
    </row>
    <row r="259" spans="1:8" x14ac:dyDescent="0.25">
      <c r="A259">
        <v>4</v>
      </c>
      <c r="B259">
        <v>24</v>
      </c>
      <c r="C259" t="s">
        <v>2599</v>
      </c>
      <c r="D259" s="29" t="s">
        <v>2555</v>
      </c>
      <c r="E259">
        <v>3</v>
      </c>
      <c r="F259" t="s">
        <v>161</v>
      </c>
      <c r="G259">
        <v>20140101</v>
      </c>
      <c r="H259">
        <v>22000101</v>
      </c>
    </row>
    <row r="260" spans="1:8" x14ac:dyDescent="0.25">
      <c r="A260">
        <v>4</v>
      </c>
      <c r="B260">
        <v>24</v>
      </c>
      <c r="C260" t="s">
        <v>2599</v>
      </c>
      <c r="D260" s="29" t="s">
        <v>2555</v>
      </c>
      <c r="E260">
        <v>4</v>
      </c>
      <c r="F260" t="s">
        <v>161</v>
      </c>
      <c r="G260">
        <v>20140101</v>
      </c>
      <c r="H260">
        <v>22000101</v>
      </c>
    </row>
    <row r="261" spans="1:8" x14ac:dyDescent="0.25">
      <c r="A261">
        <v>4</v>
      </c>
      <c r="B261">
        <v>24</v>
      </c>
      <c r="C261" t="s">
        <v>2599</v>
      </c>
      <c r="D261" s="29" t="s">
        <v>2555</v>
      </c>
      <c r="E261">
        <v>5</v>
      </c>
      <c r="F261" t="s">
        <v>161</v>
      </c>
      <c r="G261">
        <v>20140101</v>
      </c>
      <c r="H261">
        <v>22000101</v>
      </c>
    </row>
    <row r="262" spans="1:8" x14ac:dyDescent="0.25">
      <c r="A262">
        <v>4</v>
      </c>
      <c r="B262">
        <v>24</v>
      </c>
      <c r="C262" t="s">
        <v>2599</v>
      </c>
      <c r="D262" s="29" t="s">
        <v>2555</v>
      </c>
      <c r="E262">
        <v>6</v>
      </c>
      <c r="F262" t="s">
        <v>161</v>
      </c>
      <c r="G262">
        <v>20140101</v>
      </c>
      <c r="H262">
        <v>22000101</v>
      </c>
    </row>
    <row r="263" spans="1:8" x14ac:dyDescent="0.25">
      <c r="A263">
        <v>4</v>
      </c>
      <c r="B263">
        <v>24</v>
      </c>
      <c r="C263" t="s">
        <v>2599</v>
      </c>
      <c r="D263" s="29" t="s">
        <v>2555</v>
      </c>
      <c r="E263">
        <v>7</v>
      </c>
      <c r="F263" t="s">
        <v>161</v>
      </c>
      <c r="G263">
        <v>20140101</v>
      </c>
      <c r="H263">
        <v>22000101</v>
      </c>
    </row>
    <row r="264" spans="1:8" x14ac:dyDescent="0.25">
      <c r="A264">
        <v>4</v>
      </c>
      <c r="B264">
        <v>24</v>
      </c>
      <c r="C264" t="s">
        <v>2599</v>
      </c>
      <c r="D264" s="29" t="s">
        <v>2555</v>
      </c>
      <c r="E264">
        <v>8</v>
      </c>
      <c r="F264" t="s">
        <v>161</v>
      </c>
      <c r="G264">
        <v>20140101</v>
      </c>
      <c r="H264">
        <v>22000101</v>
      </c>
    </row>
    <row r="265" spans="1:8" x14ac:dyDescent="0.25">
      <c r="A265">
        <v>4</v>
      </c>
      <c r="B265">
        <v>24</v>
      </c>
      <c r="C265" t="s">
        <v>2599</v>
      </c>
      <c r="D265" s="29" t="s">
        <v>2555</v>
      </c>
      <c r="E265">
        <v>9</v>
      </c>
      <c r="F265" t="s">
        <v>161</v>
      </c>
      <c r="G265">
        <v>20140101</v>
      </c>
      <c r="H265">
        <v>22000101</v>
      </c>
    </row>
    <row r="266" spans="1:8" x14ac:dyDescent="0.25">
      <c r="A266">
        <v>4</v>
      </c>
      <c r="B266">
        <v>24</v>
      </c>
      <c r="C266" t="s">
        <v>2599</v>
      </c>
      <c r="D266" s="29" t="s">
        <v>2555</v>
      </c>
      <c r="E266">
        <v>10</v>
      </c>
      <c r="F266" t="s">
        <v>161</v>
      </c>
      <c r="G266">
        <v>20140101</v>
      </c>
      <c r="H266">
        <v>22000101</v>
      </c>
    </row>
    <row r="267" spans="1:8" x14ac:dyDescent="0.25">
      <c r="A267">
        <v>4</v>
      </c>
      <c r="B267">
        <v>24</v>
      </c>
      <c r="C267" t="s">
        <v>2599</v>
      </c>
      <c r="D267" s="29" t="s">
        <v>2555</v>
      </c>
      <c r="E267">
        <v>11</v>
      </c>
      <c r="F267" t="s">
        <v>161</v>
      </c>
      <c r="G267">
        <v>20140101</v>
      </c>
      <c r="H267">
        <v>22000101</v>
      </c>
    </row>
    <row r="268" spans="1:8" x14ac:dyDescent="0.25">
      <c r="A268">
        <v>4</v>
      </c>
      <c r="B268">
        <v>24</v>
      </c>
      <c r="C268" t="s">
        <v>2599</v>
      </c>
      <c r="D268" s="29" t="s">
        <v>2555</v>
      </c>
      <c r="E268">
        <v>12</v>
      </c>
      <c r="F268" t="s">
        <v>161</v>
      </c>
      <c r="G268">
        <v>20140101</v>
      </c>
      <c r="H268">
        <v>22000101</v>
      </c>
    </row>
    <row r="269" spans="1:8" x14ac:dyDescent="0.25">
      <c r="A269">
        <v>4</v>
      </c>
      <c r="B269">
        <v>24</v>
      </c>
      <c r="C269" t="s">
        <v>2599</v>
      </c>
      <c r="D269" s="29" t="s">
        <v>2555</v>
      </c>
      <c r="E269">
        <v>13</v>
      </c>
      <c r="F269" t="s">
        <v>161</v>
      </c>
      <c r="G269">
        <v>20140101</v>
      </c>
      <c r="H269">
        <v>22000101</v>
      </c>
    </row>
    <row r="270" spans="1:8" x14ac:dyDescent="0.25">
      <c r="A270">
        <v>4</v>
      </c>
      <c r="B270">
        <v>24</v>
      </c>
      <c r="C270" t="s">
        <v>2599</v>
      </c>
      <c r="D270" s="29" t="s">
        <v>2555</v>
      </c>
      <c r="E270">
        <v>14</v>
      </c>
      <c r="F270" t="s">
        <v>161</v>
      </c>
      <c r="G270">
        <v>20140101</v>
      </c>
      <c r="H270">
        <v>22000101</v>
      </c>
    </row>
    <row r="271" spans="1:8" x14ac:dyDescent="0.25">
      <c r="A271">
        <v>4</v>
      </c>
      <c r="B271">
        <v>24</v>
      </c>
      <c r="C271" t="s">
        <v>2599</v>
      </c>
      <c r="D271" s="29" t="s">
        <v>2555</v>
      </c>
      <c r="E271">
        <v>15</v>
      </c>
      <c r="F271" t="s">
        <v>161</v>
      </c>
      <c r="G271">
        <v>20140101</v>
      </c>
      <c r="H271">
        <v>22000101</v>
      </c>
    </row>
    <row r="272" spans="1:8" x14ac:dyDescent="0.25">
      <c r="A272">
        <v>4</v>
      </c>
      <c r="B272">
        <v>24</v>
      </c>
      <c r="C272" t="s">
        <v>2599</v>
      </c>
      <c r="D272" s="29" t="s">
        <v>2555</v>
      </c>
      <c r="E272">
        <v>16</v>
      </c>
      <c r="F272" t="s">
        <v>161</v>
      </c>
      <c r="G272">
        <v>20140101</v>
      </c>
      <c r="H272">
        <v>22000101</v>
      </c>
    </row>
    <row r="273" spans="1:8" x14ac:dyDescent="0.25">
      <c r="A273">
        <v>4</v>
      </c>
      <c r="B273">
        <v>24</v>
      </c>
      <c r="C273" t="s">
        <v>2599</v>
      </c>
      <c r="D273" s="29" t="s">
        <v>2555</v>
      </c>
      <c r="E273">
        <v>17</v>
      </c>
      <c r="F273" t="s">
        <v>161</v>
      </c>
      <c r="G273">
        <v>20140101</v>
      </c>
      <c r="H273">
        <v>22000101</v>
      </c>
    </row>
    <row r="274" spans="1:8" x14ac:dyDescent="0.25">
      <c r="A274">
        <v>4</v>
      </c>
      <c r="B274">
        <v>24</v>
      </c>
      <c r="C274" t="s">
        <v>2599</v>
      </c>
      <c r="D274" s="29" t="s">
        <v>2555</v>
      </c>
      <c r="E274">
        <v>18</v>
      </c>
      <c r="F274" t="s">
        <v>161</v>
      </c>
      <c r="G274">
        <v>20140101</v>
      </c>
      <c r="H274">
        <v>22000101</v>
      </c>
    </row>
    <row r="275" spans="1:8" x14ac:dyDescent="0.25">
      <c r="A275">
        <v>4</v>
      </c>
      <c r="B275">
        <v>24</v>
      </c>
      <c r="C275" t="s">
        <v>2599</v>
      </c>
      <c r="D275" s="29" t="s">
        <v>2555</v>
      </c>
      <c r="E275">
        <v>19</v>
      </c>
      <c r="F275" t="s">
        <v>161</v>
      </c>
      <c r="G275">
        <v>20140101</v>
      </c>
      <c r="H275">
        <v>22000101</v>
      </c>
    </row>
    <row r="276" spans="1:8" x14ac:dyDescent="0.25">
      <c r="A276">
        <v>4</v>
      </c>
      <c r="B276">
        <v>24</v>
      </c>
      <c r="C276" t="s">
        <v>2599</v>
      </c>
      <c r="D276" s="29" t="s">
        <v>2555</v>
      </c>
      <c r="E276">
        <v>20</v>
      </c>
      <c r="F276" t="s">
        <v>161</v>
      </c>
      <c r="G276">
        <v>20140101</v>
      </c>
      <c r="H276">
        <v>22000101</v>
      </c>
    </row>
    <row r="277" spans="1:8" x14ac:dyDescent="0.25">
      <c r="A277">
        <v>4</v>
      </c>
      <c r="B277">
        <v>24</v>
      </c>
      <c r="C277" t="s">
        <v>2599</v>
      </c>
      <c r="D277" s="29" t="s">
        <v>2555</v>
      </c>
      <c r="E277">
        <v>21</v>
      </c>
      <c r="F277" t="s">
        <v>161</v>
      </c>
      <c r="G277">
        <v>20140101</v>
      </c>
      <c r="H277">
        <v>22000101</v>
      </c>
    </row>
    <row r="278" spans="1:8" x14ac:dyDescent="0.25">
      <c r="A278">
        <v>4</v>
      </c>
      <c r="B278">
        <v>24</v>
      </c>
      <c r="C278" t="s">
        <v>2599</v>
      </c>
      <c r="D278" s="29" t="s">
        <v>2555</v>
      </c>
      <c r="E278">
        <v>22</v>
      </c>
      <c r="F278" t="s">
        <v>161</v>
      </c>
      <c r="G278">
        <v>20140101</v>
      </c>
      <c r="H278">
        <v>22000101</v>
      </c>
    </row>
    <row r="279" spans="1:8" x14ac:dyDescent="0.25">
      <c r="A279">
        <v>4</v>
      </c>
      <c r="B279">
        <v>24</v>
      </c>
      <c r="C279" t="s">
        <v>2599</v>
      </c>
      <c r="D279" s="29" t="s">
        <v>2555</v>
      </c>
      <c r="E279">
        <v>23</v>
      </c>
      <c r="F279" t="s">
        <v>161</v>
      </c>
      <c r="G279">
        <v>20140101</v>
      </c>
      <c r="H279">
        <v>22000101</v>
      </c>
    </row>
    <row r="280" spans="1:8" x14ac:dyDescent="0.25">
      <c r="A280">
        <v>4</v>
      </c>
      <c r="B280">
        <v>24</v>
      </c>
      <c r="C280" t="s">
        <v>2599</v>
      </c>
      <c r="D280" s="29" t="s">
        <v>2555</v>
      </c>
      <c r="E280">
        <v>24</v>
      </c>
      <c r="F280" t="s">
        <v>161</v>
      </c>
      <c r="G280">
        <v>20140101</v>
      </c>
      <c r="H280">
        <v>22000101</v>
      </c>
    </row>
    <row r="281" spans="1:8" x14ac:dyDescent="0.25">
      <c r="A281">
        <v>4</v>
      </c>
      <c r="B281">
        <v>24</v>
      </c>
      <c r="C281" t="s">
        <v>2599</v>
      </c>
      <c r="D281" s="29" t="s">
        <v>2555</v>
      </c>
      <c r="E281">
        <v>25</v>
      </c>
      <c r="F281" t="s">
        <v>161</v>
      </c>
      <c r="G281">
        <v>20140101</v>
      </c>
      <c r="H281">
        <v>22000101</v>
      </c>
    </row>
    <row r="282" spans="1:8" x14ac:dyDescent="0.25">
      <c r="A282">
        <v>4</v>
      </c>
      <c r="B282">
        <v>24</v>
      </c>
      <c r="C282" t="s">
        <v>2599</v>
      </c>
      <c r="D282" s="29" t="s">
        <v>2555</v>
      </c>
      <c r="E282">
        <v>26</v>
      </c>
      <c r="F282" t="s">
        <v>161</v>
      </c>
      <c r="G282">
        <v>20140101</v>
      </c>
      <c r="H282">
        <v>22000101</v>
      </c>
    </row>
    <row r="283" spans="1:8" x14ac:dyDescent="0.25">
      <c r="A283">
        <v>4</v>
      </c>
      <c r="B283">
        <v>24</v>
      </c>
      <c r="C283" t="s">
        <v>2599</v>
      </c>
      <c r="D283" s="29" t="s">
        <v>2555</v>
      </c>
      <c r="E283">
        <v>27</v>
      </c>
      <c r="F283" t="s">
        <v>161</v>
      </c>
      <c r="G283">
        <v>20140101</v>
      </c>
      <c r="H283">
        <v>22000101</v>
      </c>
    </row>
    <row r="284" spans="1:8" x14ac:dyDescent="0.25">
      <c r="A284">
        <v>4</v>
      </c>
      <c r="B284">
        <v>24</v>
      </c>
      <c r="C284" t="s">
        <v>2599</v>
      </c>
      <c r="D284" s="29" t="s">
        <v>2555</v>
      </c>
      <c r="E284">
        <v>29</v>
      </c>
      <c r="F284" t="s">
        <v>161</v>
      </c>
      <c r="G284">
        <v>20140101</v>
      </c>
      <c r="H284">
        <v>22000101</v>
      </c>
    </row>
    <row r="285" spans="1:8" x14ac:dyDescent="0.25">
      <c r="A285">
        <v>4</v>
      </c>
      <c r="B285">
        <v>24</v>
      </c>
      <c r="C285" t="s">
        <v>2599</v>
      </c>
      <c r="D285" s="29" t="s">
        <v>2555</v>
      </c>
      <c r="E285">
        <v>30</v>
      </c>
      <c r="F285" t="s">
        <v>161</v>
      </c>
      <c r="G285">
        <v>20140101</v>
      </c>
      <c r="H285">
        <v>22000101</v>
      </c>
    </row>
    <row r="286" spans="1:8" x14ac:dyDescent="0.25">
      <c r="A286">
        <v>4</v>
      </c>
      <c r="B286">
        <v>24</v>
      </c>
      <c r="C286" t="s">
        <v>2599</v>
      </c>
      <c r="D286" s="29" t="s">
        <v>2555</v>
      </c>
      <c r="E286">
        <v>31</v>
      </c>
      <c r="F286" t="s">
        <v>161</v>
      </c>
      <c r="G286">
        <v>20140101</v>
      </c>
      <c r="H286">
        <v>22000101</v>
      </c>
    </row>
    <row r="287" spans="1:8" x14ac:dyDescent="0.25">
      <c r="A287">
        <v>4</v>
      </c>
      <c r="B287">
        <v>24</v>
      </c>
      <c r="C287" t="s">
        <v>2599</v>
      </c>
      <c r="D287" s="29" t="s">
        <v>2555</v>
      </c>
      <c r="E287">
        <v>32</v>
      </c>
      <c r="F287" t="s">
        <v>161</v>
      </c>
      <c r="G287">
        <v>20140101</v>
      </c>
      <c r="H287">
        <v>22000101</v>
      </c>
    </row>
    <row r="288" spans="1:8" x14ac:dyDescent="0.25">
      <c r="A288">
        <v>4</v>
      </c>
      <c r="B288">
        <v>24</v>
      </c>
      <c r="C288" t="s">
        <v>2599</v>
      </c>
      <c r="D288" s="29" t="s">
        <v>2555</v>
      </c>
      <c r="E288">
        <v>33</v>
      </c>
      <c r="F288" t="s">
        <v>161</v>
      </c>
      <c r="G288">
        <v>20140101</v>
      </c>
      <c r="H288">
        <v>22000101</v>
      </c>
    </row>
    <row r="289" spans="1:8" x14ac:dyDescent="0.25">
      <c r="A289">
        <v>4</v>
      </c>
      <c r="B289">
        <v>24</v>
      </c>
      <c r="C289" t="s">
        <v>2599</v>
      </c>
      <c r="D289" s="29" t="s">
        <v>2555</v>
      </c>
      <c r="E289">
        <v>34</v>
      </c>
      <c r="F289" t="s">
        <v>161</v>
      </c>
      <c r="G289">
        <v>20140101</v>
      </c>
      <c r="H289">
        <v>22000101</v>
      </c>
    </row>
    <row r="290" spans="1:8" x14ac:dyDescent="0.25">
      <c r="A290">
        <v>4</v>
      </c>
      <c r="B290">
        <v>24</v>
      </c>
      <c r="C290" t="s">
        <v>2599</v>
      </c>
      <c r="D290" s="29" t="s">
        <v>2555</v>
      </c>
      <c r="E290">
        <v>35</v>
      </c>
      <c r="F290" t="s">
        <v>161</v>
      </c>
      <c r="G290">
        <v>20170101</v>
      </c>
      <c r="H290">
        <v>22000101</v>
      </c>
    </row>
    <row r="291" spans="1:8" x14ac:dyDescent="0.25">
      <c r="A291">
        <v>4</v>
      </c>
      <c r="B291">
        <v>24</v>
      </c>
      <c r="C291" t="s">
        <v>2599</v>
      </c>
      <c r="D291" s="29" t="s">
        <v>2555</v>
      </c>
      <c r="E291">
        <v>36</v>
      </c>
      <c r="F291" t="s">
        <v>161</v>
      </c>
      <c r="G291">
        <v>20170101</v>
      </c>
      <c r="H291">
        <v>22000101</v>
      </c>
    </row>
    <row r="292" spans="1:8" x14ac:dyDescent="0.25">
      <c r="A292">
        <v>4</v>
      </c>
      <c r="B292">
        <v>24</v>
      </c>
      <c r="C292" t="s">
        <v>2599</v>
      </c>
      <c r="D292" s="29" t="s">
        <v>2555</v>
      </c>
      <c r="E292">
        <v>37</v>
      </c>
      <c r="F292" t="s">
        <v>161</v>
      </c>
      <c r="G292">
        <v>20170101</v>
      </c>
      <c r="H292">
        <v>22000101</v>
      </c>
    </row>
    <row r="293" spans="1:8" x14ac:dyDescent="0.25">
      <c r="A293">
        <v>4</v>
      </c>
      <c r="B293">
        <v>24</v>
      </c>
      <c r="C293" t="s">
        <v>2599</v>
      </c>
      <c r="D293" s="29" t="s">
        <v>2555</v>
      </c>
      <c r="E293">
        <v>38</v>
      </c>
      <c r="F293" t="s">
        <v>161</v>
      </c>
      <c r="G293">
        <v>20170101</v>
      </c>
      <c r="H293">
        <v>22000101</v>
      </c>
    </row>
    <row r="294" spans="1:8" x14ac:dyDescent="0.25">
      <c r="A294">
        <v>4</v>
      </c>
      <c r="B294">
        <v>24</v>
      </c>
      <c r="C294" t="s">
        <v>2599</v>
      </c>
      <c r="D294" s="29" t="s">
        <v>2555</v>
      </c>
      <c r="E294">
        <v>39</v>
      </c>
      <c r="F294" t="s">
        <v>161</v>
      </c>
      <c r="G294">
        <v>20170101</v>
      </c>
      <c r="H294">
        <v>22000101</v>
      </c>
    </row>
    <row r="295" spans="1:8" x14ac:dyDescent="0.25">
      <c r="A295">
        <v>4</v>
      </c>
      <c r="B295">
        <v>24</v>
      </c>
      <c r="C295" t="s">
        <v>2599</v>
      </c>
      <c r="D295" s="29" t="s">
        <v>2555</v>
      </c>
      <c r="E295">
        <v>40</v>
      </c>
      <c r="F295" t="s">
        <v>161</v>
      </c>
      <c r="G295">
        <v>20170101</v>
      </c>
      <c r="H295">
        <v>22000101</v>
      </c>
    </row>
    <row r="296" spans="1:8" x14ac:dyDescent="0.25">
      <c r="A296">
        <v>4</v>
      </c>
      <c r="B296">
        <v>24</v>
      </c>
      <c r="C296" t="s">
        <v>2599</v>
      </c>
      <c r="D296" s="29" t="s">
        <v>2555</v>
      </c>
      <c r="E296">
        <v>41</v>
      </c>
      <c r="F296" t="s">
        <v>161</v>
      </c>
      <c r="G296">
        <v>20170101</v>
      </c>
      <c r="H296">
        <v>22000101</v>
      </c>
    </row>
    <row r="297" spans="1:8" x14ac:dyDescent="0.25">
      <c r="A297">
        <v>4</v>
      </c>
      <c r="B297">
        <v>24</v>
      </c>
      <c r="C297" t="s">
        <v>2599</v>
      </c>
      <c r="D297" s="29" t="s">
        <v>2555</v>
      </c>
      <c r="E297">
        <v>42</v>
      </c>
      <c r="F297" t="s">
        <v>161</v>
      </c>
      <c r="G297">
        <v>20170101</v>
      </c>
      <c r="H297">
        <v>22000101</v>
      </c>
    </row>
    <row r="298" spans="1:8" x14ac:dyDescent="0.25">
      <c r="A298">
        <v>4</v>
      </c>
      <c r="B298">
        <v>24</v>
      </c>
      <c r="C298" t="s">
        <v>2599</v>
      </c>
      <c r="D298" s="29" t="s">
        <v>2555</v>
      </c>
      <c r="E298">
        <v>43</v>
      </c>
      <c r="F298" t="s">
        <v>161</v>
      </c>
      <c r="G298">
        <v>20170101</v>
      </c>
      <c r="H298">
        <v>22000101</v>
      </c>
    </row>
    <row r="299" spans="1:8" x14ac:dyDescent="0.25">
      <c r="A299">
        <v>4</v>
      </c>
      <c r="B299">
        <v>24</v>
      </c>
      <c r="C299" t="s">
        <v>2599</v>
      </c>
      <c r="D299" s="29" t="s">
        <v>2555</v>
      </c>
      <c r="E299">
        <v>44</v>
      </c>
      <c r="F299" t="s">
        <v>161</v>
      </c>
      <c r="G299">
        <v>20140101</v>
      </c>
      <c r="H299">
        <v>22000101</v>
      </c>
    </row>
    <row r="300" spans="1:8" x14ac:dyDescent="0.25">
      <c r="A300">
        <v>4</v>
      </c>
      <c r="B300">
        <v>24</v>
      </c>
      <c r="C300" t="s">
        <v>2599</v>
      </c>
      <c r="D300" s="29" t="s">
        <v>2555</v>
      </c>
      <c r="E300">
        <v>45</v>
      </c>
      <c r="F300" t="s">
        <v>161</v>
      </c>
      <c r="G300">
        <v>20140101</v>
      </c>
      <c r="H300">
        <v>22000101</v>
      </c>
    </row>
    <row r="301" spans="1:8" x14ac:dyDescent="0.25">
      <c r="A301">
        <v>4</v>
      </c>
      <c r="B301">
        <v>24</v>
      </c>
      <c r="C301" t="s">
        <v>2599</v>
      </c>
      <c r="D301" s="29" t="s">
        <v>2555</v>
      </c>
      <c r="E301">
        <v>46</v>
      </c>
      <c r="F301" t="s">
        <v>161</v>
      </c>
      <c r="G301">
        <v>20140101</v>
      </c>
      <c r="H301">
        <v>22000101</v>
      </c>
    </row>
    <row r="302" spans="1:8" x14ac:dyDescent="0.25">
      <c r="A302">
        <v>4</v>
      </c>
      <c r="B302">
        <v>24</v>
      </c>
      <c r="C302" t="s">
        <v>2599</v>
      </c>
      <c r="D302" s="29" t="s">
        <v>2555</v>
      </c>
      <c r="E302">
        <v>47</v>
      </c>
      <c r="F302" t="s">
        <v>161</v>
      </c>
      <c r="G302">
        <v>20140101</v>
      </c>
      <c r="H302">
        <v>22000101</v>
      </c>
    </row>
    <row r="303" spans="1:8" x14ac:dyDescent="0.25">
      <c r="A303">
        <v>4</v>
      </c>
      <c r="B303">
        <v>24</v>
      </c>
      <c r="C303" t="s">
        <v>2599</v>
      </c>
      <c r="D303" s="29" t="s">
        <v>2555</v>
      </c>
      <c r="E303">
        <v>48</v>
      </c>
      <c r="F303" t="s">
        <v>161</v>
      </c>
      <c r="G303">
        <v>20140101</v>
      </c>
      <c r="H303">
        <v>22000101</v>
      </c>
    </row>
    <row r="304" spans="1:8" x14ac:dyDescent="0.25">
      <c r="A304">
        <v>4</v>
      </c>
      <c r="B304">
        <v>24</v>
      </c>
      <c r="C304" t="s">
        <v>2599</v>
      </c>
      <c r="D304" s="29" t="s">
        <v>2555</v>
      </c>
      <c r="E304">
        <v>49</v>
      </c>
      <c r="F304" t="s">
        <v>161</v>
      </c>
      <c r="G304">
        <v>20140101</v>
      </c>
      <c r="H304">
        <v>22000101</v>
      </c>
    </row>
    <row r="305" spans="1:8" x14ac:dyDescent="0.25">
      <c r="A305">
        <v>4</v>
      </c>
      <c r="B305">
        <v>24</v>
      </c>
      <c r="C305" t="s">
        <v>2599</v>
      </c>
      <c r="D305" s="29" t="s">
        <v>2555</v>
      </c>
      <c r="E305">
        <v>50</v>
      </c>
      <c r="F305" t="s">
        <v>161</v>
      </c>
      <c r="G305">
        <v>20140101</v>
      </c>
      <c r="H305">
        <v>22000101</v>
      </c>
    </row>
    <row r="306" spans="1:8" x14ac:dyDescent="0.25">
      <c r="A306">
        <v>4</v>
      </c>
      <c r="B306">
        <v>24</v>
      </c>
      <c r="C306" t="s">
        <v>2599</v>
      </c>
      <c r="D306" s="29" t="s">
        <v>2555</v>
      </c>
      <c r="E306">
        <v>51</v>
      </c>
      <c r="F306" t="s">
        <v>161</v>
      </c>
      <c r="G306">
        <v>20140101</v>
      </c>
      <c r="H306">
        <v>22000101</v>
      </c>
    </row>
    <row r="307" spans="1:8" x14ac:dyDescent="0.25">
      <c r="A307">
        <v>4</v>
      </c>
      <c r="B307">
        <v>24</v>
      </c>
      <c r="C307" t="s">
        <v>2599</v>
      </c>
      <c r="D307" s="29" t="s">
        <v>2555</v>
      </c>
      <c r="E307">
        <v>52</v>
      </c>
      <c r="F307" t="s">
        <v>161</v>
      </c>
      <c r="G307">
        <v>20140101</v>
      </c>
      <c r="H307">
        <v>22000101</v>
      </c>
    </row>
    <row r="308" spans="1:8" x14ac:dyDescent="0.25">
      <c r="A308">
        <v>4</v>
      </c>
      <c r="B308">
        <v>24</v>
      </c>
      <c r="C308" t="s">
        <v>2599</v>
      </c>
      <c r="D308" s="29" t="s">
        <v>2555</v>
      </c>
      <c r="E308">
        <v>53</v>
      </c>
      <c r="F308" t="s">
        <v>161</v>
      </c>
      <c r="G308">
        <v>20140101</v>
      </c>
      <c r="H308">
        <v>22000101</v>
      </c>
    </row>
    <row r="309" spans="1:8" x14ac:dyDescent="0.25">
      <c r="A309">
        <v>4</v>
      </c>
      <c r="B309">
        <v>24</v>
      </c>
      <c r="C309" t="s">
        <v>2599</v>
      </c>
      <c r="D309" s="29" t="s">
        <v>2555</v>
      </c>
      <c r="E309">
        <v>54</v>
      </c>
      <c r="F309" t="s">
        <v>161</v>
      </c>
      <c r="G309">
        <v>20140101</v>
      </c>
      <c r="H309">
        <v>22000101</v>
      </c>
    </row>
    <row r="310" spans="1:8" x14ac:dyDescent="0.25">
      <c r="A310">
        <v>4</v>
      </c>
      <c r="B310">
        <v>24</v>
      </c>
      <c r="C310" t="s">
        <v>2599</v>
      </c>
      <c r="D310" s="29" t="s">
        <v>2555</v>
      </c>
      <c r="E310">
        <v>55</v>
      </c>
      <c r="F310" t="s">
        <v>161</v>
      </c>
      <c r="G310">
        <v>20140101</v>
      </c>
      <c r="H310">
        <v>22000101</v>
      </c>
    </row>
    <row r="311" spans="1:8" x14ac:dyDescent="0.25">
      <c r="A311">
        <v>4</v>
      </c>
      <c r="B311">
        <v>24</v>
      </c>
      <c r="C311" t="s">
        <v>2599</v>
      </c>
      <c r="D311" s="29" t="s">
        <v>2555</v>
      </c>
      <c r="E311">
        <v>56</v>
      </c>
      <c r="F311" t="s">
        <v>161</v>
      </c>
      <c r="G311">
        <v>20140101</v>
      </c>
      <c r="H311">
        <v>22000101</v>
      </c>
    </row>
    <row r="312" spans="1:8" x14ac:dyDescent="0.25">
      <c r="A312">
        <v>4</v>
      </c>
      <c r="B312">
        <v>24</v>
      </c>
      <c r="C312" t="s">
        <v>2599</v>
      </c>
      <c r="D312" s="29" t="s">
        <v>2555</v>
      </c>
      <c r="E312">
        <v>57</v>
      </c>
      <c r="F312" t="s">
        <v>161</v>
      </c>
      <c r="G312">
        <v>20170101</v>
      </c>
      <c r="H312">
        <v>22000101</v>
      </c>
    </row>
    <row r="313" spans="1:8" x14ac:dyDescent="0.25">
      <c r="A313">
        <v>4</v>
      </c>
      <c r="B313">
        <v>24</v>
      </c>
      <c r="C313" t="s">
        <v>2599</v>
      </c>
      <c r="D313" s="29" t="s">
        <v>2555</v>
      </c>
      <c r="E313">
        <v>58</v>
      </c>
      <c r="F313" t="s">
        <v>161</v>
      </c>
      <c r="G313">
        <v>20170101</v>
      </c>
      <c r="H313">
        <v>22000101</v>
      </c>
    </row>
    <row r="314" spans="1:8" x14ac:dyDescent="0.25">
      <c r="A314">
        <v>4</v>
      </c>
      <c r="B314">
        <v>24</v>
      </c>
      <c r="C314" t="s">
        <v>2599</v>
      </c>
      <c r="D314" s="29" t="s">
        <v>2555</v>
      </c>
      <c r="E314">
        <v>59</v>
      </c>
      <c r="F314" t="s">
        <v>161</v>
      </c>
      <c r="G314">
        <v>20170101</v>
      </c>
      <c r="H314">
        <v>22000101</v>
      </c>
    </row>
    <row r="315" spans="1:8" x14ac:dyDescent="0.25">
      <c r="A315">
        <v>4</v>
      </c>
      <c r="B315">
        <v>24</v>
      </c>
      <c r="C315" t="s">
        <v>2599</v>
      </c>
      <c r="D315" s="29" t="s">
        <v>2555</v>
      </c>
      <c r="E315">
        <v>60</v>
      </c>
      <c r="F315" t="s">
        <v>161</v>
      </c>
      <c r="G315">
        <v>20170101</v>
      </c>
      <c r="H315">
        <v>22000101</v>
      </c>
    </row>
    <row r="316" spans="1:8" x14ac:dyDescent="0.25">
      <c r="A316">
        <v>4</v>
      </c>
      <c r="B316">
        <v>24</v>
      </c>
      <c r="C316" t="s">
        <v>2599</v>
      </c>
      <c r="D316" s="29" t="s">
        <v>2555</v>
      </c>
      <c r="E316">
        <v>61</v>
      </c>
      <c r="F316" t="s">
        <v>161</v>
      </c>
      <c r="G316">
        <v>20170101</v>
      </c>
      <c r="H316">
        <v>22000101</v>
      </c>
    </row>
    <row r="317" spans="1:8" x14ac:dyDescent="0.25">
      <c r="A317">
        <v>4</v>
      </c>
      <c r="B317">
        <v>24</v>
      </c>
      <c r="C317" t="s">
        <v>2599</v>
      </c>
      <c r="D317" s="29" t="s">
        <v>2555</v>
      </c>
      <c r="E317">
        <v>62</v>
      </c>
      <c r="F317" t="s">
        <v>161</v>
      </c>
      <c r="G317">
        <v>20170101</v>
      </c>
      <c r="H317">
        <v>22000101</v>
      </c>
    </row>
    <row r="318" spans="1:8" x14ac:dyDescent="0.25">
      <c r="A318">
        <v>4</v>
      </c>
      <c r="B318">
        <v>24</v>
      </c>
      <c r="C318" t="s">
        <v>2599</v>
      </c>
      <c r="D318" s="29" t="s">
        <v>2555</v>
      </c>
      <c r="E318">
        <v>63</v>
      </c>
      <c r="F318" t="s">
        <v>161</v>
      </c>
      <c r="G318">
        <v>20170101</v>
      </c>
      <c r="H318">
        <v>22000101</v>
      </c>
    </row>
    <row r="319" spans="1:8" x14ac:dyDescent="0.25">
      <c r="A319">
        <v>4</v>
      </c>
      <c r="B319">
        <v>24</v>
      </c>
      <c r="C319" t="s">
        <v>2599</v>
      </c>
      <c r="D319" s="29" t="s">
        <v>2555</v>
      </c>
      <c r="E319">
        <v>64</v>
      </c>
      <c r="F319" t="s">
        <v>161</v>
      </c>
      <c r="G319">
        <v>20170101</v>
      </c>
      <c r="H319">
        <v>22000101</v>
      </c>
    </row>
    <row r="320" spans="1:8" x14ac:dyDescent="0.25">
      <c r="A320">
        <v>4</v>
      </c>
      <c r="B320">
        <v>24</v>
      </c>
      <c r="C320" t="s">
        <v>2599</v>
      </c>
      <c r="D320" s="29" t="s">
        <v>2555</v>
      </c>
      <c r="E320">
        <v>65</v>
      </c>
      <c r="F320" t="s">
        <v>161</v>
      </c>
      <c r="G320">
        <v>20170101</v>
      </c>
      <c r="H320">
        <v>22000101</v>
      </c>
    </row>
    <row r="321" spans="1:9" x14ac:dyDescent="0.25">
      <c r="A321" s="2">
        <v>4</v>
      </c>
      <c r="B321" s="2">
        <v>25</v>
      </c>
      <c r="C321" s="2" t="s">
        <v>2600</v>
      </c>
      <c r="D321" s="31" t="s">
        <v>2555</v>
      </c>
      <c r="E321" s="2">
        <v>52</v>
      </c>
      <c r="F321" s="2" t="s">
        <v>165</v>
      </c>
      <c r="G321" s="2">
        <v>20140101</v>
      </c>
      <c r="H321" s="2">
        <v>20180101</v>
      </c>
      <c r="I321" s="2" t="s">
        <v>71</v>
      </c>
    </row>
    <row r="322" spans="1:9" x14ac:dyDescent="0.25">
      <c r="A322" s="2">
        <v>4</v>
      </c>
      <c r="B322" s="2">
        <v>25</v>
      </c>
      <c r="C322" s="2" t="s">
        <v>2600</v>
      </c>
      <c r="D322" s="31" t="s">
        <v>2555</v>
      </c>
      <c r="E322" s="2">
        <v>54</v>
      </c>
      <c r="F322" s="2" t="s">
        <v>165</v>
      </c>
      <c r="G322" s="2">
        <v>20140101</v>
      </c>
      <c r="H322" s="2">
        <v>20180101</v>
      </c>
      <c r="I322" s="2" t="s">
        <v>71</v>
      </c>
    </row>
    <row r="323" spans="1:9" x14ac:dyDescent="0.25">
      <c r="A323" s="2">
        <v>4</v>
      </c>
      <c r="B323" s="2">
        <v>25</v>
      </c>
      <c r="C323" s="2" t="s">
        <v>2600</v>
      </c>
      <c r="D323" s="31" t="s">
        <v>2555</v>
      </c>
      <c r="E323" s="2">
        <v>56</v>
      </c>
      <c r="F323" s="2" t="s">
        <v>165</v>
      </c>
      <c r="G323" s="2">
        <v>20140101</v>
      </c>
      <c r="H323" s="2">
        <v>20180101</v>
      </c>
      <c r="I323" s="2" t="s">
        <v>71</v>
      </c>
    </row>
    <row r="324" spans="1:9" x14ac:dyDescent="0.25">
      <c r="A324" s="2">
        <v>4</v>
      </c>
      <c r="B324" s="2">
        <v>25</v>
      </c>
      <c r="C324" s="2" t="s">
        <v>2600</v>
      </c>
      <c r="D324" s="31" t="s">
        <v>2555</v>
      </c>
      <c r="E324" s="2">
        <v>57</v>
      </c>
      <c r="F324" s="2" t="s">
        <v>165</v>
      </c>
      <c r="G324" s="2">
        <v>20140101</v>
      </c>
      <c r="H324" s="2">
        <v>20180101</v>
      </c>
      <c r="I324" s="2" t="s">
        <v>71</v>
      </c>
    </row>
    <row r="325" spans="1:9" x14ac:dyDescent="0.25">
      <c r="A325" s="2">
        <v>4</v>
      </c>
      <c r="B325" s="2">
        <v>25</v>
      </c>
      <c r="C325" s="2" t="s">
        <v>2600</v>
      </c>
      <c r="D325" s="31" t="s">
        <v>2555</v>
      </c>
      <c r="E325" s="2">
        <v>58</v>
      </c>
      <c r="F325" s="2" t="s">
        <v>165</v>
      </c>
      <c r="G325" s="2">
        <v>20140101</v>
      </c>
      <c r="H325" s="2">
        <v>20180101</v>
      </c>
      <c r="I325" s="2" t="s">
        <v>71</v>
      </c>
    </row>
    <row r="326" spans="1:9" x14ac:dyDescent="0.25">
      <c r="A326" s="2">
        <v>4</v>
      </c>
      <c r="B326" s="2">
        <v>25</v>
      </c>
      <c r="C326" s="2" t="s">
        <v>2600</v>
      </c>
      <c r="D326" s="31" t="s">
        <v>2555</v>
      </c>
      <c r="E326" s="2">
        <v>59</v>
      </c>
      <c r="F326" s="2" t="s">
        <v>165</v>
      </c>
      <c r="G326" s="2">
        <v>20140101</v>
      </c>
      <c r="H326" s="2">
        <v>20180101</v>
      </c>
      <c r="I326" s="2" t="s">
        <v>71</v>
      </c>
    </row>
    <row r="327" spans="1:9" x14ac:dyDescent="0.25">
      <c r="A327" s="2">
        <v>4</v>
      </c>
      <c r="B327" s="2">
        <v>25</v>
      </c>
      <c r="C327" s="2" t="s">
        <v>2600</v>
      </c>
      <c r="D327" s="31" t="s">
        <v>2555</v>
      </c>
      <c r="E327" s="2">
        <v>61</v>
      </c>
      <c r="F327" s="2" t="s">
        <v>165</v>
      </c>
      <c r="G327" s="2">
        <v>20140101</v>
      </c>
      <c r="H327" s="2">
        <v>20180101</v>
      </c>
      <c r="I327" s="2" t="s">
        <v>71</v>
      </c>
    </row>
    <row r="328" spans="1:9" x14ac:dyDescent="0.25">
      <c r="A328" s="2">
        <v>4</v>
      </c>
      <c r="B328" s="2">
        <v>25</v>
      </c>
      <c r="C328" s="2" t="s">
        <v>2600</v>
      </c>
      <c r="D328" s="31" t="s">
        <v>2555</v>
      </c>
      <c r="E328" s="2">
        <v>62</v>
      </c>
      <c r="F328" s="2" t="s">
        <v>165</v>
      </c>
      <c r="G328" s="2">
        <v>20140101</v>
      </c>
      <c r="H328" s="2">
        <v>20180101</v>
      </c>
      <c r="I328" s="2" t="s">
        <v>71</v>
      </c>
    </row>
    <row r="329" spans="1:9" x14ac:dyDescent="0.25">
      <c r="A329" s="2">
        <v>4</v>
      </c>
      <c r="B329" s="2">
        <v>25</v>
      </c>
      <c r="C329" s="2" t="s">
        <v>2600</v>
      </c>
      <c r="D329" s="31" t="s">
        <v>2555</v>
      </c>
      <c r="E329" s="2">
        <v>65</v>
      </c>
      <c r="F329" s="2" t="s">
        <v>165</v>
      </c>
      <c r="G329" s="2">
        <v>20140101</v>
      </c>
      <c r="H329" s="2">
        <v>20180101</v>
      </c>
      <c r="I329" s="2" t="s">
        <v>71</v>
      </c>
    </row>
    <row r="330" spans="1:9" x14ac:dyDescent="0.25">
      <c r="A330" s="2">
        <v>4</v>
      </c>
      <c r="B330" s="2">
        <v>25</v>
      </c>
      <c r="C330" s="2" t="s">
        <v>2600</v>
      </c>
      <c r="D330" s="31" t="s">
        <v>2555</v>
      </c>
      <c r="E330" s="2">
        <v>70</v>
      </c>
      <c r="F330" s="2" t="s">
        <v>165</v>
      </c>
      <c r="G330" s="2">
        <v>20140101</v>
      </c>
      <c r="H330" s="2">
        <v>20180101</v>
      </c>
      <c r="I330" s="2" t="s">
        <v>71</v>
      </c>
    </row>
    <row r="331" spans="1:9" x14ac:dyDescent="0.25">
      <c r="A331" s="2">
        <v>4</v>
      </c>
      <c r="B331" s="2">
        <v>25</v>
      </c>
      <c r="C331" s="2" t="s">
        <v>2600</v>
      </c>
      <c r="D331" s="31" t="s">
        <v>2555</v>
      </c>
      <c r="E331" s="2">
        <v>71</v>
      </c>
      <c r="F331" s="2" t="s">
        <v>165</v>
      </c>
      <c r="G331" s="2">
        <v>20140101</v>
      </c>
      <c r="H331" s="2">
        <v>20180101</v>
      </c>
      <c r="I331" s="2" t="s">
        <v>71</v>
      </c>
    </row>
    <row r="332" spans="1:9" x14ac:dyDescent="0.25">
      <c r="A332" s="2">
        <v>4</v>
      </c>
      <c r="B332" s="2">
        <v>25</v>
      </c>
      <c r="C332" s="2" t="s">
        <v>2600</v>
      </c>
      <c r="D332" s="31" t="s">
        <v>2555</v>
      </c>
      <c r="E332" s="2">
        <v>72</v>
      </c>
      <c r="F332" s="2" t="s">
        <v>165</v>
      </c>
      <c r="G332" s="2">
        <v>20140101</v>
      </c>
      <c r="H332" s="2">
        <v>20180101</v>
      </c>
      <c r="I332" s="2" t="s">
        <v>71</v>
      </c>
    </row>
    <row r="333" spans="1:9" x14ac:dyDescent="0.25">
      <c r="A333" s="2">
        <v>4</v>
      </c>
      <c r="B333" s="2">
        <v>25</v>
      </c>
      <c r="C333" s="2" t="s">
        <v>2600</v>
      </c>
      <c r="D333" s="31" t="s">
        <v>2555</v>
      </c>
      <c r="E333" s="2">
        <v>74</v>
      </c>
      <c r="F333" s="2" t="s">
        <v>165</v>
      </c>
      <c r="G333" s="2">
        <v>20140101</v>
      </c>
      <c r="H333" s="2">
        <v>20180101</v>
      </c>
      <c r="I333" s="2" t="s">
        <v>71</v>
      </c>
    </row>
    <row r="334" spans="1:9" x14ac:dyDescent="0.25">
      <c r="A334" s="25">
        <v>4</v>
      </c>
      <c r="B334" s="25">
        <v>26</v>
      </c>
      <c r="C334" s="25" t="s">
        <v>2601</v>
      </c>
      <c r="D334" s="32" t="s">
        <v>2555</v>
      </c>
      <c r="E334" s="25">
        <v>52</v>
      </c>
      <c r="F334" s="25" t="s">
        <v>168</v>
      </c>
      <c r="G334" s="25">
        <v>20140101</v>
      </c>
      <c r="H334" s="25">
        <v>22000101</v>
      </c>
      <c r="I334" s="25" t="s">
        <v>390</v>
      </c>
    </row>
    <row r="335" spans="1:9" x14ac:dyDescent="0.25">
      <c r="A335" s="25">
        <v>4</v>
      </c>
      <c r="B335" s="25">
        <v>26</v>
      </c>
      <c r="C335" s="25" t="s">
        <v>2601</v>
      </c>
      <c r="D335" s="32" t="s">
        <v>2555</v>
      </c>
      <c r="E335" s="25">
        <v>54</v>
      </c>
      <c r="F335" s="25" t="s">
        <v>168</v>
      </c>
      <c r="G335" s="25">
        <v>20140101</v>
      </c>
      <c r="H335" s="25">
        <v>22000101</v>
      </c>
      <c r="I335" s="25" t="s">
        <v>390</v>
      </c>
    </row>
    <row r="336" spans="1:9" x14ac:dyDescent="0.25">
      <c r="A336" s="25">
        <v>4</v>
      </c>
      <c r="B336" s="25">
        <v>26</v>
      </c>
      <c r="C336" s="25" t="s">
        <v>2601</v>
      </c>
      <c r="D336" s="32" t="s">
        <v>2555</v>
      </c>
      <c r="E336" s="25">
        <v>56</v>
      </c>
      <c r="F336" s="25" t="s">
        <v>168</v>
      </c>
      <c r="G336" s="25">
        <v>20140101</v>
      </c>
      <c r="H336" s="25">
        <v>22000101</v>
      </c>
      <c r="I336" s="25" t="s">
        <v>390</v>
      </c>
    </row>
    <row r="337" spans="1:9" x14ac:dyDescent="0.25">
      <c r="A337" s="25">
        <v>4</v>
      </c>
      <c r="B337" s="25">
        <v>26</v>
      </c>
      <c r="C337" s="25" t="s">
        <v>2601</v>
      </c>
      <c r="D337" s="32" t="s">
        <v>2555</v>
      </c>
      <c r="E337" s="25">
        <v>57</v>
      </c>
      <c r="F337" s="25" t="s">
        <v>168</v>
      </c>
      <c r="G337" s="25">
        <v>20140101</v>
      </c>
      <c r="H337" s="25">
        <v>22000101</v>
      </c>
      <c r="I337" s="25" t="s">
        <v>390</v>
      </c>
    </row>
    <row r="338" spans="1:9" x14ac:dyDescent="0.25">
      <c r="A338" s="25">
        <v>4</v>
      </c>
      <c r="B338" s="25">
        <v>26</v>
      </c>
      <c r="C338" s="25" t="s">
        <v>2601</v>
      </c>
      <c r="D338" s="32" t="s">
        <v>2555</v>
      </c>
      <c r="E338" s="25">
        <v>58</v>
      </c>
      <c r="F338" s="25" t="s">
        <v>168</v>
      </c>
      <c r="G338" s="25">
        <v>20140101</v>
      </c>
      <c r="H338" s="25">
        <v>22000101</v>
      </c>
      <c r="I338" s="25" t="s">
        <v>390</v>
      </c>
    </row>
    <row r="339" spans="1:9" x14ac:dyDescent="0.25">
      <c r="A339" s="25">
        <v>4</v>
      </c>
      <c r="B339" s="25">
        <v>26</v>
      </c>
      <c r="C339" s="25" t="s">
        <v>2601</v>
      </c>
      <c r="D339" s="32" t="s">
        <v>2555</v>
      </c>
      <c r="E339" s="25">
        <v>59</v>
      </c>
      <c r="F339" s="25" t="s">
        <v>168</v>
      </c>
      <c r="G339" s="25">
        <v>20140101</v>
      </c>
      <c r="H339" s="25">
        <v>22000101</v>
      </c>
      <c r="I339" s="25" t="s">
        <v>390</v>
      </c>
    </row>
    <row r="340" spans="1:9" x14ac:dyDescent="0.25">
      <c r="A340" s="25">
        <v>4</v>
      </c>
      <c r="B340" s="25">
        <v>26</v>
      </c>
      <c r="C340" s="25" t="s">
        <v>2601</v>
      </c>
      <c r="D340" s="32" t="s">
        <v>2555</v>
      </c>
      <c r="E340" s="25">
        <v>61</v>
      </c>
      <c r="F340" s="25" t="s">
        <v>168</v>
      </c>
      <c r="G340" s="25">
        <v>20140101</v>
      </c>
      <c r="H340" s="25">
        <v>22000101</v>
      </c>
      <c r="I340" s="25" t="s">
        <v>390</v>
      </c>
    </row>
    <row r="341" spans="1:9" x14ac:dyDescent="0.25">
      <c r="A341" s="25">
        <v>4</v>
      </c>
      <c r="B341" s="25">
        <v>26</v>
      </c>
      <c r="C341" s="25" t="s">
        <v>2601</v>
      </c>
      <c r="D341" s="32" t="s">
        <v>2555</v>
      </c>
      <c r="E341" s="25">
        <v>62</v>
      </c>
      <c r="F341" s="25" t="s">
        <v>168</v>
      </c>
      <c r="G341" s="25">
        <v>20140101</v>
      </c>
      <c r="H341" s="25">
        <v>22000101</v>
      </c>
      <c r="I341" s="25" t="s">
        <v>390</v>
      </c>
    </row>
    <row r="342" spans="1:9" x14ac:dyDescent="0.25">
      <c r="A342" s="25">
        <v>4</v>
      </c>
      <c r="B342" s="25">
        <v>26</v>
      </c>
      <c r="C342" s="25" t="s">
        <v>2601</v>
      </c>
      <c r="D342" s="32" t="s">
        <v>2555</v>
      </c>
      <c r="E342" s="25">
        <v>65</v>
      </c>
      <c r="F342" s="25" t="s">
        <v>168</v>
      </c>
      <c r="G342" s="25">
        <v>20140101</v>
      </c>
      <c r="H342" s="25">
        <v>22000101</v>
      </c>
      <c r="I342" s="25" t="s">
        <v>390</v>
      </c>
    </row>
    <row r="343" spans="1:9" x14ac:dyDescent="0.25">
      <c r="A343" s="25">
        <v>4</v>
      </c>
      <c r="B343" s="25">
        <v>26</v>
      </c>
      <c r="C343" s="25" t="s">
        <v>2601</v>
      </c>
      <c r="D343" s="32" t="s">
        <v>2555</v>
      </c>
      <c r="E343" s="25">
        <v>70</v>
      </c>
      <c r="F343" s="25" t="s">
        <v>168</v>
      </c>
      <c r="G343" s="25">
        <v>20140101</v>
      </c>
      <c r="H343" s="25">
        <v>22000101</v>
      </c>
      <c r="I343" s="25" t="s">
        <v>390</v>
      </c>
    </row>
    <row r="344" spans="1:9" x14ac:dyDescent="0.25">
      <c r="A344" s="25">
        <v>4</v>
      </c>
      <c r="B344" s="25">
        <v>26</v>
      </c>
      <c r="C344" s="25" t="s">
        <v>2601</v>
      </c>
      <c r="D344" s="32" t="s">
        <v>2555</v>
      </c>
      <c r="E344" s="25">
        <v>71</v>
      </c>
      <c r="F344" s="25" t="s">
        <v>168</v>
      </c>
      <c r="G344" s="25">
        <v>20140101</v>
      </c>
      <c r="H344" s="25">
        <v>22000101</v>
      </c>
      <c r="I344" s="25" t="s">
        <v>390</v>
      </c>
    </row>
    <row r="345" spans="1:9" x14ac:dyDescent="0.25">
      <c r="A345" s="25">
        <v>4</v>
      </c>
      <c r="B345" s="25">
        <v>26</v>
      </c>
      <c r="C345" s="25" t="s">
        <v>2601</v>
      </c>
      <c r="D345" s="32" t="s">
        <v>2555</v>
      </c>
      <c r="E345" s="25">
        <v>72</v>
      </c>
      <c r="F345" s="25" t="s">
        <v>168</v>
      </c>
      <c r="G345" s="25">
        <v>20140101</v>
      </c>
      <c r="H345" s="25">
        <v>22000101</v>
      </c>
      <c r="I345" s="25" t="s">
        <v>390</v>
      </c>
    </row>
    <row r="346" spans="1:9" x14ac:dyDescent="0.25">
      <c r="A346" s="25">
        <v>4</v>
      </c>
      <c r="B346" s="25">
        <v>26</v>
      </c>
      <c r="C346" s="25" t="s">
        <v>2601</v>
      </c>
      <c r="D346" s="32" t="s">
        <v>2555</v>
      </c>
      <c r="E346" s="25">
        <v>74</v>
      </c>
      <c r="F346" s="25" t="s">
        <v>168</v>
      </c>
      <c r="G346" s="25">
        <v>20140101</v>
      </c>
      <c r="H346" s="25">
        <v>22000101</v>
      </c>
      <c r="I346" s="25" t="s">
        <v>390</v>
      </c>
    </row>
    <row r="347" spans="1:9" x14ac:dyDescent="0.25">
      <c r="A347">
        <v>0</v>
      </c>
      <c r="B347">
        <v>27</v>
      </c>
      <c r="C347" t="s">
        <v>2602</v>
      </c>
      <c r="D347" s="29" t="s">
        <v>2555</v>
      </c>
      <c r="E347">
        <v>52</v>
      </c>
      <c r="F347" t="s">
        <v>172</v>
      </c>
      <c r="G347">
        <v>20180101</v>
      </c>
      <c r="H347">
        <v>22000101</v>
      </c>
      <c r="I347" t="s">
        <v>1510</v>
      </c>
    </row>
    <row r="348" spans="1:9" x14ac:dyDescent="0.25">
      <c r="A348">
        <v>0</v>
      </c>
      <c r="B348">
        <v>27</v>
      </c>
      <c r="C348" t="s">
        <v>2602</v>
      </c>
      <c r="D348" s="29" t="s">
        <v>2555</v>
      </c>
      <c r="E348">
        <v>54</v>
      </c>
      <c r="F348" t="s">
        <v>172</v>
      </c>
      <c r="G348">
        <v>20180101</v>
      </c>
      <c r="H348">
        <v>22000101</v>
      </c>
      <c r="I348" t="s">
        <v>2603</v>
      </c>
    </row>
    <row r="349" spans="1:9" x14ac:dyDescent="0.25">
      <c r="A349">
        <v>0</v>
      </c>
      <c r="B349">
        <v>27</v>
      </c>
      <c r="C349" t="s">
        <v>2602</v>
      </c>
      <c r="D349" s="29" t="s">
        <v>2555</v>
      </c>
      <c r="E349">
        <v>56</v>
      </c>
      <c r="F349" t="s">
        <v>172</v>
      </c>
      <c r="G349">
        <v>20180101</v>
      </c>
      <c r="H349">
        <v>22000101</v>
      </c>
      <c r="I349" t="s">
        <v>2604</v>
      </c>
    </row>
    <row r="350" spans="1:9" x14ac:dyDescent="0.25">
      <c r="A350">
        <v>0</v>
      </c>
      <c r="B350">
        <v>27</v>
      </c>
      <c r="C350" t="s">
        <v>2602</v>
      </c>
      <c r="D350" s="29" t="s">
        <v>2555</v>
      </c>
      <c r="E350">
        <v>57</v>
      </c>
      <c r="F350" t="s">
        <v>172</v>
      </c>
      <c r="G350">
        <v>20180101</v>
      </c>
      <c r="H350">
        <v>22000101</v>
      </c>
      <c r="I350" t="s">
        <v>2605</v>
      </c>
    </row>
    <row r="351" spans="1:9" x14ac:dyDescent="0.25">
      <c r="A351">
        <v>0</v>
      </c>
      <c r="B351">
        <v>27</v>
      </c>
      <c r="C351" t="s">
        <v>2602</v>
      </c>
      <c r="D351" s="29" t="s">
        <v>2555</v>
      </c>
      <c r="E351">
        <v>58</v>
      </c>
      <c r="F351" t="s">
        <v>172</v>
      </c>
      <c r="G351">
        <v>20180101</v>
      </c>
      <c r="H351">
        <v>22000101</v>
      </c>
      <c r="I351" t="s">
        <v>2606</v>
      </c>
    </row>
    <row r="352" spans="1:9" x14ac:dyDescent="0.25">
      <c r="A352">
        <v>0</v>
      </c>
      <c r="B352">
        <v>27</v>
      </c>
      <c r="C352" t="s">
        <v>2602</v>
      </c>
      <c r="D352" s="29" t="s">
        <v>2555</v>
      </c>
      <c r="E352">
        <v>59</v>
      </c>
      <c r="F352" t="s">
        <v>172</v>
      </c>
      <c r="G352">
        <v>20180101</v>
      </c>
      <c r="H352">
        <v>22000101</v>
      </c>
      <c r="I352" t="s">
        <v>2607</v>
      </c>
    </row>
    <row r="353" spans="1:9" x14ac:dyDescent="0.25">
      <c r="A353" s="22">
        <v>0</v>
      </c>
      <c r="B353" s="22">
        <v>27</v>
      </c>
      <c r="C353" s="22" t="s">
        <v>2602</v>
      </c>
      <c r="D353" s="30" t="s">
        <v>2555</v>
      </c>
      <c r="E353" s="22">
        <v>60</v>
      </c>
      <c r="F353" s="22" t="s">
        <v>172</v>
      </c>
      <c r="G353" s="22">
        <v>20200101</v>
      </c>
      <c r="H353" s="22">
        <v>22000101</v>
      </c>
      <c r="I353" s="22" t="s">
        <v>2557</v>
      </c>
    </row>
    <row r="354" spans="1:9" x14ac:dyDescent="0.25">
      <c r="A354">
        <v>0</v>
      </c>
      <c r="B354">
        <v>27</v>
      </c>
      <c r="C354" t="s">
        <v>2602</v>
      </c>
      <c r="D354" s="29" t="s">
        <v>2555</v>
      </c>
      <c r="E354">
        <v>61</v>
      </c>
      <c r="F354" t="s">
        <v>172</v>
      </c>
      <c r="G354">
        <v>20180101</v>
      </c>
      <c r="H354">
        <v>22000101</v>
      </c>
      <c r="I354" t="s">
        <v>2608</v>
      </c>
    </row>
    <row r="355" spans="1:9" x14ac:dyDescent="0.25">
      <c r="A355">
        <v>0</v>
      </c>
      <c r="B355">
        <v>27</v>
      </c>
      <c r="C355" t="s">
        <v>2602</v>
      </c>
      <c r="D355" s="29" t="s">
        <v>2555</v>
      </c>
      <c r="E355">
        <v>62</v>
      </c>
      <c r="F355" t="s">
        <v>172</v>
      </c>
      <c r="G355">
        <v>20180101</v>
      </c>
      <c r="H355">
        <v>22000101</v>
      </c>
      <c r="I355" t="s">
        <v>2175</v>
      </c>
    </row>
    <row r="356" spans="1:9" x14ac:dyDescent="0.25">
      <c r="A356">
        <v>0</v>
      </c>
      <c r="B356">
        <v>27</v>
      </c>
      <c r="C356" t="s">
        <v>2602</v>
      </c>
      <c r="D356" s="29" t="s">
        <v>2555</v>
      </c>
      <c r="E356">
        <v>65</v>
      </c>
      <c r="F356" t="s">
        <v>172</v>
      </c>
      <c r="G356">
        <v>20180101</v>
      </c>
      <c r="H356">
        <v>22000101</v>
      </c>
      <c r="I356" t="s">
        <v>2609</v>
      </c>
    </row>
    <row r="357" spans="1:9" x14ac:dyDescent="0.25">
      <c r="A357">
        <v>0</v>
      </c>
      <c r="B357">
        <v>27</v>
      </c>
      <c r="C357" t="s">
        <v>2602</v>
      </c>
      <c r="D357" s="29" t="s">
        <v>2555</v>
      </c>
      <c r="E357">
        <v>70</v>
      </c>
      <c r="F357" t="s">
        <v>172</v>
      </c>
      <c r="G357">
        <v>20180101</v>
      </c>
      <c r="H357">
        <v>22000101</v>
      </c>
      <c r="I357" t="s">
        <v>2610</v>
      </c>
    </row>
    <row r="358" spans="1:9" x14ac:dyDescent="0.25">
      <c r="A358">
        <v>0</v>
      </c>
      <c r="B358">
        <v>27</v>
      </c>
      <c r="C358" t="s">
        <v>2602</v>
      </c>
      <c r="D358" s="29" t="s">
        <v>2555</v>
      </c>
      <c r="E358">
        <v>71</v>
      </c>
      <c r="F358" t="s">
        <v>172</v>
      </c>
      <c r="G358">
        <v>20180101</v>
      </c>
      <c r="H358">
        <v>22000101</v>
      </c>
      <c r="I358" t="s">
        <v>2611</v>
      </c>
    </row>
    <row r="359" spans="1:9" x14ac:dyDescent="0.25">
      <c r="A359">
        <v>0</v>
      </c>
      <c r="B359">
        <v>27</v>
      </c>
      <c r="C359" t="s">
        <v>2602</v>
      </c>
      <c r="D359" s="29" t="s">
        <v>2555</v>
      </c>
      <c r="E359">
        <v>72</v>
      </c>
      <c r="F359" t="s">
        <v>172</v>
      </c>
      <c r="G359">
        <v>20180101</v>
      </c>
      <c r="H359">
        <v>22000101</v>
      </c>
      <c r="I359" t="s">
        <v>2612</v>
      </c>
    </row>
    <row r="360" spans="1:9" x14ac:dyDescent="0.25">
      <c r="A360">
        <v>0</v>
      </c>
      <c r="B360">
        <v>27</v>
      </c>
      <c r="C360" t="s">
        <v>2602</v>
      </c>
      <c r="D360" s="29" t="s">
        <v>2555</v>
      </c>
      <c r="E360">
        <v>74</v>
      </c>
      <c r="F360" t="s">
        <v>172</v>
      </c>
      <c r="G360">
        <v>20180101</v>
      </c>
      <c r="H360">
        <v>22000101</v>
      </c>
      <c r="I360" t="s">
        <v>2613</v>
      </c>
    </row>
    <row r="361" spans="1:9" x14ac:dyDescent="0.25">
      <c r="A361" s="2">
        <v>0</v>
      </c>
      <c r="B361" s="2">
        <v>28</v>
      </c>
      <c r="C361" s="2" t="s">
        <v>2614</v>
      </c>
      <c r="D361" s="31" t="s">
        <v>2559</v>
      </c>
      <c r="E361" s="2">
        <v>13</v>
      </c>
      <c r="F361" s="2" t="s">
        <v>176</v>
      </c>
      <c r="G361" s="2">
        <v>20181001</v>
      </c>
      <c r="H361" s="2">
        <v>20190101</v>
      </c>
      <c r="I361" s="2" t="s">
        <v>1521</v>
      </c>
    </row>
    <row r="362" spans="1:9" x14ac:dyDescent="0.25">
      <c r="A362" s="2">
        <v>0</v>
      </c>
      <c r="B362" s="2">
        <v>28</v>
      </c>
      <c r="C362" s="2" t="s">
        <v>2614</v>
      </c>
      <c r="D362" s="31" t="s">
        <v>2559</v>
      </c>
      <c r="E362" s="2">
        <v>301</v>
      </c>
      <c r="F362" s="2" t="s">
        <v>176</v>
      </c>
      <c r="G362" s="2">
        <v>20181001</v>
      </c>
      <c r="H362" s="2">
        <v>20190101</v>
      </c>
      <c r="I362" s="2" t="s">
        <v>1521</v>
      </c>
    </row>
    <row r="363" spans="1:9" x14ac:dyDescent="0.25">
      <c r="A363" s="2">
        <v>0</v>
      </c>
      <c r="B363" s="2">
        <v>28</v>
      </c>
      <c r="C363" s="2" t="s">
        <v>2614</v>
      </c>
      <c r="D363" s="31" t="s">
        <v>2559</v>
      </c>
      <c r="E363" s="2">
        <v>303</v>
      </c>
      <c r="F363" s="2" t="s">
        <v>176</v>
      </c>
      <c r="G363" s="2">
        <v>20181001</v>
      </c>
      <c r="H363" s="2">
        <v>20190101</v>
      </c>
      <c r="I363" s="2" t="s">
        <v>1521</v>
      </c>
    </row>
    <row r="364" spans="1:9" x14ac:dyDescent="0.25">
      <c r="A364" s="2">
        <v>0</v>
      </c>
      <c r="B364" s="2">
        <v>28</v>
      </c>
      <c r="C364" s="2" t="s">
        <v>2614</v>
      </c>
      <c r="D364" s="31" t="s">
        <v>2559</v>
      </c>
      <c r="E364" s="2">
        <v>313</v>
      </c>
      <c r="F364" s="2" t="s">
        <v>176</v>
      </c>
      <c r="G364" s="2">
        <v>20181001</v>
      </c>
      <c r="H364" s="2">
        <v>20190101</v>
      </c>
      <c r="I364" s="2" t="s">
        <v>1521</v>
      </c>
    </row>
    <row r="365" spans="1:9" x14ac:dyDescent="0.25">
      <c r="A365">
        <v>0</v>
      </c>
      <c r="B365">
        <v>28</v>
      </c>
      <c r="C365" t="s">
        <v>2614</v>
      </c>
      <c r="D365" s="29" t="s">
        <v>2559</v>
      </c>
      <c r="E365">
        <v>316</v>
      </c>
      <c r="F365" t="s">
        <v>176</v>
      </c>
      <c r="G365">
        <v>20181001</v>
      </c>
      <c r="H365">
        <v>22000101</v>
      </c>
      <c r="I365" t="s">
        <v>2615</v>
      </c>
    </row>
    <row r="366" spans="1:9" x14ac:dyDescent="0.25">
      <c r="A366" s="22">
        <v>0</v>
      </c>
      <c r="B366" s="22">
        <v>28</v>
      </c>
      <c r="C366" s="22" t="s">
        <v>2614</v>
      </c>
      <c r="D366" s="30" t="s">
        <v>2559</v>
      </c>
      <c r="E366" s="22">
        <v>317</v>
      </c>
      <c r="F366" s="22" t="s">
        <v>176</v>
      </c>
      <c r="G366" s="22">
        <v>20190201</v>
      </c>
      <c r="H366" s="22">
        <v>22000101</v>
      </c>
      <c r="I366" s="22" t="s">
        <v>2616</v>
      </c>
    </row>
    <row r="367" spans="1:9" x14ac:dyDescent="0.25">
      <c r="A367" s="2">
        <v>0</v>
      </c>
      <c r="B367" s="2">
        <v>28</v>
      </c>
      <c r="C367" s="2" t="s">
        <v>2614</v>
      </c>
      <c r="D367" s="31" t="s">
        <v>2559</v>
      </c>
      <c r="E367" s="2">
        <v>319</v>
      </c>
      <c r="F367" s="2" t="s">
        <v>176</v>
      </c>
      <c r="G367" s="2">
        <v>20181001</v>
      </c>
      <c r="H367" s="2">
        <v>20190101</v>
      </c>
      <c r="I367" s="2" t="s">
        <v>1521</v>
      </c>
    </row>
    <row r="368" spans="1:9" x14ac:dyDescent="0.25">
      <c r="A368" s="2">
        <v>0</v>
      </c>
      <c r="B368" s="2">
        <v>28</v>
      </c>
      <c r="C368" s="2" t="s">
        <v>2614</v>
      </c>
      <c r="D368" s="31" t="s">
        <v>2559</v>
      </c>
      <c r="E368" s="2">
        <v>331</v>
      </c>
      <c r="F368" s="2" t="s">
        <v>176</v>
      </c>
      <c r="G368" s="2">
        <v>20181001</v>
      </c>
      <c r="H368" s="2">
        <v>20190101</v>
      </c>
      <c r="I368" s="2" t="s">
        <v>1521</v>
      </c>
    </row>
    <row r="369" spans="1:9" x14ac:dyDescent="0.25">
      <c r="A369">
        <v>0</v>
      </c>
      <c r="B369">
        <v>28</v>
      </c>
      <c r="C369" t="s">
        <v>2614</v>
      </c>
      <c r="D369" s="29" t="s">
        <v>2559</v>
      </c>
      <c r="E369">
        <v>332</v>
      </c>
      <c r="F369" t="s">
        <v>176</v>
      </c>
      <c r="G369">
        <v>20190101</v>
      </c>
      <c r="H369">
        <v>22000101</v>
      </c>
      <c r="I369" t="s">
        <v>2617</v>
      </c>
    </row>
    <row r="370" spans="1:9" x14ac:dyDescent="0.25">
      <c r="A370">
        <v>0</v>
      </c>
      <c r="B370">
        <v>28</v>
      </c>
      <c r="C370" t="s">
        <v>2614</v>
      </c>
      <c r="D370" s="29" t="s">
        <v>2559</v>
      </c>
      <c r="E370">
        <v>333</v>
      </c>
      <c r="F370" t="s">
        <v>176</v>
      </c>
      <c r="G370">
        <v>20190101</v>
      </c>
      <c r="H370">
        <v>22000101</v>
      </c>
      <c r="I370" t="s">
        <v>2617</v>
      </c>
    </row>
    <row r="371" spans="1:9" x14ac:dyDescent="0.25">
      <c r="A371">
        <v>0</v>
      </c>
      <c r="B371">
        <v>28</v>
      </c>
      <c r="C371" t="s">
        <v>2614</v>
      </c>
      <c r="D371" s="29" t="s">
        <v>2559</v>
      </c>
      <c r="E371">
        <v>338</v>
      </c>
      <c r="F371" t="s">
        <v>176</v>
      </c>
      <c r="G371">
        <v>20181001</v>
      </c>
      <c r="H371">
        <v>22000101</v>
      </c>
      <c r="I371" t="s">
        <v>2618</v>
      </c>
    </row>
    <row r="372" spans="1:9" x14ac:dyDescent="0.25">
      <c r="A372">
        <v>0</v>
      </c>
      <c r="B372">
        <v>28</v>
      </c>
      <c r="C372" t="s">
        <v>2614</v>
      </c>
      <c r="D372" s="29" t="s">
        <v>2559</v>
      </c>
      <c r="E372">
        <v>340</v>
      </c>
      <c r="F372" t="s">
        <v>176</v>
      </c>
      <c r="G372">
        <v>20181001</v>
      </c>
      <c r="H372">
        <v>22000101</v>
      </c>
      <c r="I372" t="s">
        <v>2618</v>
      </c>
    </row>
    <row r="373" spans="1:9" x14ac:dyDescent="0.25">
      <c r="A373" s="22">
        <v>0</v>
      </c>
      <c r="B373" s="22">
        <v>28</v>
      </c>
      <c r="C373" s="22" t="s">
        <v>2614</v>
      </c>
      <c r="D373" s="30" t="s">
        <v>2559</v>
      </c>
      <c r="E373" s="22">
        <v>341</v>
      </c>
      <c r="F373" s="22" t="s">
        <v>176</v>
      </c>
      <c r="G373" s="22">
        <v>20200101</v>
      </c>
      <c r="H373" s="22">
        <v>22000101</v>
      </c>
      <c r="I373" s="22" t="s">
        <v>2565</v>
      </c>
    </row>
    <row r="374" spans="1:9" x14ac:dyDescent="0.25">
      <c r="A374">
        <v>0</v>
      </c>
      <c r="B374">
        <v>28</v>
      </c>
      <c r="C374" t="s">
        <v>2614</v>
      </c>
      <c r="D374" s="29" t="s">
        <v>2559</v>
      </c>
      <c r="E374">
        <v>350</v>
      </c>
      <c r="F374" t="s">
        <v>176</v>
      </c>
      <c r="G374">
        <v>20181001</v>
      </c>
      <c r="H374">
        <v>22000101</v>
      </c>
      <c r="I374" t="s">
        <v>2618</v>
      </c>
    </row>
    <row r="375" spans="1:9" x14ac:dyDescent="0.25">
      <c r="A375">
        <v>0</v>
      </c>
      <c r="B375">
        <v>28</v>
      </c>
      <c r="C375" t="s">
        <v>2614</v>
      </c>
      <c r="D375" s="29" t="s">
        <v>2559</v>
      </c>
      <c r="E375">
        <v>351</v>
      </c>
      <c r="F375" t="s">
        <v>176</v>
      </c>
      <c r="G375">
        <v>20181001</v>
      </c>
      <c r="H375">
        <v>22000101</v>
      </c>
      <c r="I375" t="s">
        <v>2618</v>
      </c>
    </row>
    <row r="376" spans="1:9" x14ac:dyDescent="0.25">
      <c r="A376" s="2">
        <v>0</v>
      </c>
      <c r="B376" s="2">
        <v>28</v>
      </c>
      <c r="C376" s="2" t="s">
        <v>2614</v>
      </c>
      <c r="D376" s="31" t="s">
        <v>2559</v>
      </c>
      <c r="E376" s="2">
        <v>352</v>
      </c>
      <c r="F376" s="2" t="s">
        <v>176</v>
      </c>
      <c r="G376" s="2">
        <v>20181001</v>
      </c>
      <c r="H376" s="2">
        <v>20190101</v>
      </c>
      <c r="I376" s="2" t="s">
        <v>1521</v>
      </c>
    </row>
    <row r="377" spans="1:9" x14ac:dyDescent="0.25">
      <c r="A377">
        <v>0</v>
      </c>
      <c r="B377">
        <v>29</v>
      </c>
      <c r="C377" t="s">
        <v>2619</v>
      </c>
      <c r="D377" s="29" t="s">
        <v>2555</v>
      </c>
      <c r="E377">
        <v>1</v>
      </c>
      <c r="F377" t="s">
        <v>2620</v>
      </c>
      <c r="G377">
        <v>20181101</v>
      </c>
      <c r="H377">
        <v>22000101</v>
      </c>
      <c r="I377" t="s">
        <v>1581</v>
      </c>
    </row>
    <row r="378" spans="1:9" x14ac:dyDescent="0.25">
      <c r="A378">
        <v>0</v>
      </c>
      <c r="B378">
        <v>29</v>
      </c>
      <c r="C378" t="s">
        <v>2619</v>
      </c>
      <c r="D378" s="29" t="s">
        <v>2555</v>
      </c>
      <c r="E378">
        <v>2</v>
      </c>
      <c r="F378" t="s">
        <v>2620</v>
      </c>
      <c r="G378">
        <v>20181101</v>
      </c>
      <c r="H378">
        <v>22000101</v>
      </c>
      <c r="I378" t="s">
        <v>1581</v>
      </c>
    </row>
    <row r="379" spans="1:9" x14ac:dyDescent="0.25">
      <c r="A379">
        <v>0</v>
      </c>
      <c r="B379">
        <v>29</v>
      </c>
      <c r="C379" t="s">
        <v>2619</v>
      </c>
      <c r="D379" s="29" t="s">
        <v>2555</v>
      </c>
      <c r="E379">
        <v>3</v>
      </c>
      <c r="F379" t="s">
        <v>2620</v>
      </c>
      <c r="G379">
        <v>20181101</v>
      </c>
      <c r="H379">
        <v>22000101</v>
      </c>
      <c r="I379" t="s">
        <v>1581</v>
      </c>
    </row>
    <row r="380" spans="1:9" x14ac:dyDescent="0.25">
      <c r="A380">
        <v>0</v>
      </c>
      <c r="B380">
        <v>29</v>
      </c>
      <c r="C380" t="s">
        <v>2619</v>
      </c>
      <c r="D380" s="29" t="s">
        <v>2555</v>
      </c>
      <c r="E380">
        <v>4</v>
      </c>
      <c r="F380" t="s">
        <v>2620</v>
      </c>
      <c r="G380">
        <v>20181101</v>
      </c>
      <c r="H380">
        <v>22000101</v>
      </c>
      <c r="I380" t="s">
        <v>1581</v>
      </c>
    </row>
    <row r="381" spans="1:9" x14ac:dyDescent="0.25">
      <c r="A381">
        <v>0</v>
      </c>
      <c r="B381">
        <v>29</v>
      </c>
      <c r="C381" t="s">
        <v>2619</v>
      </c>
      <c r="D381" s="29" t="s">
        <v>2555</v>
      </c>
      <c r="E381">
        <v>7</v>
      </c>
      <c r="F381" t="s">
        <v>2620</v>
      </c>
      <c r="G381">
        <v>20181101</v>
      </c>
      <c r="H381">
        <v>22000101</v>
      </c>
      <c r="I381" t="s">
        <v>1581</v>
      </c>
    </row>
    <row r="382" spans="1:9" x14ac:dyDescent="0.25">
      <c r="A382">
        <v>0</v>
      </c>
      <c r="B382">
        <v>29</v>
      </c>
      <c r="C382" t="s">
        <v>2619</v>
      </c>
      <c r="D382" s="29" t="s">
        <v>2555</v>
      </c>
      <c r="E382">
        <v>8</v>
      </c>
      <c r="F382" t="s">
        <v>2620</v>
      </c>
      <c r="G382">
        <v>20181101</v>
      </c>
      <c r="H382">
        <v>22000101</v>
      </c>
      <c r="I382" t="s">
        <v>1581</v>
      </c>
    </row>
    <row r="383" spans="1:9" x14ac:dyDescent="0.25">
      <c r="A383">
        <v>0</v>
      </c>
      <c r="B383">
        <v>29</v>
      </c>
      <c r="C383" t="s">
        <v>2619</v>
      </c>
      <c r="D383" s="29" t="s">
        <v>2555</v>
      </c>
      <c r="E383">
        <v>9</v>
      </c>
      <c r="F383" t="s">
        <v>2620</v>
      </c>
      <c r="G383">
        <v>20181101</v>
      </c>
      <c r="H383">
        <v>22000101</v>
      </c>
      <c r="I383" t="s">
        <v>1581</v>
      </c>
    </row>
    <row r="384" spans="1:9" x14ac:dyDescent="0.25">
      <c r="A384">
        <v>0</v>
      </c>
      <c r="B384">
        <v>29</v>
      </c>
      <c r="C384" t="s">
        <v>2619</v>
      </c>
      <c r="D384" s="29" t="s">
        <v>2555</v>
      </c>
      <c r="E384">
        <v>11</v>
      </c>
      <c r="F384" t="s">
        <v>2620</v>
      </c>
      <c r="G384">
        <v>20181101</v>
      </c>
      <c r="H384">
        <v>22000101</v>
      </c>
      <c r="I384" t="s">
        <v>1581</v>
      </c>
    </row>
    <row r="385" spans="1:9" x14ac:dyDescent="0.25">
      <c r="A385">
        <v>0</v>
      </c>
      <c r="B385">
        <v>29</v>
      </c>
      <c r="C385" t="s">
        <v>2619</v>
      </c>
      <c r="D385" s="29" t="s">
        <v>2555</v>
      </c>
      <c r="E385">
        <v>12</v>
      </c>
      <c r="F385" t="s">
        <v>2620</v>
      </c>
      <c r="G385">
        <v>20181101</v>
      </c>
      <c r="H385">
        <v>22000101</v>
      </c>
      <c r="I385" t="s">
        <v>1581</v>
      </c>
    </row>
    <row r="386" spans="1:9" x14ac:dyDescent="0.25">
      <c r="A386">
        <v>0</v>
      </c>
      <c r="B386">
        <v>29</v>
      </c>
      <c r="C386" t="s">
        <v>2619</v>
      </c>
      <c r="D386" s="29" t="s">
        <v>2555</v>
      </c>
      <c r="E386">
        <v>13</v>
      </c>
      <c r="F386" t="s">
        <v>2620</v>
      </c>
      <c r="G386">
        <v>20181101</v>
      </c>
      <c r="H386">
        <v>22000101</v>
      </c>
      <c r="I386" t="s">
        <v>1581</v>
      </c>
    </row>
    <row r="387" spans="1:9" x14ac:dyDescent="0.25">
      <c r="A387">
        <v>0</v>
      </c>
      <c r="B387">
        <v>29</v>
      </c>
      <c r="C387" t="s">
        <v>2619</v>
      </c>
      <c r="D387" s="29" t="s">
        <v>2555</v>
      </c>
      <c r="E387">
        <v>14</v>
      </c>
      <c r="F387" t="s">
        <v>2620</v>
      </c>
      <c r="G387">
        <v>20181101</v>
      </c>
      <c r="H387">
        <v>22000101</v>
      </c>
      <c r="I387" t="s">
        <v>1581</v>
      </c>
    </row>
    <row r="388" spans="1:9" x14ac:dyDescent="0.25">
      <c r="A388">
        <v>0</v>
      </c>
      <c r="B388">
        <v>29</v>
      </c>
      <c r="C388" t="s">
        <v>2619</v>
      </c>
      <c r="D388" s="29" t="s">
        <v>2555</v>
      </c>
      <c r="E388">
        <v>15</v>
      </c>
      <c r="F388" t="s">
        <v>2620</v>
      </c>
      <c r="G388">
        <v>20181101</v>
      </c>
      <c r="H388">
        <v>22000101</v>
      </c>
      <c r="I388" t="s">
        <v>1581</v>
      </c>
    </row>
    <row r="389" spans="1:9" x14ac:dyDescent="0.25">
      <c r="A389">
        <v>0</v>
      </c>
      <c r="B389">
        <v>29</v>
      </c>
      <c r="C389" t="s">
        <v>2619</v>
      </c>
      <c r="D389" s="29" t="s">
        <v>2555</v>
      </c>
      <c r="E389">
        <v>16</v>
      </c>
      <c r="F389" t="s">
        <v>2620</v>
      </c>
      <c r="G389">
        <v>20181101</v>
      </c>
      <c r="H389">
        <v>22000101</v>
      </c>
      <c r="I389" t="s">
        <v>1581</v>
      </c>
    </row>
    <row r="390" spans="1:9" x14ac:dyDescent="0.25">
      <c r="A390">
        <v>0</v>
      </c>
      <c r="B390">
        <v>29</v>
      </c>
      <c r="C390" t="s">
        <v>2619</v>
      </c>
      <c r="D390" s="29" t="s">
        <v>2555</v>
      </c>
      <c r="E390">
        <v>17</v>
      </c>
      <c r="F390" t="s">
        <v>2620</v>
      </c>
      <c r="G390">
        <v>20181101</v>
      </c>
      <c r="H390">
        <v>22000101</v>
      </c>
      <c r="I390" t="s">
        <v>1581</v>
      </c>
    </row>
    <row r="391" spans="1:9" x14ac:dyDescent="0.25">
      <c r="A391">
        <v>0</v>
      </c>
      <c r="B391">
        <v>29</v>
      </c>
      <c r="C391" t="s">
        <v>2619</v>
      </c>
      <c r="D391" s="29" t="s">
        <v>2555</v>
      </c>
      <c r="E391">
        <v>19</v>
      </c>
      <c r="F391" t="s">
        <v>2620</v>
      </c>
      <c r="G391">
        <v>20181101</v>
      </c>
      <c r="H391">
        <v>22000101</v>
      </c>
      <c r="I391" t="s">
        <v>1581</v>
      </c>
    </row>
    <row r="392" spans="1:9" x14ac:dyDescent="0.25">
      <c r="A392">
        <v>0</v>
      </c>
      <c r="B392">
        <v>29</v>
      </c>
      <c r="C392" t="s">
        <v>2619</v>
      </c>
      <c r="D392" s="29" t="s">
        <v>2555</v>
      </c>
      <c r="E392">
        <v>20</v>
      </c>
      <c r="F392" t="s">
        <v>2620</v>
      </c>
      <c r="G392">
        <v>20181101</v>
      </c>
      <c r="H392">
        <v>22000101</v>
      </c>
      <c r="I392" t="s">
        <v>1581</v>
      </c>
    </row>
    <row r="393" spans="1:9" x14ac:dyDescent="0.25">
      <c r="A393">
        <v>0</v>
      </c>
      <c r="B393">
        <v>29</v>
      </c>
      <c r="C393" t="s">
        <v>2619</v>
      </c>
      <c r="D393" s="29" t="s">
        <v>2555</v>
      </c>
      <c r="E393">
        <v>22</v>
      </c>
      <c r="F393" t="s">
        <v>2620</v>
      </c>
      <c r="G393">
        <v>20181101</v>
      </c>
      <c r="H393">
        <v>22000101</v>
      </c>
      <c r="I393" t="s">
        <v>1581</v>
      </c>
    </row>
    <row r="394" spans="1:9" x14ac:dyDescent="0.25">
      <c r="A394">
        <v>0</v>
      </c>
      <c r="B394">
        <v>29</v>
      </c>
      <c r="C394" t="s">
        <v>2619</v>
      </c>
      <c r="D394" s="29" t="s">
        <v>2555</v>
      </c>
      <c r="E394">
        <v>23</v>
      </c>
      <c r="F394" t="s">
        <v>2620</v>
      </c>
      <c r="G394">
        <v>20181101</v>
      </c>
      <c r="H394">
        <v>22000101</v>
      </c>
      <c r="I394" t="s">
        <v>1581</v>
      </c>
    </row>
    <row r="395" spans="1:9" x14ac:dyDescent="0.25">
      <c r="A395">
        <v>0</v>
      </c>
      <c r="B395">
        <v>29</v>
      </c>
      <c r="C395" t="s">
        <v>2619</v>
      </c>
      <c r="D395" s="29" t="s">
        <v>2555</v>
      </c>
      <c r="E395">
        <v>25</v>
      </c>
      <c r="F395" t="s">
        <v>2620</v>
      </c>
      <c r="G395">
        <v>20181101</v>
      </c>
      <c r="H395">
        <v>22000101</v>
      </c>
      <c r="I395" t="s">
        <v>1581</v>
      </c>
    </row>
    <row r="396" spans="1:9" x14ac:dyDescent="0.25">
      <c r="A396">
        <v>0</v>
      </c>
      <c r="B396">
        <v>29</v>
      </c>
      <c r="C396" t="s">
        <v>2619</v>
      </c>
      <c r="D396" s="29" t="s">
        <v>2555</v>
      </c>
      <c r="E396">
        <v>26</v>
      </c>
      <c r="F396" t="s">
        <v>2620</v>
      </c>
      <c r="G396">
        <v>20181101</v>
      </c>
      <c r="H396">
        <v>22000101</v>
      </c>
      <c r="I396" t="s">
        <v>1581</v>
      </c>
    </row>
    <row r="397" spans="1:9" x14ac:dyDescent="0.25">
      <c r="A397">
        <v>0</v>
      </c>
      <c r="B397">
        <v>29</v>
      </c>
      <c r="C397" t="s">
        <v>2619</v>
      </c>
      <c r="D397" s="29" t="s">
        <v>2555</v>
      </c>
      <c r="E397">
        <v>27</v>
      </c>
      <c r="F397" t="s">
        <v>2620</v>
      </c>
      <c r="G397">
        <v>20181101</v>
      </c>
      <c r="H397">
        <v>22000101</v>
      </c>
      <c r="I397" t="s">
        <v>1581</v>
      </c>
    </row>
    <row r="398" spans="1:9" x14ac:dyDescent="0.25">
      <c r="A398">
        <v>0</v>
      </c>
      <c r="B398">
        <v>29</v>
      </c>
      <c r="C398" t="s">
        <v>2619</v>
      </c>
      <c r="D398" s="29" t="s">
        <v>2555</v>
      </c>
      <c r="E398">
        <v>29</v>
      </c>
      <c r="F398" t="s">
        <v>2620</v>
      </c>
      <c r="G398">
        <v>20181101</v>
      </c>
      <c r="H398">
        <v>22000101</v>
      </c>
      <c r="I398" t="s">
        <v>1581</v>
      </c>
    </row>
    <row r="399" spans="1:9" x14ac:dyDescent="0.25">
      <c r="A399">
        <v>0</v>
      </c>
      <c r="B399">
        <v>29</v>
      </c>
      <c r="C399" t="s">
        <v>2619</v>
      </c>
      <c r="D399" s="29" t="s">
        <v>2555</v>
      </c>
      <c r="E399">
        <v>30</v>
      </c>
      <c r="F399" t="s">
        <v>2620</v>
      </c>
      <c r="G399">
        <v>20181101</v>
      </c>
      <c r="H399">
        <v>22000101</v>
      </c>
      <c r="I399" t="s">
        <v>1581</v>
      </c>
    </row>
    <row r="400" spans="1:9" x14ac:dyDescent="0.25">
      <c r="A400">
        <v>0</v>
      </c>
      <c r="B400">
        <v>29</v>
      </c>
      <c r="C400" t="s">
        <v>2619</v>
      </c>
      <c r="D400" s="29" t="s">
        <v>2555</v>
      </c>
      <c r="E400">
        <v>31</v>
      </c>
      <c r="F400" t="s">
        <v>2620</v>
      </c>
      <c r="G400">
        <v>20181101</v>
      </c>
      <c r="H400">
        <v>22000101</v>
      </c>
      <c r="I400" t="s">
        <v>1581</v>
      </c>
    </row>
    <row r="401" spans="1:9" x14ac:dyDescent="0.25">
      <c r="A401">
        <v>0</v>
      </c>
      <c r="B401">
        <v>29</v>
      </c>
      <c r="C401" t="s">
        <v>2619</v>
      </c>
      <c r="D401" s="29" t="s">
        <v>2555</v>
      </c>
      <c r="E401">
        <v>32</v>
      </c>
      <c r="F401" t="s">
        <v>2620</v>
      </c>
      <c r="G401">
        <v>20181101</v>
      </c>
      <c r="H401">
        <v>22000101</v>
      </c>
      <c r="I401" t="s">
        <v>1581</v>
      </c>
    </row>
    <row r="402" spans="1:9" x14ac:dyDescent="0.25">
      <c r="A402">
        <v>0</v>
      </c>
      <c r="B402">
        <v>29</v>
      </c>
      <c r="C402" t="s">
        <v>2619</v>
      </c>
      <c r="D402" s="29" t="s">
        <v>2555</v>
      </c>
      <c r="E402">
        <v>33</v>
      </c>
      <c r="F402" t="s">
        <v>2620</v>
      </c>
      <c r="G402">
        <v>20181101</v>
      </c>
      <c r="H402">
        <v>22000101</v>
      </c>
      <c r="I402" t="s">
        <v>1581</v>
      </c>
    </row>
    <row r="403" spans="1:9" x14ac:dyDescent="0.25">
      <c r="A403">
        <v>0</v>
      </c>
      <c r="B403">
        <v>29</v>
      </c>
      <c r="C403" t="s">
        <v>2619</v>
      </c>
      <c r="D403" s="29" t="s">
        <v>2555</v>
      </c>
      <c r="E403">
        <v>34</v>
      </c>
      <c r="F403" t="s">
        <v>2620</v>
      </c>
      <c r="G403">
        <v>20181101</v>
      </c>
      <c r="H403">
        <v>22000101</v>
      </c>
      <c r="I403" t="s">
        <v>1581</v>
      </c>
    </row>
    <row r="404" spans="1:9" x14ac:dyDescent="0.25">
      <c r="A404">
        <v>0</v>
      </c>
      <c r="B404">
        <v>29</v>
      </c>
      <c r="C404" t="s">
        <v>2619</v>
      </c>
      <c r="D404" s="29" t="s">
        <v>2555</v>
      </c>
      <c r="E404">
        <v>35</v>
      </c>
      <c r="F404" t="s">
        <v>2620</v>
      </c>
      <c r="G404">
        <v>20181101</v>
      </c>
      <c r="H404">
        <v>22000101</v>
      </c>
      <c r="I404" t="s">
        <v>1581</v>
      </c>
    </row>
    <row r="405" spans="1:9" x14ac:dyDescent="0.25">
      <c r="A405">
        <v>0</v>
      </c>
      <c r="B405">
        <v>29</v>
      </c>
      <c r="C405" t="s">
        <v>2619</v>
      </c>
      <c r="D405" s="29" t="s">
        <v>2555</v>
      </c>
      <c r="E405">
        <v>36</v>
      </c>
      <c r="F405" t="s">
        <v>2620</v>
      </c>
      <c r="G405">
        <v>20181101</v>
      </c>
      <c r="H405">
        <v>22000101</v>
      </c>
      <c r="I405" t="s">
        <v>1581</v>
      </c>
    </row>
    <row r="406" spans="1:9" x14ac:dyDescent="0.25">
      <c r="A406">
        <v>0</v>
      </c>
      <c r="B406">
        <v>29</v>
      </c>
      <c r="C406" t="s">
        <v>2619</v>
      </c>
      <c r="D406" s="29" t="s">
        <v>2555</v>
      </c>
      <c r="E406">
        <v>38</v>
      </c>
      <c r="F406" t="s">
        <v>2620</v>
      </c>
      <c r="G406">
        <v>20181101</v>
      </c>
      <c r="H406">
        <v>22000101</v>
      </c>
      <c r="I406" t="s">
        <v>1581</v>
      </c>
    </row>
    <row r="407" spans="1:9" x14ac:dyDescent="0.25">
      <c r="A407">
        <v>0</v>
      </c>
      <c r="B407">
        <v>29</v>
      </c>
      <c r="C407" t="s">
        <v>2619</v>
      </c>
      <c r="D407" s="29" t="s">
        <v>2555</v>
      </c>
      <c r="E407">
        <v>39</v>
      </c>
      <c r="F407" t="s">
        <v>2620</v>
      </c>
      <c r="G407">
        <v>20181101</v>
      </c>
      <c r="H407">
        <v>22000101</v>
      </c>
      <c r="I407" t="s">
        <v>1581</v>
      </c>
    </row>
    <row r="408" spans="1:9" x14ac:dyDescent="0.25">
      <c r="A408">
        <v>0</v>
      </c>
      <c r="B408">
        <v>29</v>
      </c>
      <c r="C408" t="s">
        <v>2619</v>
      </c>
      <c r="D408" s="29" t="s">
        <v>2555</v>
      </c>
      <c r="E408">
        <v>40</v>
      </c>
      <c r="F408" t="s">
        <v>2620</v>
      </c>
      <c r="G408">
        <v>20181101</v>
      </c>
      <c r="H408">
        <v>22000101</v>
      </c>
      <c r="I408" t="s">
        <v>1581</v>
      </c>
    </row>
    <row r="409" spans="1:9" x14ac:dyDescent="0.25">
      <c r="A409">
        <v>0</v>
      </c>
      <c r="B409">
        <v>29</v>
      </c>
      <c r="C409" t="s">
        <v>2619</v>
      </c>
      <c r="D409" s="29" t="s">
        <v>2555</v>
      </c>
      <c r="E409">
        <v>41</v>
      </c>
      <c r="F409" t="s">
        <v>2620</v>
      </c>
      <c r="G409">
        <v>20181101</v>
      </c>
      <c r="H409">
        <v>22000101</v>
      </c>
      <c r="I409" t="s">
        <v>1581</v>
      </c>
    </row>
    <row r="410" spans="1:9" x14ac:dyDescent="0.25">
      <c r="A410">
        <v>0</v>
      </c>
      <c r="B410">
        <v>29</v>
      </c>
      <c r="C410" t="s">
        <v>2619</v>
      </c>
      <c r="D410" s="29" t="s">
        <v>2555</v>
      </c>
      <c r="E410">
        <v>42</v>
      </c>
      <c r="F410" t="s">
        <v>2620</v>
      </c>
      <c r="G410">
        <v>20181101</v>
      </c>
      <c r="H410">
        <v>22000101</v>
      </c>
      <c r="I410" t="s">
        <v>1581</v>
      </c>
    </row>
    <row r="411" spans="1:9" x14ac:dyDescent="0.25">
      <c r="A411">
        <v>0</v>
      </c>
      <c r="B411">
        <v>29</v>
      </c>
      <c r="C411" t="s">
        <v>2619</v>
      </c>
      <c r="D411" s="29" t="s">
        <v>2555</v>
      </c>
      <c r="E411">
        <v>44</v>
      </c>
      <c r="F411" t="s">
        <v>2620</v>
      </c>
      <c r="G411">
        <v>20181101</v>
      </c>
      <c r="H411">
        <v>22000101</v>
      </c>
      <c r="I411" t="s">
        <v>1581</v>
      </c>
    </row>
    <row r="412" spans="1:9" x14ac:dyDescent="0.25">
      <c r="A412">
        <v>0</v>
      </c>
      <c r="B412">
        <v>29</v>
      </c>
      <c r="C412" t="s">
        <v>2619</v>
      </c>
      <c r="D412" s="29" t="s">
        <v>2555</v>
      </c>
      <c r="E412">
        <v>45</v>
      </c>
      <c r="F412" t="s">
        <v>2620</v>
      </c>
      <c r="G412">
        <v>20181101</v>
      </c>
      <c r="H412">
        <v>22000101</v>
      </c>
      <c r="I412" t="s">
        <v>1581</v>
      </c>
    </row>
    <row r="413" spans="1:9" x14ac:dyDescent="0.25">
      <c r="A413">
        <v>0</v>
      </c>
      <c r="B413">
        <v>29</v>
      </c>
      <c r="C413" t="s">
        <v>2619</v>
      </c>
      <c r="D413" s="29" t="s">
        <v>2555</v>
      </c>
      <c r="E413">
        <v>46</v>
      </c>
      <c r="F413" t="s">
        <v>2620</v>
      </c>
      <c r="G413">
        <v>20181101</v>
      </c>
      <c r="H413">
        <v>22000101</v>
      </c>
      <c r="I413" t="s">
        <v>1581</v>
      </c>
    </row>
    <row r="414" spans="1:9" x14ac:dyDescent="0.25">
      <c r="A414">
        <v>0</v>
      </c>
      <c r="B414">
        <v>29</v>
      </c>
      <c r="C414" t="s">
        <v>2619</v>
      </c>
      <c r="D414" s="29" t="s">
        <v>2555</v>
      </c>
      <c r="E414">
        <v>47</v>
      </c>
      <c r="F414" t="s">
        <v>2620</v>
      </c>
      <c r="G414">
        <v>20181101</v>
      </c>
      <c r="H414">
        <v>22000101</v>
      </c>
      <c r="I414" t="s">
        <v>1581</v>
      </c>
    </row>
    <row r="415" spans="1:9" x14ac:dyDescent="0.25">
      <c r="A415">
        <v>0</v>
      </c>
      <c r="B415">
        <v>29</v>
      </c>
      <c r="C415" t="s">
        <v>2619</v>
      </c>
      <c r="D415" s="29" t="s">
        <v>2555</v>
      </c>
      <c r="E415">
        <v>48</v>
      </c>
      <c r="F415" t="s">
        <v>2620</v>
      </c>
      <c r="G415">
        <v>20181101</v>
      </c>
      <c r="H415">
        <v>22000101</v>
      </c>
      <c r="I415" t="s">
        <v>1581</v>
      </c>
    </row>
    <row r="416" spans="1:9" x14ac:dyDescent="0.25">
      <c r="A416">
        <v>0</v>
      </c>
      <c r="B416">
        <v>29</v>
      </c>
      <c r="C416" t="s">
        <v>2619</v>
      </c>
      <c r="D416" s="29" t="s">
        <v>2555</v>
      </c>
      <c r="E416">
        <v>49</v>
      </c>
      <c r="F416" t="s">
        <v>2620</v>
      </c>
      <c r="G416">
        <v>20181101</v>
      </c>
      <c r="H416">
        <v>22000101</v>
      </c>
      <c r="I416" t="s">
        <v>1581</v>
      </c>
    </row>
    <row r="417" spans="1:9" x14ac:dyDescent="0.25">
      <c r="A417">
        <v>0</v>
      </c>
      <c r="B417">
        <v>29</v>
      </c>
      <c r="C417" t="s">
        <v>2619</v>
      </c>
      <c r="D417" s="29" t="s">
        <v>2555</v>
      </c>
      <c r="E417">
        <v>52</v>
      </c>
      <c r="F417" t="s">
        <v>2620</v>
      </c>
      <c r="G417">
        <v>20181101</v>
      </c>
      <c r="H417">
        <v>22000101</v>
      </c>
      <c r="I417" t="s">
        <v>1581</v>
      </c>
    </row>
    <row r="418" spans="1:9" x14ac:dyDescent="0.25">
      <c r="A418">
        <v>0</v>
      </c>
      <c r="B418">
        <v>29</v>
      </c>
      <c r="C418" t="s">
        <v>2619</v>
      </c>
      <c r="D418" s="29" t="s">
        <v>2555</v>
      </c>
      <c r="E418">
        <v>54</v>
      </c>
      <c r="F418" t="s">
        <v>2620</v>
      </c>
      <c r="G418">
        <v>20181101</v>
      </c>
      <c r="H418">
        <v>22000101</v>
      </c>
      <c r="I418" t="s">
        <v>1581</v>
      </c>
    </row>
    <row r="419" spans="1:9" x14ac:dyDescent="0.25">
      <c r="A419">
        <v>0</v>
      </c>
      <c r="B419">
        <v>29</v>
      </c>
      <c r="C419" t="s">
        <v>2619</v>
      </c>
      <c r="D419" s="29" t="s">
        <v>2555</v>
      </c>
      <c r="E419">
        <v>56</v>
      </c>
      <c r="F419" t="s">
        <v>2620</v>
      </c>
      <c r="G419">
        <v>20181101</v>
      </c>
      <c r="H419">
        <v>22000101</v>
      </c>
      <c r="I419" t="s">
        <v>1581</v>
      </c>
    </row>
    <row r="420" spans="1:9" x14ac:dyDescent="0.25">
      <c r="A420">
        <v>0</v>
      </c>
      <c r="B420">
        <v>29</v>
      </c>
      <c r="C420" t="s">
        <v>2619</v>
      </c>
      <c r="D420" s="29" t="s">
        <v>2555</v>
      </c>
      <c r="E420">
        <v>57</v>
      </c>
      <c r="F420" t="s">
        <v>2620</v>
      </c>
      <c r="G420">
        <v>20181101</v>
      </c>
      <c r="H420">
        <v>22000101</v>
      </c>
      <c r="I420" t="s">
        <v>1581</v>
      </c>
    </row>
    <row r="421" spans="1:9" x14ac:dyDescent="0.25">
      <c r="A421">
        <v>0</v>
      </c>
      <c r="B421">
        <v>29</v>
      </c>
      <c r="C421" t="s">
        <v>2619</v>
      </c>
      <c r="D421" s="29" t="s">
        <v>2555</v>
      </c>
      <c r="E421">
        <v>58</v>
      </c>
      <c r="F421" t="s">
        <v>2620</v>
      </c>
      <c r="G421">
        <v>20181101</v>
      </c>
      <c r="H421">
        <v>22000101</v>
      </c>
      <c r="I421" t="s">
        <v>1581</v>
      </c>
    </row>
    <row r="422" spans="1:9" x14ac:dyDescent="0.25">
      <c r="A422">
        <v>0</v>
      </c>
      <c r="B422">
        <v>29</v>
      </c>
      <c r="C422" t="s">
        <v>2619</v>
      </c>
      <c r="D422" s="29" t="s">
        <v>2555</v>
      </c>
      <c r="E422">
        <v>59</v>
      </c>
      <c r="F422" t="s">
        <v>2620</v>
      </c>
      <c r="G422">
        <v>20181101</v>
      </c>
      <c r="H422">
        <v>22000101</v>
      </c>
      <c r="I422" t="s">
        <v>1581</v>
      </c>
    </row>
    <row r="423" spans="1:9" x14ac:dyDescent="0.25">
      <c r="A423" s="22">
        <v>0</v>
      </c>
      <c r="B423" s="22">
        <v>29</v>
      </c>
      <c r="C423" s="22" t="s">
        <v>2619</v>
      </c>
      <c r="D423" s="30" t="s">
        <v>2555</v>
      </c>
      <c r="E423" s="22">
        <v>60</v>
      </c>
      <c r="F423" s="22" t="s">
        <v>2620</v>
      </c>
      <c r="G423" s="22">
        <v>20200101</v>
      </c>
      <c r="H423" s="22">
        <v>22000101</v>
      </c>
      <c r="I423" s="22" t="s">
        <v>2557</v>
      </c>
    </row>
    <row r="424" spans="1:9" x14ac:dyDescent="0.25">
      <c r="A424">
        <v>0</v>
      </c>
      <c r="B424">
        <v>29</v>
      </c>
      <c r="C424" t="s">
        <v>2619</v>
      </c>
      <c r="D424" s="29" t="s">
        <v>2555</v>
      </c>
      <c r="E424">
        <v>61</v>
      </c>
      <c r="F424" t="s">
        <v>2620</v>
      </c>
      <c r="G424">
        <v>20181101</v>
      </c>
      <c r="H424">
        <v>22000101</v>
      </c>
      <c r="I424" t="s">
        <v>1581</v>
      </c>
    </row>
    <row r="425" spans="1:9" x14ac:dyDescent="0.25">
      <c r="A425">
        <v>0</v>
      </c>
      <c r="B425">
        <v>29</v>
      </c>
      <c r="C425" t="s">
        <v>2619</v>
      </c>
      <c r="D425" s="29" t="s">
        <v>2555</v>
      </c>
      <c r="E425">
        <v>62</v>
      </c>
      <c r="F425" t="s">
        <v>2620</v>
      </c>
      <c r="G425">
        <v>20181101</v>
      </c>
      <c r="H425">
        <v>22000101</v>
      </c>
      <c r="I425" t="s">
        <v>1581</v>
      </c>
    </row>
    <row r="426" spans="1:9" x14ac:dyDescent="0.25">
      <c r="A426">
        <v>0</v>
      </c>
      <c r="B426">
        <v>29</v>
      </c>
      <c r="C426" t="s">
        <v>2619</v>
      </c>
      <c r="D426" s="29" t="s">
        <v>2555</v>
      </c>
      <c r="E426">
        <v>65</v>
      </c>
      <c r="F426" t="s">
        <v>2620</v>
      </c>
      <c r="G426">
        <v>20181101</v>
      </c>
      <c r="H426">
        <v>22000101</v>
      </c>
      <c r="I426" t="s">
        <v>1581</v>
      </c>
    </row>
    <row r="427" spans="1:9" x14ac:dyDescent="0.25">
      <c r="A427">
        <v>0</v>
      </c>
      <c r="B427">
        <v>29</v>
      </c>
      <c r="C427" t="s">
        <v>2619</v>
      </c>
      <c r="D427" s="29" t="s">
        <v>2555</v>
      </c>
      <c r="E427">
        <v>70</v>
      </c>
      <c r="F427" t="s">
        <v>2620</v>
      </c>
      <c r="G427">
        <v>20181101</v>
      </c>
      <c r="H427">
        <v>22000101</v>
      </c>
      <c r="I427" t="s">
        <v>1581</v>
      </c>
    </row>
    <row r="428" spans="1:9" x14ac:dyDescent="0.25">
      <c r="A428">
        <v>0</v>
      </c>
      <c r="B428">
        <v>29</v>
      </c>
      <c r="C428" t="s">
        <v>2619</v>
      </c>
      <c r="D428" s="29" t="s">
        <v>2555</v>
      </c>
      <c r="E428">
        <v>71</v>
      </c>
      <c r="F428" t="s">
        <v>2620</v>
      </c>
      <c r="G428">
        <v>20181101</v>
      </c>
      <c r="H428">
        <v>22000101</v>
      </c>
      <c r="I428" t="s">
        <v>1581</v>
      </c>
    </row>
    <row r="429" spans="1:9" x14ac:dyDescent="0.25">
      <c r="A429">
        <v>0</v>
      </c>
      <c r="B429">
        <v>29</v>
      </c>
      <c r="C429" t="s">
        <v>2619</v>
      </c>
      <c r="D429" s="29" t="s">
        <v>2555</v>
      </c>
      <c r="E429">
        <v>72</v>
      </c>
      <c r="F429" t="s">
        <v>2620</v>
      </c>
      <c r="G429">
        <v>20181101</v>
      </c>
      <c r="H429">
        <v>22000101</v>
      </c>
      <c r="I429" t="s">
        <v>1581</v>
      </c>
    </row>
    <row r="430" spans="1:9" x14ac:dyDescent="0.25">
      <c r="A430">
        <v>0</v>
      </c>
      <c r="B430">
        <v>29</v>
      </c>
      <c r="C430" t="s">
        <v>2619</v>
      </c>
      <c r="D430" s="29" t="s">
        <v>2555</v>
      </c>
      <c r="E430">
        <v>74</v>
      </c>
      <c r="F430" t="s">
        <v>2620</v>
      </c>
      <c r="G430">
        <v>20181101</v>
      </c>
      <c r="H430">
        <v>22000101</v>
      </c>
      <c r="I430" t="s">
        <v>1581</v>
      </c>
    </row>
    <row r="431" spans="1:9" x14ac:dyDescent="0.25">
      <c r="A431">
        <v>0</v>
      </c>
      <c r="B431">
        <v>29</v>
      </c>
      <c r="C431" t="s">
        <v>2619</v>
      </c>
      <c r="D431" s="29" t="s">
        <v>2555</v>
      </c>
      <c r="E431">
        <v>100</v>
      </c>
      <c r="F431" t="s">
        <v>2620</v>
      </c>
      <c r="G431">
        <v>20181101</v>
      </c>
      <c r="H431">
        <v>22000101</v>
      </c>
      <c r="I431" t="s">
        <v>2621</v>
      </c>
    </row>
    <row r="432" spans="1:9" x14ac:dyDescent="0.25">
      <c r="A432">
        <v>0</v>
      </c>
      <c r="B432">
        <v>30</v>
      </c>
      <c r="C432" t="s">
        <v>2622</v>
      </c>
      <c r="D432" s="29" t="s">
        <v>2559</v>
      </c>
      <c r="E432">
        <v>350</v>
      </c>
      <c r="F432" t="s">
        <v>188</v>
      </c>
      <c r="G432">
        <v>20190101</v>
      </c>
      <c r="H432">
        <v>22000101</v>
      </c>
      <c r="I432" t="s">
        <v>1595</v>
      </c>
    </row>
    <row r="433" spans="1:9" x14ac:dyDescent="0.25">
      <c r="A433">
        <v>0</v>
      </c>
      <c r="B433">
        <v>30</v>
      </c>
      <c r="C433" t="s">
        <v>2622</v>
      </c>
      <c r="D433" s="29" t="s">
        <v>2559</v>
      </c>
      <c r="E433">
        <v>351</v>
      </c>
      <c r="F433" t="s">
        <v>188</v>
      </c>
      <c r="G433">
        <v>20190101</v>
      </c>
      <c r="H433">
        <v>22000101</v>
      </c>
      <c r="I433" t="s">
        <v>1595</v>
      </c>
    </row>
    <row r="434" spans="1:9" x14ac:dyDescent="0.25">
      <c r="A434">
        <v>0</v>
      </c>
      <c r="B434">
        <v>30</v>
      </c>
      <c r="C434" t="s">
        <v>2622</v>
      </c>
      <c r="D434" s="29" t="s">
        <v>2559</v>
      </c>
      <c r="E434">
        <v>352</v>
      </c>
      <c r="F434" t="s">
        <v>188</v>
      </c>
      <c r="G434">
        <v>20190101</v>
      </c>
      <c r="H434">
        <v>22000101</v>
      </c>
      <c r="I434" t="s">
        <v>1595</v>
      </c>
    </row>
    <row r="435" spans="1:9" x14ac:dyDescent="0.25">
      <c r="A435">
        <v>0</v>
      </c>
      <c r="B435">
        <v>31</v>
      </c>
      <c r="C435" t="s">
        <v>2623</v>
      </c>
      <c r="D435" s="29" t="s">
        <v>2559</v>
      </c>
      <c r="E435">
        <v>350</v>
      </c>
      <c r="F435" t="s">
        <v>192</v>
      </c>
      <c r="G435">
        <v>20190101</v>
      </c>
      <c r="H435">
        <v>22000101</v>
      </c>
      <c r="I435" t="s">
        <v>1604</v>
      </c>
    </row>
    <row r="436" spans="1:9" x14ac:dyDescent="0.25">
      <c r="A436">
        <v>0</v>
      </c>
      <c r="B436">
        <v>31</v>
      </c>
      <c r="C436" t="s">
        <v>2623</v>
      </c>
      <c r="D436" s="29" t="s">
        <v>2559</v>
      </c>
      <c r="E436">
        <v>351</v>
      </c>
      <c r="F436" t="s">
        <v>192</v>
      </c>
      <c r="G436">
        <v>20190101</v>
      </c>
      <c r="H436">
        <v>22000101</v>
      </c>
      <c r="I436" t="s">
        <v>1604</v>
      </c>
    </row>
    <row r="437" spans="1:9" x14ac:dyDescent="0.25">
      <c r="A437" s="22">
        <v>0</v>
      </c>
      <c r="B437" s="22">
        <v>32</v>
      </c>
      <c r="C437" s="22" t="s">
        <v>2619</v>
      </c>
      <c r="D437" s="30" t="s">
        <v>2555</v>
      </c>
      <c r="E437" s="22">
        <v>58</v>
      </c>
      <c r="F437" s="22" t="s">
        <v>2624</v>
      </c>
      <c r="G437" s="22">
        <v>20200601</v>
      </c>
      <c r="H437" s="22">
        <v>22000101</v>
      </c>
      <c r="I437" s="22" t="s">
        <v>2625</v>
      </c>
    </row>
    <row r="438" spans="1:9" x14ac:dyDescent="0.25">
      <c r="A438" s="22">
        <v>0</v>
      </c>
      <c r="B438" s="22">
        <v>32</v>
      </c>
      <c r="C438" s="22" t="s">
        <v>2619</v>
      </c>
      <c r="D438" s="30" t="s">
        <v>2555</v>
      </c>
      <c r="E438" s="22">
        <v>60</v>
      </c>
      <c r="F438" s="22" t="s">
        <v>2624</v>
      </c>
      <c r="G438" s="22">
        <v>20200601</v>
      </c>
      <c r="H438" s="22">
        <v>22000101</v>
      </c>
      <c r="I438" s="22" t="s">
        <v>2625</v>
      </c>
    </row>
    <row r="439" spans="1:9" x14ac:dyDescent="0.25">
      <c r="A439" s="22">
        <v>0</v>
      </c>
      <c r="B439" s="22">
        <v>32</v>
      </c>
      <c r="C439" s="22" t="s">
        <v>2619</v>
      </c>
      <c r="D439" s="30" t="s">
        <v>2555</v>
      </c>
      <c r="E439" s="22">
        <v>61</v>
      </c>
      <c r="F439" s="22" t="s">
        <v>2624</v>
      </c>
      <c r="G439" s="22">
        <v>20200601</v>
      </c>
      <c r="H439" s="22">
        <v>22000101</v>
      </c>
      <c r="I439" s="22" t="s">
        <v>2625</v>
      </c>
    </row>
    <row r="440" spans="1:9" x14ac:dyDescent="0.25">
      <c r="A440" s="22">
        <v>0</v>
      </c>
      <c r="B440" s="22">
        <v>32</v>
      </c>
      <c r="C440" s="22" t="s">
        <v>2619</v>
      </c>
      <c r="D440" s="30" t="s">
        <v>2555</v>
      </c>
      <c r="E440" s="22">
        <v>62</v>
      </c>
      <c r="F440" s="22" t="s">
        <v>2624</v>
      </c>
      <c r="G440" s="22">
        <v>20200601</v>
      </c>
      <c r="H440" s="22">
        <v>22000101</v>
      </c>
      <c r="I440" s="22" t="s">
        <v>2625</v>
      </c>
    </row>
    <row r="441" spans="1:9" x14ac:dyDescent="0.25">
      <c r="A441">
        <v>0</v>
      </c>
      <c r="B441">
        <v>101</v>
      </c>
      <c r="C441" t="s">
        <v>2626</v>
      </c>
      <c r="D441" s="29" t="s">
        <v>2555</v>
      </c>
      <c r="E441">
        <v>52</v>
      </c>
      <c r="F441" t="s">
        <v>2627</v>
      </c>
      <c r="G441">
        <v>20140101</v>
      </c>
      <c r="H441">
        <v>22000101</v>
      </c>
    </row>
    <row r="442" spans="1:9" x14ac:dyDescent="0.25">
      <c r="A442">
        <v>0</v>
      </c>
      <c r="B442">
        <v>101</v>
      </c>
      <c r="C442" t="s">
        <v>2626</v>
      </c>
      <c r="D442" s="29" t="s">
        <v>2555</v>
      </c>
      <c r="E442">
        <v>54</v>
      </c>
      <c r="F442" t="s">
        <v>2627</v>
      </c>
      <c r="G442">
        <v>20140101</v>
      </c>
      <c r="H442">
        <v>22000101</v>
      </c>
    </row>
    <row r="443" spans="1:9" x14ac:dyDescent="0.25">
      <c r="A443">
        <v>0</v>
      </c>
      <c r="B443">
        <v>101</v>
      </c>
      <c r="C443" t="s">
        <v>2626</v>
      </c>
      <c r="D443" s="29" t="s">
        <v>2555</v>
      </c>
      <c r="E443">
        <v>56</v>
      </c>
      <c r="F443" t="s">
        <v>2627</v>
      </c>
      <c r="G443">
        <v>20140101</v>
      </c>
      <c r="H443">
        <v>22000101</v>
      </c>
    </row>
    <row r="444" spans="1:9" x14ac:dyDescent="0.25">
      <c r="A444">
        <v>0</v>
      </c>
      <c r="B444">
        <v>101</v>
      </c>
      <c r="C444" t="s">
        <v>2626</v>
      </c>
      <c r="D444" s="29" t="s">
        <v>2555</v>
      </c>
      <c r="E444">
        <v>57</v>
      </c>
      <c r="F444" t="s">
        <v>2627</v>
      </c>
      <c r="G444">
        <v>20140101</v>
      </c>
      <c r="H444">
        <v>22000101</v>
      </c>
    </row>
    <row r="445" spans="1:9" x14ac:dyDescent="0.25">
      <c r="A445">
        <v>0</v>
      </c>
      <c r="B445">
        <v>101</v>
      </c>
      <c r="C445" t="s">
        <v>2626</v>
      </c>
      <c r="D445" s="29" t="s">
        <v>2555</v>
      </c>
      <c r="E445">
        <v>58</v>
      </c>
      <c r="F445" t="s">
        <v>2627</v>
      </c>
      <c r="G445">
        <v>20140101</v>
      </c>
      <c r="H445">
        <v>22000101</v>
      </c>
    </row>
    <row r="446" spans="1:9" x14ac:dyDescent="0.25">
      <c r="A446">
        <v>0</v>
      </c>
      <c r="B446">
        <v>101</v>
      </c>
      <c r="C446" t="s">
        <v>2626</v>
      </c>
      <c r="D446" s="29" t="s">
        <v>2555</v>
      </c>
      <c r="E446">
        <v>59</v>
      </c>
      <c r="F446" t="s">
        <v>2627</v>
      </c>
      <c r="G446">
        <v>20140101</v>
      </c>
      <c r="H446">
        <v>22000101</v>
      </c>
    </row>
    <row r="447" spans="1:9" x14ac:dyDescent="0.25">
      <c r="A447" s="22">
        <v>0</v>
      </c>
      <c r="B447" s="22">
        <v>101</v>
      </c>
      <c r="C447" s="22" t="s">
        <v>2626</v>
      </c>
      <c r="D447" s="30" t="s">
        <v>2555</v>
      </c>
      <c r="E447" s="22">
        <v>60</v>
      </c>
      <c r="F447" s="22" t="s">
        <v>2627</v>
      </c>
      <c r="G447" s="22">
        <v>20200101</v>
      </c>
      <c r="H447" s="22">
        <v>22000101</v>
      </c>
      <c r="I447" s="22" t="s">
        <v>2557</v>
      </c>
    </row>
    <row r="448" spans="1:9" x14ac:dyDescent="0.25">
      <c r="A448">
        <v>0</v>
      </c>
      <c r="B448">
        <v>101</v>
      </c>
      <c r="C448" t="s">
        <v>2626</v>
      </c>
      <c r="D448" s="29" t="s">
        <v>2555</v>
      </c>
      <c r="E448">
        <v>61</v>
      </c>
      <c r="F448" t="s">
        <v>2627</v>
      </c>
      <c r="G448">
        <v>20140101</v>
      </c>
      <c r="H448">
        <v>22000101</v>
      </c>
    </row>
    <row r="449" spans="1:9" x14ac:dyDescent="0.25">
      <c r="A449">
        <v>0</v>
      </c>
      <c r="B449">
        <v>101</v>
      </c>
      <c r="C449" t="s">
        <v>2626</v>
      </c>
      <c r="D449" s="29" t="s">
        <v>2555</v>
      </c>
      <c r="E449">
        <v>62</v>
      </c>
      <c r="F449" t="s">
        <v>2627</v>
      </c>
      <c r="G449">
        <v>20140101</v>
      </c>
      <c r="H449">
        <v>22000101</v>
      </c>
    </row>
    <row r="450" spans="1:9" x14ac:dyDescent="0.25">
      <c r="A450">
        <v>0</v>
      </c>
      <c r="B450">
        <v>101</v>
      </c>
      <c r="C450" t="s">
        <v>2626</v>
      </c>
      <c r="D450" s="29" t="s">
        <v>2555</v>
      </c>
      <c r="E450">
        <v>65</v>
      </c>
      <c r="F450" t="s">
        <v>2627</v>
      </c>
      <c r="G450">
        <v>20140101</v>
      </c>
      <c r="H450">
        <v>22000101</v>
      </c>
    </row>
    <row r="451" spans="1:9" x14ac:dyDescent="0.25">
      <c r="A451">
        <v>0</v>
      </c>
      <c r="B451">
        <v>101</v>
      </c>
      <c r="C451" t="s">
        <v>2626</v>
      </c>
      <c r="D451" s="29" t="s">
        <v>2555</v>
      </c>
      <c r="E451">
        <v>70</v>
      </c>
      <c r="F451" t="s">
        <v>2627</v>
      </c>
      <c r="G451">
        <v>20140101</v>
      </c>
      <c r="H451">
        <v>22000101</v>
      </c>
    </row>
    <row r="452" spans="1:9" x14ac:dyDescent="0.25">
      <c r="A452">
        <v>0</v>
      </c>
      <c r="B452">
        <v>101</v>
      </c>
      <c r="C452" t="s">
        <v>2626</v>
      </c>
      <c r="D452" s="29" t="s">
        <v>2555</v>
      </c>
      <c r="E452">
        <v>71</v>
      </c>
      <c r="F452" t="s">
        <v>2627</v>
      </c>
      <c r="G452">
        <v>20140101</v>
      </c>
      <c r="H452">
        <v>22000101</v>
      </c>
    </row>
    <row r="453" spans="1:9" x14ac:dyDescent="0.25">
      <c r="A453">
        <v>0</v>
      </c>
      <c r="B453">
        <v>101</v>
      </c>
      <c r="C453" t="s">
        <v>2626</v>
      </c>
      <c r="D453" s="29" t="s">
        <v>2555</v>
      </c>
      <c r="E453">
        <v>72</v>
      </c>
      <c r="F453" t="s">
        <v>2627</v>
      </c>
      <c r="G453">
        <v>20140101</v>
      </c>
      <c r="H453">
        <v>22000101</v>
      </c>
    </row>
    <row r="454" spans="1:9" x14ac:dyDescent="0.25">
      <c r="A454">
        <v>0</v>
      </c>
      <c r="B454">
        <v>101</v>
      </c>
      <c r="C454" t="s">
        <v>2626</v>
      </c>
      <c r="D454" s="29" t="s">
        <v>2555</v>
      </c>
      <c r="E454">
        <v>74</v>
      </c>
      <c r="F454" t="s">
        <v>2627</v>
      </c>
      <c r="G454">
        <v>20140101</v>
      </c>
      <c r="H454">
        <v>22000101</v>
      </c>
    </row>
    <row r="455" spans="1:9" x14ac:dyDescent="0.25">
      <c r="A455">
        <v>0</v>
      </c>
      <c r="B455">
        <v>101</v>
      </c>
      <c r="C455" t="s">
        <v>2626</v>
      </c>
      <c r="D455" s="29" t="s">
        <v>2555</v>
      </c>
      <c r="E455">
        <v>79</v>
      </c>
      <c r="F455" t="s">
        <v>2627</v>
      </c>
      <c r="G455">
        <v>20140101</v>
      </c>
      <c r="H455">
        <v>22000101</v>
      </c>
      <c r="I455" t="s">
        <v>2628</v>
      </c>
    </row>
    <row r="456" spans="1:9" x14ac:dyDescent="0.25">
      <c r="A456">
        <v>0</v>
      </c>
      <c r="B456">
        <v>101</v>
      </c>
      <c r="C456" t="s">
        <v>2626</v>
      </c>
      <c r="D456" s="29" t="s">
        <v>2555</v>
      </c>
      <c r="E456">
        <v>82</v>
      </c>
      <c r="F456" t="s">
        <v>2627</v>
      </c>
      <c r="G456">
        <v>20140101</v>
      </c>
      <c r="H456">
        <v>22000101</v>
      </c>
    </row>
    <row r="457" spans="1:9" x14ac:dyDescent="0.25">
      <c r="A457">
        <v>0</v>
      </c>
      <c r="B457">
        <v>103</v>
      </c>
      <c r="C457" t="s">
        <v>2629</v>
      </c>
      <c r="D457" s="29" t="s">
        <v>2559</v>
      </c>
      <c r="E457">
        <v>350</v>
      </c>
      <c r="F457" t="s">
        <v>2630</v>
      </c>
      <c r="G457">
        <v>20140101</v>
      </c>
      <c r="H457">
        <v>22000101</v>
      </c>
    </row>
    <row r="458" spans="1:9" x14ac:dyDescent="0.25">
      <c r="A458">
        <v>0</v>
      </c>
      <c r="B458">
        <v>103</v>
      </c>
      <c r="C458" t="s">
        <v>2629</v>
      </c>
      <c r="D458" s="29" t="s">
        <v>2559</v>
      </c>
      <c r="E458">
        <v>351</v>
      </c>
      <c r="F458" t="s">
        <v>2630</v>
      </c>
      <c r="G458">
        <v>20140101</v>
      </c>
      <c r="H458">
        <v>22000101</v>
      </c>
    </row>
    <row r="459" spans="1:9" x14ac:dyDescent="0.25">
      <c r="A459">
        <v>0</v>
      </c>
      <c r="B459">
        <v>103</v>
      </c>
      <c r="C459" t="s">
        <v>2629</v>
      </c>
      <c r="D459" s="29" t="s">
        <v>2559</v>
      </c>
      <c r="E459">
        <v>352</v>
      </c>
      <c r="F459" t="s">
        <v>2630</v>
      </c>
      <c r="G459">
        <v>20140101</v>
      </c>
      <c r="H459">
        <v>22000101</v>
      </c>
    </row>
    <row r="460" spans="1:9" x14ac:dyDescent="0.25">
      <c r="A460">
        <v>0</v>
      </c>
      <c r="B460">
        <v>103</v>
      </c>
      <c r="C460" t="s">
        <v>2629</v>
      </c>
      <c r="D460" s="29" t="s">
        <v>2559</v>
      </c>
      <c r="E460">
        <v>52</v>
      </c>
      <c r="F460" t="s">
        <v>2630</v>
      </c>
      <c r="G460">
        <v>20140101</v>
      </c>
      <c r="H460">
        <v>22000101</v>
      </c>
    </row>
    <row r="461" spans="1:9" x14ac:dyDescent="0.25">
      <c r="A461">
        <v>0</v>
      </c>
      <c r="B461">
        <v>103</v>
      </c>
      <c r="C461" t="s">
        <v>2629</v>
      </c>
      <c r="D461" s="29" t="s">
        <v>2559</v>
      </c>
      <c r="E461">
        <v>54</v>
      </c>
      <c r="F461" t="s">
        <v>2630</v>
      </c>
      <c r="G461">
        <v>20140101</v>
      </c>
      <c r="H461">
        <v>22000101</v>
      </c>
    </row>
    <row r="462" spans="1:9" x14ac:dyDescent="0.25">
      <c r="A462">
        <v>0</v>
      </c>
      <c r="B462">
        <v>103</v>
      </c>
      <c r="C462" t="s">
        <v>2629</v>
      </c>
      <c r="D462" s="29" t="s">
        <v>2559</v>
      </c>
      <c r="E462">
        <v>56</v>
      </c>
      <c r="F462" t="s">
        <v>2630</v>
      </c>
      <c r="G462">
        <v>20140101</v>
      </c>
      <c r="H462">
        <v>22000101</v>
      </c>
    </row>
    <row r="463" spans="1:9" x14ac:dyDescent="0.25">
      <c r="A463">
        <v>0</v>
      </c>
      <c r="B463">
        <v>103</v>
      </c>
      <c r="C463" t="s">
        <v>2629</v>
      </c>
      <c r="D463" s="29" t="s">
        <v>2559</v>
      </c>
      <c r="E463">
        <v>57</v>
      </c>
      <c r="F463" t="s">
        <v>2630</v>
      </c>
      <c r="G463">
        <v>20140101</v>
      </c>
      <c r="H463">
        <v>22000101</v>
      </c>
    </row>
    <row r="464" spans="1:9" x14ac:dyDescent="0.25">
      <c r="A464">
        <v>0</v>
      </c>
      <c r="B464">
        <v>103</v>
      </c>
      <c r="C464" t="s">
        <v>2629</v>
      </c>
      <c r="D464" s="29" t="s">
        <v>2559</v>
      </c>
      <c r="E464">
        <v>58</v>
      </c>
      <c r="F464" t="s">
        <v>2630</v>
      </c>
      <c r="G464">
        <v>20140101</v>
      </c>
      <c r="H464">
        <v>22000101</v>
      </c>
    </row>
    <row r="465" spans="1:9" x14ac:dyDescent="0.25">
      <c r="A465">
        <v>0</v>
      </c>
      <c r="B465">
        <v>103</v>
      </c>
      <c r="C465" t="s">
        <v>2629</v>
      </c>
      <c r="D465" s="29" t="s">
        <v>2559</v>
      </c>
      <c r="E465">
        <v>59</v>
      </c>
      <c r="F465" t="s">
        <v>2630</v>
      </c>
      <c r="G465">
        <v>20140101</v>
      </c>
      <c r="H465">
        <v>22000101</v>
      </c>
    </row>
    <row r="466" spans="1:9" x14ac:dyDescent="0.25">
      <c r="A466" s="22">
        <v>0</v>
      </c>
      <c r="B466" s="22">
        <v>103</v>
      </c>
      <c r="C466" s="22" t="s">
        <v>2629</v>
      </c>
      <c r="D466" s="30" t="s">
        <v>2559</v>
      </c>
      <c r="E466" s="22">
        <v>60</v>
      </c>
      <c r="F466" s="22" t="s">
        <v>2630</v>
      </c>
      <c r="G466" s="22">
        <v>20200101</v>
      </c>
      <c r="H466" s="22">
        <v>22000101</v>
      </c>
      <c r="I466" s="22" t="s">
        <v>2557</v>
      </c>
    </row>
    <row r="467" spans="1:9" x14ac:dyDescent="0.25">
      <c r="A467">
        <v>0</v>
      </c>
      <c r="B467">
        <v>103</v>
      </c>
      <c r="C467" t="s">
        <v>2629</v>
      </c>
      <c r="D467" s="29" t="s">
        <v>2559</v>
      </c>
      <c r="E467">
        <v>61</v>
      </c>
      <c r="F467" t="s">
        <v>2630</v>
      </c>
      <c r="G467">
        <v>20140101</v>
      </c>
      <c r="H467">
        <v>22000101</v>
      </c>
    </row>
    <row r="468" spans="1:9" x14ac:dyDescent="0.25">
      <c r="A468">
        <v>0</v>
      </c>
      <c r="B468">
        <v>103</v>
      </c>
      <c r="C468" t="s">
        <v>2629</v>
      </c>
      <c r="D468" s="29" t="s">
        <v>2559</v>
      </c>
      <c r="E468">
        <v>62</v>
      </c>
      <c r="F468" t="s">
        <v>2630</v>
      </c>
      <c r="G468">
        <v>20140101</v>
      </c>
      <c r="H468">
        <v>22000101</v>
      </c>
    </row>
    <row r="469" spans="1:9" x14ac:dyDescent="0.25">
      <c r="A469">
        <v>0</v>
      </c>
      <c r="B469">
        <v>103</v>
      </c>
      <c r="C469" t="s">
        <v>2629</v>
      </c>
      <c r="D469" s="29" t="s">
        <v>2559</v>
      </c>
      <c r="E469">
        <v>65</v>
      </c>
      <c r="F469" t="s">
        <v>2630</v>
      </c>
      <c r="G469">
        <v>20140101</v>
      </c>
      <c r="H469">
        <v>22000101</v>
      </c>
    </row>
    <row r="470" spans="1:9" x14ac:dyDescent="0.25">
      <c r="A470">
        <v>0</v>
      </c>
      <c r="B470">
        <v>103</v>
      </c>
      <c r="C470" t="s">
        <v>2629</v>
      </c>
      <c r="D470" s="29" t="s">
        <v>2559</v>
      </c>
      <c r="E470">
        <v>70</v>
      </c>
      <c r="F470" t="s">
        <v>2630</v>
      </c>
      <c r="G470">
        <v>20140101</v>
      </c>
      <c r="H470">
        <v>22000101</v>
      </c>
    </row>
    <row r="471" spans="1:9" x14ac:dyDescent="0.25">
      <c r="A471">
        <v>0</v>
      </c>
      <c r="B471">
        <v>103</v>
      </c>
      <c r="C471" t="s">
        <v>2629</v>
      </c>
      <c r="D471" s="29" t="s">
        <v>2559</v>
      </c>
      <c r="E471">
        <v>71</v>
      </c>
      <c r="F471" t="s">
        <v>2630</v>
      </c>
      <c r="G471">
        <v>20140101</v>
      </c>
      <c r="H471">
        <v>22000101</v>
      </c>
    </row>
    <row r="472" spans="1:9" x14ac:dyDescent="0.25">
      <c r="A472">
        <v>0</v>
      </c>
      <c r="B472">
        <v>103</v>
      </c>
      <c r="C472" t="s">
        <v>2629</v>
      </c>
      <c r="D472" s="29" t="s">
        <v>2559</v>
      </c>
      <c r="E472">
        <v>72</v>
      </c>
      <c r="F472" t="s">
        <v>2630</v>
      </c>
      <c r="G472">
        <v>20140101</v>
      </c>
      <c r="H472">
        <v>22000101</v>
      </c>
    </row>
    <row r="473" spans="1:9" x14ac:dyDescent="0.25">
      <c r="A473">
        <v>0</v>
      </c>
      <c r="B473">
        <v>103</v>
      </c>
      <c r="C473" t="s">
        <v>2629</v>
      </c>
      <c r="D473" s="29" t="s">
        <v>2559</v>
      </c>
      <c r="E473">
        <v>74</v>
      </c>
      <c r="F473" t="s">
        <v>2630</v>
      </c>
      <c r="G473">
        <v>20140101</v>
      </c>
      <c r="H473">
        <v>22000101</v>
      </c>
    </row>
    <row r="474" spans="1:9" x14ac:dyDescent="0.25">
      <c r="A474">
        <v>0</v>
      </c>
      <c r="B474">
        <v>103</v>
      </c>
      <c r="C474" t="s">
        <v>2629</v>
      </c>
      <c r="D474" s="29" t="s">
        <v>2559</v>
      </c>
      <c r="E474">
        <v>79</v>
      </c>
      <c r="F474" t="s">
        <v>2630</v>
      </c>
      <c r="G474">
        <v>20140101</v>
      </c>
      <c r="H474">
        <v>22000101</v>
      </c>
      <c r="I474" t="s">
        <v>2628</v>
      </c>
    </row>
    <row r="475" spans="1:9" x14ac:dyDescent="0.25">
      <c r="A475">
        <v>0</v>
      </c>
      <c r="B475">
        <v>103</v>
      </c>
      <c r="C475" t="s">
        <v>2629</v>
      </c>
      <c r="D475" s="29" t="s">
        <v>2559</v>
      </c>
      <c r="E475">
        <v>82</v>
      </c>
      <c r="F475" t="s">
        <v>2630</v>
      </c>
      <c r="G475">
        <v>20140101</v>
      </c>
      <c r="H475">
        <v>22000101</v>
      </c>
    </row>
    <row r="476" spans="1:9" x14ac:dyDescent="0.25">
      <c r="A476">
        <v>0</v>
      </c>
      <c r="B476">
        <v>104</v>
      </c>
      <c r="C476" t="s">
        <v>2631</v>
      </c>
      <c r="D476" s="29" t="s">
        <v>2555</v>
      </c>
      <c r="E476">
        <v>1</v>
      </c>
      <c r="F476" t="s">
        <v>2632</v>
      </c>
      <c r="G476">
        <v>20140101</v>
      </c>
      <c r="H476">
        <v>22000101</v>
      </c>
    </row>
    <row r="477" spans="1:9" x14ac:dyDescent="0.25">
      <c r="A477">
        <v>0</v>
      </c>
      <c r="B477">
        <v>104</v>
      </c>
      <c r="C477" t="s">
        <v>2631</v>
      </c>
      <c r="D477" s="29" t="s">
        <v>2555</v>
      </c>
      <c r="E477">
        <v>2</v>
      </c>
      <c r="F477" t="s">
        <v>2632</v>
      </c>
      <c r="G477">
        <v>20140101</v>
      </c>
      <c r="H477">
        <v>22000101</v>
      </c>
    </row>
    <row r="478" spans="1:9" x14ac:dyDescent="0.25">
      <c r="A478">
        <v>0</v>
      </c>
      <c r="B478">
        <v>104</v>
      </c>
      <c r="C478" t="s">
        <v>2631</v>
      </c>
      <c r="D478" s="29" t="s">
        <v>2555</v>
      </c>
      <c r="E478">
        <v>3</v>
      </c>
      <c r="F478" t="s">
        <v>2632</v>
      </c>
      <c r="G478">
        <v>20140101</v>
      </c>
      <c r="H478">
        <v>22000101</v>
      </c>
    </row>
    <row r="479" spans="1:9" x14ac:dyDescent="0.25">
      <c r="A479">
        <v>0</v>
      </c>
      <c r="B479">
        <v>104</v>
      </c>
      <c r="C479" t="s">
        <v>2631</v>
      </c>
      <c r="D479" s="29" t="s">
        <v>2555</v>
      </c>
      <c r="E479">
        <v>4</v>
      </c>
      <c r="F479" t="s">
        <v>2632</v>
      </c>
      <c r="G479">
        <v>20140101</v>
      </c>
      <c r="H479">
        <v>22000101</v>
      </c>
    </row>
    <row r="480" spans="1:9" x14ac:dyDescent="0.25">
      <c r="A480">
        <v>0</v>
      </c>
      <c r="B480">
        <v>104</v>
      </c>
      <c r="C480" t="s">
        <v>2631</v>
      </c>
      <c r="D480" s="29" t="s">
        <v>2555</v>
      </c>
      <c r="E480">
        <v>5</v>
      </c>
      <c r="F480" t="s">
        <v>2632</v>
      </c>
      <c r="G480">
        <v>20140101</v>
      </c>
      <c r="H480">
        <v>22000101</v>
      </c>
    </row>
    <row r="481" spans="1:9" x14ac:dyDescent="0.25">
      <c r="A481">
        <v>0</v>
      </c>
      <c r="B481">
        <v>104</v>
      </c>
      <c r="C481" t="s">
        <v>2631</v>
      </c>
      <c r="D481" s="29" t="s">
        <v>2555</v>
      </c>
      <c r="E481">
        <v>6</v>
      </c>
      <c r="F481" t="s">
        <v>2632</v>
      </c>
      <c r="G481">
        <v>20140101</v>
      </c>
      <c r="H481">
        <v>22000101</v>
      </c>
    </row>
    <row r="482" spans="1:9" x14ac:dyDescent="0.25">
      <c r="A482">
        <v>0</v>
      </c>
      <c r="B482">
        <v>104</v>
      </c>
      <c r="C482" t="s">
        <v>2631</v>
      </c>
      <c r="D482" s="29" t="s">
        <v>2555</v>
      </c>
      <c r="E482">
        <v>7</v>
      </c>
      <c r="F482" t="s">
        <v>2632</v>
      </c>
      <c r="G482">
        <v>20140101</v>
      </c>
      <c r="H482">
        <v>22000101</v>
      </c>
    </row>
    <row r="483" spans="1:9" x14ac:dyDescent="0.25">
      <c r="A483">
        <v>0</v>
      </c>
      <c r="B483">
        <v>104</v>
      </c>
      <c r="C483" t="s">
        <v>2631</v>
      </c>
      <c r="D483" s="29" t="s">
        <v>2555</v>
      </c>
      <c r="E483">
        <v>8</v>
      </c>
      <c r="F483" t="s">
        <v>2632</v>
      </c>
      <c r="G483">
        <v>20140101</v>
      </c>
      <c r="H483">
        <v>22000101</v>
      </c>
    </row>
    <row r="484" spans="1:9" x14ac:dyDescent="0.25">
      <c r="A484">
        <v>0</v>
      </c>
      <c r="B484">
        <v>104</v>
      </c>
      <c r="C484" t="s">
        <v>2631</v>
      </c>
      <c r="D484" s="29" t="s">
        <v>2555</v>
      </c>
      <c r="E484">
        <v>9</v>
      </c>
      <c r="F484" t="s">
        <v>2632</v>
      </c>
      <c r="G484">
        <v>20140101</v>
      </c>
      <c r="H484">
        <v>22000101</v>
      </c>
    </row>
    <row r="485" spans="1:9" x14ac:dyDescent="0.25">
      <c r="A485">
        <v>0</v>
      </c>
      <c r="B485">
        <v>104</v>
      </c>
      <c r="C485" t="s">
        <v>2631</v>
      </c>
      <c r="D485" s="29" t="s">
        <v>2555</v>
      </c>
      <c r="E485">
        <v>11</v>
      </c>
      <c r="F485" t="s">
        <v>2632</v>
      </c>
      <c r="G485">
        <v>20140101</v>
      </c>
      <c r="H485">
        <v>22000101</v>
      </c>
    </row>
    <row r="486" spans="1:9" x14ac:dyDescent="0.25">
      <c r="A486">
        <v>0</v>
      </c>
      <c r="B486">
        <v>104</v>
      </c>
      <c r="C486" t="s">
        <v>2631</v>
      </c>
      <c r="D486" s="29" t="s">
        <v>2555</v>
      </c>
      <c r="E486">
        <v>12</v>
      </c>
      <c r="F486" t="s">
        <v>2632</v>
      </c>
      <c r="G486">
        <v>20140101</v>
      </c>
      <c r="H486">
        <v>22000101</v>
      </c>
    </row>
    <row r="487" spans="1:9" x14ac:dyDescent="0.25">
      <c r="A487">
        <v>0</v>
      </c>
      <c r="B487">
        <v>104</v>
      </c>
      <c r="C487" t="s">
        <v>2631</v>
      </c>
      <c r="D487" s="29" t="s">
        <v>2555</v>
      </c>
      <c r="E487">
        <v>13</v>
      </c>
      <c r="F487" t="s">
        <v>2632</v>
      </c>
      <c r="G487">
        <v>20140101</v>
      </c>
      <c r="H487">
        <v>22000101</v>
      </c>
    </row>
    <row r="488" spans="1:9" x14ac:dyDescent="0.25">
      <c r="A488">
        <v>0</v>
      </c>
      <c r="B488">
        <v>104</v>
      </c>
      <c r="C488" t="s">
        <v>2631</v>
      </c>
      <c r="D488" s="29" t="s">
        <v>2555</v>
      </c>
      <c r="E488">
        <v>14</v>
      </c>
      <c r="F488" t="s">
        <v>2632</v>
      </c>
      <c r="G488">
        <v>20140101</v>
      </c>
      <c r="H488">
        <v>22000101</v>
      </c>
    </row>
    <row r="489" spans="1:9" x14ac:dyDescent="0.25">
      <c r="A489">
        <v>0</v>
      </c>
      <c r="B489">
        <v>104</v>
      </c>
      <c r="C489" t="s">
        <v>2631</v>
      </c>
      <c r="D489" s="29" t="s">
        <v>2555</v>
      </c>
      <c r="E489">
        <v>15</v>
      </c>
      <c r="F489" t="s">
        <v>2632</v>
      </c>
      <c r="G489">
        <v>20140101</v>
      </c>
      <c r="H489">
        <v>22000101</v>
      </c>
    </row>
    <row r="490" spans="1:9" x14ac:dyDescent="0.25">
      <c r="A490">
        <v>0</v>
      </c>
      <c r="B490">
        <v>104</v>
      </c>
      <c r="C490" t="s">
        <v>2631</v>
      </c>
      <c r="D490" s="29" t="s">
        <v>2555</v>
      </c>
      <c r="E490">
        <v>16</v>
      </c>
      <c r="F490" t="s">
        <v>2632</v>
      </c>
      <c r="G490">
        <v>20140101</v>
      </c>
      <c r="H490">
        <v>22000101</v>
      </c>
    </row>
    <row r="491" spans="1:9" x14ac:dyDescent="0.25">
      <c r="A491">
        <v>0</v>
      </c>
      <c r="B491">
        <v>104</v>
      </c>
      <c r="C491" t="s">
        <v>2631</v>
      </c>
      <c r="D491" s="29" t="s">
        <v>2555</v>
      </c>
      <c r="E491">
        <v>17</v>
      </c>
      <c r="F491" t="s">
        <v>2632</v>
      </c>
      <c r="G491">
        <v>20140101</v>
      </c>
      <c r="H491">
        <v>22000101</v>
      </c>
    </row>
    <row r="492" spans="1:9" x14ac:dyDescent="0.25">
      <c r="A492">
        <v>0</v>
      </c>
      <c r="B492">
        <v>104</v>
      </c>
      <c r="C492" t="s">
        <v>2631</v>
      </c>
      <c r="D492" s="29" t="s">
        <v>2555</v>
      </c>
      <c r="E492">
        <v>19</v>
      </c>
      <c r="F492" t="s">
        <v>2632</v>
      </c>
      <c r="G492">
        <v>20170801</v>
      </c>
      <c r="H492">
        <v>22000101</v>
      </c>
      <c r="I492" t="s">
        <v>2571</v>
      </c>
    </row>
    <row r="493" spans="1:9" x14ac:dyDescent="0.25">
      <c r="A493">
        <v>0</v>
      </c>
      <c r="B493">
        <v>104</v>
      </c>
      <c r="C493" t="s">
        <v>2631</v>
      </c>
      <c r="D493" s="29" t="s">
        <v>2555</v>
      </c>
      <c r="E493">
        <v>20</v>
      </c>
      <c r="F493" t="s">
        <v>2632</v>
      </c>
      <c r="G493">
        <v>20140101</v>
      </c>
      <c r="H493">
        <v>22000101</v>
      </c>
    </row>
    <row r="494" spans="1:9" x14ac:dyDescent="0.25">
      <c r="A494">
        <v>0</v>
      </c>
      <c r="B494">
        <v>104</v>
      </c>
      <c r="C494" t="s">
        <v>2631</v>
      </c>
      <c r="D494" s="29" t="s">
        <v>2555</v>
      </c>
      <c r="E494">
        <v>22</v>
      </c>
      <c r="F494" t="s">
        <v>2632</v>
      </c>
      <c r="G494">
        <v>20140101</v>
      </c>
      <c r="H494">
        <v>22000101</v>
      </c>
    </row>
    <row r="495" spans="1:9" x14ac:dyDescent="0.25">
      <c r="A495">
        <v>0</v>
      </c>
      <c r="B495">
        <v>104</v>
      </c>
      <c r="C495" t="s">
        <v>2631</v>
      </c>
      <c r="D495" s="29" t="s">
        <v>2555</v>
      </c>
      <c r="E495">
        <v>23</v>
      </c>
      <c r="F495" t="s">
        <v>2632</v>
      </c>
      <c r="G495">
        <v>20140101</v>
      </c>
      <c r="H495">
        <v>22000101</v>
      </c>
    </row>
    <row r="496" spans="1:9" x14ac:dyDescent="0.25">
      <c r="A496">
        <v>0</v>
      </c>
      <c r="B496">
        <v>104</v>
      </c>
      <c r="C496" t="s">
        <v>2631</v>
      </c>
      <c r="D496" s="29" t="s">
        <v>2555</v>
      </c>
      <c r="E496">
        <v>25</v>
      </c>
      <c r="F496" t="s">
        <v>2632</v>
      </c>
      <c r="G496">
        <v>20140101</v>
      </c>
      <c r="H496">
        <v>22000101</v>
      </c>
    </row>
    <row r="497" spans="1:9" x14ac:dyDescent="0.25">
      <c r="A497">
        <v>0</v>
      </c>
      <c r="B497">
        <v>104</v>
      </c>
      <c r="C497" t="s">
        <v>2631</v>
      </c>
      <c r="D497" s="29" t="s">
        <v>2555</v>
      </c>
      <c r="E497">
        <v>26</v>
      </c>
      <c r="F497" t="s">
        <v>2632</v>
      </c>
      <c r="G497">
        <v>20140101</v>
      </c>
      <c r="H497">
        <v>22000101</v>
      </c>
    </row>
    <row r="498" spans="1:9" x14ac:dyDescent="0.25">
      <c r="A498">
        <v>0</v>
      </c>
      <c r="B498">
        <v>104</v>
      </c>
      <c r="C498" t="s">
        <v>2631</v>
      </c>
      <c r="D498" s="29" t="s">
        <v>2555</v>
      </c>
      <c r="E498">
        <v>27</v>
      </c>
      <c r="F498" t="s">
        <v>2632</v>
      </c>
      <c r="G498">
        <v>20140101</v>
      </c>
      <c r="H498">
        <v>22000101</v>
      </c>
    </row>
    <row r="499" spans="1:9" x14ac:dyDescent="0.25">
      <c r="A499">
        <v>0</v>
      </c>
      <c r="B499">
        <v>104</v>
      </c>
      <c r="C499" t="s">
        <v>2631</v>
      </c>
      <c r="D499" s="29" t="s">
        <v>2555</v>
      </c>
      <c r="E499">
        <v>29</v>
      </c>
      <c r="F499" t="s">
        <v>2632</v>
      </c>
      <c r="G499">
        <v>20140101</v>
      </c>
      <c r="H499">
        <v>22000101</v>
      </c>
    </row>
    <row r="500" spans="1:9" x14ac:dyDescent="0.25">
      <c r="A500">
        <v>0</v>
      </c>
      <c r="B500">
        <v>104</v>
      </c>
      <c r="C500" t="s">
        <v>2631</v>
      </c>
      <c r="D500" s="29" t="s">
        <v>2555</v>
      </c>
      <c r="E500">
        <v>30</v>
      </c>
      <c r="F500" t="s">
        <v>2632</v>
      </c>
      <c r="G500">
        <v>20140101</v>
      </c>
      <c r="H500">
        <v>22000101</v>
      </c>
    </row>
    <row r="501" spans="1:9" x14ac:dyDescent="0.25">
      <c r="A501">
        <v>0</v>
      </c>
      <c r="B501">
        <v>104</v>
      </c>
      <c r="C501" t="s">
        <v>2631</v>
      </c>
      <c r="D501" s="29" t="s">
        <v>2555</v>
      </c>
      <c r="E501">
        <v>31</v>
      </c>
      <c r="F501" t="s">
        <v>2632</v>
      </c>
      <c r="G501">
        <v>20140101</v>
      </c>
      <c r="H501">
        <v>22000101</v>
      </c>
    </row>
    <row r="502" spans="1:9" x14ac:dyDescent="0.25">
      <c r="A502">
        <v>0</v>
      </c>
      <c r="B502">
        <v>104</v>
      </c>
      <c r="C502" t="s">
        <v>2631</v>
      </c>
      <c r="D502" s="29" t="s">
        <v>2555</v>
      </c>
      <c r="E502">
        <v>32</v>
      </c>
      <c r="F502" t="s">
        <v>2632</v>
      </c>
      <c r="G502">
        <v>20140101</v>
      </c>
      <c r="H502">
        <v>22000101</v>
      </c>
      <c r="I502" t="s">
        <v>2572</v>
      </c>
    </row>
    <row r="503" spans="1:9" x14ac:dyDescent="0.25">
      <c r="A503">
        <v>0</v>
      </c>
      <c r="B503">
        <v>104</v>
      </c>
      <c r="C503" t="s">
        <v>2631</v>
      </c>
      <c r="D503" s="29" t="s">
        <v>2555</v>
      </c>
      <c r="E503">
        <v>33</v>
      </c>
      <c r="F503" t="s">
        <v>2632</v>
      </c>
      <c r="G503">
        <v>20140101</v>
      </c>
      <c r="H503">
        <v>22000101</v>
      </c>
    </row>
    <row r="504" spans="1:9" x14ac:dyDescent="0.25">
      <c r="A504">
        <v>0</v>
      </c>
      <c r="B504">
        <v>104</v>
      </c>
      <c r="C504" t="s">
        <v>2631</v>
      </c>
      <c r="D504" s="29" t="s">
        <v>2555</v>
      </c>
      <c r="E504">
        <v>34</v>
      </c>
      <c r="F504" t="s">
        <v>2632</v>
      </c>
      <c r="G504">
        <v>20140101</v>
      </c>
      <c r="H504">
        <v>22000101</v>
      </c>
    </row>
    <row r="505" spans="1:9" x14ac:dyDescent="0.25">
      <c r="A505">
        <v>0</v>
      </c>
      <c r="B505">
        <v>104</v>
      </c>
      <c r="C505" t="s">
        <v>2631</v>
      </c>
      <c r="D505" s="29" t="s">
        <v>2555</v>
      </c>
      <c r="E505">
        <v>35</v>
      </c>
      <c r="F505" t="s">
        <v>2632</v>
      </c>
      <c r="G505">
        <v>20140101</v>
      </c>
      <c r="H505">
        <v>22000101</v>
      </c>
    </row>
    <row r="506" spans="1:9" x14ac:dyDescent="0.25">
      <c r="A506">
        <v>0</v>
      </c>
      <c r="B506">
        <v>104</v>
      </c>
      <c r="C506" t="s">
        <v>2631</v>
      </c>
      <c r="D506" s="29" t="s">
        <v>2555</v>
      </c>
      <c r="E506">
        <v>36</v>
      </c>
      <c r="F506" t="s">
        <v>2632</v>
      </c>
      <c r="G506">
        <v>20140101</v>
      </c>
      <c r="H506">
        <v>22000101</v>
      </c>
    </row>
    <row r="507" spans="1:9" x14ac:dyDescent="0.25">
      <c r="A507">
        <v>0</v>
      </c>
      <c r="B507">
        <v>104</v>
      </c>
      <c r="C507" t="s">
        <v>2631</v>
      </c>
      <c r="D507" s="29" t="s">
        <v>2555</v>
      </c>
      <c r="E507">
        <v>38</v>
      </c>
      <c r="F507" t="s">
        <v>2632</v>
      </c>
      <c r="G507">
        <v>20140101</v>
      </c>
      <c r="H507">
        <v>22000101</v>
      </c>
    </row>
    <row r="508" spans="1:9" x14ac:dyDescent="0.25">
      <c r="A508">
        <v>0</v>
      </c>
      <c r="B508">
        <v>104</v>
      </c>
      <c r="C508" t="s">
        <v>2631</v>
      </c>
      <c r="D508" s="29" t="s">
        <v>2555</v>
      </c>
      <c r="E508">
        <v>39</v>
      </c>
      <c r="F508" t="s">
        <v>2632</v>
      </c>
      <c r="G508">
        <v>20140101</v>
      </c>
      <c r="H508">
        <v>22000101</v>
      </c>
    </row>
    <row r="509" spans="1:9" x14ac:dyDescent="0.25">
      <c r="A509">
        <v>0</v>
      </c>
      <c r="B509">
        <v>104</v>
      </c>
      <c r="C509" t="s">
        <v>2631</v>
      </c>
      <c r="D509" s="29" t="s">
        <v>2555</v>
      </c>
      <c r="E509">
        <v>40</v>
      </c>
      <c r="F509" t="s">
        <v>2632</v>
      </c>
      <c r="G509">
        <v>20140101</v>
      </c>
      <c r="H509">
        <v>22000101</v>
      </c>
    </row>
    <row r="510" spans="1:9" x14ac:dyDescent="0.25">
      <c r="A510">
        <v>0</v>
      </c>
      <c r="B510">
        <v>104</v>
      </c>
      <c r="C510" t="s">
        <v>2631</v>
      </c>
      <c r="D510" s="29" t="s">
        <v>2555</v>
      </c>
      <c r="E510">
        <v>41</v>
      </c>
      <c r="F510" t="s">
        <v>2632</v>
      </c>
      <c r="G510">
        <v>20140101</v>
      </c>
      <c r="H510">
        <v>22000101</v>
      </c>
    </row>
    <row r="511" spans="1:9" x14ac:dyDescent="0.25">
      <c r="A511">
        <v>0</v>
      </c>
      <c r="B511">
        <v>104</v>
      </c>
      <c r="C511" t="s">
        <v>2631</v>
      </c>
      <c r="D511" s="29" t="s">
        <v>2555</v>
      </c>
      <c r="E511">
        <v>42</v>
      </c>
      <c r="F511" t="s">
        <v>2632</v>
      </c>
      <c r="G511">
        <v>20140101</v>
      </c>
      <c r="H511">
        <v>22000101</v>
      </c>
    </row>
    <row r="512" spans="1:9" x14ac:dyDescent="0.25">
      <c r="A512">
        <v>0</v>
      </c>
      <c r="B512">
        <v>104</v>
      </c>
      <c r="C512" t="s">
        <v>2631</v>
      </c>
      <c r="D512" s="29" t="s">
        <v>2555</v>
      </c>
      <c r="E512">
        <v>44</v>
      </c>
      <c r="F512" t="s">
        <v>2632</v>
      </c>
      <c r="G512">
        <v>20140101</v>
      </c>
      <c r="H512">
        <v>22000101</v>
      </c>
    </row>
    <row r="513" spans="1:9" x14ac:dyDescent="0.25">
      <c r="A513">
        <v>0</v>
      </c>
      <c r="B513">
        <v>104</v>
      </c>
      <c r="C513" t="s">
        <v>2631</v>
      </c>
      <c r="D513" s="29" t="s">
        <v>2555</v>
      </c>
      <c r="E513">
        <v>45</v>
      </c>
      <c r="F513" t="s">
        <v>2632</v>
      </c>
      <c r="G513">
        <v>20140101</v>
      </c>
      <c r="H513">
        <v>22000101</v>
      </c>
    </row>
    <row r="514" spans="1:9" x14ac:dyDescent="0.25">
      <c r="A514">
        <v>0</v>
      </c>
      <c r="B514">
        <v>104</v>
      </c>
      <c r="C514" t="s">
        <v>2631</v>
      </c>
      <c r="D514" s="29" t="s">
        <v>2555</v>
      </c>
      <c r="E514">
        <v>46</v>
      </c>
      <c r="F514" t="s">
        <v>2632</v>
      </c>
      <c r="G514">
        <v>20140101</v>
      </c>
      <c r="H514">
        <v>22000101</v>
      </c>
    </row>
    <row r="515" spans="1:9" x14ac:dyDescent="0.25">
      <c r="A515">
        <v>0</v>
      </c>
      <c r="B515">
        <v>104</v>
      </c>
      <c r="C515" t="s">
        <v>2631</v>
      </c>
      <c r="D515" s="29" t="s">
        <v>2555</v>
      </c>
      <c r="E515">
        <v>47</v>
      </c>
      <c r="F515" t="s">
        <v>2632</v>
      </c>
      <c r="G515">
        <v>20140101</v>
      </c>
      <c r="H515">
        <v>22000101</v>
      </c>
    </row>
    <row r="516" spans="1:9" x14ac:dyDescent="0.25">
      <c r="A516">
        <v>0</v>
      </c>
      <c r="B516">
        <v>104</v>
      </c>
      <c r="C516" t="s">
        <v>2631</v>
      </c>
      <c r="D516" s="29" t="s">
        <v>2555</v>
      </c>
      <c r="E516">
        <v>48</v>
      </c>
      <c r="F516" t="s">
        <v>2632</v>
      </c>
      <c r="G516">
        <v>20140101</v>
      </c>
      <c r="H516">
        <v>22000101</v>
      </c>
    </row>
    <row r="517" spans="1:9" x14ac:dyDescent="0.25">
      <c r="A517">
        <v>0</v>
      </c>
      <c r="B517">
        <v>104</v>
      </c>
      <c r="C517" t="s">
        <v>2631</v>
      </c>
      <c r="D517" s="29" t="s">
        <v>2555</v>
      </c>
      <c r="E517">
        <v>49</v>
      </c>
      <c r="F517" t="s">
        <v>2632</v>
      </c>
      <c r="G517">
        <v>20140101</v>
      </c>
      <c r="H517">
        <v>22000101</v>
      </c>
    </row>
    <row r="518" spans="1:9" x14ac:dyDescent="0.25">
      <c r="A518">
        <v>0</v>
      </c>
      <c r="B518">
        <v>104</v>
      </c>
      <c r="C518" t="s">
        <v>2631</v>
      </c>
      <c r="D518" s="29" t="s">
        <v>2555</v>
      </c>
      <c r="E518">
        <v>52</v>
      </c>
      <c r="F518" t="s">
        <v>2633</v>
      </c>
      <c r="G518">
        <v>20140101</v>
      </c>
      <c r="H518">
        <v>22000101</v>
      </c>
    </row>
    <row r="519" spans="1:9" x14ac:dyDescent="0.25">
      <c r="A519">
        <v>0</v>
      </c>
      <c r="B519">
        <v>104</v>
      </c>
      <c r="C519" t="s">
        <v>2631</v>
      </c>
      <c r="D519" s="29" t="s">
        <v>2555</v>
      </c>
      <c r="E519">
        <v>54</v>
      </c>
      <c r="F519" t="s">
        <v>2633</v>
      </c>
      <c r="G519">
        <v>20140101</v>
      </c>
      <c r="H519">
        <v>22000101</v>
      </c>
    </row>
    <row r="520" spans="1:9" x14ac:dyDescent="0.25">
      <c r="A520">
        <v>0</v>
      </c>
      <c r="B520">
        <v>104</v>
      </c>
      <c r="C520" t="s">
        <v>2631</v>
      </c>
      <c r="D520" s="29" t="s">
        <v>2555</v>
      </c>
      <c r="E520">
        <v>56</v>
      </c>
      <c r="F520" t="s">
        <v>2633</v>
      </c>
      <c r="G520">
        <v>20140101</v>
      </c>
      <c r="H520">
        <v>22000101</v>
      </c>
    </row>
    <row r="521" spans="1:9" x14ac:dyDescent="0.25">
      <c r="A521">
        <v>0</v>
      </c>
      <c r="B521">
        <v>104</v>
      </c>
      <c r="C521" t="s">
        <v>2631</v>
      </c>
      <c r="D521" s="29" t="s">
        <v>2555</v>
      </c>
      <c r="E521">
        <v>57</v>
      </c>
      <c r="F521" t="s">
        <v>2633</v>
      </c>
      <c r="G521">
        <v>20140101</v>
      </c>
      <c r="H521">
        <v>22000101</v>
      </c>
    </row>
    <row r="522" spans="1:9" x14ac:dyDescent="0.25">
      <c r="A522">
        <v>0</v>
      </c>
      <c r="B522">
        <v>104</v>
      </c>
      <c r="C522" t="s">
        <v>2631</v>
      </c>
      <c r="D522" s="29" t="s">
        <v>2555</v>
      </c>
      <c r="E522">
        <v>58</v>
      </c>
      <c r="F522" t="s">
        <v>2633</v>
      </c>
      <c r="G522">
        <v>20140101</v>
      </c>
      <c r="H522">
        <v>22000101</v>
      </c>
    </row>
    <row r="523" spans="1:9" x14ac:dyDescent="0.25">
      <c r="A523">
        <v>0</v>
      </c>
      <c r="B523">
        <v>104</v>
      </c>
      <c r="C523" t="s">
        <v>2631</v>
      </c>
      <c r="D523" s="29" t="s">
        <v>2555</v>
      </c>
      <c r="E523">
        <v>59</v>
      </c>
      <c r="F523" t="s">
        <v>2633</v>
      </c>
      <c r="G523">
        <v>20140101</v>
      </c>
      <c r="H523">
        <v>22000101</v>
      </c>
    </row>
    <row r="524" spans="1:9" x14ac:dyDescent="0.25">
      <c r="A524" s="22">
        <v>0</v>
      </c>
      <c r="B524" s="22">
        <v>104</v>
      </c>
      <c r="C524" s="22" t="s">
        <v>2631</v>
      </c>
      <c r="D524" s="30" t="s">
        <v>2555</v>
      </c>
      <c r="E524" s="22">
        <v>60</v>
      </c>
      <c r="F524" s="22" t="s">
        <v>2633</v>
      </c>
      <c r="G524" s="22">
        <v>20200101</v>
      </c>
      <c r="H524" s="22">
        <v>22000101</v>
      </c>
      <c r="I524" s="22" t="s">
        <v>2557</v>
      </c>
    </row>
    <row r="525" spans="1:9" x14ac:dyDescent="0.25">
      <c r="A525">
        <v>0</v>
      </c>
      <c r="B525">
        <v>104</v>
      </c>
      <c r="C525" t="s">
        <v>2631</v>
      </c>
      <c r="D525" s="29" t="s">
        <v>2555</v>
      </c>
      <c r="E525">
        <v>61</v>
      </c>
      <c r="F525" t="s">
        <v>2633</v>
      </c>
      <c r="G525">
        <v>20140101</v>
      </c>
      <c r="H525">
        <v>22000101</v>
      </c>
    </row>
    <row r="526" spans="1:9" x14ac:dyDescent="0.25">
      <c r="A526">
        <v>0</v>
      </c>
      <c r="B526">
        <v>104</v>
      </c>
      <c r="C526" t="s">
        <v>2631</v>
      </c>
      <c r="D526" s="29" t="s">
        <v>2555</v>
      </c>
      <c r="E526">
        <v>62</v>
      </c>
      <c r="F526" t="s">
        <v>2633</v>
      </c>
      <c r="G526">
        <v>20140101</v>
      </c>
      <c r="H526">
        <v>22000101</v>
      </c>
    </row>
    <row r="527" spans="1:9" x14ac:dyDescent="0.25">
      <c r="A527">
        <v>0</v>
      </c>
      <c r="B527">
        <v>104</v>
      </c>
      <c r="C527" t="s">
        <v>2631</v>
      </c>
      <c r="D527" s="29" t="s">
        <v>2555</v>
      </c>
      <c r="E527">
        <v>65</v>
      </c>
      <c r="F527" t="s">
        <v>2633</v>
      </c>
      <c r="G527">
        <v>20140101</v>
      </c>
      <c r="H527">
        <v>22000101</v>
      </c>
    </row>
    <row r="528" spans="1:9" x14ac:dyDescent="0.25">
      <c r="A528">
        <v>0</v>
      </c>
      <c r="B528">
        <v>105</v>
      </c>
      <c r="C528" t="s">
        <v>2634</v>
      </c>
      <c r="D528" s="29" t="s">
        <v>2555</v>
      </c>
      <c r="E528">
        <v>54</v>
      </c>
      <c r="F528" t="s">
        <v>2633</v>
      </c>
      <c r="G528">
        <v>20140101</v>
      </c>
      <c r="H528">
        <v>22000101</v>
      </c>
    </row>
    <row r="529" spans="1:9" x14ac:dyDescent="0.25">
      <c r="A529">
        <v>0</v>
      </c>
      <c r="B529">
        <v>105</v>
      </c>
      <c r="C529" t="s">
        <v>2634</v>
      </c>
      <c r="D529" s="29" t="s">
        <v>2555</v>
      </c>
      <c r="E529">
        <v>56</v>
      </c>
      <c r="F529" t="s">
        <v>2633</v>
      </c>
      <c r="G529">
        <v>20140101</v>
      </c>
      <c r="H529">
        <v>22000101</v>
      </c>
    </row>
    <row r="530" spans="1:9" x14ac:dyDescent="0.25">
      <c r="A530">
        <v>0</v>
      </c>
      <c r="B530">
        <v>105</v>
      </c>
      <c r="C530" t="s">
        <v>2634</v>
      </c>
      <c r="D530" s="29" t="s">
        <v>2555</v>
      </c>
      <c r="E530">
        <v>57</v>
      </c>
      <c r="F530" t="s">
        <v>2633</v>
      </c>
      <c r="G530">
        <v>20140101</v>
      </c>
      <c r="H530">
        <v>22000101</v>
      </c>
    </row>
    <row r="531" spans="1:9" x14ac:dyDescent="0.25">
      <c r="A531">
        <v>0</v>
      </c>
      <c r="B531">
        <v>105</v>
      </c>
      <c r="C531" t="s">
        <v>2634</v>
      </c>
      <c r="D531" s="29" t="s">
        <v>2555</v>
      </c>
      <c r="E531">
        <v>58</v>
      </c>
      <c r="F531" t="s">
        <v>2633</v>
      </c>
      <c r="G531">
        <v>20140101</v>
      </c>
      <c r="H531">
        <v>22000101</v>
      </c>
    </row>
    <row r="532" spans="1:9" x14ac:dyDescent="0.25">
      <c r="A532">
        <v>0</v>
      </c>
      <c r="B532">
        <v>105</v>
      </c>
      <c r="C532" t="s">
        <v>2634</v>
      </c>
      <c r="D532" s="29" t="s">
        <v>2555</v>
      </c>
      <c r="E532">
        <v>59</v>
      </c>
      <c r="F532" t="s">
        <v>2633</v>
      </c>
      <c r="G532">
        <v>20140101</v>
      </c>
      <c r="H532">
        <v>22000101</v>
      </c>
    </row>
    <row r="533" spans="1:9" x14ac:dyDescent="0.25">
      <c r="A533" s="22">
        <v>0</v>
      </c>
      <c r="B533" s="22">
        <v>105</v>
      </c>
      <c r="C533" s="22" t="s">
        <v>2634</v>
      </c>
      <c r="D533" s="30" t="s">
        <v>2555</v>
      </c>
      <c r="E533" s="22">
        <v>60</v>
      </c>
      <c r="F533" s="22" t="s">
        <v>2633</v>
      </c>
      <c r="G533" s="22">
        <v>20200101</v>
      </c>
      <c r="H533" s="22">
        <v>22000101</v>
      </c>
      <c r="I533" s="22" t="s">
        <v>2557</v>
      </c>
    </row>
    <row r="534" spans="1:9" x14ac:dyDescent="0.25">
      <c r="A534">
        <v>0</v>
      </c>
      <c r="B534">
        <v>105</v>
      </c>
      <c r="C534" t="s">
        <v>2634</v>
      </c>
      <c r="D534" s="29" t="s">
        <v>2555</v>
      </c>
      <c r="E534">
        <v>61</v>
      </c>
      <c r="F534" t="s">
        <v>2633</v>
      </c>
      <c r="G534">
        <v>20140101</v>
      </c>
      <c r="H534">
        <v>22000101</v>
      </c>
    </row>
    <row r="535" spans="1:9" x14ac:dyDescent="0.25">
      <c r="A535">
        <v>0</v>
      </c>
      <c r="B535">
        <v>105</v>
      </c>
      <c r="C535" t="s">
        <v>2634</v>
      </c>
      <c r="D535" s="29" t="s">
        <v>2555</v>
      </c>
      <c r="E535">
        <v>62</v>
      </c>
      <c r="F535" t="s">
        <v>2633</v>
      </c>
      <c r="G535">
        <v>20140101</v>
      </c>
      <c r="H535">
        <v>22000101</v>
      </c>
    </row>
    <row r="536" spans="1:9" x14ac:dyDescent="0.25">
      <c r="A536">
        <v>0</v>
      </c>
      <c r="B536">
        <v>105</v>
      </c>
      <c r="C536" t="s">
        <v>2634</v>
      </c>
      <c r="D536" s="29" t="s">
        <v>2555</v>
      </c>
      <c r="E536">
        <v>65</v>
      </c>
      <c r="F536" t="s">
        <v>2633</v>
      </c>
      <c r="G536">
        <v>20140101</v>
      </c>
      <c r="H536">
        <v>22000101</v>
      </c>
    </row>
    <row r="537" spans="1:9" x14ac:dyDescent="0.25">
      <c r="A537">
        <v>0</v>
      </c>
      <c r="B537">
        <v>105</v>
      </c>
      <c r="C537" t="s">
        <v>2634</v>
      </c>
      <c r="D537" s="29" t="s">
        <v>2555</v>
      </c>
      <c r="E537">
        <v>70</v>
      </c>
      <c r="F537" t="s">
        <v>2633</v>
      </c>
      <c r="G537">
        <v>20140101</v>
      </c>
      <c r="H537">
        <v>22000101</v>
      </c>
    </row>
    <row r="538" spans="1:9" x14ac:dyDescent="0.25">
      <c r="A538">
        <v>0</v>
      </c>
      <c r="B538">
        <v>105</v>
      </c>
      <c r="C538" t="s">
        <v>2634</v>
      </c>
      <c r="D538" s="29" t="s">
        <v>2555</v>
      </c>
      <c r="E538">
        <v>71</v>
      </c>
      <c r="F538" t="s">
        <v>2633</v>
      </c>
      <c r="G538">
        <v>20140101</v>
      </c>
      <c r="H538">
        <v>22000101</v>
      </c>
    </row>
    <row r="539" spans="1:9" x14ac:dyDescent="0.25">
      <c r="A539">
        <v>0</v>
      </c>
      <c r="B539">
        <v>105</v>
      </c>
      <c r="C539" t="s">
        <v>2634</v>
      </c>
      <c r="D539" s="29" t="s">
        <v>2555</v>
      </c>
      <c r="E539">
        <v>72</v>
      </c>
      <c r="F539" t="s">
        <v>2633</v>
      </c>
      <c r="G539">
        <v>20140101</v>
      </c>
      <c r="H539">
        <v>22000101</v>
      </c>
    </row>
    <row r="540" spans="1:9" x14ac:dyDescent="0.25">
      <c r="A540">
        <v>0</v>
      </c>
      <c r="B540">
        <v>105</v>
      </c>
      <c r="C540" t="s">
        <v>2634</v>
      </c>
      <c r="D540" s="29" t="s">
        <v>2555</v>
      </c>
      <c r="E540">
        <v>74</v>
      </c>
      <c r="F540" t="s">
        <v>2633</v>
      </c>
      <c r="G540">
        <v>20140101</v>
      </c>
      <c r="H540">
        <v>22000101</v>
      </c>
    </row>
    <row r="541" spans="1:9" x14ac:dyDescent="0.25">
      <c r="A541">
        <v>0</v>
      </c>
      <c r="B541">
        <v>105</v>
      </c>
      <c r="C541" t="s">
        <v>2634</v>
      </c>
      <c r="D541" s="29" t="s">
        <v>2555</v>
      </c>
      <c r="E541">
        <v>82</v>
      </c>
      <c r="F541" t="s">
        <v>2633</v>
      </c>
      <c r="G541">
        <v>20140101</v>
      </c>
      <c r="H541">
        <v>22000101</v>
      </c>
    </row>
    <row r="542" spans="1:9" x14ac:dyDescent="0.25">
      <c r="A542">
        <v>0</v>
      </c>
      <c r="B542">
        <v>106</v>
      </c>
      <c r="C542" t="s">
        <v>2635</v>
      </c>
      <c r="D542" s="29" t="s">
        <v>2559</v>
      </c>
      <c r="E542">
        <v>1</v>
      </c>
      <c r="F542" t="s">
        <v>2636</v>
      </c>
      <c r="G542">
        <v>20140101</v>
      </c>
      <c r="H542">
        <v>22000101</v>
      </c>
    </row>
    <row r="543" spans="1:9" x14ac:dyDescent="0.25">
      <c r="A543">
        <v>0</v>
      </c>
      <c r="B543">
        <v>106</v>
      </c>
      <c r="C543" t="s">
        <v>2635</v>
      </c>
      <c r="D543" s="29" t="s">
        <v>2559</v>
      </c>
      <c r="E543">
        <v>2</v>
      </c>
      <c r="F543" t="s">
        <v>2636</v>
      </c>
      <c r="G543">
        <v>20140101</v>
      </c>
      <c r="H543">
        <v>22000101</v>
      </c>
    </row>
    <row r="544" spans="1:9" ht="13.9" customHeight="1" x14ac:dyDescent="0.25">
      <c r="A544">
        <v>0</v>
      </c>
      <c r="B544">
        <v>106</v>
      </c>
      <c r="C544" t="s">
        <v>2635</v>
      </c>
      <c r="D544" s="29" t="s">
        <v>2559</v>
      </c>
      <c r="E544">
        <v>3</v>
      </c>
      <c r="F544" t="s">
        <v>2636</v>
      </c>
      <c r="G544">
        <v>20140101</v>
      </c>
      <c r="H544">
        <v>22000101</v>
      </c>
    </row>
    <row r="545" spans="1:8" x14ac:dyDescent="0.25">
      <c r="A545">
        <v>0</v>
      </c>
      <c r="B545">
        <v>106</v>
      </c>
      <c r="C545" t="s">
        <v>2635</v>
      </c>
      <c r="D545" s="29" t="s">
        <v>2559</v>
      </c>
      <c r="E545">
        <v>4</v>
      </c>
      <c r="F545" t="s">
        <v>2636</v>
      </c>
      <c r="G545">
        <v>20140101</v>
      </c>
      <c r="H545">
        <v>22000101</v>
      </c>
    </row>
    <row r="546" spans="1:8" x14ac:dyDescent="0.25">
      <c r="A546">
        <v>0</v>
      </c>
      <c r="B546">
        <v>106</v>
      </c>
      <c r="C546" t="s">
        <v>2635</v>
      </c>
      <c r="D546" s="29" t="s">
        <v>2559</v>
      </c>
      <c r="E546">
        <v>5</v>
      </c>
      <c r="F546" t="s">
        <v>2636</v>
      </c>
      <c r="G546">
        <v>20140101</v>
      </c>
      <c r="H546">
        <v>22000101</v>
      </c>
    </row>
    <row r="547" spans="1:8" x14ac:dyDescent="0.25">
      <c r="A547">
        <v>0</v>
      </c>
      <c r="B547">
        <v>106</v>
      </c>
      <c r="C547" t="s">
        <v>2635</v>
      </c>
      <c r="D547" s="29" t="s">
        <v>2559</v>
      </c>
      <c r="E547">
        <v>6</v>
      </c>
      <c r="F547" t="s">
        <v>2636</v>
      </c>
      <c r="G547">
        <v>20140101</v>
      </c>
      <c r="H547">
        <v>22000101</v>
      </c>
    </row>
    <row r="548" spans="1:8" x14ac:dyDescent="0.25">
      <c r="A548">
        <v>0</v>
      </c>
      <c r="B548">
        <v>106</v>
      </c>
      <c r="C548" t="s">
        <v>2635</v>
      </c>
      <c r="D548" s="29" t="s">
        <v>2559</v>
      </c>
      <c r="E548">
        <v>7</v>
      </c>
      <c r="F548" t="s">
        <v>2636</v>
      </c>
      <c r="G548">
        <v>20140101</v>
      </c>
      <c r="H548">
        <v>22000101</v>
      </c>
    </row>
    <row r="549" spans="1:8" x14ac:dyDescent="0.25">
      <c r="A549">
        <v>0</v>
      </c>
      <c r="B549">
        <v>106</v>
      </c>
      <c r="C549" t="s">
        <v>2635</v>
      </c>
      <c r="D549" s="29" t="s">
        <v>2559</v>
      </c>
      <c r="E549">
        <v>8</v>
      </c>
      <c r="F549" t="s">
        <v>2636</v>
      </c>
      <c r="G549">
        <v>20140101</v>
      </c>
      <c r="H549">
        <v>22000101</v>
      </c>
    </row>
    <row r="550" spans="1:8" x14ac:dyDescent="0.25">
      <c r="A550">
        <v>0</v>
      </c>
      <c r="B550">
        <v>106</v>
      </c>
      <c r="C550" t="s">
        <v>2635</v>
      </c>
      <c r="D550" s="29" t="s">
        <v>2559</v>
      </c>
      <c r="E550">
        <v>9</v>
      </c>
      <c r="F550" t="s">
        <v>2636</v>
      </c>
      <c r="G550">
        <v>20140101</v>
      </c>
      <c r="H550">
        <v>22000101</v>
      </c>
    </row>
    <row r="551" spans="1:8" x14ac:dyDescent="0.25">
      <c r="A551">
        <v>0</v>
      </c>
      <c r="B551">
        <v>106</v>
      </c>
      <c r="C551" t="s">
        <v>2635</v>
      </c>
      <c r="D551" s="29" t="s">
        <v>2559</v>
      </c>
      <c r="E551">
        <v>11</v>
      </c>
      <c r="F551" t="s">
        <v>2636</v>
      </c>
      <c r="G551">
        <v>20140101</v>
      </c>
      <c r="H551">
        <v>22000101</v>
      </c>
    </row>
    <row r="552" spans="1:8" x14ac:dyDescent="0.25">
      <c r="A552">
        <v>0</v>
      </c>
      <c r="B552">
        <v>106</v>
      </c>
      <c r="C552" t="s">
        <v>2635</v>
      </c>
      <c r="D552" s="29" t="s">
        <v>2559</v>
      </c>
      <c r="E552">
        <v>12</v>
      </c>
      <c r="F552" t="s">
        <v>2636</v>
      </c>
      <c r="G552">
        <v>20140101</v>
      </c>
      <c r="H552">
        <v>22000101</v>
      </c>
    </row>
    <row r="553" spans="1:8" x14ac:dyDescent="0.25">
      <c r="A553">
        <v>0</v>
      </c>
      <c r="B553">
        <v>106</v>
      </c>
      <c r="C553" t="s">
        <v>2635</v>
      </c>
      <c r="D553" s="29" t="s">
        <v>2559</v>
      </c>
      <c r="E553">
        <v>13</v>
      </c>
      <c r="F553" t="s">
        <v>2636</v>
      </c>
      <c r="G553">
        <v>20140101</v>
      </c>
      <c r="H553">
        <v>22000101</v>
      </c>
    </row>
    <row r="554" spans="1:8" x14ac:dyDescent="0.25">
      <c r="A554">
        <v>0</v>
      </c>
      <c r="B554">
        <v>106</v>
      </c>
      <c r="C554" t="s">
        <v>2635</v>
      </c>
      <c r="D554" s="29" t="s">
        <v>2559</v>
      </c>
      <c r="E554">
        <v>14</v>
      </c>
      <c r="F554" t="s">
        <v>2636</v>
      </c>
      <c r="G554">
        <v>20140101</v>
      </c>
      <c r="H554">
        <v>22000101</v>
      </c>
    </row>
    <row r="555" spans="1:8" x14ac:dyDescent="0.25">
      <c r="A555">
        <v>0</v>
      </c>
      <c r="B555">
        <v>106</v>
      </c>
      <c r="C555" t="s">
        <v>2635</v>
      </c>
      <c r="D555" s="29" t="s">
        <v>2559</v>
      </c>
      <c r="E555">
        <v>15</v>
      </c>
      <c r="F555" t="s">
        <v>2636</v>
      </c>
      <c r="G555">
        <v>20140101</v>
      </c>
      <c r="H555">
        <v>22000101</v>
      </c>
    </row>
    <row r="556" spans="1:8" x14ac:dyDescent="0.25">
      <c r="A556">
        <v>0</v>
      </c>
      <c r="B556">
        <v>106</v>
      </c>
      <c r="C556" t="s">
        <v>2635</v>
      </c>
      <c r="D556" s="29" t="s">
        <v>2559</v>
      </c>
      <c r="E556">
        <v>16</v>
      </c>
      <c r="F556" t="s">
        <v>2636</v>
      </c>
      <c r="G556">
        <v>20140101</v>
      </c>
      <c r="H556">
        <v>22000101</v>
      </c>
    </row>
    <row r="557" spans="1:8" x14ac:dyDescent="0.25">
      <c r="A557">
        <v>0</v>
      </c>
      <c r="B557">
        <v>106</v>
      </c>
      <c r="C557" t="s">
        <v>2635</v>
      </c>
      <c r="D557" s="29" t="s">
        <v>2559</v>
      </c>
      <c r="E557">
        <v>17</v>
      </c>
      <c r="F557" t="s">
        <v>2636</v>
      </c>
      <c r="G557">
        <v>20140101</v>
      </c>
      <c r="H557">
        <v>22000101</v>
      </c>
    </row>
    <row r="558" spans="1:8" x14ac:dyDescent="0.25">
      <c r="A558">
        <v>0</v>
      </c>
      <c r="B558">
        <v>106</v>
      </c>
      <c r="C558" t="s">
        <v>2635</v>
      </c>
      <c r="D558" s="29" t="s">
        <v>2559</v>
      </c>
      <c r="E558">
        <v>20</v>
      </c>
      <c r="F558" t="s">
        <v>2636</v>
      </c>
      <c r="G558">
        <v>20140101</v>
      </c>
      <c r="H558">
        <v>22000101</v>
      </c>
    </row>
    <row r="559" spans="1:8" x14ac:dyDescent="0.25">
      <c r="A559">
        <v>0</v>
      </c>
      <c r="B559">
        <v>106</v>
      </c>
      <c r="C559" t="s">
        <v>2635</v>
      </c>
      <c r="D559" s="29" t="s">
        <v>2559</v>
      </c>
      <c r="E559">
        <v>22</v>
      </c>
      <c r="F559" t="s">
        <v>2636</v>
      </c>
      <c r="G559">
        <v>20140101</v>
      </c>
      <c r="H559">
        <v>22000101</v>
      </c>
    </row>
    <row r="560" spans="1:8" x14ac:dyDescent="0.25">
      <c r="A560">
        <v>0</v>
      </c>
      <c r="B560">
        <v>106</v>
      </c>
      <c r="C560" t="s">
        <v>2635</v>
      </c>
      <c r="D560" s="29" t="s">
        <v>2559</v>
      </c>
      <c r="E560">
        <v>23</v>
      </c>
      <c r="F560" t="s">
        <v>2636</v>
      </c>
      <c r="G560">
        <v>20140101</v>
      </c>
      <c r="H560">
        <v>22000101</v>
      </c>
    </row>
    <row r="561" spans="1:9" x14ac:dyDescent="0.25">
      <c r="A561">
        <v>0</v>
      </c>
      <c r="B561">
        <v>106</v>
      </c>
      <c r="C561" t="s">
        <v>2635</v>
      </c>
      <c r="D561" s="29" t="s">
        <v>2559</v>
      </c>
      <c r="E561">
        <v>25</v>
      </c>
      <c r="F561" t="s">
        <v>2636</v>
      </c>
      <c r="G561">
        <v>20140101</v>
      </c>
      <c r="H561">
        <v>22000101</v>
      </c>
    </row>
    <row r="562" spans="1:9" x14ac:dyDescent="0.25">
      <c r="A562">
        <v>0</v>
      </c>
      <c r="B562">
        <v>106</v>
      </c>
      <c r="C562" t="s">
        <v>2635</v>
      </c>
      <c r="D562" s="29" t="s">
        <v>2559</v>
      </c>
      <c r="E562">
        <v>26</v>
      </c>
      <c r="F562" t="s">
        <v>2636</v>
      </c>
      <c r="G562">
        <v>20140101</v>
      </c>
      <c r="H562">
        <v>22000101</v>
      </c>
    </row>
    <row r="563" spans="1:9" x14ac:dyDescent="0.25">
      <c r="A563">
        <v>0</v>
      </c>
      <c r="B563">
        <v>106</v>
      </c>
      <c r="C563" t="s">
        <v>2635</v>
      </c>
      <c r="D563" s="29" t="s">
        <v>2559</v>
      </c>
      <c r="E563">
        <v>27</v>
      </c>
      <c r="F563" t="s">
        <v>2636</v>
      </c>
      <c r="G563">
        <v>20140101</v>
      </c>
      <c r="H563">
        <v>22000101</v>
      </c>
    </row>
    <row r="564" spans="1:9" x14ac:dyDescent="0.25">
      <c r="A564">
        <v>0</v>
      </c>
      <c r="B564">
        <v>106</v>
      </c>
      <c r="C564" t="s">
        <v>2635</v>
      </c>
      <c r="D564" s="29" t="s">
        <v>2559</v>
      </c>
      <c r="E564">
        <v>29</v>
      </c>
      <c r="F564" t="s">
        <v>2636</v>
      </c>
      <c r="G564">
        <v>20140101</v>
      </c>
      <c r="H564">
        <v>22000101</v>
      </c>
    </row>
    <row r="565" spans="1:9" x14ac:dyDescent="0.25">
      <c r="A565">
        <v>0</v>
      </c>
      <c r="B565">
        <v>106</v>
      </c>
      <c r="C565" t="s">
        <v>2635</v>
      </c>
      <c r="D565" s="29" t="s">
        <v>2559</v>
      </c>
      <c r="E565">
        <v>30</v>
      </c>
      <c r="F565" t="s">
        <v>2636</v>
      </c>
      <c r="G565">
        <v>20140101</v>
      </c>
      <c r="H565">
        <v>22000101</v>
      </c>
    </row>
    <row r="566" spans="1:9" x14ac:dyDescent="0.25">
      <c r="A566">
        <v>0</v>
      </c>
      <c r="B566">
        <v>106</v>
      </c>
      <c r="C566" t="s">
        <v>2635</v>
      </c>
      <c r="D566" s="29" t="s">
        <v>2559</v>
      </c>
      <c r="E566">
        <v>31</v>
      </c>
      <c r="F566" t="s">
        <v>2636</v>
      </c>
      <c r="G566">
        <v>20140101</v>
      </c>
      <c r="H566">
        <v>22000101</v>
      </c>
    </row>
    <row r="567" spans="1:9" x14ac:dyDescent="0.25">
      <c r="A567">
        <v>0</v>
      </c>
      <c r="B567">
        <v>106</v>
      </c>
      <c r="C567" t="s">
        <v>2635</v>
      </c>
      <c r="D567" s="29" t="s">
        <v>2559</v>
      </c>
      <c r="E567">
        <v>32</v>
      </c>
      <c r="F567" t="s">
        <v>2636</v>
      </c>
      <c r="G567">
        <v>20140101</v>
      </c>
      <c r="H567">
        <v>22000101</v>
      </c>
      <c r="I567" t="s">
        <v>2572</v>
      </c>
    </row>
    <row r="568" spans="1:9" x14ac:dyDescent="0.25">
      <c r="A568">
        <v>0</v>
      </c>
      <c r="B568">
        <v>106</v>
      </c>
      <c r="C568" t="s">
        <v>2635</v>
      </c>
      <c r="D568" s="29" t="s">
        <v>2559</v>
      </c>
      <c r="E568">
        <v>33</v>
      </c>
      <c r="F568" t="s">
        <v>2636</v>
      </c>
      <c r="G568">
        <v>20140101</v>
      </c>
      <c r="H568">
        <v>22000101</v>
      </c>
    </row>
    <row r="569" spans="1:9" x14ac:dyDescent="0.25">
      <c r="A569">
        <v>0</v>
      </c>
      <c r="B569">
        <v>106</v>
      </c>
      <c r="C569" t="s">
        <v>2635</v>
      </c>
      <c r="D569" s="29" t="s">
        <v>2559</v>
      </c>
      <c r="E569">
        <v>34</v>
      </c>
      <c r="F569" t="s">
        <v>2636</v>
      </c>
      <c r="G569">
        <v>20140101</v>
      </c>
      <c r="H569">
        <v>22000101</v>
      </c>
    </row>
    <row r="570" spans="1:9" x14ac:dyDescent="0.25">
      <c r="A570">
        <v>0</v>
      </c>
      <c r="B570">
        <v>106</v>
      </c>
      <c r="C570" t="s">
        <v>2635</v>
      </c>
      <c r="D570" s="29" t="s">
        <v>2559</v>
      </c>
      <c r="E570">
        <v>35</v>
      </c>
      <c r="F570" t="s">
        <v>2636</v>
      </c>
      <c r="G570">
        <v>20140101</v>
      </c>
      <c r="H570">
        <v>22000101</v>
      </c>
    </row>
    <row r="571" spans="1:9" x14ac:dyDescent="0.25">
      <c r="A571">
        <v>0</v>
      </c>
      <c r="B571">
        <v>106</v>
      </c>
      <c r="C571" t="s">
        <v>2635</v>
      </c>
      <c r="D571" s="29" t="s">
        <v>2559</v>
      </c>
      <c r="E571">
        <v>36</v>
      </c>
      <c r="F571" t="s">
        <v>2636</v>
      </c>
      <c r="G571">
        <v>20140101</v>
      </c>
      <c r="H571">
        <v>22000101</v>
      </c>
    </row>
    <row r="572" spans="1:9" x14ac:dyDescent="0.25">
      <c r="A572">
        <v>0</v>
      </c>
      <c r="B572">
        <v>106</v>
      </c>
      <c r="C572" t="s">
        <v>2635</v>
      </c>
      <c r="D572" s="29" t="s">
        <v>2559</v>
      </c>
      <c r="E572">
        <v>38</v>
      </c>
      <c r="F572" t="s">
        <v>2636</v>
      </c>
      <c r="G572">
        <v>20140101</v>
      </c>
      <c r="H572">
        <v>22000101</v>
      </c>
    </row>
    <row r="573" spans="1:9" x14ac:dyDescent="0.25">
      <c r="A573">
        <v>0</v>
      </c>
      <c r="B573">
        <v>106</v>
      </c>
      <c r="C573" t="s">
        <v>2635</v>
      </c>
      <c r="D573" s="29" t="s">
        <v>2559</v>
      </c>
      <c r="E573">
        <v>39</v>
      </c>
      <c r="F573" t="s">
        <v>2636</v>
      </c>
      <c r="G573">
        <v>20140101</v>
      </c>
      <c r="H573">
        <v>22000101</v>
      </c>
    </row>
    <row r="574" spans="1:9" x14ac:dyDescent="0.25">
      <c r="A574">
        <v>0</v>
      </c>
      <c r="B574">
        <v>106</v>
      </c>
      <c r="C574" t="s">
        <v>2635</v>
      </c>
      <c r="D574" s="29" t="s">
        <v>2559</v>
      </c>
      <c r="E574">
        <v>40</v>
      </c>
      <c r="F574" t="s">
        <v>2636</v>
      </c>
      <c r="G574">
        <v>20140101</v>
      </c>
      <c r="H574">
        <v>22000101</v>
      </c>
    </row>
    <row r="575" spans="1:9" x14ac:dyDescent="0.25">
      <c r="A575">
        <v>0</v>
      </c>
      <c r="B575">
        <v>106</v>
      </c>
      <c r="C575" t="s">
        <v>2635</v>
      </c>
      <c r="D575" s="29" t="s">
        <v>2559</v>
      </c>
      <c r="E575">
        <v>41</v>
      </c>
      <c r="F575" t="s">
        <v>2636</v>
      </c>
      <c r="G575">
        <v>20140101</v>
      </c>
      <c r="H575">
        <v>22000101</v>
      </c>
    </row>
    <row r="576" spans="1:9" x14ac:dyDescent="0.25">
      <c r="A576">
        <v>0</v>
      </c>
      <c r="B576">
        <v>106</v>
      </c>
      <c r="C576" t="s">
        <v>2635</v>
      </c>
      <c r="D576" s="29" t="s">
        <v>2559</v>
      </c>
      <c r="E576">
        <v>42</v>
      </c>
      <c r="F576" t="s">
        <v>2636</v>
      </c>
      <c r="G576">
        <v>20140101</v>
      </c>
      <c r="H576">
        <v>22000101</v>
      </c>
    </row>
    <row r="577" spans="1:9" x14ac:dyDescent="0.25">
      <c r="A577">
        <v>0</v>
      </c>
      <c r="B577">
        <v>106</v>
      </c>
      <c r="C577" t="s">
        <v>2635</v>
      </c>
      <c r="D577" s="29" t="s">
        <v>2559</v>
      </c>
      <c r="E577">
        <v>44</v>
      </c>
      <c r="F577" t="s">
        <v>2636</v>
      </c>
      <c r="G577">
        <v>20140101</v>
      </c>
      <c r="H577">
        <v>22000101</v>
      </c>
    </row>
    <row r="578" spans="1:9" x14ac:dyDescent="0.25">
      <c r="A578">
        <v>0</v>
      </c>
      <c r="B578">
        <v>106</v>
      </c>
      <c r="C578" t="s">
        <v>2635</v>
      </c>
      <c r="D578" s="29" t="s">
        <v>2559</v>
      </c>
      <c r="E578">
        <v>45</v>
      </c>
      <c r="F578" t="s">
        <v>2636</v>
      </c>
      <c r="G578">
        <v>20140101</v>
      </c>
      <c r="H578">
        <v>22000101</v>
      </c>
    </row>
    <row r="579" spans="1:9" x14ac:dyDescent="0.25">
      <c r="A579">
        <v>0</v>
      </c>
      <c r="B579">
        <v>106</v>
      </c>
      <c r="C579" t="s">
        <v>2635</v>
      </c>
      <c r="D579" s="29" t="s">
        <v>2559</v>
      </c>
      <c r="E579">
        <v>46</v>
      </c>
      <c r="F579" t="s">
        <v>2636</v>
      </c>
      <c r="G579">
        <v>20140101</v>
      </c>
      <c r="H579">
        <v>22000101</v>
      </c>
    </row>
    <row r="580" spans="1:9" x14ac:dyDescent="0.25">
      <c r="A580">
        <v>0</v>
      </c>
      <c r="B580">
        <v>106</v>
      </c>
      <c r="C580" t="s">
        <v>2635</v>
      </c>
      <c r="D580" s="29" t="s">
        <v>2559</v>
      </c>
      <c r="E580">
        <v>47</v>
      </c>
      <c r="F580" t="s">
        <v>2636</v>
      </c>
      <c r="G580">
        <v>20140101</v>
      </c>
      <c r="H580">
        <v>22000101</v>
      </c>
    </row>
    <row r="581" spans="1:9" x14ac:dyDescent="0.25">
      <c r="A581">
        <v>0</v>
      </c>
      <c r="B581">
        <v>106</v>
      </c>
      <c r="C581" t="s">
        <v>2635</v>
      </c>
      <c r="D581" s="29" t="s">
        <v>2559</v>
      </c>
      <c r="E581">
        <v>48</v>
      </c>
      <c r="F581" t="s">
        <v>2636</v>
      </c>
      <c r="G581">
        <v>20140101</v>
      </c>
      <c r="H581">
        <v>22000101</v>
      </c>
    </row>
    <row r="582" spans="1:9" x14ac:dyDescent="0.25">
      <c r="A582">
        <v>0</v>
      </c>
      <c r="B582">
        <v>106</v>
      </c>
      <c r="C582" t="s">
        <v>2635</v>
      </c>
      <c r="D582" s="29" t="s">
        <v>2559</v>
      </c>
      <c r="E582">
        <v>49</v>
      </c>
      <c r="F582" t="s">
        <v>2636</v>
      </c>
      <c r="G582">
        <v>20140101</v>
      </c>
      <c r="H582">
        <v>22000101</v>
      </c>
    </row>
    <row r="583" spans="1:9" x14ac:dyDescent="0.25">
      <c r="A583">
        <v>0</v>
      </c>
      <c r="B583">
        <v>106</v>
      </c>
      <c r="C583" t="s">
        <v>2635</v>
      </c>
      <c r="D583" s="29" t="s">
        <v>2559</v>
      </c>
      <c r="E583">
        <v>52</v>
      </c>
      <c r="F583" t="s">
        <v>2637</v>
      </c>
      <c r="G583">
        <v>20140101</v>
      </c>
      <c r="H583">
        <v>22000101</v>
      </c>
    </row>
    <row r="584" spans="1:9" x14ac:dyDescent="0.25">
      <c r="A584">
        <v>0</v>
      </c>
      <c r="B584">
        <v>106</v>
      </c>
      <c r="C584" t="s">
        <v>2635</v>
      </c>
      <c r="D584" s="29" t="s">
        <v>2559</v>
      </c>
      <c r="E584">
        <v>54</v>
      </c>
      <c r="F584" t="s">
        <v>2637</v>
      </c>
      <c r="G584">
        <v>20140101</v>
      </c>
      <c r="H584">
        <v>22000101</v>
      </c>
    </row>
    <row r="585" spans="1:9" x14ac:dyDescent="0.25">
      <c r="A585">
        <v>0</v>
      </c>
      <c r="B585">
        <v>106</v>
      </c>
      <c r="C585" t="s">
        <v>2635</v>
      </c>
      <c r="D585" s="29" t="s">
        <v>2559</v>
      </c>
      <c r="E585">
        <v>56</v>
      </c>
      <c r="F585" t="s">
        <v>2637</v>
      </c>
      <c r="G585">
        <v>20140101</v>
      </c>
      <c r="H585">
        <v>22000101</v>
      </c>
    </row>
    <row r="586" spans="1:9" x14ac:dyDescent="0.25">
      <c r="A586">
        <v>0</v>
      </c>
      <c r="B586">
        <v>106</v>
      </c>
      <c r="C586" t="s">
        <v>2635</v>
      </c>
      <c r="D586" s="29" t="s">
        <v>2559</v>
      </c>
      <c r="E586">
        <v>57</v>
      </c>
      <c r="F586" t="s">
        <v>2637</v>
      </c>
      <c r="G586">
        <v>20140101</v>
      </c>
      <c r="H586">
        <v>22000101</v>
      </c>
    </row>
    <row r="587" spans="1:9" x14ac:dyDescent="0.25">
      <c r="A587">
        <v>0</v>
      </c>
      <c r="B587">
        <v>106</v>
      </c>
      <c r="C587" t="s">
        <v>2635</v>
      </c>
      <c r="D587" s="29" t="s">
        <v>2559</v>
      </c>
      <c r="E587">
        <v>58</v>
      </c>
      <c r="F587" t="s">
        <v>2637</v>
      </c>
      <c r="G587">
        <v>20140101</v>
      </c>
      <c r="H587">
        <v>22000101</v>
      </c>
    </row>
    <row r="588" spans="1:9" x14ac:dyDescent="0.25">
      <c r="A588">
        <v>0</v>
      </c>
      <c r="B588">
        <v>106</v>
      </c>
      <c r="C588" t="s">
        <v>2635</v>
      </c>
      <c r="D588" s="29" t="s">
        <v>2559</v>
      </c>
      <c r="E588">
        <v>59</v>
      </c>
      <c r="F588" t="s">
        <v>2637</v>
      </c>
      <c r="G588">
        <v>20140101</v>
      </c>
      <c r="H588">
        <v>22000101</v>
      </c>
    </row>
    <row r="589" spans="1:9" x14ac:dyDescent="0.25">
      <c r="A589" s="22">
        <v>0</v>
      </c>
      <c r="B589" s="22">
        <v>106</v>
      </c>
      <c r="C589" s="22" t="s">
        <v>2635</v>
      </c>
      <c r="D589" s="30" t="s">
        <v>2559</v>
      </c>
      <c r="E589" s="22">
        <v>60</v>
      </c>
      <c r="F589" s="22" t="s">
        <v>2637</v>
      </c>
      <c r="G589" s="22">
        <v>20200101</v>
      </c>
      <c r="H589" s="22">
        <v>22000101</v>
      </c>
      <c r="I589" s="22" t="s">
        <v>2557</v>
      </c>
    </row>
    <row r="590" spans="1:9" x14ac:dyDescent="0.25">
      <c r="A590">
        <v>0</v>
      </c>
      <c r="B590">
        <v>106</v>
      </c>
      <c r="C590" t="s">
        <v>2635</v>
      </c>
      <c r="D590" s="29" t="s">
        <v>2559</v>
      </c>
      <c r="E590">
        <v>61</v>
      </c>
      <c r="F590" t="s">
        <v>2637</v>
      </c>
      <c r="G590">
        <v>20140101</v>
      </c>
      <c r="H590">
        <v>22000101</v>
      </c>
    </row>
    <row r="591" spans="1:9" x14ac:dyDescent="0.25">
      <c r="A591">
        <v>0</v>
      </c>
      <c r="B591">
        <v>106</v>
      </c>
      <c r="C591" t="s">
        <v>2635</v>
      </c>
      <c r="D591" s="29" t="s">
        <v>2559</v>
      </c>
      <c r="E591">
        <v>62</v>
      </c>
      <c r="F591" t="s">
        <v>2637</v>
      </c>
      <c r="G591">
        <v>20140101</v>
      </c>
      <c r="H591">
        <v>22000101</v>
      </c>
    </row>
    <row r="592" spans="1:9" x14ac:dyDescent="0.25">
      <c r="A592">
        <v>0</v>
      </c>
      <c r="B592">
        <v>106</v>
      </c>
      <c r="C592" t="s">
        <v>2635</v>
      </c>
      <c r="D592" s="29" t="s">
        <v>2559</v>
      </c>
      <c r="E592">
        <v>65</v>
      </c>
      <c r="F592" t="s">
        <v>2637</v>
      </c>
      <c r="G592">
        <v>20140101</v>
      </c>
      <c r="H592">
        <v>22000101</v>
      </c>
    </row>
    <row r="593" spans="1:9" x14ac:dyDescent="0.25">
      <c r="A593">
        <v>0</v>
      </c>
      <c r="B593">
        <v>106</v>
      </c>
      <c r="C593" t="s">
        <v>2635</v>
      </c>
      <c r="D593" s="29" t="s">
        <v>2559</v>
      </c>
      <c r="E593" s="3">
        <v>301</v>
      </c>
      <c r="F593" t="s">
        <v>2636</v>
      </c>
      <c r="G593">
        <v>20170101</v>
      </c>
      <c r="H593">
        <v>22000101</v>
      </c>
      <c r="I593" t="s">
        <v>2638</v>
      </c>
    </row>
    <row r="594" spans="1:9" x14ac:dyDescent="0.25">
      <c r="A594">
        <v>0</v>
      </c>
      <c r="B594">
        <v>106</v>
      </c>
      <c r="C594" t="s">
        <v>2635</v>
      </c>
      <c r="D594" s="29" t="s">
        <v>2559</v>
      </c>
      <c r="E594">
        <v>302</v>
      </c>
      <c r="F594" t="s">
        <v>2636</v>
      </c>
      <c r="G594">
        <v>20170101</v>
      </c>
      <c r="H594">
        <v>22000101</v>
      </c>
      <c r="I594" t="s">
        <v>2638</v>
      </c>
    </row>
    <row r="595" spans="1:9" x14ac:dyDescent="0.25">
      <c r="A595">
        <v>0</v>
      </c>
      <c r="B595">
        <v>106</v>
      </c>
      <c r="C595" t="s">
        <v>2635</v>
      </c>
      <c r="D595" s="29" t="s">
        <v>2559</v>
      </c>
      <c r="E595">
        <v>303</v>
      </c>
      <c r="F595" t="s">
        <v>2636</v>
      </c>
      <c r="G595">
        <v>20170101</v>
      </c>
      <c r="H595">
        <v>22000101</v>
      </c>
      <c r="I595" t="s">
        <v>2638</v>
      </c>
    </row>
    <row r="596" spans="1:9" x14ac:dyDescent="0.25">
      <c r="A596">
        <v>0</v>
      </c>
      <c r="B596">
        <v>106</v>
      </c>
      <c r="C596" t="s">
        <v>2635</v>
      </c>
      <c r="D596" s="29" t="s">
        <v>2559</v>
      </c>
      <c r="E596">
        <v>316</v>
      </c>
      <c r="F596" t="s">
        <v>2636</v>
      </c>
      <c r="G596">
        <v>20170101</v>
      </c>
      <c r="H596">
        <v>22000101</v>
      </c>
      <c r="I596" t="s">
        <v>2563</v>
      </c>
    </row>
    <row r="597" spans="1:9" x14ac:dyDescent="0.25">
      <c r="A597" s="22">
        <v>0</v>
      </c>
      <c r="B597" s="22">
        <v>106</v>
      </c>
      <c r="C597" s="22" t="s">
        <v>2635</v>
      </c>
      <c r="D597" s="30" t="s">
        <v>2559</v>
      </c>
      <c r="E597" s="22">
        <v>317</v>
      </c>
      <c r="F597" s="22" t="s">
        <v>2636</v>
      </c>
      <c r="G597" s="22">
        <v>20190201</v>
      </c>
      <c r="H597" s="22">
        <v>22000101</v>
      </c>
      <c r="I597" s="22" t="s">
        <v>2616</v>
      </c>
    </row>
    <row r="598" spans="1:9" x14ac:dyDescent="0.25">
      <c r="A598">
        <v>0</v>
      </c>
      <c r="B598">
        <v>106</v>
      </c>
      <c r="C598" t="s">
        <v>2635</v>
      </c>
      <c r="D598" s="29" t="s">
        <v>2559</v>
      </c>
      <c r="E598">
        <v>331</v>
      </c>
      <c r="F598" t="s">
        <v>2636</v>
      </c>
      <c r="G598">
        <v>20170101</v>
      </c>
      <c r="H598">
        <v>22000101</v>
      </c>
      <c r="I598" t="s">
        <v>2638</v>
      </c>
    </row>
    <row r="599" spans="1:9" x14ac:dyDescent="0.25">
      <c r="A599">
        <v>0</v>
      </c>
      <c r="B599">
        <v>106</v>
      </c>
      <c r="C599" t="s">
        <v>2635</v>
      </c>
      <c r="D599" s="29" t="s">
        <v>2559</v>
      </c>
      <c r="E599">
        <v>332</v>
      </c>
      <c r="F599" t="s">
        <v>2636</v>
      </c>
      <c r="G599">
        <v>20190101</v>
      </c>
      <c r="H599">
        <v>22000101</v>
      </c>
      <c r="I599" t="s">
        <v>2564</v>
      </c>
    </row>
    <row r="600" spans="1:9" x14ac:dyDescent="0.25">
      <c r="A600">
        <v>0</v>
      </c>
      <c r="B600">
        <v>106</v>
      </c>
      <c r="C600" t="s">
        <v>2635</v>
      </c>
      <c r="D600" s="29" t="s">
        <v>2559</v>
      </c>
      <c r="E600">
        <v>333</v>
      </c>
      <c r="F600" t="s">
        <v>2636</v>
      </c>
      <c r="G600">
        <v>20190101</v>
      </c>
      <c r="H600">
        <v>22000101</v>
      </c>
      <c r="I600" t="s">
        <v>2564</v>
      </c>
    </row>
    <row r="601" spans="1:9" x14ac:dyDescent="0.25">
      <c r="A601" s="2">
        <v>0</v>
      </c>
      <c r="B601" s="2">
        <v>106</v>
      </c>
      <c r="C601" s="2" t="s">
        <v>2635</v>
      </c>
      <c r="D601" s="31" t="s">
        <v>2559</v>
      </c>
      <c r="E601" s="2">
        <v>334</v>
      </c>
      <c r="F601" s="2" t="s">
        <v>2636</v>
      </c>
      <c r="G601" s="2">
        <v>20140101</v>
      </c>
      <c r="H601" s="2">
        <v>20170101</v>
      </c>
      <c r="I601" s="2" t="s">
        <v>2638</v>
      </c>
    </row>
    <row r="602" spans="1:9" x14ac:dyDescent="0.25">
      <c r="A602">
        <v>0</v>
      </c>
      <c r="B602">
        <v>106</v>
      </c>
      <c r="C602" t="s">
        <v>2635</v>
      </c>
      <c r="D602" s="29" t="s">
        <v>2559</v>
      </c>
      <c r="E602">
        <v>335</v>
      </c>
      <c r="F602" t="s">
        <v>2636</v>
      </c>
      <c r="G602">
        <v>20140101</v>
      </c>
      <c r="H602">
        <v>22000101</v>
      </c>
    </row>
    <row r="603" spans="1:9" x14ac:dyDescent="0.25">
      <c r="A603">
        <v>0</v>
      </c>
      <c r="B603">
        <v>106</v>
      </c>
      <c r="C603" t="s">
        <v>2635</v>
      </c>
      <c r="D603" s="29" t="s">
        <v>2559</v>
      </c>
      <c r="E603">
        <v>338</v>
      </c>
      <c r="F603" t="s">
        <v>2636</v>
      </c>
      <c r="G603">
        <v>20140101</v>
      </c>
      <c r="H603">
        <v>22000101</v>
      </c>
    </row>
    <row r="604" spans="1:9" x14ac:dyDescent="0.25">
      <c r="A604">
        <v>0</v>
      </c>
      <c r="B604">
        <v>106</v>
      </c>
      <c r="C604" t="s">
        <v>2635</v>
      </c>
      <c r="D604" s="29" t="s">
        <v>2559</v>
      </c>
      <c r="E604">
        <v>340</v>
      </c>
      <c r="F604" t="s">
        <v>2636</v>
      </c>
      <c r="G604">
        <v>20140101</v>
      </c>
      <c r="H604">
        <v>22000101</v>
      </c>
    </row>
    <row r="605" spans="1:9" x14ac:dyDescent="0.25">
      <c r="A605" s="22">
        <v>0</v>
      </c>
      <c r="B605" s="22">
        <v>106</v>
      </c>
      <c r="C605" s="22" t="s">
        <v>2635</v>
      </c>
      <c r="D605" s="30" t="s">
        <v>2559</v>
      </c>
      <c r="E605" s="22">
        <v>341</v>
      </c>
      <c r="F605" s="22" t="s">
        <v>2636</v>
      </c>
      <c r="G605" s="22">
        <v>20200101</v>
      </c>
      <c r="H605" s="22">
        <v>22000101</v>
      </c>
      <c r="I605" s="22" t="s">
        <v>2565</v>
      </c>
    </row>
    <row r="606" spans="1:9" x14ac:dyDescent="0.25">
      <c r="A606">
        <v>0</v>
      </c>
      <c r="B606">
        <v>106</v>
      </c>
      <c r="C606" t="s">
        <v>2635</v>
      </c>
      <c r="D606" s="29" t="s">
        <v>2559</v>
      </c>
      <c r="E606">
        <v>350</v>
      </c>
      <c r="F606" t="s">
        <v>2637</v>
      </c>
      <c r="G606">
        <v>20140101</v>
      </c>
      <c r="H606">
        <v>22000101</v>
      </c>
    </row>
    <row r="607" spans="1:9" x14ac:dyDescent="0.25">
      <c r="A607">
        <v>0</v>
      </c>
      <c r="B607">
        <v>106</v>
      </c>
      <c r="C607" t="s">
        <v>2635</v>
      </c>
      <c r="D607" s="29" t="s">
        <v>2559</v>
      </c>
      <c r="E607">
        <v>351</v>
      </c>
      <c r="F607" t="s">
        <v>2637</v>
      </c>
      <c r="G607">
        <v>20140101</v>
      </c>
      <c r="H607">
        <v>22000101</v>
      </c>
    </row>
    <row r="608" spans="1:9" x14ac:dyDescent="0.25">
      <c r="A608">
        <v>0</v>
      </c>
      <c r="B608">
        <v>106</v>
      </c>
      <c r="C608" t="s">
        <v>2635</v>
      </c>
      <c r="D608" s="29" t="s">
        <v>2559</v>
      </c>
      <c r="E608">
        <v>352</v>
      </c>
      <c r="F608" t="s">
        <v>2637</v>
      </c>
      <c r="G608">
        <v>20140101</v>
      </c>
      <c r="H608">
        <v>22000101</v>
      </c>
    </row>
    <row r="609" spans="1:9" x14ac:dyDescent="0.25">
      <c r="A609">
        <v>0</v>
      </c>
      <c r="B609">
        <v>107</v>
      </c>
      <c r="C609" t="s">
        <v>2639</v>
      </c>
      <c r="D609" s="29" t="s">
        <v>2559</v>
      </c>
      <c r="E609">
        <v>54</v>
      </c>
      <c r="F609" t="s">
        <v>2637</v>
      </c>
      <c r="G609">
        <v>20140101</v>
      </c>
      <c r="H609">
        <v>22000101</v>
      </c>
    </row>
    <row r="610" spans="1:9" x14ac:dyDescent="0.25">
      <c r="A610">
        <v>0</v>
      </c>
      <c r="B610">
        <v>107</v>
      </c>
      <c r="C610" t="s">
        <v>2639</v>
      </c>
      <c r="D610" s="29" t="s">
        <v>2559</v>
      </c>
      <c r="E610">
        <v>56</v>
      </c>
      <c r="F610" t="s">
        <v>2637</v>
      </c>
      <c r="G610">
        <v>20140101</v>
      </c>
      <c r="H610">
        <v>22000101</v>
      </c>
    </row>
    <row r="611" spans="1:9" x14ac:dyDescent="0.25">
      <c r="A611">
        <v>0</v>
      </c>
      <c r="B611">
        <v>107</v>
      </c>
      <c r="C611" t="s">
        <v>2639</v>
      </c>
      <c r="D611" s="29" t="s">
        <v>2559</v>
      </c>
      <c r="E611">
        <v>57</v>
      </c>
      <c r="F611" t="s">
        <v>2637</v>
      </c>
      <c r="G611">
        <v>20140101</v>
      </c>
      <c r="H611">
        <v>22000101</v>
      </c>
    </row>
    <row r="612" spans="1:9" x14ac:dyDescent="0.25">
      <c r="A612">
        <v>0</v>
      </c>
      <c r="B612">
        <v>107</v>
      </c>
      <c r="C612" t="s">
        <v>2639</v>
      </c>
      <c r="D612" s="29" t="s">
        <v>2559</v>
      </c>
      <c r="E612">
        <v>58</v>
      </c>
      <c r="F612" t="s">
        <v>2637</v>
      </c>
      <c r="G612">
        <v>20140101</v>
      </c>
      <c r="H612">
        <v>22000101</v>
      </c>
    </row>
    <row r="613" spans="1:9" x14ac:dyDescent="0.25">
      <c r="A613">
        <v>0</v>
      </c>
      <c r="B613">
        <v>107</v>
      </c>
      <c r="C613" t="s">
        <v>2639</v>
      </c>
      <c r="D613" s="29" t="s">
        <v>2559</v>
      </c>
      <c r="E613">
        <v>59</v>
      </c>
      <c r="F613" t="s">
        <v>2637</v>
      </c>
      <c r="G613">
        <v>20140101</v>
      </c>
      <c r="H613">
        <v>22000101</v>
      </c>
    </row>
    <row r="614" spans="1:9" x14ac:dyDescent="0.25">
      <c r="A614" s="22">
        <v>0</v>
      </c>
      <c r="B614" s="22">
        <v>107</v>
      </c>
      <c r="C614" s="22" t="s">
        <v>2639</v>
      </c>
      <c r="D614" s="30" t="s">
        <v>2559</v>
      </c>
      <c r="E614" s="22">
        <v>60</v>
      </c>
      <c r="F614" s="22" t="s">
        <v>2637</v>
      </c>
      <c r="G614" s="22">
        <v>20200101</v>
      </c>
      <c r="H614" s="22">
        <v>22000101</v>
      </c>
      <c r="I614" s="22" t="s">
        <v>2557</v>
      </c>
    </row>
    <row r="615" spans="1:9" x14ac:dyDescent="0.25">
      <c r="A615">
        <v>0</v>
      </c>
      <c r="B615">
        <v>107</v>
      </c>
      <c r="C615" t="s">
        <v>2639</v>
      </c>
      <c r="D615" s="29" t="s">
        <v>2559</v>
      </c>
      <c r="E615">
        <v>61</v>
      </c>
      <c r="F615" t="s">
        <v>2637</v>
      </c>
      <c r="G615">
        <v>20140101</v>
      </c>
      <c r="H615">
        <v>22000101</v>
      </c>
    </row>
    <row r="616" spans="1:9" x14ac:dyDescent="0.25">
      <c r="A616">
        <v>0</v>
      </c>
      <c r="B616">
        <v>107</v>
      </c>
      <c r="C616" t="s">
        <v>2639</v>
      </c>
      <c r="D616" s="29" t="s">
        <v>2559</v>
      </c>
      <c r="E616">
        <v>62</v>
      </c>
      <c r="F616" t="s">
        <v>2637</v>
      </c>
      <c r="G616">
        <v>20140101</v>
      </c>
      <c r="H616">
        <v>22000101</v>
      </c>
    </row>
    <row r="617" spans="1:9" x14ac:dyDescent="0.25">
      <c r="A617">
        <v>0</v>
      </c>
      <c r="B617">
        <v>107</v>
      </c>
      <c r="C617" t="s">
        <v>2639</v>
      </c>
      <c r="D617" s="29" t="s">
        <v>2559</v>
      </c>
      <c r="E617">
        <v>65</v>
      </c>
      <c r="F617" t="s">
        <v>2637</v>
      </c>
      <c r="G617">
        <v>20140101</v>
      </c>
      <c r="H617">
        <v>22000101</v>
      </c>
    </row>
    <row r="618" spans="1:9" x14ac:dyDescent="0.25">
      <c r="A618">
        <v>0</v>
      </c>
      <c r="B618">
        <v>107</v>
      </c>
      <c r="C618" t="s">
        <v>2639</v>
      </c>
      <c r="D618" s="29" t="s">
        <v>2559</v>
      </c>
      <c r="E618">
        <v>70</v>
      </c>
      <c r="F618" t="s">
        <v>2637</v>
      </c>
      <c r="G618">
        <v>20140101</v>
      </c>
      <c r="H618">
        <v>22000101</v>
      </c>
    </row>
    <row r="619" spans="1:9" x14ac:dyDescent="0.25">
      <c r="A619">
        <v>0</v>
      </c>
      <c r="B619">
        <v>107</v>
      </c>
      <c r="C619" t="s">
        <v>2639</v>
      </c>
      <c r="D619" s="29" t="s">
        <v>2559</v>
      </c>
      <c r="E619">
        <v>71</v>
      </c>
      <c r="F619" t="s">
        <v>2637</v>
      </c>
      <c r="G619">
        <v>20140101</v>
      </c>
      <c r="H619">
        <v>22000101</v>
      </c>
    </row>
    <row r="620" spans="1:9" x14ac:dyDescent="0.25">
      <c r="A620">
        <v>0</v>
      </c>
      <c r="B620">
        <v>107</v>
      </c>
      <c r="C620" t="s">
        <v>2639</v>
      </c>
      <c r="D620" s="29" t="s">
        <v>2559</v>
      </c>
      <c r="E620">
        <v>72</v>
      </c>
      <c r="F620" t="s">
        <v>2637</v>
      </c>
      <c r="G620">
        <v>20140101</v>
      </c>
      <c r="H620">
        <v>22000101</v>
      </c>
    </row>
    <row r="621" spans="1:9" x14ac:dyDescent="0.25">
      <c r="A621">
        <v>0</v>
      </c>
      <c r="B621">
        <v>107</v>
      </c>
      <c r="C621" t="s">
        <v>2639</v>
      </c>
      <c r="D621" s="29" t="s">
        <v>2559</v>
      </c>
      <c r="E621">
        <v>74</v>
      </c>
      <c r="F621" t="s">
        <v>2637</v>
      </c>
      <c r="G621">
        <v>20140101</v>
      </c>
      <c r="H621">
        <v>22000101</v>
      </c>
    </row>
    <row r="622" spans="1:9" x14ac:dyDescent="0.25">
      <c r="A622">
        <v>0</v>
      </c>
      <c r="B622">
        <v>107</v>
      </c>
      <c r="C622" t="s">
        <v>2639</v>
      </c>
      <c r="D622" s="29" t="s">
        <v>2559</v>
      </c>
      <c r="E622">
        <v>82</v>
      </c>
      <c r="F622" t="s">
        <v>2637</v>
      </c>
      <c r="G622">
        <v>20140101</v>
      </c>
      <c r="H622">
        <v>22000101</v>
      </c>
    </row>
    <row r="623" spans="1:9" x14ac:dyDescent="0.25">
      <c r="A623">
        <v>0</v>
      </c>
      <c r="B623">
        <v>107</v>
      </c>
      <c r="C623" t="s">
        <v>2639</v>
      </c>
      <c r="D623" s="29" t="s">
        <v>2559</v>
      </c>
      <c r="E623">
        <v>350</v>
      </c>
      <c r="F623" t="s">
        <v>2637</v>
      </c>
      <c r="G623">
        <v>20140101</v>
      </c>
      <c r="H623">
        <v>22000101</v>
      </c>
    </row>
    <row r="624" spans="1:9" x14ac:dyDescent="0.25">
      <c r="A624">
        <v>0</v>
      </c>
      <c r="B624">
        <v>107</v>
      </c>
      <c r="C624" t="s">
        <v>2639</v>
      </c>
      <c r="D624" s="29" t="s">
        <v>2559</v>
      </c>
      <c r="E624">
        <v>351</v>
      </c>
      <c r="F624" t="s">
        <v>2637</v>
      </c>
      <c r="G624">
        <v>20140101</v>
      </c>
      <c r="H624">
        <v>22000101</v>
      </c>
    </row>
    <row r="625" spans="1:9" x14ac:dyDescent="0.25">
      <c r="A625">
        <v>0</v>
      </c>
      <c r="B625">
        <v>107</v>
      </c>
      <c r="C625" t="s">
        <v>2639</v>
      </c>
      <c r="D625" s="29" t="s">
        <v>2559</v>
      </c>
      <c r="E625">
        <v>352</v>
      </c>
      <c r="F625" t="s">
        <v>2637</v>
      </c>
      <c r="G625">
        <v>20140101</v>
      </c>
      <c r="H625">
        <v>22000101</v>
      </c>
    </row>
    <row r="626" spans="1:9" x14ac:dyDescent="0.25">
      <c r="A626">
        <v>0</v>
      </c>
      <c r="B626">
        <v>112</v>
      </c>
      <c r="C626" t="s">
        <v>2640</v>
      </c>
      <c r="D626" s="29" t="s">
        <v>2555</v>
      </c>
      <c r="E626">
        <v>1</v>
      </c>
      <c r="F626" t="s">
        <v>2641</v>
      </c>
      <c r="G626">
        <v>20170101</v>
      </c>
      <c r="H626">
        <v>22000101</v>
      </c>
      <c r="I626" t="s">
        <v>1316</v>
      </c>
    </row>
    <row r="627" spans="1:9" x14ac:dyDescent="0.25">
      <c r="A627">
        <v>0</v>
      </c>
      <c r="B627">
        <v>112</v>
      </c>
      <c r="C627" t="s">
        <v>2640</v>
      </c>
      <c r="D627" s="29" t="s">
        <v>2555</v>
      </c>
      <c r="E627">
        <v>2</v>
      </c>
      <c r="F627" t="s">
        <v>2641</v>
      </c>
      <c r="G627">
        <v>20170101</v>
      </c>
      <c r="H627">
        <v>22000101</v>
      </c>
      <c r="I627" t="s">
        <v>1316</v>
      </c>
    </row>
    <row r="628" spans="1:9" x14ac:dyDescent="0.25">
      <c r="A628">
        <v>0</v>
      </c>
      <c r="B628">
        <v>112</v>
      </c>
      <c r="C628" t="s">
        <v>2640</v>
      </c>
      <c r="D628" s="29" t="s">
        <v>2555</v>
      </c>
      <c r="E628">
        <v>3</v>
      </c>
      <c r="F628" t="s">
        <v>2641</v>
      </c>
      <c r="G628">
        <v>20170101</v>
      </c>
      <c r="H628">
        <v>22000101</v>
      </c>
      <c r="I628" t="s">
        <v>1316</v>
      </c>
    </row>
    <row r="629" spans="1:9" x14ac:dyDescent="0.25">
      <c r="A629">
        <v>0</v>
      </c>
      <c r="B629">
        <v>112</v>
      </c>
      <c r="C629" t="s">
        <v>2640</v>
      </c>
      <c r="D629" s="29" t="s">
        <v>2555</v>
      </c>
      <c r="E629">
        <v>4</v>
      </c>
      <c r="F629" t="s">
        <v>2641</v>
      </c>
      <c r="G629">
        <v>20170101</v>
      </c>
      <c r="H629">
        <v>22000101</v>
      </c>
      <c r="I629" t="s">
        <v>1316</v>
      </c>
    </row>
    <row r="630" spans="1:9" x14ac:dyDescent="0.25">
      <c r="A630">
        <v>0</v>
      </c>
      <c r="B630">
        <v>112</v>
      </c>
      <c r="C630" t="s">
        <v>2640</v>
      </c>
      <c r="D630" s="29" t="s">
        <v>2555</v>
      </c>
      <c r="E630">
        <v>5</v>
      </c>
      <c r="F630" t="s">
        <v>2641</v>
      </c>
      <c r="G630">
        <v>20170101</v>
      </c>
      <c r="H630">
        <v>22000101</v>
      </c>
      <c r="I630" t="s">
        <v>1316</v>
      </c>
    </row>
    <row r="631" spans="1:9" x14ac:dyDescent="0.25">
      <c r="A631">
        <v>0</v>
      </c>
      <c r="B631">
        <v>112</v>
      </c>
      <c r="C631" t="s">
        <v>2640</v>
      </c>
      <c r="D631" s="29" t="s">
        <v>2555</v>
      </c>
      <c r="E631">
        <v>6</v>
      </c>
      <c r="F631" t="s">
        <v>2641</v>
      </c>
      <c r="G631">
        <v>20170101</v>
      </c>
      <c r="H631">
        <v>22000101</v>
      </c>
      <c r="I631" t="s">
        <v>1316</v>
      </c>
    </row>
    <row r="632" spans="1:9" x14ac:dyDescent="0.25">
      <c r="A632">
        <v>0</v>
      </c>
      <c r="B632">
        <v>112</v>
      </c>
      <c r="C632" t="s">
        <v>2640</v>
      </c>
      <c r="D632" s="29" t="s">
        <v>2555</v>
      </c>
      <c r="E632">
        <v>7</v>
      </c>
      <c r="F632" t="s">
        <v>2641</v>
      </c>
      <c r="G632">
        <v>20170101</v>
      </c>
      <c r="H632">
        <v>22000101</v>
      </c>
      <c r="I632" t="s">
        <v>1316</v>
      </c>
    </row>
    <row r="633" spans="1:9" x14ac:dyDescent="0.25">
      <c r="A633">
        <v>0</v>
      </c>
      <c r="B633">
        <v>112</v>
      </c>
      <c r="C633" t="s">
        <v>2640</v>
      </c>
      <c r="D633" s="29" t="s">
        <v>2555</v>
      </c>
      <c r="E633">
        <v>8</v>
      </c>
      <c r="F633" t="s">
        <v>2641</v>
      </c>
      <c r="G633">
        <v>20170101</v>
      </c>
      <c r="H633">
        <v>22000101</v>
      </c>
      <c r="I633" t="s">
        <v>1316</v>
      </c>
    </row>
    <row r="634" spans="1:9" x14ac:dyDescent="0.25">
      <c r="A634">
        <v>0</v>
      </c>
      <c r="B634">
        <v>112</v>
      </c>
      <c r="C634" t="s">
        <v>2640</v>
      </c>
      <c r="D634" s="29" t="s">
        <v>2555</v>
      </c>
      <c r="E634">
        <v>9</v>
      </c>
      <c r="F634" t="s">
        <v>2641</v>
      </c>
      <c r="G634">
        <v>20170101</v>
      </c>
      <c r="H634">
        <v>22000101</v>
      </c>
      <c r="I634" t="s">
        <v>1316</v>
      </c>
    </row>
    <row r="635" spans="1:9" x14ac:dyDescent="0.25">
      <c r="A635">
        <v>0</v>
      </c>
      <c r="B635">
        <v>112</v>
      </c>
      <c r="C635" t="s">
        <v>2640</v>
      </c>
      <c r="D635" s="29" t="s">
        <v>2555</v>
      </c>
      <c r="E635">
        <v>11</v>
      </c>
      <c r="F635" t="s">
        <v>2641</v>
      </c>
      <c r="G635">
        <v>20170101</v>
      </c>
      <c r="H635">
        <v>22000101</v>
      </c>
      <c r="I635" t="s">
        <v>1316</v>
      </c>
    </row>
    <row r="636" spans="1:9" x14ac:dyDescent="0.25">
      <c r="A636">
        <v>0</v>
      </c>
      <c r="B636">
        <v>112</v>
      </c>
      <c r="C636" t="s">
        <v>2640</v>
      </c>
      <c r="D636" s="29" t="s">
        <v>2555</v>
      </c>
      <c r="E636">
        <v>12</v>
      </c>
      <c r="F636" t="s">
        <v>2641</v>
      </c>
      <c r="G636">
        <v>20170101</v>
      </c>
      <c r="H636">
        <v>22000101</v>
      </c>
      <c r="I636" t="s">
        <v>1316</v>
      </c>
    </row>
    <row r="637" spans="1:9" x14ac:dyDescent="0.25">
      <c r="A637">
        <v>0</v>
      </c>
      <c r="B637">
        <v>112</v>
      </c>
      <c r="C637" t="s">
        <v>2640</v>
      </c>
      <c r="D637" s="29" t="s">
        <v>2555</v>
      </c>
      <c r="E637">
        <v>13</v>
      </c>
      <c r="F637" t="s">
        <v>2641</v>
      </c>
      <c r="G637">
        <v>20170101</v>
      </c>
      <c r="H637">
        <v>22000101</v>
      </c>
      <c r="I637" t="s">
        <v>1316</v>
      </c>
    </row>
    <row r="638" spans="1:9" x14ac:dyDescent="0.25">
      <c r="A638">
        <v>0</v>
      </c>
      <c r="B638">
        <v>112</v>
      </c>
      <c r="C638" t="s">
        <v>2640</v>
      </c>
      <c r="D638" s="29" t="s">
        <v>2555</v>
      </c>
      <c r="E638">
        <v>14</v>
      </c>
      <c r="F638" t="s">
        <v>2641</v>
      </c>
      <c r="G638">
        <v>20170101</v>
      </c>
      <c r="H638">
        <v>22000101</v>
      </c>
      <c r="I638" t="s">
        <v>1316</v>
      </c>
    </row>
    <row r="639" spans="1:9" x14ac:dyDescent="0.25">
      <c r="A639">
        <v>0</v>
      </c>
      <c r="B639">
        <v>112</v>
      </c>
      <c r="C639" t="s">
        <v>2640</v>
      </c>
      <c r="D639" s="29" t="s">
        <v>2555</v>
      </c>
      <c r="E639">
        <v>15</v>
      </c>
      <c r="F639" t="s">
        <v>2641</v>
      </c>
      <c r="G639">
        <v>20170101</v>
      </c>
      <c r="H639">
        <v>22000101</v>
      </c>
      <c r="I639" t="s">
        <v>1316</v>
      </c>
    </row>
    <row r="640" spans="1:9" x14ac:dyDescent="0.25">
      <c r="A640">
        <v>0</v>
      </c>
      <c r="B640">
        <v>112</v>
      </c>
      <c r="C640" t="s">
        <v>2640</v>
      </c>
      <c r="D640" s="29" t="s">
        <v>2555</v>
      </c>
      <c r="E640">
        <v>16</v>
      </c>
      <c r="F640" t="s">
        <v>2641</v>
      </c>
      <c r="G640">
        <v>20170101</v>
      </c>
      <c r="H640">
        <v>22000101</v>
      </c>
      <c r="I640" t="s">
        <v>1316</v>
      </c>
    </row>
    <row r="641" spans="1:9" x14ac:dyDescent="0.25">
      <c r="A641">
        <v>0</v>
      </c>
      <c r="B641">
        <v>112</v>
      </c>
      <c r="C641" t="s">
        <v>2640</v>
      </c>
      <c r="D641" s="29" t="s">
        <v>2555</v>
      </c>
      <c r="E641">
        <v>17</v>
      </c>
      <c r="F641" t="s">
        <v>2641</v>
      </c>
      <c r="G641">
        <v>20170101</v>
      </c>
      <c r="H641">
        <v>22000101</v>
      </c>
      <c r="I641" t="s">
        <v>1316</v>
      </c>
    </row>
    <row r="642" spans="1:9" x14ac:dyDescent="0.25">
      <c r="A642">
        <v>0</v>
      </c>
      <c r="B642">
        <v>112</v>
      </c>
      <c r="C642" t="s">
        <v>2640</v>
      </c>
      <c r="D642" s="29" t="s">
        <v>2555</v>
      </c>
      <c r="E642">
        <v>19</v>
      </c>
      <c r="F642" t="s">
        <v>2641</v>
      </c>
      <c r="G642">
        <v>20170101</v>
      </c>
      <c r="H642">
        <v>22000101</v>
      </c>
      <c r="I642" t="s">
        <v>1316</v>
      </c>
    </row>
    <row r="643" spans="1:9" x14ac:dyDescent="0.25">
      <c r="A643">
        <v>0</v>
      </c>
      <c r="B643">
        <v>112</v>
      </c>
      <c r="C643" t="s">
        <v>2640</v>
      </c>
      <c r="D643" s="29" t="s">
        <v>2555</v>
      </c>
      <c r="E643">
        <v>20</v>
      </c>
      <c r="F643" t="s">
        <v>2641</v>
      </c>
      <c r="G643">
        <v>20170101</v>
      </c>
      <c r="H643">
        <v>22000101</v>
      </c>
      <c r="I643" t="s">
        <v>1316</v>
      </c>
    </row>
    <row r="644" spans="1:9" x14ac:dyDescent="0.25">
      <c r="A644" s="22">
        <v>0</v>
      </c>
      <c r="B644" s="22">
        <v>112</v>
      </c>
      <c r="C644" s="22" t="s">
        <v>2640</v>
      </c>
      <c r="D644" s="30" t="s">
        <v>2555</v>
      </c>
      <c r="E644" s="22">
        <v>21</v>
      </c>
      <c r="F644" s="22" t="s">
        <v>2641</v>
      </c>
      <c r="G644" s="22">
        <v>20200101</v>
      </c>
      <c r="H644" s="22">
        <v>22000101</v>
      </c>
      <c r="I644" s="22" t="s">
        <v>2642</v>
      </c>
    </row>
    <row r="645" spans="1:9" x14ac:dyDescent="0.25">
      <c r="A645">
        <v>0</v>
      </c>
      <c r="B645">
        <v>112</v>
      </c>
      <c r="C645" t="s">
        <v>2640</v>
      </c>
      <c r="D645" s="29" t="s">
        <v>2555</v>
      </c>
      <c r="E645">
        <v>22</v>
      </c>
      <c r="F645" t="s">
        <v>2641</v>
      </c>
      <c r="G645">
        <v>20170101</v>
      </c>
      <c r="H645">
        <v>22000101</v>
      </c>
      <c r="I645" t="s">
        <v>1316</v>
      </c>
    </row>
    <row r="646" spans="1:9" x14ac:dyDescent="0.25">
      <c r="A646">
        <v>0</v>
      </c>
      <c r="B646">
        <v>112</v>
      </c>
      <c r="C646" t="s">
        <v>2640</v>
      </c>
      <c r="D646" s="29" t="s">
        <v>2555</v>
      </c>
      <c r="E646">
        <v>23</v>
      </c>
      <c r="F646" t="s">
        <v>2641</v>
      </c>
      <c r="G646">
        <v>20170101</v>
      </c>
      <c r="H646">
        <v>22000101</v>
      </c>
      <c r="I646" t="s">
        <v>1316</v>
      </c>
    </row>
    <row r="647" spans="1:9" x14ac:dyDescent="0.25">
      <c r="A647">
        <v>0</v>
      </c>
      <c r="B647">
        <v>112</v>
      </c>
      <c r="C647" t="s">
        <v>2640</v>
      </c>
      <c r="D647" s="29" t="s">
        <v>2555</v>
      </c>
      <c r="E647">
        <v>25</v>
      </c>
      <c r="F647" t="s">
        <v>2641</v>
      </c>
      <c r="G647">
        <v>20170101</v>
      </c>
      <c r="H647">
        <v>22000101</v>
      </c>
      <c r="I647" t="s">
        <v>1316</v>
      </c>
    </row>
    <row r="648" spans="1:9" x14ac:dyDescent="0.25">
      <c r="A648">
        <v>0</v>
      </c>
      <c r="B648">
        <v>112</v>
      </c>
      <c r="C648" t="s">
        <v>2640</v>
      </c>
      <c r="D648" s="29" t="s">
        <v>2555</v>
      </c>
      <c r="E648">
        <v>26</v>
      </c>
      <c r="F648" t="s">
        <v>2641</v>
      </c>
      <c r="G648">
        <v>20170101</v>
      </c>
      <c r="H648">
        <v>22000101</v>
      </c>
      <c r="I648" t="s">
        <v>1316</v>
      </c>
    </row>
    <row r="649" spans="1:9" x14ac:dyDescent="0.25">
      <c r="A649">
        <v>0</v>
      </c>
      <c r="B649">
        <v>112</v>
      </c>
      <c r="C649" t="s">
        <v>2640</v>
      </c>
      <c r="D649" s="29" t="s">
        <v>2555</v>
      </c>
      <c r="E649">
        <v>27</v>
      </c>
      <c r="F649" t="s">
        <v>2641</v>
      </c>
      <c r="G649">
        <v>20170101</v>
      </c>
      <c r="H649">
        <v>22000101</v>
      </c>
      <c r="I649" t="s">
        <v>1316</v>
      </c>
    </row>
    <row r="650" spans="1:9" x14ac:dyDescent="0.25">
      <c r="A650">
        <v>0</v>
      </c>
      <c r="B650">
        <v>112</v>
      </c>
      <c r="C650" t="s">
        <v>2640</v>
      </c>
      <c r="D650" s="29" t="s">
        <v>2555</v>
      </c>
      <c r="E650">
        <v>29</v>
      </c>
      <c r="F650" t="s">
        <v>2641</v>
      </c>
      <c r="G650">
        <v>20170101</v>
      </c>
      <c r="H650">
        <v>22000101</v>
      </c>
      <c r="I650" t="s">
        <v>1316</v>
      </c>
    </row>
    <row r="651" spans="1:9" x14ac:dyDescent="0.25">
      <c r="A651">
        <v>0</v>
      </c>
      <c r="B651">
        <v>112</v>
      </c>
      <c r="C651" t="s">
        <v>2640</v>
      </c>
      <c r="D651" s="29" t="s">
        <v>2555</v>
      </c>
      <c r="E651">
        <v>30</v>
      </c>
      <c r="F651" t="s">
        <v>2641</v>
      </c>
      <c r="G651">
        <v>20170101</v>
      </c>
      <c r="H651">
        <v>22000101</v>
      </c>
      <c r="I651" t="s">
        <v>1316</v>
      </c>
    </row>
    <row r="652" spans="1:9" x14ac:dyDescent="0.25">
      <c r="A652">
        <v>0</v>
      </c>
      <c r="B652">
        <v>112</v>
      </c>
      <c r="C652" t="s">
        <v>2640</v>
      </c>
      <c r="D652" s="29" t="s">
        <v>2555</v>
      </c>
      <c r="E652">
        <v>31</v>
      </c>
      <c r="F652" t="s">
        <v>2641</v>
      </c>
      <c r="G652">
        <v>20170101</v>
      </c>
      <c r="H652">
        <v>22000101</v>
      </c>
      <c r="I652" t="s">
        <v>1316</v>
      </c>
    </row>
    <row r="653" spans="1:9" x14ac:dyDescent="0.25">
      <c r="A653">
        <v>0</v>
      </c>
      <c r="B653">
        <v>112</v>
      </c>
      <c r="C653" t="s">
        <v>2640</v>
      </c>
      <c r="D653" s="29" t="s">
        <v>2555</v>
      </c>
      <c r="E653">
        <v>32</v>
      </c>
      <c r="F653" t="s">
        <v>2641</v>
      </c>
      <c r="G653">
        <v>20170101</v>
      </c>
      <c r="H653">
        <v>22000101</v>
      </c>
      <c r="I653" t="s">
        <v>2572</v>
      </c>
    </row>
    <row r="654" spans="1:9" x14ac:dyDescent="0.25">
      <c r="A654">
        <v>0</v>
      </c>
      <c r="B654">
        <v>112</v>
      </c>
      <c r="C654" t="s">
        <v>2640</v>
      </c>
      <c r="D654" s="29" t="s">
        <v>2555</v>
      </c>
      <c r="E654">
        <v>33</v>
      </c>
      <c r="F654" t="s">
        <v>2641</v>
      </c>
      <c r="G654">
        <v>20170101</v>
      </c>
      <c r="H654">
        <v>22000101</v>
      </c>
      <c r="I654" t="s">
        <v>1316</v>
      </c>
    </row>
    <row r="655" spans="1:9" x14ac:dyDescent="0.25">
      <c r="A655">
        <v>0</v>
      </c>
      <c r="B655">
        <v>112</v>
      </c>
      <c r="C655" t="s">
        <v>2640</v>
      </c>
      <c r="D655" s="29" t="s">
        <v>2555</v>
      </c>
      <c r="E655">
        <v>34</v>
      </c>
      <c r="F655" t="s">
        <v>2641</v>
      </c>
      <c r="G655">
        <v>20170101</v>
      </c>
      <c r="H655">
        <v>22000101</v>
      </c>
      <c r="I655" t="s">
        <v>1316</v>
      </c>
    </row>
    <row r="656" spans="1:9" x14ac:dyDescent="0.25">
      <c r="A656">
        <v>0</v>
      </c>
      <c r="B656">
        <v>112</v>
      </c>
      <c r="C656" t="s">
        <v>2640</v>
      </c>
      <c r="D656" s="29" t="s">
        <v>2555</v>
      </c>
      <c r="E656">
        <v>35</v>
      </c>
      <c r="F656" t="s">
        <v>2641</v>
      </c>
      <c r="G656">
        <v>20170101</v>
      </c>
      <c r="H656">
        <v>22000101</v>
      </c>
      <c r="I656" t="s">
        <v>1316</v>
      </c>
    </row>
    <row r="657" spans="1:9" x14ac:dyDescent="0.25">
      <c r="A657">
        <v>0</v>
      </c>
      <c r="B657">
        <v>112</v>
      </c>
      <c r="C657" t="s">
        <v>2640</v>
      </c>
      <c r="D657" s="29" t="s">
        <v>2555</v>
      </c>
      <c r="E657">
        <v>36</v>
      </c>
      <c r="F657" t="s">
        <v>2641</v>
      </c>
      <c r="G657">
        <v>20170101</v>
      </c>
      <c r="H657">
        <v>22000101</v>
      </c>
      <c r="I657" t="s">
        <v>1316</v>
      </c>
    </row>
    <row r="658" spans="1:9" x14ac:dyDescent="0.25">
      <c r="A658">
        <v>0</v>
      </c>
      <c r="B658">
        <v>112</v>
      </c>
      <c r="C658" t="s">
        <v>2640</v>
      </c>
      <c r="D658" s="29" t="s">
        <v>2555</v>
      </c>
      <c r="E658">
        <v>38</v>
      </c>
      <c r="F658" t="s">
        <v>2641</v>
      </c>
      <c r="G658">
        <v>20170101</v>
      </c>
      <c r="H658">
        <v>22000101</v>
      </c>
      <c r="I658" t="s">
        <v>1316</v>
      </c>
    </row>
    <row r="659" spans="1:9" x14ac:dyDescent="0.25">
      <c r="A659">
        <v>0</v>
      </c>
      <c r="B659">
        <v>112</v>
      </c>
      <c r="C659" t="s">
        <v>2640</v>
      </c>
      <c r="D659" s="29" t="s">
        <v>2555</v>
      </c>
      <c r="E659">
        <v>39</v>
      </c>
      <c r="F659" t="s">
        <v>2641</v>
      </c>
      <c r="G659">
        <v>20170101</v>
      </c>
      <c r="H659">
        <v>22000101</v>
      </c>
      <c r="I659" t="s">
        <v>1316</v>
      </c>
    </row>
    <row r="660" spans="1:9" x14ac:dyDescent="0.25">
      <c r="A660">
        <v>0</v>
      </c>
      <c r="B660">
        <v>112</v>
      </c>
      <c r="C660" t="s">
        <v>2640</v>
      </c>
      <c r="D660" s="29" t="s">
        <v>2555</v>
      </c>
      <c r="E660">
        <v>40</v>
      </c>
      <c r="F660" t="s">
        <v>2641</v>
      </c>
      <c r="G660">
        <v>20170101</v>
      </c>
      <c r="H660">
        <v>22000101</v>
      </c>
      <c r="I660" t="s">
        <v>1316</v>
      </c>
    </row>
    <row r="661" spans="1:9" x14ac:dyDescent="0.25">
      <c r="A661">
        <v>0</v>
      </c>
      <c r="B661">
        <v>112</v>
      </c>
      <c r="C661" t="s">
        <v>2640</v>
      </c>
      <c r="D661" s="29" t="s">
        <v>2555</v>
      </c>
      <c r="E661">
        <v>41</v>
      </c>
      <c r="F661" t="s">
        <v>2641</v>
      </c>
      <c r="G661">
        <v>20170101</v>
      </c>
      <c r="H661">
        <v>22000101</v>
      </c>
      <c r="I661" t="s">
        <v>1316</v>
      </c>
    </row>
    <row r="662" spans="1:9" x14ac:dyDescent="0.25">
      <c r="A662">
        <v>0</v>
      </c>
      <c r="B662">
        <v>112</v>
      </c>
      <c r="C662" t="s">
        <v>2640</v>
      </c>
      <c r="D662" s="29" t="s">
        <v>2555</v>
      </c>
      <c r="E662">
        <v>42</v>
      </c>
      <c r="F662" t="s">
        <v>2641</v>
      </c>
      <c r="G662">
        <v>20170101</v>
      </c>
      <c r="H662">
        <v>22000101</v>
      </c>
      <c r="I662" t="s">
        <v>1316</v>
      </c>
    </row>
    <row r="663" spans="1:9" x14ac:dyDescent="0.25">
      <c r="A663">
        <v>0</v>
      </c>
      <c r="B663">
        <v>112</v>
      </c>
      <c r="C663" t="s">
        <v>2640</v>
      </c>
      <c r="D663" s="29" t="s">
        <v>2555</v>
      </c>
      <c r="E663">
        <v>44</v>
      </c>
      <c r="F663" t="s">
        <v>2641</v>
      </c>
      <c r="G663">
        <v>20170101</v>
      </c>
      <c r="H663">
        <v>22000101</v>
      </c>
      <c r="I663" t="s">
        <v>1316</v>
      </c>
    </row>
    <row r="664" spans="1:9" x14ac:dyDescent="0.25">
      <c r="A664">
        <v>0</v>
      </c>
      <c r="B664">
        <v>112</v>
      </c>
      <c r="C664" t="s">
        <v>2640</v>
      </c>
      <c r="D664" s="29" t="s">
        <v>2555</v>
      </c>
      <c r="E664">
        <v>45</v>
      </c>
      <c r="F664" t="s">
        <v>2641</v>
      </c>
      <c r="G664">
        <v>20170101</v>
      </c>
      <c r="H664">
        <v>22000101</v>
      </c>
      <c r="I664" t="s">
        <v>1316</v>
      </c>
    </row>
    <row r="665" spans="1:9" x14ac:dyDescent="0.25">
      <c r="A665">
        <v>0</v>
      </c>
      <c r="B665">
        <v>112</v>
      </c>
      <c r="C665" t="s">
        <v>2640</v>
      </c>
      <c r="D665" s="29" t="s">
        <v>2555</v>
      </c>
      <c r="E665">
        <v>46</v>
      </c>
      <c r="F665" t="s">
        <v>2641</v>
      </c>
      <c r="G665">
        <v>20170101</v>
      </c>
      <c r="H665">
        <v>22000101</v>
      </c>
      <c r="I665" t="s">
        <v>1316</v>
      </c>
    </row>
    <row r="666" spans="1:9" x14ac:dyDescent="0.25">
      <c r="A666">
        <v>0</v>
      </c>
      <c r="B666">
        <v>112</v>
      </c>
      <c r="C666" t="s">
        <v>2640</v>
      </c>
      <c r="D666" s="29" t="s">
        <v>2555</v>
      </c>
      <c r="E666">
        <v>47</v>
      </c>
      <c r="F666" t="s">
        <v>2641</v>
      </c>
      <c r="G666">
        <v>20170101</v>
      </c>
      <c r="H666">
        <v>22000101</v>
      </c>
      <c r="I666" t="s">
        <v>1316</v>
      </c>
    </row>
    <row r="667" spans="1:9" x14ac:dyDescent="0.25">
      <c r="A667">
        <v>0</v>
      </c>
      <c r="B667">
        <v>112</v>
      </c>
      <c r="C667" t="s">
        <v>2640</v>
      </c>
      <c r="D667" s="29" t="s">
        <v>2555</v>
      </c>
      <c r="E667">
        <v>48</v>
      </c>
      <c r="F667" t="s">
        <v>2641</v>
      </c>
      <c r="G667">
        <v>20170101</v>
      </c>
      <c r="H667">
        <v>22000101</v>
      </c>
      <c r="I667" t="s">
        <v>1316</v>
      </c>
    </row>
    <row r="668" spans="1:9" x14ac:dyDescent="0.25">
      <c r="A668">
        <v>0</v>
      </c>
      <c r="B668">
        <v>112</v>
      </c>
      <c r="C668" t="s">
        <v>2640</v>
      </c>
      <c r="D668" s="29" t="s">
        <v>2555</v>
      </c>
      <c r="E668">
        <v>49</v>
      </c>
      <c r="F668" t="s">
        <v>2641</v>
      </c>
      <c r="G668">
        <v>20170101</v>
      </c>
      <c r="H668">
        <v>22000101</v>
      </c>
      <c r="I668" t="s">
        <v>1316</v>
      </c>
    </row>
    <row r="669" spans="1:9" x14ac:dyDescent="0.25">
      <c r="A669">
        <v>0</v>
      </c>
      <c r="B669">
        <v>112</v>
      </c>
      <c r="C669" t="s">
        <v>2640</v>
      </c>
      <c r="D669" s="29" t="s">
        <v>2555</v>
      </c>
      <c r="E669">
        <v>52</v>
      </c>
      <c r="F669" t="s">
        <v>2641</v>
      </c>
      <c r="G669">
        <v>20170101</v>
      </c>
      <c r="H669">
        <v>22000101</v>
      </c>
      <c r="I669" t="s">
        <v>1316</v>
      </c>
    </row>
    <row r="670" spans="1:9" x14ac:dyDescent="0.25">
      <c r="A670">
        <v>0</v>
      </c>
      <c r="B670">
        <v>112</v>
      </c>
      <c r="C670" t="s">
        <v>2640</v>
      </c>
      <c r="D670" s="29" t="s">
        <v>2555</v>
      </c>
      <c r="E670">
        <v>54</v>
      </c>
      <c r="F670" t="s">
        <v>2641</v>
      </c>
      <c r="G670">
        <v>20170101</v>
      </c>
      <c r="H670">
        <v>22000101</v>
      </c>
      <c r="I670" t="s">
        <v>1316</v>
      </c>
    </row>
    <row r="671" spans="1:9" x14ac:dyDescent="0.25">
      <c r="A671">
        <v>0</v>
      </c>
      <c r="B671">
        <v>112</v>
      </c>
      <c r="C671" t="s">
        <v>2640</v>
      </c>
      <c r="D671" s="29" t="s">
        <v>2555</v>
      </c>
      <c r="E671">
        <v>56</v>
      </c>
      <c r="F671" t="s">
        <v>2641</v>
      </c>
      <c r="G671">
        <v>20170101</v>
      </c>
      <c r="H671">
        <v>22000101</v>
      </c>
      <c r="I671" t="s">
        <v>1316</v>
      </c>
    </row>
    <row r="672" spans="1:9" x14ac:dyDescent="0.25">
      <c r="A672">
        <v>0</v>
      </c>
      <c r="B672">
        <v>112</v>
      </c>
      <c r="C672" t="s">
        <v>2640</v>
      </c>
      <c r="D672" s="29" t="s">
        <v>2555</v>
      </c>
      <c r="E672">
        <v>57</v>
      </c>
      <c r="F672" t="s">
        <v>2641</v>
      </c>
      <c r="G672">
        <v>20170101</v>
      </c>
      <c r="H672">
        <v>22000101</v>
      </c>
      <c r="I672" t="s">
        <v>1316</v>
      </c>
    </row>
    <row r="673" spans="1:9" x14ac:dyDescent="0.25">
      <c r="A673">
        <v>0</v>
      </c>
      <c r="B673">
        <v>112</v>
      </c>
      <c r="C673" t="s">
        <v>2640</v>
      </c>
      <c r="D673" s="29" t="s">
        <v>2555</v>
      </c>
      <c r="E673">
        <v>58</v>
      </c>
      <c r="F673" t="s">
        <v>2641</v>
      </c>
      <c r="G673">
        <v>20170101</v>
      </c>
      <c r="H673">
        <v>22000101</v>
      </c>
      <c r="I673" t="s">
        <v>1316</v>
      </c>
    </row>
    <row r="674" spans="1:9" x14ac:dyDescent="0.25">
      <c r="A674">
        <v>0</v>
      </c>
      <c r="B674">
        <v>112</v>
      </c>
      <c r="C674" t="s">
        <v>2640</v>
      </c>
      <c r="D674" s="29" t="s">
        <v>2555</v>
      </c>
      <c r="E674">
        <v>59</v>
      </c>
      <c r="F674" t="s">
        <v>2641</v>
      </c>
      <c r="G674">
        <v>20170101</v>
      </c>
      <c r="H674">
        <v>22000101</v>
      </c>
      <c r="I674" t="s">
        <v>1316</v>
      </c>
    </row>
    <row r="675" spans="1:9" x14ac:dyDescent="0.25">
      <c r="A675" s="22">
        <v>0</v>
      </c>
      <c r="B675" s="22">
        <v>112</v>
      </c>
      <c r="C675" s="22" t="s">
        <v>2640</v>
      </c>
      <c r="D675" s="30" t="s">
        <v>2555</v>
      </c>
      <c r="E675" s="22">
        <v>60</v>
      </c>
      <c r="F675" s="22" t="s">
        <v>2641</v>
      </c>
      <c r="G675" s="22">
        <v>20200101</v>
      </c>
      <c r="H675" s="22">
        <v>22000101</v>
      </c>
      <c r="I675" s="22" t="s">
        <v>2557</v>
      </c>
    </row>
    <row r="676" spans="1:9" x14ac:dyDescent="0.25">
      <c r="A676">
        <v>0</v>
      </c>
      <c r="B676">
        <v>112</v>
      </c>
      <c r="C676" t="s">
        <v>2640</v>
      </c>
      <c r="D676" s="29" t="s">
        <v>2555</v>
      </c>
      <c r="E676">
        <v>61</v>
      </c>
      <c r="F676" t="s">
        <v>2641</v>
      </c>
      <c r="G676">
        <v>20170101</v>
      </c>
      <c r="H676">
        <v>22000101</v>
      </c>
      <c r="I676" t="s">
        <v>1316</v>
      </c>
    </row>
    <row r="677" spans="1:9" x14ac:dyDescent="0.25">
      <c r="A677">
        <v>0</v>
      </c>
      <c r="B677">
        <v>112</v>
      </c>
      <c r="C677" t="s">
        <v>2640</v>
      </c>
      <c r="D677" s="29" t="s">
        <v>2555</v>
      </c>
      <c r="E677">
        <v>62</v>
      </c>
      <c r="F677" t="s">
        <v>2641</v>
      </c>
      <c r="G677">
        <v>20170101</v>
      </c>
      <c r="H677">
        <v>22000101</v>
      </c>
      <c r="I677" t="s">
        <v>1316</v>
      </c>
    </row>
    <row r="678" spans="1:9" x14ac:dyDescent="0.25">
      <c r="A678">
        <v>0</v>
      </c>
      <c r="B678">
        <v>112</v>
      </c>
      <c r="C678" t="s">
        <v>2640</v>
      </c>
      <c r="D678" s="29" t="s">
        <v>2555</v>
      </c>
      <c r="E678">
        <v>65</v>
      </c>
      <c r="F678" t="s">
        <v>2641</v>
      </c>
      <c r="G678">
        <v>20170101</v>
      </c>
      <c r="H678">
        <v>22000101</v>
      </c>
      <c r="I678" t="s">
        <v>1316</v>
      </c>
    </row>
    <row r="679" spans="1:9" x14ac:dyDescent="0.25">
      <c r="A679">
        <v>0</v>
      </c>
      <c r="B679">
        <v>114</v>
      </c>
      <c r="C679" t="s">
        <v>2643</v>
      </c>
      <c r="D679" s="29" t="s">
        <v>2555</v>
      </c>
      <c r="E679">
        <v>52</v>
      </c>
      <c r="F679" t="s">
        <v>2644</v>
      </c>
      <c r="G679">
        <v>20170101</v>
      </c>
      <c r="H679">
        <v>22000101</v>
      </c>
      <c r="I679" t="s">
        <v>1316</v>
      </c>
    </row>
    <row r="680" spans="1:9" x14ac:dyDescent="0.25">
      <c r="A680">
        <v>0</v>
      </c>
      <c r="B680">
        <v>114</v>
      </c>
      <c r="C680" t="s">
        <v>2643</v>
      </c>
      <c r="D680" s="29" t="s">
        <v>2555</v>
      </c>
      <c r="E680">
        <v>54</v>
      </c>
      <c r="F680" t="s">
        <v>2644</v>
      </c>
      <c r="G680">
        <v>20170101</v>
      </c>
      <c r="H680">
        <v>22000101</v>
      </c>
      <c r="I680" t="s">
        <v>1316</v>
      </c>
    </row>
    <row r="681" spans="1:9" x14ac:dyDescent="0.25">
      <c r="A681">
        <v>0</v>
      </c>
      <c r="B681">
        <v>114</v>
      </c>
      <c r="C681" t="s">
        <v>2643</v>
      </c>
      <c r="D681" s="29" t="s">
        <v>2555</v>
      </c>
      <c r="E681">
        <v>56</v>
      </c>
      <c r="F681" t="s">
        <v>2644</v>
      </c>
      <c r="G681">
        <v>20170101</v>
      </c>
      <c r="H681">
        <v>22000101</v>
      </c>
      <c r="I681" t="s">
        <v>1316</v>
      </c>
    </row>
    <row r="682" spans="1:9" x14ac:dyDescent="0.25">
      <c r="A682">
        <v>0</v>
      </c>
      <c r="B682">
        <v>114</v>
      </c>
      <c r="C682" t="s">
        <v>2643</v>
      </c>
      <c r="D682" s="29" t="s">
        <v>2555</v>
      </c>
      <c r="E682">
        <v>57</v>
      </c>
      <c r="F682" t="s">
        <v>2644</v>
      </c>
      <c r="G682">
        <v>20170101</v>
      </c>
      <c r="H682">
        <v>22000101</v>
      </c>
      <c r="I682" t="s">
        <v>1316</v>
      </c>
    </row>
    <row r="683" spans="1:9" x14ac:dyDescent="0.25">
      <c r="A683">
        <v>0</v>
      </c>
      <c r="B683">
        <v>114</v>
      </c>
      <c r="C683" t="s">
        <v>2643</v>
      </c>
      <c r="D683" s="29" t="s">
        <v>2555</v>
      </c>
      <c r="E683">
        <v>58</v>
      </c>
      <c r="F683" t="s">
        <v>2644</v>
      </c>
      <c r="G683">
        <v>20170101</v>
      </c>
      <c r="H683">
        <v>22000101</v>
      </c>
      <c r="I683" t="s">
        <v>1316</v>
      </c>
    </row>
    <row r="684" spans="1:9" x14ac:dyDescent="0.25">
      <c r="A684">
        <v>0</v>
      </c>
      <c r="B684">
        <v>114</v>
      </c>
      <c r="C684" t="s">
        <v>2643</v>
      </c>
      <c r="D684" s="29" t="s">
        <v>2555</v>
      </c>
      <c r="E684">
        <v>59</v>
      </c>
      <c r="F684" t="s">
        <v>2644</v>
      </c>
      <c r="G684">
        <v>20170101</v>
      </c>
      <c r="H684">
        <v>22000101</v>
      </c>
      <c r="I684" t="s">
        <v>1316</v>
      </c>
    </row>
    <row r="685" spans="1:9" x14ac:dyDescent="0.25">
      <c r="A685" s="22">
        <v>0</v>
      </c>
      <c r="B685" s="22">
        <v>114</v>
      </c>
      <c r="C685" s="22" t="s">
        <v>2643</v>
      </c>
      <c r="D685" s="30" t="s">
        <v>2555</v>
      </c>
      <c r="E685" s="22">
        <v>60</v>
      </c>
      <c r="F685" s="22" t="s">
        <v>2644</v>
      </c>
      <c r="G685" s="22">
        <v>20200101</v>
      </c>
      <c r="H685" s="22">
        <v>22000101</v>
      </c>
      <c r="I685" s="22" t="s">
        <v>2557</v>
      </c>
    </row>
    <row r="686" spans="1:9" x14ac:dyDescent="0.25">
      <c r="A686">
        <v>0</v>
      </c>
      <c r="B686">
        <v>114</v>
      </c>
      <c r="C686" t="s">
        <v>2643</v>
      </c>
      <c r="D686" s="29" t="s">
        <v>2555</v>
      </c>
      <c r="E686">
        <v>61</v>
      </c>
      <c r="F686" t="s">
        <v>2644</v>
      </c>
      <c r="G686">
        <v>20170101</v>
      </c>
      <c r="H686">
        <v>22000101</v>
      </c>
      <c r="I686" t="s">
        <v>1316</v>
      </c>
    </row>
    <row r="687" spans="1:9" x14ac:dyDescent="0.25">
      <c r="A687">
        <v>0</v>
      </c>
      <c r="B687">
        <v>114</v>
      </c>
      <c r="C687" t="s">
        <v>2643</v>
      </c>
      <c r="D687" s="29" t="s">
        <v>2555</v>
      </c>
      <c r="E687">
        <v>62</v>
      </c>
      <c r="F687" t="s">
        <v>2644</v>
      </c>
      <c r="G687">
        <v>20170101</v>
      </c>
      <c r="H687">
        <v>22000101</v>
      </c>
      <c r="I687" t="s">
        <v>1316</v>
      </c>
    </row>
    <row r="688" spans="1:9" x14ac:dyDescent="0.25">
      <c r="A688">
        <v>0</v>
      </c>
      <c r="B688">
        <v>114</v>
      </c>
      <c r="C688" t="s">
        <v>2643</v>
      </c>
      <c r="D688" s="29" t="s">
        <v>2555</v>
      </c>
      <c r="E688">
        <v>65</v>
      </c>
      <c r="F688" t="s">
        <v>2644</v>
      </c>
      <c r="G688">
        <v>20170101</v>
      </c>
      <c r="H688">
        <v>22000101</v>
      </c>
      <c r="I688" t="s">
        <v>1316</v>
      </c>
    </row>
    <row r="689" spans="1:9" x14ac:dyDescent="0.25">
      <c r="A689">
        <v>0</v>
      </c>
      <c r="B689">
        <v>114</v>
      </c>
      <c r="C689" t="s">
        <v>2643</v>
      </c>
      <c r="D689" s="29" t="s">
        <v>2555</v>
      </c>
      <c r="E689">
        <v>70</v>
      </c>
      <c r="F689" t="s">
        <v>2644</v>
      </c>
      <c r="G689">
        <v>20170101</v>
      </c>
      <c r="H689">
        <v>22000101</v>
      </c>
      <c r="I689" t="s">
        <v>1316</v>
      </c>
    </row>
    <row r="690" spans="1:9" x14ac:dyDescent="0.25">
      <c r="A690">
        <v>0</v>
      </c>
      <c r="B690">
        <v>114</v>
      </c>
      <c r="C690" t="s">
        <v>2643</v>
      </c>
      <c r="D690" s="29" t="s">
        <v>2555</v>
      </c>
      <c r="E690">
        <v>71</v>
      </c>
      <c r="F690" t="s">
        <v>2644</v>
      </c>
      <c r="G690">
        <v>20170101</v>
      </c>
      <c r="H690">
        <v>22000101</v>
      </c>
      <c r="I690" t="s">
        <v>1316</v>
      </c>
    </row>
    <row r="691" spans="1:9" x14ac:dyDescent="0.25">
      <c r="A691">
        <v>0</v>
      </c>
      <c r="B691">
        <v>114</v>
      </c>
      <c r="C691" t="s">
        <v>2643</v>
      </c>
      <c r="D691" s="29" t="s">
        <v>2555</v>
      </c>
      <c r="E691">
        <v>72</v>
      </c>
      <c r="F691" t="s">
        <v>2644</v>
      </c>
      <c r="G691">
        <v>20170101</v>
      </c>
      <c r="H691">
        <v>22000101</v>
      </c>
      <c r="I691" t="s">
        <v>1316</v>
      </c>
    </row>
    <row r="692" spans="1:9" x14ac:dyDescent="0.25">
      <c r="A692">
        <v>0</v>
      </c>
      <c r="B692">
        <v>114</v>
      </c>
      <c r="C692" t="s">
        <v>2643</v>
      </c>
      <c r="D692" s="29" t="s">
        <v>2555</v>
      </c>
      <c r="E692">
        <v>74</v>
      </c>
      <c r="F692" t="s">
        <v>2644</v>
      </c>
      <c r="G692">
        <v>20170101</v>
      </c>
      <c r="H692">
        <v>22000101</v>
      </c>
      <c r="I692" t="s">
        <v>1316</v>
      </c>
    </row>
    <row r="693" spans="1:9" x14ac:dyDescent="0.25">
      <c r="A693">
        <v>0</v>
      </c>
      <c r="B693">
        <v>114</v>
      </c>
      <c r="C693" t="s">
        <v>2643</v>
      </c>
      <c r="D693" s="29" t="s">
        <v>2555</v>
      </c>
      <c r="E693">
        <v>82</v>
      </c>
      <c r="F693" t="s">
        <v>2644</v>
      </c>
      <c r="G693">
        <v>20170101</v>
      </c>
      <c r="H693">
        <v>22000101</v>
      </c>
      <c r="I693" t="s">
        <v>1316</v>
      </c>
    </row>
    <row r="694" spans="1:9" x14ac:dyDescent="0.25">
      <c r="A694">
        <v>0</v>
      </c>
      <c r="B694">
        <v>116</v>
      </c>
      <c r="C694" t="s">
        <v>2645</v>
      </c>
      <c r="D694" s="29" t="s">
        <v>2555</v>
      </c>
      <c r="E694">
        <v>52</v>
      </c>
      <c r="F694" t="s">
        <v>288</v>
      </c>
      <c r="G694">
        <v>20170101</v>
      </c>
      <c r="H694">
        <v>22000101</v>
      </c>
      <c r="I694" t="s">
        <v>2646</v>
      </c>
    </row>
    <row r="695" spans="1:9" x14ac:dyDescent="0.25">
      <c r="A695">
        <v>0</v>
      </c>
      <c r="B695">
        <v>116</v>
      </c>
      <c r="C695" t="s">
        <v>2645</v>
      </c>
      <c r="D695" s="29" t="s">
        <v>2555</v>
      </c>
      <c r="E695">
        <v>54</v>
      </c>
      <c r="F695" t="s">
        <v>288</v>
      </c>
      <c r="G695">
        <v>20170101</v>
      </c>
      <c r="H695">
        <v>22000101</v>
      </c>
      <c r="I695" t="s">
        <v>2646</v>
      </c>
    </row>
    <row r="696" spans="1:9" x14ac:dyDescent="0.25">
      <c r="A696">
        <v>0</v>
      </c>
      <c r="B696">
        <v>116</v>
      </c>
      <c r="C696" t="s">
        <v>2645</v>
      </c>
      <c r="D696" s="29" t="s">
        <v>2555</v>
      </c>
      <c r="E696">
        <v>56</v>
      </c>
      <c r="F696" t="s">
        <v>288</v>
      </c>
      <c r="G696">
        <v>20170101</v>
      </c>
      <c r="H696">
        <v>22000101</v>
      </c>
      <c r="I696" t="s">
        <v>2646</v>
      </c>
    </row>
    <row r="697" spans="1:9" x14ac:dyDescent="0.25">
      <c r="A697">
        <v>0</v>
      </c>
      <c r="B697">
        <v>116</v>
      </c>
      <c r="C697" t="s">
        <v>2645</v>
      </c>
      <c r="D697" s="29" t="s">
        <v>2555</v>
      </c>
      <c r="E697">
        <v>57</v>
      </c>
      <c r="F697" t="s">
        <v>288</v>
      </c>
      <c r="G697">
        <v>20170101</v>
      </c>
      <c r="H697">
        <v>22000101</v>
      </c>
      <c r="I697" t="s">
        <v>2646</v>
      </c>
    </row>
    <row r="698" spans="1:9" x14ac:dyDescent="0.25">
      <c r="A698">
        <v>0</v>
      </c>
      <c r="B698">
        <v>116</v>
      </c>
      <c r="C698" t="s">
        <v>2645</v>
      </c>
      <c r="D698" s="29" t="s">
        <v>2555</v>
      </c>
      <c r="E698">
        <v>58</v>
      </c>
      <c r="F698" t="s">
        <v>288</v>
      </c>
      <c r="G698">
        <v>20170101</v>
      </c>
      <c r="H698">
        <v>22000101</v>
      </c>
      <c r="I698" t="s">
        <v>2646</v>
      </c>
    </row>
    <row r="699" spans="1:9" x14ac:dyDescent="0.25">
      <c r="A699">
        <v>0</v>
      </c>
      <c r="B699">
        <v>116</v>
      </c>
      <c r="C699" t="s">
        <v>2645</v>
      </c>
      <c r="D699" s="29" t="s">
        <v>2555</v>
      </c>
      <c r="E699">
        <v>59</v>
      </c>
      <c r="F699" t="s">
        <v>288</v>
      </c>
      <c r="G699">
        <v>20170101</v>
      </c>
      <c r="H699">
        <v>22000101</v>
      </c>
      <c r="I699" t="s">
        <v>2646</v>
      </c>
    </row>
    <row r="700" spans="1:9" x14ac:dyDescent="0.25">
      <c r="A700" s="22">
        <v>0</v>
      </c>
      <c r="B700" s="22">
        <v>116</v>
      </c>
      <c r="C700" s="22" t="s">
        <v>2645</v>
      </c>
      <c r="D700" s="30" t="s">
        <v>2555</v>
      </c>
      <c r="E700" s="22">
        <v>60</v>
      </c>
      <c r="F700" s="22" t="s">
        <v>288</v>
      </c>
      <c r="G700" s="22">
        <v>20200101</v>
      </c>
      <c r="H700" s="22">
        <v>22000101</v>
      </c>
      <c r="I700" s="22" t="s">
        <v>2557</v>
      </c>
    </row>
    <row r="701" spans="1:9" x14ac:dyDescent="0.25">
      <c r="A701">
        <v>0</v>
      </c>
      <c r="B701">
        <v>116</v>
      </c>
      <c r="C701" t="s">
        <v>2645</v>
      </c>
      <c r="D701" s="29" t="s">
        <v>2555</v>
      </c>
      <c r="E701">
        <v>61</v>
      </c>
      <c r="F701" t="s">
        <v>288</v>
      </c>
      <c r="G701">
        <v>20170101</v>
      </c>
      <c r="H701">
        <v>22000101</v>
      </c>
      <c r="I701" t="s">
        <v>2646</v>
      </c>
    </row>
    <row r="702" spans="1:9" x14ac:dyDescent="0.25">
      <c r="A702">
        <v>0</v>
      </c>
      <c r="B702">
        <v>116</v>
      </c>
      <c r="C702" t="s">
        <v>2645</v>
      </c>
      <c r="D702" s="29" t="s">
        <v>2555</v>
      </c>
      <c r="E702">
        <v>62</v>
      </c>
      <c r="F702" t="s">
        <v>288</v>
      </c>
      <c r="G702">
        <v>20170101</v>
      </c>
      <c r="H702">
        <v>22000101</v>
      </c>
      <c r="I702" t="s">
        <v>2646</v>
      </c>
    </row>
    <row r="703" spans="1:9" x14ac:dyDescent="0.25">
      <c r="A703">
        <v>0</v>
      </c>
      <c r="B703">
        <v>116</v>
      </c>
      <c r="C703" t="s">
        <v>2645</v>
      </c>
      <c r="D703" s="29" t="s">
        <v>2555</v>
      </c>
      <c r="E703">
        <v>65</v>
      </c>
      <c r="F703" t="s">
        <v>288</v>
      </c>
      <c r="G703">
        <v>20170101</v>
      </c>
      <c r="H703">
        <v>22000101</v>
      </c>
      <c r="I703" t="s">
        <v>2646</v>
      </c>
    </row>
    <row r="704" spans="1:9" x14ac:dyDescent="0.25">
      <c r="A704">
        <v>0</v>
      </c>
      <c r="B704">
        <v>116</v>
      </c>
      <c r="C704" t="s">
        <v>2645</v>
      </c>
      <c r="D704" s="29" t="s">
        <v>2555</v>
      </c>
      <c r="E704">
        <v>70</v>
      </c>
      <c r="F704" t="s">
        <v>288</v>
      </c>
      <c r="G704">
        <v>20170101</v>
      </c>
      <c r="H704">
        <v>22000101</v>
      </c>
      <c r="I704" t="s">
        <v>2646</v>
      </c>
    </row>
    <row r="705" spans="1:9" x14ac:dyDescent="0.25">
      <c r="A705">
        <v>0</v>
      </c>
      <c r="B705">
        <v>116</v>
      </c>
      <c r="C705" t="s">
        <v>2645</v>
      </c>
      <c r="D705" s="29" t="s">
        <v>2555</v>
      </c>
      <c r="E705">
        <v>71</v>
      </c>
      <c r="F705" t="s">
        <v>288</v>
      </c>
      <c r="G705">
        <v>20170101</v>
      </c>
      <c r="H705">
        <v>22000101</v>
      </c>
      <c r="I705" t="s">
        <v>2646</v>
      </c>
    </row>
    <row r="706" spans="1:9" x14ac:dyDescent="0.25">
      <c r="A706">
        <v>0</v>
      </c>
      <c r="B706">
        <v>116</v>
      </c>
      <c r="C706" t="s">
        <v>2645</v>
      </c>
      <c r="D706" s="29" t="s">
        <v>2555</v>
      </c>
      <c r="E706">
        <v>72</v>
      </c>
      <c r="F706" t="s">
        <v>288</v>
      </c>
      <c r="G706">
        <v>20170101</v>
      </c>
      <c r="H706">
        <v>22000101</v>
      </c>
      <c r="I706" t="s">
        <v>2646</v>
      </c>
    </row>
    <row r="707" spans="1:9" x14ac:dyDescent="0.25">
      <c r="A707">
        <v>0</v>
      </c>
      <c r="B707">
        <v>116</v>
      </c>
      <c r="C707" t="s">
        <v>2645</v>
      </c>
      <c r="D707" s="29" t="s">
        <v>2555</v>
      </c>
      <c r="E707">
        <v>74</v>
      </c>
      <c r="F707" t="s">
        <v>288</v>
      </c>
      <c r="G707">
        <v>20170101</v>
      </c>
      <c r="H707">
        <v>22000101</v>
      </c>
      <c r="I707" t="s">
        <v>2646</v>
      </c>
    </row>
    <row r="708" spans="1:9" x14ac:dyDescent="0.25">
      <c r="A708">
        <v>0</v>
      </c>
      <c r="B708">
        <v>116</v>
      </c>
      <c r="C708" t="s">
        <v>2645</v>
      </c>
      <c r="D708" s="29" t="s">
        <v>2555</v>
      </c>
      <c r="E708">
        <v>82</v>
      </c>
      <c r="F708" t="s">
        <v>288</v>
      </c>
      <c r="G708">
        <v>20170101</v>
      </c>
      <c r="H708">
        <v>22000101</v>
      </c>
      <c r="I708" t="s">
        <v>2646</v>
      </c>
    </row>
    <row r="709" spans="1:9" x14ac:dyDescent="0.25">
      <c r="A709">
        <v>0</v>
      </c>
      <c r="B709">
        <v>302</v>
      </c>
      <c r="C709" t="s">
        <v>2647</v>
      </c>
      <c r="D709" s="29" t="s">
        <v>2559</v>
      </c>
      <c r="E709" s="3">
        <v>301</v>
      </c>
      <c r="F709" t="s">
        <v>292</v>
      </c>
      <c r="G709">
        <v>20180101</v>
      </c>
      <c r="H709">
        <v>22000101</v>
      </c>
      <c r="I709" t="s">
        <v>2175</v>
      </c>
    </row>
    <row r="710" spans="1:9" x14ac:dyDescent="0.25">
      <c r="A710">
        <v>0</v>
      </c>
      <c r="B710">
        <v>302</v>
      </c>
      <c r="C710" t="s">
        <v>2647</v>
      </c>
      <c r="D710" s="29" t="s">
        <v>2559</v>
      </c>
      <c r="E710">
        <v>302</v>
      </c>
      <c r="F710" t="s">
        <v>292</v>
      </c>
      <c r="G710">
        <v>20180101</v>
      </c>
      <c r="H710">
        <v>22000101</v>
      </c>
      <c r="I710" t="s">
        <v>2175</v>
      </c>
    </row>
    <row r="711" spans="1:9" x14ac:dyDescent="0.25">
      <c r="A711">
        <v>0</v>
      </c>
      <c r="B711">
        <v>302</v>
      </c>
      <c r="C711" t="s">
        <v>2647</v>
      </c>
      <c r="D711" s="29" t="s">
        <v>2559</v>
      </c>
      <c r="E711">
        <v>303</v>
      </c>
      <c r="F711" t="s">
        <v>292</v>
      </c>
      <c r="G711">
        <v>20180101</v>
      </c>
      <c r="H711">
        <v>22000101</v>
      </c>
      <c r="I711" t="s">
        <v>2175</v>
      </c>
    </row>
    <row r="712" spans="1:9" x14ac:dyDescent="0.25">
      <c r="A712">
        <v>0</v>
      </c>
      <c r="B712">
        <v>302</v>
      </c>
      <c r="C712" t="s">
        <v>2647</v>
      </c>
      <c r="D712" s="29" t="s">
        <v>2559</v>
      </c>
      <c r="E712">
        <v>316</v>
      </c>
      <c r="F712" t="s">
        <v>292</v>
      </c>
      <c r="G712">
        <v>20180101</v>
      </c>
      <c r="H712">
        <v>22000101</v>
      </c>
      <c r="I712" t="s">
        <v>2175</v>
      </c>
    </row>
    <row r="713" spans="1:9" x14ac:dyDescent="0.25">
      <c r="A713" s="22">
        <v>0</v>
      </c>
      <c r="B713" s="22">
        <v>302</v>
      </c>
      <c r="C713" s="22" t="s">
        <v>2647</v>
      </c>
      <c r="D713" s="30" t="s">
        <v>2559</v>
      </c>
      <c r="E713" s="22">
        <v>317</v>
      </c>
      <c r="F713" s="22" t="s">
        <v>292</v>
      </c>
      <c r="G713" s="22">
        <v>20190201</v>
      </c>
      <c r="H713" s="22">
        <v>22000101</v>
      </c>
      <c r="I713" s="22" t="s">
        <v>2616</v>
      </c>
    </row>
    <row r="714" spans="1:9" x14ac:dyDescent="0.25">
      <c r="A714">
        <v>0</v>
      </c>
      <c r="B714">
        <v>302</v>
      </c>
      <c r="C714" t="s">
        <v>2647</v>
      </c>
      <c r="D714" s="29" t="s">
        <v>2559</v>
      </c>
      <c r="E714">
        <v>331</v>
      </c>
      <c r="F714" t="s">
        <v>292</v>
      </c>
      <c r="G714">
        <v>20180101</v>
      </c>
      <c r="H714">
        <v>22000101</v>
      </c>
      <c r="I714" t="s">
        <v>2175</v>
      </c>
    </row>
    <row r="715" spans="1:9" x14ac:dyDescent="0.25">
      <c r="A715">
        <v>0</v>
      </c>
      <c r="B715">
        <v>302</v>
      </c>
      <c r="C715" t="s">
        <v>2647</v>
      </c>
      <c r="D715" s="29" t="s">
        <v>2559</v>
      </c>
      <c r="E715">
        <v>332</v>
      </c>
      <c r="F715" t="s">
        <v>292</v>
      </c>
      <c r="G715">
        <v>20190101</v>
      </c>
      <c r="H715">
        <v>22000101</v>
      </c>
      <c r="I715" t="s">
        <v>2564</v>
      </c>
    </row>
    <row r="716" spans="1:9" x14ac:dyDescent="0.25">
      <c r="A716">
        <v>0</v>
      </c>
      <c r="B716">
        <v>302</v>
      </c>
      <c r="C716" t="s">
        <v>2647</v>
      </c>
      <c r="D716" s="29" t="s">
        <v>2559</v>
      </c>
      <c r="E716">
        <v>333</v>
      </c>
      <c r="F716" t="s">
        <v>292</v>
      </c>
      <c r="G716">
        <v>20190101</v>
      </c>
      <c r="H716">
        <v>22000101</v>
      </c>
      <c r="I716" t="s">
        <v>2564</v>
      </c>
    </row>
    <row r="717" spans="1:9" x14ac:dyDescent="0.25">
      <c r="A717">
        <v>0</v>
      </c>
      <c r="B717">
        <v>302</v>
      </c>
      <c r="C717" t="s">
        <v>2647</v>
      </c>
      <c r="D717" s="29" t="s">
        <v>2559</v>
      </c>
      <c r="E717">
        <v>335</v>
      </c>
      <c r="F717" t="s">
        <v>292</v>
      </c>
      <c r="G717">
        <v>20180101</v>
      </c>
      <c r="H717">
        <v>22000101</v>
      </c>
      <c r="I717" t="s">
        <v>2175</v>
      </c>
    </row>
    <row r="718" spans="1:9" x14ac:dyDescent="0.25">
      <c r="A718">
        <v>0</v>
      </c>
      <c r="B718">
        <v>302</v>
      </c>
      <c r="C718" t="s">
        <v>2647</v>
      </c>
      <c r="D718" s="29" t="s">
        <v>2559</v>
      </c>
      <c r="E718">
        <v>338</v>
      </c>
      <c r="F718" t="s">
        <v>292</v>
      </c>
      <c r="G718">
        <v>20180101</v>
      </c>
      <c r="H718">
        <v>22000101</v>
      </c>
      <c r="I718" t="s">
        <v>2175</v>
      </c>
    </row>
    <row r="719" spans="1:9" x14ac:dyDescent="0.25">
      <c r="A719">
        <v>0</v>
      </c>
      <c r="B719">
        <v>302</v>
      </c>
      <c r="C719" t="s">
        <v>2647</v>
      </c>
      <c r="D719" s="29" t="s">
        <v>2559</v>
      </c>
      <c r="E719">
        <v>340</v>
      </c>
      <c r="F719" t="s">
        <v>292</v>
      </c>
      <c r="G719">
        <v>20180101</v>
      </c>
      <c r="H719">
        <v>22000101</v>
      </c>
      <c r="I719" t="s">
        <v>2175</v>
      </c>
    </row>
    <row r="720" spans="1:9" x14ac:dyDescent="0.25">
      <c r="A720" s="22">
        <v>0</v>
      </c>
      <c r="B720" s="22">
        <v>302</v>
      </c>
      <c r="C720" s="22" t="s">
        <v>2647</v>
      </c>
      <c r="D720" s="30" t="s">
        <v>2559</v>
      </c>
      <c r="E720" s="22">
        <v>341</v>
      </c>
      <c r="F720" s="22" t="s">
        <v>292</v>
      </c>
      <c r="G720" s="22">
        <v>20200101</v>
      </c>
      <c r="H720" s="22">
        <v>22000101</v>
      </c>
      <c r="I720" s="22" t="s">
        <v>2565</v>
      </c>
    </row>
    <row r="721" spans="1:9" x14ac:dyDescent="0.25">
      <c r="A721">
        <v>0</v>
      </c>
      <c r="B721">
        <v>302</v>
      </c>
      <c r="C721" t="s">
        <v>2647</v>
      </c>
      <c r="D721" s="29" t="s">
        <v>2559</v>
      </c>
      <c r="E721">
        <v>350</v>
      </c>
      <c r="F721" t="s">
        <v>292</v>
      </c>
      <c r="G721">
        <v>20180101</v>
      </c>
      <c r="H721">
        <v>22000101</v>
      </c>
      <c r="I721" t="s">
        <v>2175</v>
      </c>
    </row>
    <row r="722" spans="1:9" x14ac:dyDescent="0.25">
      <c r="A722">
        <v>0</v>
      </c>
      <c r="B722">
        <v>302</v>
      </c>
      <c r="C722" t="s">
        <v>2647</v>
      </c>
      <c r="D722" s="29" t="s">
        <v>2559</v>
      </c>
      <c r="E722">
        <v>351</v>
      </c>
      <c r="F722" t="s">
        <v>292</v>
      </c>
      <c r="G722">
        <v>20180101</v>
      </c>
      <c r="H722">
        <v>22000101</v>
      </c>
      <c r="I722" t="s">
        <v>2175</v>
      </c>
    </row>
    <row r="723" spans="1:9" x14ac:dyDescent="0.25">
      <c r="A723">
        <v>0</v>
      </c>
      <c r="B723">
        <v>302</v>
      </c>
      <c r="C723" t="s">
        <v>2647</v>
      </c>
      <c r="D723" s="29" t="s">
        <v>2559</v>
      </c>
      <c r="E723">
        <v>352</v>
      </c>
      <c r="F723" t="s">
        <v>292</v>
      </c>
      <c r="G723">
        <v>20180101</v>
      </c>
      <c r="H723">
        <v>22000101</v>
      </c>
      <c r="I723" t="s">
        <v>2175</v>
      </c>
    </row>
    <row r="724" spans="1:9" x14ac:dyDescent="0.25">
      <c r="A724" s="22">
        <v>0</v>
      </c>
      <c r="B724" s="22">
        <v>128</v>
      </c>
      <c r="C724" s="22" t="s">
        <v>2648</v>
      </c>
      <c r="D724" s="34" t="s">
        <v>2555</v>
      </c>
      <c r="E724" s="22">
        <v>16</v>
      </c>
      <c r="F724" s="22" t="s">
        <v>2649</v>
      </c>
      <c r="G724" s="22">
        <v>20210901</v>
      </c>
      <c r="H724" s="22">
        <v>22000101</v>
      </c>
      <c r="I724" s="22" t="s">
        <v>2650</v>
      </c>
    </row>
    <row r="725" spans="1:9" x14ac:dyDescent="0.25">
      <c r="A725" s="22">
        <v>0</v>
      </c>
      <c r="B725" s="22">
        <v>128</v>
      </c>
      <c r="C725" s="22" t="s">
        <v>2648</v>
      </c>
      <c r="D725" s="34" t="s">
        <v>2555</v>
      </c>
      <c r="E725" s="22">
        <v>31</v>
      </c>
      <c r="F725" s="22" t="s">
        <v>2649</v>
      </c>
      <c r="G725" s="22">
        <v>20210901</v>
      </c>
      <c r="H725" s="22">
        <v>22000101</v>
      </c>
      <c r="I725" s="22" t="s">
        <v>2650</v>
      </c>
    </row>
    <row r="726" spans="1:9" x14ac:dyDescent="0.25">
      <c r="A726" s="22">
        <v>0</v>
      </c>
      <c r="B726" s="22">
        <v>128</v>
      </c>
      <c r="C726" s="22" t="s">
        <v>2648</v>
      </c>
      <c r="D726" s="34" t="s">
        <v>2555</v>
      </c>
      <c r="E726" s="22">
        <v>32</v>
      </c>
      <c r="F726" s="22" t="s">
        <v>2649</v>
      </c>
      <c r="G726" s="22">
        <v>20210901</v>
      </c>
      <c r="H726" s="22">
        <v>22000101</v>
      </c>
      <c r="I726" s="22" t="s">
        <v>2650</v>
      </c>
    </row>
    <row r="727" spans="1:9" x14ac:dyDescent="0.25">
      <c r="A727" s="22">
        <v>0</v>
      </c>
      <c r="B727" s="22">
        <v>128</v>
      </c>
      <c r="C727" s="22" t="s">
        <v>2648</v>
      </c>
      <c r="D727" s="34" t="s">
        <v>2555</v>
      </c>
      <c r="E727" s="22">
        <v>39</v>
      </c>
      <c r="F727" s="22" t="s">
        <v>2649</v>
      </c>
      <c r="G727" s="22">
        <v>20210901</v>
      </c>
      <c r="H727" s="22">
        <v>22000101</v>
      </c>
      <c r="I727" s="22" t="s">
        <v>2650</v>
      </c>
    </row>
    <row r="728" spans="1:9" x14ac:dyDescent="0.25">
      <c r="A728" s="22">
        <v>0</v>
      </c>
      <c r="B728" s="22">
        <v>128</v>
      </c>
      <c r="C728" s="22" t="s">
        <v>2648</v>
      </c>
      <c r="D728" s="34" t="s">
        <v>2555</v>
      </c>
      <c r="E728" s="22">
        <v>40</v>
      </c>
      <c r="F728" s="22" t="s">
        <v>2649</v>
      </c>
      <c r="G728" s="22">
        <v>20210901</v>
      </c>
      <c r="H728" s="22">
        <v>22000101</v>
      </c>
      <c r="I728" s="22" t="s">
        <v>2650</v>
      </c>
    </row>
    <row r="729" spans="1:9" x14ac:dyDescent="0.25">
      <c r="A729" s="22">
        <v>0</v>
      </c>
      <c r="B729" s="22">
        <v>128</v>
      </c>
      <c r="C729" s="22" t="s">
        <v>2648</v>
      </c>
      <c r="D729" s="34" t="s">
        <v>2555</v>
      </c>
      <c r="E729" s="22">
        <v>44</v>
      </c>
      <c r="F729" s="22" t="s">
        <v>2649</v>
      </c>
      <c r="G729" s="22">
        <v>20210901</v>
      </c>
      <c r="H729" s="22">
        <v>22000101</v>
      </c>
      <c r="I729" s="22" t="s">
        <v>2650</v>
      </c>
    </row>
    <row r="730" spans="1:9" x14ac:dyDescent="0.25">
      <c r="A730" s="22">
        <v>0</v>
      </c>
      <c r="B730" s="22">
        <v>128</v>
      </c>
      <c r="C730" s="22" t="s">
        <v>2648</v>
      </c>
      <c r="D730" s="34" t="s">
        <v>2555</v>
      </c>
      <c r="E730" s="22">
        <v>45</v>
      </c>
      <c r="F730" s="22" t="s">
        <v>2649</v>
      </c>
      <c r="G730" s="22">
        <v>20210901</v>
      </c>
      <c r="H730" s="22">
        <v>22000101</v>
      </c>
      <c r="I730" s="22" t="s">
        <v>2650</v>
      </c>
    </row>
    <row r="731" spans="1:9" x14ac:dyDescent="0.25">
      <c r="A731" s="22">
        <v>0</v>
      </c>
      <c r="B731" s="22">
        <v>128</v>
      </c>
      <c r="C731" s="22" t="s">
        <v>2648</v>
      </c>
      <c r="D731" s="34" t="s">
        <v>2555</v>
      </c>
      <c r="E731" s="22">
        <v>58</v>
      </c>
      <c r="F731" s="22" t="s">
        <v>2649</v>
      </c>
      <c r="G731" s="22">
        <v>20210901</v>
      </c>
      <c r="H731" s="22">
        <v>22000101</v>
      </c>
      <c r="I731" s="22" t="s">
        <v>2650</v>
      </c>
    </row>
    <row r="732" spans="1:9" x14ac:dyDescent="0.25">
      <c r="A732" s="22">
        <v>0</v>
      </c>
      <c r="B732" s="22">
        <v>128</v>
      </c>
      <c r="C732" s="22" t="s">
        <v>2648</v>
      </c>
      <c r="D732" s="34" t="s">
        <v>2555</v>
      </c>
      <c r="E732" s="22">
        <v>60</v>
      </c>
      <c r="F732" s="22" t="s">
        <v>2649</v>
      </c>
      <c r="G732" s="22">
        <v>20210901</v>
      </c>
      <c r="H732" s="22">
        <v>22000101</v>
      </c>
      <c r="I732" s="22" t="s">
        <v>2650</v>
      </c>
    </row>
    <row r="733" spans="1:9" x14ac:dyDescent="0.25">
      <c r="A733" s="22">
        <v>0</v>
      </c>
      <c r="B733" s="22">
        <v>128</v>
      </c>
      <c r="C733" s="22" t="s">
        <v>2648</v>
      </c>
      <c r="D733" s="34" t="s">
        <v>2555</v>
      </c>
      <c r="E733" s="22">
        <v>61</v>
      </c>
      <c r="F733" s="22" t="s">
        <v>2649</v>
      </c>
      <c r="G733" s="22">
        <v>20210901</v>
      </c>
      <c r="H733" s="22">
        <v>22000101</v>
      </c>
      <c r="I733" s="22" t="s">
        <v>2650</v>
      </c>
    </row>
    <row r="734" spans="1:9" x14ac:dyDescent="0.25">
      <c r="A734" s="22">
        <v>0</v>
      </c>
      <c r="B734" s="22">
        <v>128</v>
      </c>
      <c r="C734" s="22" t="s">
        <v>2648</v>
      </c>
      <c r="D734" s="34" t="s">
        <v>2555</v>
      </c>
      <c r="E734" s="22">
        <v>62</v>
      </c>
      <c r="F734" s="22" t="s">
        <v>2649</v>
      </c>
      <c r="G734" s="22">
        <v>20210901</v>
      </c>
      <c r="H734" s="22">
        <v>22000101</v>
      </c>
      <c r="I734" s="22" t="s">
        <v>2650</v>
      </c>
    </row>
    <row r="735" spans="1:9" x14ac:dyDescent="0.25">
      <c r="A735" s="22">
        <v>0</v>
      </c>
      <c r="B735" s="22">
        <v>128</v>
      </c>
      <c r="C735" s="22" t="s">
        <v>2648</v>
      </c>
      <c r="D735" s="34" t="s">
        <v>2555</v>
      </c>
      <c r="E735" s="22">
        <v>65</v>
      </c>
      <c r="F735" s="22" t="s">
        <v>2649</v>
      </c>
      <c r="G735" s="22">
        <v>20210901</v>
      </c>
      <c r="H735" s="22">
        <v>22000101</v>
      </c>
      <c r="I735" s="22" t="s">
        <v>2650</v>
      </c>
    </row>
    <row r="736" spans="1:9" x14ac:dyDescent="0.25">
      <c r="A736" s="22">
        <v>0</v>
      </c>
      <c r="B736" s="22">
        <v>128</v>
      </c>
      <c r="C736" s="22" t="s">
        <v>2648</v>
      </c>
      <c r="D736" s="34" t="s">
        <v>2555</v>
      </c>
      <c r="E736" s="22">
        <v>68</v>
      </c>
      <c r="F736" s="22" t="s">
        <v>2649</v>
      </c>
      <c r="G736" s="22">
        <v>20210901</v>
      </c>
      <c r="H736" s="22">
        <v>22000101</v>
      </c>
      <c r="I736" s="22" t="s">
        <v>2650</v>
      </c>
    </row>
    <row r="737" spans="1:9" x14ac:dyDescent="0.25">
      <c r="A737">
        <v>2</v>
      </c>
      <c r="B737">
        <v>6</v>
      </c>
      <c r="C737" t="s">
        <v>2569</v>
      </c>
      <c r="D737" s="29" t="s">
        <v>2555</v>
      </c>
      <c r="E737">
        <v>37</v>
      </c>
      <c r="F737" t="s">
        <v>2570</v>
      </c>
      <c r="G737">
        <v>20220101</v>
      </c>
      <c r="H737">
        <v>22000101</v>
      </c>
    </row>
    <row r="738" spans="1:9" x14ac:dyDescent="0.25">
      <c r="A738">
        <v>2</v>
      </c>
      <c r="B738">
        <v>6</v>
      </c>
      <c r="C738" t="s">
        <v>2569</v>
      </c>
      <c r="D738" s="29" t="s">
        <v>2555</v>
      </c>
      <c r="E738">
        <v>43</v>
      </c>
      <c r="F738" t="s">
        <v>2570</v>
      </c>
      <c r="G738">
        <v>20220101</v>
      </c>
      <c r="H738">
        <v>22000101</v>
      </c>
    </row>
    <row r="739" spans="1:9" x14ac:dyDescent="0.25">
      <c r="A739">
        <v>0</v>
      </c>
      <c r="B739">
        <v>112</v>
      </c>
      <c r="C739" t="s">
        <v>2640</v>
      </c>
      <c r="D739" s="33" t="s">
        <v>2555</v>
      </c>
      <c r="E739">
        <v>37</v>
      </c>
      <c r="F739" t="s">
        <v>2641</v>
      </c>
      <c r="G739">
        <v>20220101</v>
      </c>
      <c r="H739">
        <v>22000101</v>
      </c>
      <c r="I739" t="s">
        <v>2651</v>
      </c>
    </row>
    <row r="740" spans="1:9" x14ac:dyDescent="0.25">
      <c r="A740">
        <v>0</v>
      </c>
      <c r="B740">
        <v>112</v>
      </c>
      <c r="C740" t="s">
        <v>2640</v>
      </c>
      <c r="D740" s="33" t="s">
        <v>2555</v>
      </c>
      <c r="E740">
        <v>43</v>
      </c>
      <c r="F740" t="s">
        <v>2641</v>
      </c>
      <c r="G740">
        <v>20220101</v>
      </c>
      <c r="H740">
        <v>22000101</v>
      </c>
      <c r="I740" t="s">
        <v>2651</v>
      </c>
    </row>
    <row r="741" spans="1:9" x14ac:dyDescent="0.25">
      <c r="A741">
        <v>0</v>
      </c>
      <c r="B741">
        <v>112</v>
      </c>
      <c r="C741" t="s">
        <v>2640</v>
      </c>
      <c r="D741" s="29" t="s">
        <v>2555</v>
      </c>
      <c r="E741">
        <v>80</v>
      </c>
      <c r="F741" t="s">
        <v>2641</v>
      </c>
      <c r="G741">
        <v>20220101</v>
      </c>
      <c r="H741">
        <v>22000101</v>
      </c>
      <c r="I741" t="s">
        <v>2652</v>
      </c>
    </row>
    <row r="742" spans="1:9" x14ac:dyDescent="0.25">
      <c r="A742" s="22">
        <v>0</v>
      </c>
      <c r="B742" s="22">
        <v>33</v>
      </c>
      <c r="C742" s="22" t="s">
        <v>2653</v>
      </c>
      <c r="D742" s="34" t="s">
        <v>2555</v>
      </c>
      <c r="E742" s="22">
        <v>37</v>
      </c>
      <c r="F742" s="22" t="s">
        <v>2654</v>
      </c>
      <c r="G742" s="22">
        <v>20220501</v>
      </c>
      <c r="H742" s="22">
        <v>22000101</v>
      </c>
      <c r="I742" s="22" t="s">
        <v>2655</v>
      </c>
    </row>
    <row r="743" spans="1:9" x14ac:dyDescent="0.25">
      <c r="A743" s="22">
        <v>0</v>
      </c>
      <c r="B743" s="22">
        <v>33</v>
      </c>
      <c r="C743" s="22" t="s">
        <v>2653</v>
      </c>
      <c r="D743" s="34" t="s">
        <v>2555</v>
      </c>
      <c r="E743" s="22">
        <v>38</v>
      </c>
      <c r="F743" s="22" t="s">
        <v>2654</v>
      </c>
      <c r="G743" s="22">
        <v>20220501</v>
      </c>
      <c r="H743" s="22">
        <v>22000101</v>
      </c>
      <c r="I743" s="22" t="s">
        <v>2655</v>
      </c>
    </row>
    <row r="744" spans="1:9" x14ac:dyDescent="0.25">
      <c r="A744" s="22">
        <v>0</v>
      </c>
      <c r="B744" s="22">
        <v>33</v>
      </c>
      <c r="C744" s="22" t="s">
        <v>2653</v>
      </c>
      <c r="D744" s="34" t="s">
        <v>2555</v>
      </c>
      <c r="E744" s="22">
        <v>43</v>
      </c>
      <c r="F744" s="22" t="s">
        <v>2654</v>
      </c>
      <c r="G744" s="22">
        <v>20220501</v>
      </c>
      <c r="H744" s="22">
        <v>22000101</v>
      </c>
      <c r="I744" s="22" t="s">
        <v>2655</v>
      </c>
    </row>
    <row r="745" spans="1:9" x14ac:dyDescent="0.25">
      <c r="A745" s="22">
        <v>0</v>
      </c>
      <c r="B745" s="22">
        <v>33</v>
      </c>
      <c r="C745" s="22" t="s">
        <v>2653</v>
      </c>
      <c r="D745" s="30" t="s">
        <v>2555</v>
      </c>
      <c r="E745" s="22">
        <v>49</v>
      </c>
      <c r="F745" s="22" t="s">
        <v>2654</v>
      </c>
      <c r="G745" s="22">
        <v>20220501</v>
      </c>
      <c r="H745" s="22">
        <v>22000101</v>
      </c>
      <c r="I745" s="22" t="s">
        <v>2655</v>
      </c>
    </row>
    <row r="746" spans="1:9" x14ac:dyDescent="0.25">
      <c r="A746">
        <v>0</v>
      </c>
      <c r="B746">
        <v>101</v>
      </c>
      <c r="C746" t="s">
        <v>2626</v>
      </c>
      <c r="D746" s="29" t="s">
        <v>2555</v>
      </c>
      <c r="E746">
        <v>75</v>
      </c>
      <c r="F746" t="s">
        <v>2627</v>
      </c>
      <c r="G746">
        <v>20230101</v>
      </c>
      <c r="H746">
        <v>22000101</v>
      </c>
    </row>
    <row r="747" spans="1:9" x14ac:dyDescent="0.25">
      <c r="A747">
        <v>0</v>
      </c>
      <c r="B747">
        <v>105</v>
      </c>
      <c r="C747" t="s">
        <v>2634</v>
      </c>
      <c r="D747" s="29" t="s">
        <v>2555</v>
      </c>
      <c r="E747">
        <v>75</v>
      </c>
      <c r="F747" t="s">
        <v>2633</v>
      </c>
      <c r="G747">
        <v>20230101</v>
      </c>
      <c r="H747">
        <v>22000101</v>
      </c>
    </row>
    <row r="748" spans="1:9" x14ac:dyDescent="0.25">
      <c r="A748">
        <v>0</v>
      </c>
      <c r="B748">
        <v>114</v>
      </c>
      <c r="C748" t="s">
        <v>2643</v>
      </c>
      <c r="D748" s="29" t="s">
        <v>2555</v>
      </c>
      <c r="E748">
        <v>75</v>
      </c>
      <c r="F748" t="s">
        <v>2644</v>
      </c>
      <c r="G748">
        <v>20230101</v>
      </c>
      <c r="H748">
        <v>22000101</v>
      </c>
    </row>
    <row r="749" spans="1:9" x14ac:dyDescent="0.25">
      <c r="A749">
        <v>0</v>
      </c>
      <c r="B749">
        <v>112</v>
      </c>
      <c r="C749" t="s">
        <v>2640</v>
      </c>
      <c r="D749" s="29" t="s">
        <v>2559</v>
      </c>
      <c r="E749">
        <v>3</v>
      </c>
      <c r="F749" t="s">
        <v>310</v>
      </c>
      <c r="G749">
        <v>20220101</v>
      </c>
      <c r="H749">
        <v>22000101</v>
      </c>
    </row>
    <row r="750" spans="1:9" x14ac:dyDescent="0.25">
      <c r="A750">
        <v>0</v>
      </c>
      <c r="B750">
        <v>112</v>
      </c>
      <c r="C750" t="s">
        <v>2640</v>
      </c>
      <c r="D750" s="29" t="s">
        <v>2559</v>
      </c>
      <c r="E750">
        <v>4</v>
      </c>
      <c r="F750" t="s">
        <v>2641</v>
      </c>
      <c r="G750">
        <v>20220101</v>
      </c>
      <c r="H750">
        <v>22000101</v>
      </c>
    </row>
    <row r="751" spans="1:9" x14ac:dyDescent="0.25">
      <c r="A751">
        <v>0</v>
      </c>
      <c r="B751">
        <v>112</v>
      </c>
      <c r="C751" t="s">
        <v>2640</v>
      </c>
      <c r="D751" s="29" t="s">
        <v>2559</v>
      </c>
      <c r="E751">
        <v>6</v>
      </c>
      <c r="F751" t="s">
        <v>2641</v>
      </c>
      <c r="G751">
        <v>20220101</v>
      </c>
      <c r="H751">
        <v>22000101</v>
      </c>
    </row>
    <row r="752" spans="1:9" x14ac:dyDescent="0.25">
      <c r="A752">
        <v>0</v>
      </c>
      <c r="B752">
        <v>112</v>
      </c>
      <c r="C752" t="s">
        <v>2640</v>
      </c>
      <c r="D752" s="29" t="s">
        <v>2559</v>
      </c>
      <c r="E752">
        <v>12</v>
      </c>
      <c r="F752" t="s">
        <v>2641</v>
      </c>
      <c r="G752">
        <v>20220101</v>
      </c>
      <c r="H752">
        <v>22000101</v>
      </c>
    </row>
    <row r="753" spans="1:8" x14ac:dyDescent="0.25">
      <c r="A753">
        <v>0</v>
      </c>
      <c r="B753">
        <v>112</v>
      </c>
      <c r="C753" t="s">
        <v>2640</v>
      </c>
      <c r="D753" s="29" t="s">
        <v>2559</v>
      </c>
      <c r="E753">
        <v>13</v>
      </c>
      <c r="F753" t="s">
        <v>2641</v>
      </c>
      <c r="G753">
        <v>20220101</v>
      </c>
      <c r="H753">
        <v>22000101</v>
      </c>
    </row>
    <row r="754" spans="1:8" x14ac:dyDescent="0.25">
      <c r="A754">
        <v>0</v>
      </c>
      <c r="B754">
        <v>112</v>
      </c>
      <c r="C754" t="s">
        <v>2640</v>
      </c>
      <c r="D754" s="29" t="s">
        <v>2559</v>
      </c>
      <c r="E754">
        <v>301</v>
      </c>
      <c r="F754" t="s">
        <v>2641</v>
      </c>
      <c r="G754">
        <v>20220101</v>
      </c>
      <c r="H754">
        <v>22000101</v>
      </c>
    </row>
    <row r="755" spans="1:8" x14ac:dyDescent="0.25">
      <c r="A755">
        <v>0</v>
      </c>
      <c r="B755">
        <v>112</v>
      </c>
      <c r="C755" t="s">
        <v>2640</v>
      </c>
      <c r="D755" s="29" t="s">
        <v>2559</v>
      </c>
      <c r="E755">
        <v>302</v>
      </c>
      <c r="F755" t="s">
        <v>2641</v>
      </c>
      <c r="G755">
        <v>20220101</v>
      </c>
      <c r="H755">
        <v>22000101</v>
      </c>
    </row>
    <row r="756" spans="1:8" x14ac:dyDescent="0.25">
      <c r="A756">
        <v>0</v>
      </c>
      <c r="B756">
        <v>112</v>
      </c>
      <c r="C756" t="s">
        <v>2640</v>
      </c>
      <c r="D756" s="29" t="s">
        <v>2559</v>
      </c>
      <c r="E756">
        <v>303</v>
      </c>
      <c r="F756" t="s">
        <v>2641</v>
      </c>
      <c r="G756">
        <v>20220101</v>
      </c>
      <c r="H756">
        <v>22000101</v>
      </c>
    </row>
    <row r="757" spans="1:8" x14ac:dyDescent="0.25">
      <c r="A757">
        <v>0</v>
      </c>
      <c r="B757">
        <v>112</v>
      </c>
      <c r="C757" t="s">
        <v>2640</v>
      </c>
      <c r="D757" s="29" t="s">
        <v>2559</v>
      </c>
      <c r="E757">
        <v>316</v>
      </c>
      <c r="F757" t="s">
        <v>2641</v>
      </c>
      <c r="G757">
        <v>20220101</v>
      </c>
      <c r="H757">
        <v>22000101</v>
      </c>
    </row>
    <row r="758" spans="1:8" x14ac:dyDescent="0.25">
      <c r="A758">
        <v>0</v>
      </c>
      <c r="B758">
        <v>112</v>
      </c>
      <c r="C758" t="s">
        <v>2640</v>
      </c>
      <c r="D758" s="29" t="s">
        <v>2559</v>
      </c>
      <c r="E758">
        <v>317</v>
      </c>
      <c r="F758" t="s">
        <v>2641</v>
      </c>
      <c r="G758">
        <v>20220101</v>
      </c>
      <c r="H758">
        <v>22000101</v>
      </c>
    </row>
    <row r="759" spans="1:8" x14ac:dyDescent="0.25">
      <c r="A759">
        <v>0</v>
      </c>
      <c r="B759">
        <v>112</v>
      </c>
      <c r="C759" t="s">
        <v>2640</v>
      </c>
      <c r="D759" s="29" t="s">
        <v>2559</v>
      </c>
      <c r="E759">
        <v>319</v>
      </c>
      <c r="F759" t="s">
        <v>2641</v>
      </c>
      <c r="G759">
        <v>20220101</v>
      </c>
      <c r="H759">
        <v>22000101</v>
      </c>
    </row>
    <row r="760" spans="1:8" x14ac:dyDescent="0.25">
      <c r="A760">
        <v>0</v>
      </c>
      <c r="B760">
        <v>112</v>
      </c>
      <c r="C760" t="s">
        <v>2640</v>
      </c>
      <c r="D760" s="29" t="s">
        <v>2559</v>
      </c>
      <c r="E760">
        <v>332</v>
      </c>
      <c r="F760" t="s">
        <v>2641</v>
      </c>
      <c r="G760">
        <v>20220101</v>
      </c>
      <c r="H760">
        <v>22000101</v>
      </c>
    </row>
    <row r="761" spans="1:8" x14ac:dyDescent="0.25">
      <c r="A761">
        <v>0</v>
      </c>
      <c r="B761">
        <v>112</v>
      </c>
      <c r="C761" t="s">
        <v>2640</v>
      </c>
      <c r="D761" s="29" t="s">
        <v>2559</v>
      </c>
      <c r="E761">
        <v>338</v>
      </c>
      <c r="F761" t="s">
        <v>2641</v>
      </c>
      <c r="G761">
        <v>20220101</v>
      </c>
      <c r="H761">
        <v>22000101</v>
      </c>
    </row>
    <row r="762" spans="1:8" x14ac:dyDescent="0.25">
      <c r="A762">
        <v>0</v>
      </c>
      <c r="B762">
        <v>112</v>
      </c>
      <c r="C762" t="s">
        <v>2640</v>
      </c>
      <c r="D762" s="29" t="s">
        <v>2559</v>
      </c>
      <c r="E762">
        <v>340</v>
      </c>
      <c r="F762" t="s">
        <v>2641</v>
      </c>
      <c r="G762">
        <v>20220101</v>
      </c>
      <c r="H762">
        <v>22000101</v>
      </c>
    </row>
    <row r="763" spans="1:8" x14ac:dyDescent="0.25">
      <c r="A763">
        <v>0</v>
      </c>
      <c r="B763">
        <v>112</v>
      </c>
      <c r="C763" t="s">
        <v>2640</v>
      </c>
      <c r="D763" s="29" t="s">
        <v>2559</v>
      </c>
      <c r="E763">
        <v>350</v>
      </c>
      <c r="F763" t="s">
        <v>2641</v>
      </c>
      <c r="G763">
        <v>20220101</v>
      </c>
      <c r="H763">
        <v>22000101</v>
      </c>
    </row>
    <row r="764" spans="1:8" x14ac:dyDescent="0.25">
      <c r="A764">
        <v>0</v>
      </c>
      <c r="B764">
        <v>302</v>
      </c>
      <c r="C764" t="s">
        <v>2647</v>
      </c>
      <c r="D764" s="29" t="s">
        <v>2559</v>
      </c>
      <c r="E764">
        <v>15</v>
      </c>
      <c r="F764" t="s">
        <v>292</v>
      </c>
      <c r="G764">
        <v>20180101</v>
      </c>
      <c r="H764">
        <v>20220101</v>
      </c>
    </row>
    <row r="765" spans="1:8" x14ac:dyDescent="0.25">
      <c r="A765">
        <v>0</v>
      </c>
      <c r="B765">
        <v>302</v>
      </c>
      <c r="C765" t="s">
        <v>2647</v>
      </c>
      <c r="D765" s="29" t="s">
        <v>2559</v>
      </c>
      <c r="E765">
        <v>3</v>
      </c>
      <c r="F765" t="s">
        <v>292</v>
      </c>
      <c r="G765">
        <v>20180101</v>
      </c>
      <c r="H765">
        <v>20220101</v>
      </c>
    </row>
    <row r="766" spans="1:8" x14ac:dyDescent="0.25">
      <c r="A766">
        <v>0</v>
      </c>
      <c r="B766">
        <v>302</v>
      </c>
      <c r="C766" t="s">
        <v>2647</v>
      </c>
      <c r="D766" s="29" t="s">
        <v>2559</v>
      </c>
      <c r="E766">
        <v>6</v>
      </c>
      <c r="F766" t="s">
        <v>292</v>
      </c>
      <c r="G766">
        <v>20180101</v>
      </c>
      <c r="H766">
        <v>20220101</v>
      </c>
    </row>
    <row r="767" spans="1:8" x14ac:dyDescent="0.25">
      <c r="A767">
        <v>0</v>
      </c>
      <c r="B767">
        <v>302</v>
      </c>
      <c r="C767" t="s">
        <v>2647</v>
      </c>
      <c r="D767" s="29" t="s">
        <v>2559</v>
      </c>
      <c r="E767">
        <v>13</v>
      </c>
      <c r="F767" t="s">
        <v>292</v>
      </c>
      <c r="G767">
        <v>20180101</v>
      </c>
      <c r="H767">
        <v>20220101</v>
      </c>
    </row>
    <row r="768" spans="1:8" x14ac:dyDescent="0.25">
      <c r="A768">
        <v>0</v>
      </c>
      <c r="B768">
        <v>302</v>
      </c>
      <c r="C768" t="s">
        <v>2647</v>
      </c>
      <c r="D768" s="29" t="s">
        <v>2559</v>
      </c>
      <c r="E768">
        <v>100</v>
      </c>
      <c r="F768" t="s">
        <v>292</v>
      </c>
      <c r="G768" s="36" t="s">
        <v>2714</v>
      </c>
      <c r="H768" s="36" t="s">
        <v>2721</v>
      </c>
    </row>
    <row r="769" spans="1:9" x14ac:dyDescent="0.25">
      <c r="A769">
        <v>0</v>
      </c>
      <c r="B769">
        <v>302</v>
      </c>
      <c r="C769" t="s">
        <v>2647</v>
      </c>
      <c r="D769" s="29" t="s">
        <v>2559</v>
      </c>
      <c r="E769">
        <v>4</v>
      </c>
      <c r="F769" t="s">
        <v>292</v>
      </c>
      <c r="G769">
        <v>20180101</v>
      </c>
      <c r="H769">
        <v>22000101</v>
      </c>
    </row>
    <row r="770" spans="1:9" x14ac:dyDescent="0.25">
      <c r="A770">
        <v>0</v>
      </c>
      <c r="B770">
        <v>302</v>
      </c>
      <c r="C770" t="s">
        <v>2647</v>
      </c>
      <c r="D770" s="29" t="s">
        <v>2559</v>
      </c>
      <c r="E770">
        <v>319</v>
      </c>
      <c r="F770" t="s">
        <v>292</v>
      </c>
      <c r="G770">
        <v>20180101</v>
      </c>
      <c r="H770">
        <v>22000101</v>
      </c>
    </row>
    <row r="771" spans="1:9" x14ac:dyDescent="0.25">
      <c r="B771">
        <v>28</v>
      </c>
      <c r="C771" t="s">
        <v>2614</v>
      </c>
      <c r="D771" s="33" t="s">
        <v>2559</v>
      </c>
      <c r="E771">
        <v>301</v>
      </c>
      <c r="F771" t="s">
        <v>176</v>
      </c>
      <c r="G771" s="36" t="s">
        <v>2715</v>
      </c>
      <c r="H771" s="36" t="s">
        <v>2717</v>
      </c>
      <c r="I771" t="s">
        <v>1521</v>
      </c>
    </row>
    <row r="772" spans="1:9" x14ac:dyDescent="0.25">
      <c r="B772">
        <v>28</v>
      </c>
      <c r="C772" t="s">
        <v>2614</v>
      </c>
      <c r="D772" s="33" t="s">
        <v>2559</v>
      </c>
      <c r="E772">
        <v>303</v>
      </c>
      <c r="F772" t="s">
        <v>176</v>
      </c>
      <c r="G772" s="36" t="s">
        <v>2715</v>
      </c>
      <c r="H772" s="36" t="s">
        <v>2717</v>
      </c>
      <c r="I772" t="s">
        <v>1521</v>
      </c>
    </row>
    <row r="773" spans="1:9" x14ac:dyDescent="0.25">
      <c r="B773">
        <v>28</v>
      </c>
      <c r="C773" t="s">
        <v>2614</v>
      </c>
      <c r="D773" s="33" t="s">
        <v>2559</v>
      </c>
      <c r="E773">
        <v>313</v>
      </c>
      <c r="F773" t="s">
        <v>176</v>
      </c>
      <c r="G773" s="36" t="s">
        <v>2715</v>
      </c>
      <c r="H773" s="36" t="s">
        <v>2717</v>
      </c>
      <c r="I773" t="s">
        <v>1521</v>
      </c>
    </row>
    <row r="774" spans="1:9" x14ac:dyDescent="0.25">
      <c r="B774">
        <v>28</v>
      </c>
      <c r="C774" t="s">
        <v>2614</v>
      </c>
      <c r="D774" s="33" t="s">
        <v>2559</v>
      </c>
      <c r="E774">
        <v>316</v>
      </c>
      <c r="F774" t="s">
        <v>176</v>
      </c>
      <c r="G774" s="36" t="s">
        <v>2715</v>
      </c>
      <c r="H774" s="36" t="s">
        <v>2721</v>
      </c>
      <c r="I774" t="s">
        <v>2615</v>
      </c>
    </row>
    <row r="775" spans="1:9" x14ac:dyDescent="0.25">
      <c r="B775">
        <v>28</v>
      </c>
      <c r="C775" t="s">
        <v>2614</v>
      </c>
      <c r="D775" s="33" t="s">
        <v>2559</v>
      </c>
      <c r="E775">
        <v>317</v>
      </c>
      <c r="F775" t="s">
        <v>176</v>
      </c>
      <c r="G775" s="36" t="s">
        <v>2716</v>
      </c>
      <c r="H775" s="36" t="s">
        <v>2721</v>
      </c>
      <c r="I775" t="s">
        <v>2616</v>
      </c>
    </row>
    <row r="776" spans="1:9" x14ac:dyDescent="0.25">
      <c r="B776">
        <v>28</v>
      </c>
      <c r="C776" t="s">
        <v>2614</v>
      </c>
      <c r="D776" s="33" t="s">
        <v>2559</v>
      </c>
      <c r="E776">
        <v>319</v>
      </c>
      <c r="F776" t="s">
        <v>176</v>
      </c>
      <c r="G776" s="36" t="s">
        <v>2715</v>
      </c>
      <c r="H776" s="36" t="s">
        <v>2717</v>
      </c>
      <c r="I776" t="s">
        <v>1521</v>
      </c>
    </row>
    <row r="777" spans="1:9" x14ac:dyDescent="0.25">
      <c r="B777">
        <v>28</v>
      </c>
      <c r="C777" t="s">
        <v>2614</v>
      </c>
      <c r="D777" s="33" t="s">
        <v>2559</v>
      </c>
      <c r="E777">
        <v>331</v>
      </c>
      <c r="F777" t="s">
        <v>176</v>
      </c>
      <c r="G777" s="36" t="s">
        <v>2715</v>
      </c>
      <c r="H777" s="36" t="s">
        <v>2717</v>
      </c>
      <c r="I777" t="s">
        <v>1521</v>
      </c>
    </row>
    <row r="778" spans="1:9" x14ac:dyDescent="0.25">
      <c r="B778">
        <v>28</v>
      </c>
      <c r="C778" t="s">
        <v>2614</v>
      </c>
      <c r="D778" s="33" t="s">
        <v>2559</v>
      </c>
      <c r="E778">
        <v>332</v>
      </c>
      <c r="F778" t="s">
        <v>176</v>
      </c>
      <c r="G778">
        <v>20190101</v>
      </c>
      <c r="H778">
        <v>22000101</v>
      </c>
      <c r="I778" t="s">
        <v>2617</v>
      </c>
    </row>
    <row r="779" spans="1:9" x14ac:dyDescent="0.25">
      <c r="B779">
        <v>28</v>
      </c>
      <c r="C779" t="s">
        <v>2614</v>
      </c>
      <c r="D779" s="33" t="s">
        <v>2559</v>
      </c>
      <c r="E779">
        <v>333</v>
      </c>
      <c r="F779" t="s">
        <v>176</v>
      </c>
      <c r="G779" s="36" t="s">
        <v>2717</v>
      </c>
      <c r="H779" s="36" t="s">
        <v>2721</v>
      </c>
      <c r="I779" t="s">
        <v>2617</v>
      </c>
    </row>
    <row r="780" spans="1:9" x14ac:dyDescent="0.25">
      <c r="B780">
        <v>103</v>
      </c>
      <c r="C780" t="s">
        <v>2629</v>
      </c>
      <c r="D780" s="33" t="s">
        <v>2559</v>
      </c>
      <c r="E780">
        <v>62</v>
      </c>
      <c r="F780" t="s">
        <v>2630</v>
      </c>
      <c r="G780" s="36" t="s">
        <v>2718</v>
      </c>
      <c r="H780" s="36" t="s">
        <v>2721</v>
      </c>
    </row>
    <row r="781" spans="1:9" x14ac:dyDescent="0.25">
      <c r="B781">
        <v>103</v>
      </c>
      <c r="C781" t="s">
        <v>2629</v>
      </c>
      <c r="D781" s="33" t="s">
        <v>2559</v>
      </c>
      <c r="E781">
        <v>65</v>
      </c>
      <c r="F781" t="s">
        <v>2630</v>
      </c>
      <c r="G781" s="36" t="s">
        <v>2718</v>
      </c>
      <c r="H781" s="36" t="s">
        <v>2721</v>
      </c>
    </row>
    <row r="782" spans="1:9" x14ac:dyDescent="0.25">
      <c r="B782">
        <v>103</v>
      </c>
      <c r="C782" t="s">
        <v>2629</v>
      </c>
      <c r="D782" s="33" t="s">
        <v>2559</v>
      </c>
      <c r="E782">
        <v>70</v>
      </c>
      <c r="F782" t="s">
        <v>2630</v>
      </c>
      <c r="G782" s="36" t="s">
        <v>2718</v>
      </c>
      <c r="H782" s="36" t="s">
        <v>2721</v>
      </c>
    </row>
    <row r="783" spans="1:9" x14ac:dyDescent="0.25">
      <c r="B783">
        <v>103</v>
      </c>
      <c r="C783" t="s">
        <v>2629</v>
      </c>
      <c r="D783" s="33" t="s">
        <v>2559</v>
      </c>
      <c r="E783">
        <v>71</v>
      </c>
      <c r="F783" t="s">
        <v>2630</v>
      </c>
      <c r="G783" s="36" t="s">
        <v>2718</v>
      </c>
      <c r="H783" s="36" t="s">
        <v>2721</v>
      </c>
    </row>
    <row r="784" spans="1:9" x14ac:dyDescent="0.25">
      <c r="B784">
        <v>103</v>
      </c>
      <c r="C784" t="s">
        <v>2629</v>
      </c>
      <c r="D784" s="33" t="s">
        <v>2559</v>
      </c>
      <c r="E784">
        <v>72</v>
      </c>
      <c r="F784" t="s">
        <v>2630</v>
      </c>
      <c r="G784" s="36" t="s">
        <v>2718</v>
      </c>
      <c r="H784" s="36" t="s">
        <v>2721</v>
      </c>
    </row>
    <row r="785" spans="1:9" x14ac:dyDescent="0.25">
      <c r="B785">
        <v>103</v>
      </c>
      <c r="C785" t="s">
        <v>2629</v>
      </c>
      <c r="D785" s="33" t="s">
        <v>2559</v>
      </c>
      <c r="E785">
        <v>74</v>
      </c>
      <c r="F785" t="s">
        <v>2630</v>
      </c>
      <c r="G785" s="36" t="s">
        <v>2718</v>
      </c>
      <c r="H785" s="36" t="s">
        <v>2721</v>
      </c>
    </row>
    <row r="786" spans="1:9" x14ac:dyDescent="0.25">
      <c r="B786">
        <v>103</v>
      </c>
      <c r="C786" t="s">
        <v>2629</v>
      </c>
      <c r="D786" s="33" t="s">
        <v>2559</v>
      </c>
      <c r="E786">
        <v>82</v>
      </c>
      <c r="F786" t="s">
        <v>2630</v>
      </c>
      <c r="G786" s="36" t="s">
        <v>2718</v>
      </c>
      <c r="H786" s="36" t="s">
        <v>2721</v>
      </c>
    </row>
    <row r="787" spans="1:9" ht="0.6" customHeight="1" x14ac:dyDescent="0.25">
      <c r="B787">
        <v>103</v>
      </c>
      <c r="C787" t="s">
        <v>2629</v>
      </c>
      <c r="D787" s="33" t="s">
        <v>2559</v>
      </c>
      <c r="E787">
        <v>61</v>
      </c>
      <c r="F787" t="s">
        <v>2630</v>
      </c>
      <c r="G787" s="36" t="s">
        <v>2718</v>
      </c>
      <c r="H787" s="36" t="s">
        <v>2721</v>
      </c>
    </row>
    <row r="788" spans="1:9" x14ac:dyDescent="0.25">
      <c r="B788">
        <v>106</v>
      </c>
      <c r="C788" t="s">
        <v>2635</v>
      </c>
      <c r="D788" s="33" t="s">
        <v>2559</v>
      </c>
      <c r="E788">
        <v>301</v>
      </c>
      <c r="F788" t="s">
        <v>2636</v>
      </c>
      <c r="G788" s="36" t="s">
        <v>2719</v>
      </c>
      <c r="H788" s="36" t="s">
        <v>2721</v>
      </c>
      <c r="I788" t="s">
        <v>2638</v>
      </c>
    </row>
    <row r="789" spans="1:9" x14ac:dyDescent="0.25">
      <c r="B789">
        <v>106</v>
      </c>
      <c r="C789" t="s">
        <v>2635</v>
      </c>
      <c r="D789" s="33" t="s">
        <v>2559</v>
      </c>
      <c r="E789">
        <v>302</v>
      </c>
      <c r="F789" t="s">
        <v>2636</v>
      </c>
      <c r="G789" s="36" t="s">
        <v>2719</v>
      </c>
      <c r="H789" s="36" t="s">
        <v>2721</v>
      </c>
      <c r="I789" t="s">
        <v>2638</v>
      </c>
    </row>
    <row r="790" spans="1:9" x14ac:dyDescent="0.25">
      <c r="B790">
        <v>106</v>
      </c>
      <c r="C790" t="s">
        <v>2635</v>
      </c>
      <c r="D790" s="33" t="s">
        <v>2559</v>
      </c>
      <c r="E790">
        <v>303</v>
      </c>
      <c r="F790" t="s">
        <v>2636</v>
      </c>
      <c r="G790" s="36" t="s">
        <v>2719</v>
      </c>
      <c r="H790" s="36" t="s">
        <v>2721</v>
      </c>
      <c r="I790" t="s">
        <v>2638</v>
      </c>
    </row>
    <row r="791" spans="1:9" x14ac:dyDescent="0.25">
      <c r="B791">
        <v>106</v>
      </c>
      <c r="C791" t="s">
        <v>2635</v>
      </c>
      <c r="D791" s="33" t="s">
        <v>2559</v>
      </c>
      <c r="E791">
        <v>316</v>
      </c>
      <c r="F791" t="s">
        <v>2636</v>
      </c>
      <c r="G791" s="36" t="s">
        <v>2719</v>
      </c>
      <c r="H791" s="36" t="s">
        <v>2721</v>
      </c>
      <c r="I791" t="s">
        <v>2563</v>
      </c>
    </row>
    <row r="792" spans="1:9" x14ac:dyDescent="0.25">
      <c r="B792">
        <v>106</v>
      </c>
      <c r="C792" t="s">
        <v>2635</v>
      </c>
      <c r="D792" s="33" t="s">
        <v>2559</v>
      </c>
      <c r="E792">
        <v>317</v>
      </c>
      <c r="F792" t="s">
        <v>2636</v>
      </c>
      <c r="G792" s="36" t="s">
        <v>2716</v>
      </c>
      <c r="H792" s="36" t="s">
        <v>2721</v>
      </c>
      <c r="I792" t="s">
        <v>2616</v>
      </c>
    </row>
    <row r="793" spans="1:9" x14ac:dyDescent="0.25">
      <c r="B793">
        <v>106</v>
      </c>
      <c r="C793" t="s">
        <v>2635</v>
      </c>
      <c r="D793" s="33" t="s">
        <v>2559</v>
      </c>
      <c r="E793">
        <v>331</v>
      </c>
      <c r="F793" t="s">
        <v>2636</v>
      </c>
      <c r="G793" s="36" t="s">
        <v>2719</v>
      </c>
      <c r="H793" s="36" t="s">
        <v>2721</v>
      </c>
      <c r="I793" t="s">
        <v>2638</v>
      </c>
    </row>
    <row r="794" spans="1:9" x14ac:dyDescent="0.25">
      <c r="B794">
        <v>106</v>
      </c>
      <c r="C794" t="s">
        <v>2635</v>
      </c>
      <c r="D794" s="33" t="s">
        <v>2559</v>
      </c>
      <c r="E794">
        <v>332</v>
      </c>
      <c r="F794" t="s">
        <v>2636</v>
      </c>
      <c r="G794">
        <v>20190101</v>
      </c>
      <c r="H794">
        <v>22000101</v>
      </c>
      <c r="I794" t="s">
        <v>2564</v>
      </c>
    </row>
    <row r="795" spans="1:9" x14ac:dyDescent="0.25">
      <c r="B795">
        <v>106</v>
      </c>
      <c r="C795" t="s">
        <v>2635</v>
      </c>
      <c r="D795" s="33" t="s">
        <v>2559</v>
      </c>
      <c r="E795">
        <v>333</v>
      </c>
      <c r="F795" t="s">
        <v>2636</v>
      </c>
      <c r="G795" s="36" t="s">
        <v>2717</v>
      </c>
      <c r="H795" s="36" t="s">
        <v>2721</v>
      </c>
      <c r="I795" t="s">
        <v>2564</v>
      </c>
    </row>
    <row r="796" spans="1:9" x14ac:dyDescent="0.25">
      <c r="B796">
        <v>106</v>
      </c>
      <c r="C796" t="s">
        <v>2635</v>
      </c>
      <c r="D796" s="33" t="s">
        <v>2559</v>
      </c>
      <c r="E796">
        <v>334</v>
      </c>
      <c r="F796" t="s">
        <v>2636</v>
      </c>
      <c r="G796" s="36" t="s">
        <v>2718</v>
      </c>
      <c r="H796" s="36" t="s">
        <v>2719</v>
      </c>
      <c r="I796" t="s">
        <v>2638</v>
      </c>
    </row>
    <row r="797" spans="1:9" x14ac:dyDescent="0.25">
      <c r="B797">
        <v>106</v>
      </c>
      <c r="C797" t="s">
        <v>2635</v>
      </c>
      <c r="D797" s="33" t="s">
        <v>2559</v>
      </c>
      <c r="E797">
        <v>335</v>
      </c>
      <c r="F797" t="s">
        <v>2636</v>
      </c>
      <c r="G797" s="36" t="s">
        <v>2718</v>
      </c>
      <c r="H797" s="36" t="s">
        <v>2721</v>
      </c>
    </row>
    <row r="798" spans="1:9" x14ac:dyDescent="0.25">
      <c r="B798">
        <v>106</v>
      </c>
      <c r="C798" t="s">
        <v>2635</v>
      </c>
      <c r="D798" s="33" t="s">
        <v>2559</v>
      </c>
      <c r="E798">
        <v>340</v>
      </c>
      <c r="F798" t="s">
        <v>2636</v>
      </c>
      <c r="G798" s="36" t="s">
        <v>2718</v>
      </c>
      <c r="H798" s="36" t="s">
        <v>2721</v>
      </c>
    </row>
    <row r="799" spans="1:9" x14ac:dyDescent="0.25">
      <c r="B799">
        <v>106</v>
      </c>
      <c r="C799" t="s">
        <v>2635</v>
      </c>
      <c r="D799" s="33" t="s">
        <v>2559</v>
      </c>
      <c r="E799">
        <v>341</v>
      </c>
      <c r="F799" t="s">
        <v>2636</v>
      </c>
      <c r="G799" s="36" t="s">
        <v>2720</v>
      </c>
      <c r="H799" s="36" t="s">
        <v>2721</v>
      </c>
      <c r="I799" t="s">
        <v>2565</v>
      </c>
    </row>
    <row r="800" spans="1:9" x14ac:dyDescent="0.25">
      <c r="A800">
        <v>0</v>
      </c>
      <c r="B800">
        <v>107</v>
      </c>
      <c r="C800" t="s">
        <v>2639</v>
      </c>
      <c r="D800" s="33" t="s">
        <v>2559</v>
      </c>
      <c r="E800">
        <v>52</v>
      </c>
      <c r="F800" t="s">
        <v>2637</v>
      </c>
      <c r="G800" s="36" t="s">
        <v>2718</v>
      </c>
      <c r="H800" s="36" t="s">
        <v>2721</v>
      </c>
    </row>
    <row r="801" spans="2:9" x14ac:dyDescent="0.25">
      <c r="B801">
        <v>3</v>
      </c>
      <c r="C801" t="s">
        <v>2561</v>
      </c>
      <c r="D801" s="33" t="s">
        <v>2559</v>
      </c>
      <c r="E801">
        <v>302</v>
      </c>
      <c r="F801" t="s">
        <v>2562</v>
      </c>
      <c r="G801" s="36" t="s">
        <v>2718</v>
      </c>
      <c r="H801" s="36" t="s">
        <v>2719</v>
      </c>
      <c r="I801" t="s">
        <v>2563</v>
      </c>
    </row>
    <row r="802" spans="2:9" x14ac:dyDescent="0.25">
      <c r="B802">
        <v>3</v>
      </c>
      <c r="C802" t="s">
        <v>2561</v>
      </c>
      <c r="D802" s="33" t="s">
        <v>2559</v>
      </c>
      <c r="E802">
        <v>303</v>
      </c>
      <c r="F802" t="s">
        <v>2562</v>
      </c>
      <c r="G802" s="36" t="s">
        <v>2718</v>
      </c>
      <c r="H802" s="36" t="s">
        <v>2719</v>
      </c>
      <c r="I802" t="s">
        <v>2563</v>
      </c>
    </row>
    <row r="803" spans="2:9" x14ac:dyDescent="0.25">
      <c r="B803">
        <v>3</v>
      </c>
      <c r="C803" t="s">
        <v>2561</v>
      </c>
      <c r="D803" s="33" t="s">
        <v>2559</v>
      </c>
      <c r="E803">
        <v>316</v>
      </c>
      <c r="F803" t="s">
        <v>2562</v>
      </c>
      <c r="G803" s="36" t="s">
        <v>2719</v>
      </c>
      <c r="H803" s="36" t="s">
        <v>2721</v>
      </c>
      <c r="I803" t="s">
        <v>2563</v>
      </c>
    </row>
    <row r="804" spans="2:9" x14ac:dyDescent="0.25">
      <c r="B804">
        <v>3</v>
      </c>
      <c r="C804" t="s">
        <v>2561</v>
      </c>
      <c r="D804" s="33" t="s">
        <v>2559</v>
      </c>
      <c r="E804">
        <v>317</v>
      </c>
      <c r="F804" t="s">
        <v>2562</v>
      </c>
      <c r="G804" s="36" t="s">
        <v>2720</v>
      </c>
      <c r="H804" s="36" t="s">
        <v>2721</v>
      </c>
      <c r="I804" t="s">
        <v>662</v>
      </c>
    </row>
    <row r="805" spans="2:9" x14ac:dyDescent="0.25">
      <c r="B805">
        <v>3</v>
      </c>
      <c r="C805" t="s">
        <v>2561</v>
      </c>
      <c r="D805" s="33" t="s">
        <v>2559</v>
      </c>
      <c r="E805">
        <v>331</v>
      </c>
      <c r="F805" t="s">
        <v>2562</v>
      </c>
      <c r="G805" s="36" t="s">
        <v>2718</v>
      </c>
      <c r="H805" s="36" t="s">
        <v>2719</v>
      </c>
      <c r="I805" t="s">
        <v>2563</v>
      </c>
    </row>
    <row r="806" spans="2:9" x14ac:dyDescent="0.25">
      <c r="B806">
        <v>3</v>
      </c>
      <c r="C806" t="s">
        <v>2561</v>
      </c>
      <c r="D806" s="33" t="s">
        <v>2559</v>
      </c>
      <c r="E806">
        <v>334</v>
      </c>
      <c r="F806" t="s">
        <v>2562</v>
      </c>
      <c r="G806" s="36" t="s">
        <v>2718</v>
      </c>
      <c r="H806" s="36" t="s">
        <v>2719</v>
      </c>
      <c r="I806" t="s">
        <v>2563</v>
      </c>
    </row>
    <row r="807" spans="2:9" x14ac:dyDescent="0.25">
      <c r="B807">
        <v>3</v>
      </c>
      <c r="C807" t="s">
        <v>2561</v>
      </c>
      <c r="D807" s="33" t="s">
        <v>2559</v>
      </c>
      <c r="E807">
        <v>332</v>
      </c>
      <c r="F807" t="s">
        <v>2562</v>
      </c>
      <c r="G807">
        <v>20190101</v>
      </c>
      <c r="H807">
        <v>22000101</v>
      </c>
      <c r="I807" t="s">
        <v>2564</v>
      </c>
    </row>
    <row r="808" spans="2:9" x14ac:dyDescent="0.25">
      <c r="B808">
        <v>3</v>
      </c>
      <c r="C808" t="s">
        <v>2561</v>
      </c>
      <c r="D808" s="33" t="s">
        <v>2559</v>
      </c>
      <c r="E808">
        <v>333</v>
      </c>
      <c r="F808" t="s">
        <v>2562</v>
      </c>
      <c r="G808" s="36" t="s">
        <v>2717</v>
      </c>
      <c r="H808" s="36" t="s">
        <v>2721</v>
      </c>
      <c r="I808" t="s">
        <v>2564</v>
      </c>
    </row>
    <row r="809" spans="2:9" x14ac:dyDescent="0.25">
      <c r="B809">
        <v>3</v>
      </c>
      <c r="C809" t="s">
        <v>2561</v>
      </c>
      <c r="D809" s="33" t="s">
        <v>2559</v>
      </c>
      <c r="E809">
        <v>341</v>
      </c>
      <c r="F809" t="s">
        <v>2562</v>
      </c>
      <c r="G809" s="36" t="s">
        <v>2720</v>
      </c>
      <c r="H809" s="36" t="s">
        <v>2721</v>
      </c>
      <c r="I809" t="s">
        <v>2565</v>
      </c>
    </row>
    <row r="810" spans="2:9" x14ac:dyDescent="0.25">
      <c r="B810">
        <v>4</v>
      </c>
      <c r="C810" t="s">
        <v>2566</v>
      </c>
      <c r="D810" s="33" t="s">
        <v>2559</v>
      </c>
      <c r="E810">
        <v>301</v>
      </c>
      <c r="F810" t="s">
        <v>42</v>
      </c>
      <c r="G810" s="36" t="s">
        <v>2718</v>
      </c>
      <c r="H810" s="36" t="s">
        <v>2721</v>
      </c>
    </row>
    <row r="811" spans="2:9" x14ac:dyDescent="0.25">
      <c r="B811">
        <v>4</v>
      </c>
      <c r="C811" t="s">
        <v>2566</v>
      </c>
      <c r="D811" s="33" t="s">
        <v>2559</v>
      </c>
      <c r="E811">
        <v>303</v>
      </c>
      <c r="F811" t="s">
        <v>42</v>
      </c>
      <c r="G811" s="36" t="s">
        <v>2718</v>
      </c>
      <c r="H811" s="36" t="s">
        <v>2721</v>
      </c>
    </row>
    <row r="812" spans="2:9" x14ac:dyDescent="0.25">
      <c r="B812">
        <v>4</v>
      </c>
      <c r="C812" t="s">
        <v>2566</v>
      </c>
      <c r="D812" s="33" t="s">
        <v>2559</v>
      </c>
      <c r="E812">
        <v>331</v>
      </c>
      <c r="F812" t="s">
        <v>42</v>
      </c>
      <c r="G812" s="36" t="s">
        <v>2718</v>
      </c>
      <c r="H812" s="36" t="s">
        <v>2721</v>
      </c>
    </row>
    <row r="813" spans="2:9" x14ac:dyDescent="0.25">
      <c r="B813">
        <v>4</v>
      </c>
      <c r="C813" t="s">
        <v>2566</v>
      </c>
      <c r="D813" s="33" t="s">
        <v>2559</v>
      </c>
      <c r="E813">
        <v>334</v>
      </c>
      <c r="F813" t="s">
        <v>42</v>
      </c>
      <c r="G813" s="36" t="s">
        <v>2718</v>
      </c>
      <c r="H813" s="36" t="s">
        <v>2721</v>
      </c>
    </row>
    <row r="814" spans="2:9" x14ac:dyDescent="0.25">
      <c r="B814">
        <v>13</v>
      </c>
      <c r="C814" t="s">
        <v>2584</v>
      </c>
      <c r="D814" s="33" t="s">
        <v>2559</v>
      </c>
      <c r="E814">
        <v>54</v>
      </c>
      <c r="F814" t="s">
        <v>2585</v>
      </c>
      <c r="G814" s="36" t="s">
        <v>2718</v>
      </c>
      <c r="H814" s="36" t="s">
        <v>2721</v>
      </c>
    </row>
    <row r="815" spans="2:9" x14ac:dyDescent="0.25">
      <c r="B815">
        <v>13</v>
      </c>
      <c r="C815" t="s">
        <v>2584</v>
      </c>
      <c r="D815" s="33" t="s">
        <v>2559</v>
      </c>
      <c r="E815">
        <v>56</v>
      </c>
      <c r="F815" t="s">
        <v>2585</v>
      </c>
      <c r="G815" s="36" t="s">
        <v>2718</v>
      </c>
      <c r="H815" s="36" t="s">
        <v>2721</v>
      </c>
    </row>
    <row r="816" spans="2:9" x14ac:dyDescent="0.25">
      <c r="B816">
        <v>13</v>
      </c>
      <c r="C816" t="s">
        <v>2584</v>
      </c>
      <c r="D816" s="33" t="s">
        <v>2559</v>
      </c>
      <c r="E816">
        <v>57</v>
      </c>
      <c r="F816" t="s">
        <v>2585</v>
      </c>
      <c r="G816" s="36" t="s">
        <v>2718</v>
      </c>
      <c r="H816" s="36" t="s">
        <v>2721</v>
      </c>
    </row>
    <row r="817" spans="1:9" x14ac:dyDescent="0.25">
      <c r="B817">
        <v>13</v>
      </c>
      <c r="C817" t="s">
        <v>2584</v>
      </c>
      <c r="D817" s="33" t="s">
        <v>2559</v>
      </c>
      <c r="E817">
        <v>58</v>
      </c>
      <c r="F817" t="s">
        <v>2585</v>
      </c>
      <c r="G817" s="36" t="s">
        <v>2718</v>
      </c>
      <c r="H817" s="36" t="s">
        <v>2721</v>
      </c>
    </row>
    <row r="818" spans="1:9" x14ac:dyDescent="0.25">
      <c r="B818">
        <v>13</v>
      </c>
      <c r="C818" t="s">
        <v>2584</v>
      </c>
      <c r="D818" s="33" t="s">
        <v>2559</v>
      </c>
      <c r="E818">
        <v>59</v>
      </c>
      <c r="F818" t="s">
        <v>2585</v>
      </c>
      <c r="G818" s="36" t="s">
        <v>2718</v>
      </c>
      <c r="H818" s="36" t="s">
        <v>2721</v>
      </c>
    </row>
    <row r="819" spans="1:9" x14ac:dyDescent="0.25">
      <c r="B819">
        <v>13</v>
      </c>
      <c r="C819" t="s">
        <v>2584</v>
      </c>
      <c r="D819" s="33" t="s">
        <v>2559</v>
      </c>
      <c r="E819">
        <v>60</v>
      </c>
      <c r="F819" t="s">
        <v>2585</v>
      </c>
      <c r="G819" s="36" t="s">
        <v>2720</v>
      </c>
      <c r="H819" s="36" t="s">
        <v>2721</v>
      </c>
      <c r="I819" t="s">
        <v>2557</v>
      </c>
    </row>
    <row r="820" spans="1:9" x14ac:dyDescent="0.25">
      <c r="B820">
        <v>13</v>
      </c>
      <c r="C820" t="s">
        <v>2584</v>
      </c>
      <c r="D820" s="33" t="s">
        <v>2559</v>
      </c>
      <c r="E820">
        <v>61</v>
      </c>
      <c r="F820" t="s">
        <v>2585</v>
      </c>
      <c r="G820" s="36" t="s">
        <v>2718</v>
      </c>
      <c r="H820" s="36" t="s">
        <v>2721</v>
      </c>
    </row>
    <row r="821" spans="1:9" x14ac:dyDescent="0.25">
      <c r="B821">
        <v>13</v>
      </c>
      <c r="C821" t="s">
        <v>2584</v>
      </c>
      <c r="D821" s="33" t="s">
        <v>2559</v>
      </c>
      <c r="E821">
        <v>62</v>
      </c>
      <c r="F821" t="s">
        <v>2585</v>
      </c>
      <c r="G821" s="36" t="s">
        <v>2718</v>
      </c>
      <c r="H821" s="36" t="s">
        <v>2721</v>
      </c>
    </row>
    <row r="822" spans="1:9" x14ac:dyDescent="0.25">
      <c r="B822">
        <v>13</v>
      </c>
      <c r="C822" t="s">
        <v>2584</v>
      </c>
      <c r="D822" s="33" t="s">
        <v>2559</v>
      </c>
      <c r="E822">
        <v>65</v>
      </c>
      <c r="F822" t="s">
        <v>2585</v>
      </c>
      <c r="G822" s="36" t="s">
        <v>2718</v>
      </c>
      <c r="H822" s="36" t="s">
        <v>2721</v>
      </c>
    </row>
    <row r="823" spans="1:9" x14ac:dyDescent="0.25">
      <c r="B823">
        <v>13</v>
      </c>
      <c r="C823" t="s">
        <v>2584</v>
      </c>
      <c r="D823" s="33" t="s">
        <v>2559</v>
      </c>
      <c r="E823">
        <v>70</v>
      </c>
      <c r="F823" t="s">
        <v>2585</v>
      </c>
      <c r="G823" s="36" t="s">
        <v>2718</v>
      </c>
      <c r="H823" s="36" t="s">
        <v>2721</v>
      </c>
    </row>
    <row r="824" spans="1:9" x14ac:dyDescent="0.25">
      <c r="A824">
        <v>0</v>
      </c>
      <c r="B824">
        <v>13</v>
      </c>
      <c r="C824" t="s">
        <v>2584</v>
      </c>
      <c r="D824" s="33" t="s">
        <v>2559</v>
      </c>
      <c r="E824">
        <v>71</v>
      </c>
      <c r="F824" t="s">
        <v>2585</v>
      </c>
      <c r="G824" s="36" t="s">
        <v>2718</v>
      </c>
      <c r="H824" s="36" t="s">
        <v>2721</v>
      </c>
    </row>
    <row r="825" spans="1:9" x14ac:dyDescent="0.25">
      <c r="A825">
        <v>0</v>
      </c>
      <c r="B825">
        <v>13</v>
      </c>
      <c r="C825" t="s">
        <v>2584</v>
      </c>
      <c r="D825" s="33" t="s">
        <v>2559</v>
      </c>
      <c r="E825">
        <v>72</v>
      </c>
      <c r="F825" t="s">
        <v>2585</v>
      </c>
      <c r="G825" s="36" t="s">
        <v>2718</v>
      </c>
      <c r="H825" s="36" t="s">
        <v>2721</v>
      </c>
    </row>
    <row r="826" spans="1:9" x14ac:dyDescent="0.25">
      <c r="A826">
        <v>0</v>
      </c>
      <c r="B826">
        <v>13</v>
      </c>
      <c r="C826" t="s">
        <v>2584</v>
      </c>
      <c r="D826" s="33" t="s">
        <v>2559</v>
      </c>
      <c r="E826">
        <v>74</v>
      </c>
      <c r="F826" t="s">
        <v>2585</v>
      </c>
      <c r="G826" s="36" t="s">
        <v>2718</v>
      </c>
      <c r="H826" s="36" t="s">
        <v>2721</v>
      </c>
    </row>
    <row r="827" spans="1:9" x14ac:dyDescent="0.25">
      <c r="A827">
        <v>0</v>
      </c>
      <c r="B827">
        <v>13</v>
      </c>
      <c r="C827" t="s">
        <v>2584</v>
      </c>
      <c r="D827" s="33" t="s">
        <v>2559</v>
      </c>
      <c r="E827">
        <v>82</v>
      </c>
      <c r="F827" t="s">
        <v>2585</v>
      </c>
      <c r="G827" s="36" t="s">
        <v>2718</v>
      </c>
      <c r="H827" s="36" t="s">
        <v>2721</v>
      </c>
    </row>
    <row r="828" spans="1:9" x14ac:dyDescent="0.25">
      <c r="A828">
        <v>0</v>
      </c>
      <c r="B828">
        <v>3.3</v>
      </c>
      <c r="C828" t="s">
        <v>2656</v>
      </c>
      <c r="D828" s="33" t="s">
        <v>2559</v>
      </c>
      <c r="E828">
        <v>3</v>
      </c>
      <c r="F828" t="s">
        <v>310</v>
      </c>
      <c r="G828">
        <v>20220101</v>
      </c>
      <c r="H828">
        <v>22000101</v>
      </c>
    </row>
    <row r="829" spans="1:9" x14ac:dyDescent="0.25">
      <c r="A829">
        <v>0</v>
      </c>
      <c r="B829">
        <v>3.3</v>
      </c>
      <c r="C829" t="s">
        <v>2656</v>
      </c>
      <c r="D829" s="33" t="s">
        <v>2559</v>
      </c>
      <c r="E829">
        <v>4</v>
      </c>
      <c r="F829" t="s">
        <v>310</v>
      </c>
      <c r="G829">
        <v>20220101</v>
      </c>
      <c r="H829">
        <v>22000101</v>
      </c>
    </row>
    <row r="830" spans="1:9" x14ac:dyDescent="0.25">
      <c r="A830">
        <v>0</v>
      </c>
      <c r="B830">
        <v>3.3</v>
      </c>
      <c r="C830" t="s">
        <v>2656</v>
      </c>
      <c r="D830" s="33" t="s">
        <v>2559</v>
      </c>
      <c r="E830">
        <v>6</v>
      </c>
      <c r="F830" t="s">
        <v>310</v>
      </c>
      <c r="G830">
        <v>20220101</v>
      </c>
      <c r="H830">
        <v>22000101</v>
      </c>
    </row>
    <row r="831" spans="1:9" x14ac:dyDescent="0.25">
      <c r="A831">
        <v>0</v>
      </c>
      <c r="B831">
        <v>3.3</v>
      </c>
      <c r="C831" t="s">
        <v>2656</v>
      </c>
      <c r="D831" s="33" t="s">
        <v>2559</v>
      </c>
      <c r="E831">
        <v>12</v>
      </c>
      <c r="F831" t="s">
        <v>310</v>
      </c>
      <c r="G831">
        <v>20220101</v>
      </c>
      <c r="H831">
        <v>22000101</v>
      </c>
    </row>
    <row r="832" spans="1:9" x14ac:dyDescent="0.25">
      <c r="A832">
        <v>0</v>
      </c>
      <c r="B832">
        <v>3.3</v>
      </c>
      <c r="C832" t="s">
        <v>2656</v>
      </c>
      <c r="D832" s="33" t="s">
        <v>2559</v>
      </c>
      <c r="E832">
        <v>13</v>
      </c>
      <c r="F832" t="s">
        <v>310</v>
      </c>
      <c r="G832">
        <v>20220101</v>
      </c>
      <c r="H832">
        <v>22000101</v>
      </c>
    </row>
    <row r="833" spans="1:8" x14ac:dyDescent="0.25">
      <c r="A833">
        <v>0</v>
      </c>
      <c r="B833">
        <v>3.3</v>
      </c>
      <c r="C833" t="s">
        <v>2656</v>
      </c>
      <c r="D833" s="33" t="s">
        <v>2559</v>
      </c>
      <c r="E833">
        <v>301</v>
      </c>
      <c r="F833" t="s">
        <v>310</v>
      </c>
      <c r="G833">
        <v>20220101</v>
      </c>
      <c r="H833">
        <v>22000101</v>
      </c>
    </row>
    <row r="834" spans="1:8" x14ac:dyDescent="0.25">
      <c r="A834">
        <v>0</v>
      </c>
      <c r="B834">
        <v>3.3</v>
      </c>
      <c r="C834" t="s">
        <v>2656</v>
      </c>
      <c r="D834" s="33" t="s">
        <v>2559</v>
      </c>
      <c r="E834">
        <v>302</v>
      </c>
      <c r="F834" t="s">
        <v>310</v>
      </c>
      <c r="G834">
        <v>20220101</v>
      </c>
      <c r="H834">
        <v>22000101</v>
      </c>
    </row>
    <row r="835" spans="1:8" x14ac:dyDescent="0.25">
      <c r="A835">
        <v>0</v>
      </c>
      <c r="B835">
        <v>3.3</v>
      </c>
      <c r="C835" t="s">
        <v>2656</v>
      </c>
      <c r="D835" s="33" t="s">
        <v>2559</v>
      </c>
      <c r="E835">
        <v>303</v>
      </c>
      <c r="F835" t="s">
        <v>310</v>
      </c>
      <c r="G835">
        <v>20220101</v>
      </c>
      <c r="H835">
        <v>22000101</v>
      </c>
    </row>
    <row r="836" spans="1:8" x14ac:dyDescent="0.25">
      <c r="A836">
        <v>0</v>
      </c>
      <c r="B836">
        <v>3.3</v>
      </c>
      <c r="C836" t="s">
        <v>2656</v>
      </c>
      <c r="D836" s="33" t="s">
        <v>2559</v>
      </c>
      <c r="E836">
        <v>316</v>
      </c>
      <c r="F836" t="s">
        <v>310</v>
      </c>
      <c r="G836">
        <v>20220101</v>
      </c>
      <c r="H836">
        <v>22000101</v>
      </c>
    </row>
    <row r="837" spans="1:8" x14ac:dyDescent="0.25">
      <c r="A837">
        <v>0</v>
      </c>
      <c r="B837">
        <v>3.3</v>
      </c>
      <c r="C837" t="s">
        <v>2656</v>
      </c>
      <c r="D837" s="33" t="s">
        <v>2559</v>
      </c>
      <c r="E837">
        <v>317</v>
      </c>
      <c r="F837" t="s">
        <v>310</v>
      </c>
      <c r="G837">
        <v>20220101</v>
      </c>
      <c r="H837">
        <v>22000101</v>
      </c>
    </row>
    <row r="838" spans="1:8" x14ac:dyDescent="0.25">
      <c r="A838">
        <v>0</v>
      </c>
      <c r="B838">
        <v>3.3</v>
      </c>
      <c r="C838" t="s">
        <v>2656</v>
      </c>
      <c r="D838" s="33" t="s">
        <v>2559</v>
      </c>
      <c r="E838">
        <v>319</v>
      </c>
      <c r="F838" t="s">
        <v>310</v>
      </c>
      <c r="G838">
        <v>20220101</v>
      </c>
      <c r="H838">
        <v>22000101</v>
      </c>
    </row>
    <row r="839" spans="1:8" x14ac:dyDescent="0.25">
      <c r="A839">
        <v>0</v>
      </c>
      <c r="B839">
        <v>3.3</v>
      </c>
      <c r="C839" t="s">
        <v>2656</v>
      </c>
      <c r="D839" s="33" t="s">
        <v>2559</v>
      </c>
      <c r="E839">
        <v>332</v>
      </c>
      <c r="F839" t="s">
        <v>310</v>
      </c>
      <c r="G839">
        <v>20220101</v>
      </c>
      <c r="H839">
        <v>22000101</v>
      </c>
    </row>
    <row r="840" spans="1:8" x14ac:dyDescent="0.25">
      <c r="A840">
        <v>0</v>
      </c>
      <c r="B840">
        <v>3.3</v>
      </c>
      <c r="C840" t="s">
        <v>2656</v>
      </c>
      <c r="D840" s="33" t="s">
        <v>2559</v>
      </c>
      <c r="E840">
        <v>338</v>
      </c>
      <c r="F840" t="s">
        <v>310</v>
      </c>
      <c r="G840">
        <v>20220101</v>
      </c>
      <c r="H840">
        <v>22000101</v>
      </c>
    </row>
    <row r="841" spans="1:8" x14ac:dyDescent="0.25">
      <c r="A841">
        <v>0</v>
      </c>
      <c r="B841">
        <v>3.3</v>
      </c>
      <c r="C841" t="s">
        <v>2656</v>
      </c>
      <c r="D841" s="33" t="s">
        <v>2559</v>
      </c>
      <c r="E841">
        <v>340</v>
      </c>
      <c r="F841" t="s">
        <v>310</v>
      </c>
      <c r="G841">
        <v>20220101</v>
      </c>
      <c r="H841">
        <v>22000101</v>
      </c>
    </row>
    <row r="842" spans="1:8" x14ac:dyDescent="0.25">
      <c r="A842">
        <v>0</v>
      </c>
      <c r="B842">
        <v>3.3</v>
      </c>
      <c r="C842" t="s">
        <v>2656</v>
      </c>
      <c r="D842" s="33" t="s">
        <v>2559</v>
      </c>
      <c r="E842">
        <v>350</v>
      </c>
      <c r="F842" t="s">
        <v>310</v>
      </c>
      <c r="G842">
        <v>20220101</v>
      </c>
      <c r="H842">
        <v>22000101</v>
      </c>
    </row>
    <row r="843" spans="1:8" x14ac:dyDescent="0.25">
      <c r="A843">
        <v>0</v>
      </c>
      <c r="B843">
        <v>3.3</v>
      </c>
      <c r="C843" t="s">
        <v>2656</v>
      </c>
      <c r="D843" s="33" t="s">
        <v>2559</v>
      </c>
      <c r="E843">
        <v>100</v>
      </c>
      <c r="F843" t="s">
        <v>310</v>
      </c>
      <c r="G843">
        <v>20220101</v>
      </c>
      <c r="H843">
        <v>22000101</v>
      </c>
    </row>
    <row r="844" spans="1:8" x14ac:dyDescent="0.25">
      <c r="A844">
        <v>0</v>
      </c>
      <c r="B844">
        <v>302</v>
      </c>
      <c r="C844" t="s">
        <v>2647</v>
      </c>
      <c r="D844" s="33" t="s">
        <v>2559</v>
      </c>
      <c r="E844">
        <v>12</v>
      </c>
      <c r="F844" t="s">
        <v>292</v>
      </c>
      <c r="G844">
        <v>20220101</v>
      </c>
      <c r="H844">
        <v>22000101</v>
      </c>
    </row>
    <row r="845" spans="1:8" x14ac:dyDescent="0.25">
      <c r="A845">
        <v>0</v>
      </c>
      <c r="B845">
        <v>3.3</v>
      </c>
      <c r="C845" t="s">
        <v>2656</v>
      </c>
      <c r="D845" s="33" t="s">
        <v>2559</v>
      </c>
      <c r="E845">
        <v>15</v>
      </c>
      <c r="F845" t="s">
        <v>310</v>
      </c>
      <c r="G845">
        <v>20220101</v>
      </c>
      <c r="H845">
        <v>22000101</v>
      </c>
    </row>
    <row r="846" spans="1:8" x14ac:dyDescent="0.25">
      <c r="A846">
        <v>0</v>
      </c>
      <c r="B846">
        <v>302</v>
      </c>
      <c r="C846" t="s">
        <v>2647</v>
      </c>
      <c r="D846" s="33" t="s">
        <v>2559</v>
      </c>
      <c r="E846">
        <v>32</v>
      </c>
      <c r="F846" t="s">
        <v>292</v>
      </c>
      <c r="G846">
        <v>20220101</v>
      </c>
      <c r="H846">
        <v>22000101</v>
      </c>
    </row>
    <row r="847" spans="1:8" x14ac:dyDescent="0.25">
      <c r="A847">
        <v>0</v>
      </c>
      <c r="B847">
        <v>302</v>
      </c>
      <c r="C847" t="s">
        <v>2647</v>
      </c>
      <c r="D847" s="33" t="s">
        <v>2559</v>
      </c>
      <c r="E847">
        <v>39</v>
      </c>
      <c r="F847" t="s">
        <v>292</v>
      </c>
      <c r="G847">
        <v>20220101</v>
      </c>
      <c r="H847">
        <v>22000101</v>
      </c>
    </row>
    <row r="848" spans="1:8" x14ac:dyDescent="0.25">
      <c r="A848">
        <v>0</v>
      </c>
      <c r="B848">
        <v>302</v>
      </c>
      <c r="C848" t="s">
        <v>2647</v>
      </c>
      <c r="D848" s="33" t="s">
        <v>2559</v>
      </c>
      <c r="E848">
        <v>341</v>
      </c>
      <c r="F848" t="s">
        <v>292</v>
      </c>
      <c r="G848">
        <v>20220101</v>
      </c>
      <c r="H848">
        <v>22000101</v>
      </c>
    </row>
    <row r="849" spans="1:9" x14ac:dyDescent="0.25">
      <c r="A849">
        <v>0</v>
      </c>
      <c r="B849">
        <v>3.3</v>
      </c>
      <c r="C849" t="s">
        <v>2656</v>
      </c>
      <c r="D849" s="33" t="s">
        <v>2559</v>
      </c>
      <c r="E849">
        <v>32</v>
      </c>
      <c r="F849" t="s">
        <v>310</v>
      </c>
      <c r="G849">
        <v>20220101</v>
      </c>
      <c r="H849">
        <v>22000101</v>
      </c>
    </row>
    <row r="850" spans="1:9" x14ac:dyDescent="0.25">
      <c r="A850">
        <v>0</v>
      </c>
      <c r="B850">
        <v>3.3</v>
      </c>
      <c r="C850" t="s">
        <v>2656</v>
      </c>
      <c r="D850" s="33" t="s">
        <v>2559</v>
      </c>
      <c r="E850">
        <v>39</v>
      </c>
      <c r="F850" t="s">
        <v>310</v>
      </c>
      <c r="G850">
        <v>20220101</v>
      </c>
      <c r="H850">
        <v>22000101</v>
      </c>
    </row>
    <row r="851" spans="1:9" x14ac:dyDescent="0.25">
      <c r="A851">
        <v>0</v>
      </c>
      <c r="B851">
        <v>3.3</v>
      </c>
      <c r="C851" t="s">
        <v>2656</v>
      </c>
      <c r="D851" s="33" t="s">
        <v>2559</v>
      </c>
      <c r="E851">
        <v>331</v>
      </c>
      <c r="F851" t="s">
        <v>310</v>
      </c>
      <c r="G851">
        <v>20220101</v>
      </c>
      <c r="H851">
        <v>22000101</v>
      </c>
    </row>
    <row r="852" spans="1:9" x14ac:dyDescent="0.25">
      <c r="A852">
        <v>0</v>
      </c>
      <c r="B852">
        <v>3.3</v>
      </c>
      <c r="C852" t="s">
        <v>2656</v>
      </c>
      <c r="D852" s="33" t="s">
        <v>2559</v>
      </c>
      <c r="E852">
        <v>333</v>
      </c>
      <c r="F852" t="s">
        <v>310</v>
      </c>
      <c r="G852">
        <v>20220101</v>
      </c>
      <c r="H852">
        <v>22000101</v>
      </c>
    </row>
    <row r="853" spans="1:9" x14ac:dyDescent="0.25">
      <c r="A853">
        <v>0</v>
      </c>
      <c r="B853">
        <v>3.3</v>
      </c>
      <c r="C853" t="s">
        <v>2656</v>
      </c>
      <c r="D853" s="33" t="s">
        <v>2559</v>
      </c>
      <c r="E853">
        <v>335</v>
      </c>
      <c r="F853" t="s">
        <v>310</v>
      </c>
      <c r="G853">
        <v>20220101</v>
      </c>
      <c r="H853">
        <v>22000101</v>
      </c>
    </row>
    <row r="854" spans="1:9" x14ac:dyDescent="0.25">
      <c r="A854">
        <v>0</v>
      </c>
      <c r="B854">
        <v>3.3</v>
      </c>
      <c r="C854" t="s">
        <v>2656</v>
      </c>
      <c r="D854" s="33" t="s">
        <v>2559</v>
      </c>
      <c r="E854">
        <v>341</v>
      </c>
      <c r="F854" t="s">
        <v>310</v>
      </c>
      <c r="G854">
        <v>20220101</v>
      </c>
      <c r="H854">
        <v>22000101</v>
      </c>
    </row>
    <row r="855" spans="1:9" x14ac:dyDescent="0.25">
      <c r="A855">
        <v>0</v>
      </c>
      <c r="B855">
        <v>3.3</v>
      </c>
      <c r="C855" t="s">
        <v>2656</v>
      </c>
      <c r="D855" s="33" t="s">
        <v>2559</v>
      </c>
      <c r="E855">
        <v>351</v>
      </c>
      <c r="F855" t="s">
        <v>310</v>
      </c>
      <c r="G855">
        <v>20220101</v>
      </c>
      <c r="H855">
        <v>22000101</v>
      </c>
    </row>
    <row r="856" spans="1:9" x14ac:dyDescent="0.25">
      <c r="A856">
        <v>0</v>
      </c>
      <c r="B856">
        <v>3.3</v>
      </c>
      <c r="C856" t="s">
        <v>2656</v>
      </c>
      <c r="D856" s="33" t="s">
        <v>2559</v>
      </c>
      <c r="E856">
        <v>352</v>
      </c>
      <c r="F856" t="s">
        <v>310</v>
      </c>
      <c r="G856">
        <v>20220101</v>
      </c>
      <c r="H856">
        <v>22000101</v>
      </c>
    </row>
    <row r="857" spans="1:9" x14ac:dyDescent="0.25">
      <c r="A857">
        <v>0</v>
      </c>
      <c r="B857">
        <v>3.4</v>
      </c>
      <c r="C857" t="s">
        <v>2657</v>
      </c>
      <c r="D857" s="33" t="s">
        <v>2559</v>
      </c>
      <c r="E857">
        <v>350</v>
      </c>
      <c r="F857" t="s">
        <v>314</v>
      </c>
      <c r="G857">
        <v>20220101</v>
      </c>
      <c r="H857">
        <v>22000101</v>
      </c>
    </row>
    <row r="858" spans="1:9" x14ac:dyDescent="0.25">
      <c r="A858">
        <v>0</v>
      </c>
      <c r="B858">
        <v>3.4</v>
      </c>
      <c r="C858" t="s">
        <v>2657</v>
      </c>
      <c r="D858" s="33" t="s">
        <v>2559</v>
      </c>
      <c r="E858">
        <v>79</v>
      </c>
      <c r="F858" t="s">
        <v>314</v>
      </c>
      <c r="G858">
        <v>20220101</v>
      </c>
      <c r="H858">
        <v>22000101</v>
      </c>
    </row>
    <row r="859" spans="1:9" x14ac:dyDescent="0.25">
      <c r="A859">
        <v>0</v>
      </c>
      <c r="B859">
        <v>117</v>
      </c>
      <c r="C859" t="s">
        <v>2658</v>
      </c>
      <c r="D859" s="33" t="s">
        <v>2559</v>
      </c>
      <c r="E859">
        <v>350</v>
      </c>
      <c r="F859" t="s">
        <v>318</v>
      </c>
      <c r="G859">
        <v>20220101</v>
      </c>
      <c r="H859">
        <v>22000101</v>
      </c>
    </row>
    <row r="860" spans="1:9" x14ac:dyDescent="0.25">
      <c r="A860">
        <v>0</v>
      </c>
      <c r="B860">
        <v>117</v>
      </c>
      <c r="C860" t="s">
        <v>2658</v>
      </c>
      <c r="D860" s="33" t="s">
        <v>2559</v>
      </c>
      <c r="E860">
        <v>79</v>
      </c>
      <c r="F860" t="s">
        <v>318</v>
      </c>
      <c r="G860">
        <v>20220101</v>
      </c>
      <c r="H860">
        <v>22000101</v>
      </c>
    </row>
    <row r="861" spans="1:9" x14ac:dyDescent="0.25">
      <c r="A861">
        <v>0</v>
      </c>
      <c r="B861">
        <v>3.3</v>
      </c>
      <c r="C861" t="s">
        <v>2656</v>
      </c>
      <c r="D861" s="33" t="s">
        <v>2559</v>
      </c>
      <c r="E861">
        <v>79</v>
      </c>
      <c r="F861" t="s">
        <v>310</v>
      </c>
      <c r="G861">
        <v>20220101</v>
      </c>
      <c r="H861">
        <v>22000101</v>
      </c>
    </row>
    <row r="862" spans="1:9" x14ac:dyDescent="0.25">
      <c r="A862">
        <v>0</v>
      </c>
      <c r="B862">
        <v>114</v>
      </c>
      <c r="C862" t="s">
        <v>2643</v>
      </c>
      <c r="D862" s="29" t="s">
        <v>2555</v>
      </c>
      <c r="E862">
        <v>73</v>
      </c>
      <c r="F862" t="s">
        <v>2644</v>
      </c>
      <c r="G862">
        <v>20240101</v>
      </c>
      <c r="H862">
        <v>22000101</v>
      </c>
    </row>
    <row r="863" spans="1:9" x14ac:dyDescent="0.25">
      <c r="A863">
        <v>0</v>
      </c>
      <c r="B863">
        <v>116</v>
      </c>
      <c r="C863" t="s">
        <v>2645</v>
      </c>
      <c r="D863" s="29" t="s">
        <v>2555</v>
      </c>
      <c r="E863">
        <v>73</v>
      </c>
      <c r="F863" t="s">
        <v>288</v>
      </c>
      <c r="G863">
        <v>20240101</v>
      </c>
      <c r="H863">
        <v>22000101</v>
      </c>
      <c r="I863" t="s">
        <v>2646</v>
      </c>
    </row>
    <row r="864" spans="1:9" x14ac:dyDescent="0.25">
      <c r="A864">
        <v>0</v>
      </c>
      <c r="B864">
        <v>101</v>
      </c>
      <c r="C864" t="s">
        <v>2626</v>
      </c>
      <c r="D864" s="29" t="s">
        <v>2555</v>
      </c>
      <c r="E864">
        <v>73</v>
      </c>
      <c r="F864" t="s">
        <v>2627</v>
      </c>
      <c r="G864">
        <v>20240101</v>
      </c>
      <c r="H864">
        <v>22000101</v>
      </c>
    </row>
    <row r="865" spans="1:8" x14ac:dyDescent="0.25">
      <c r="A865">
        <v>0</v>
      </c>
      <c r="B865">
        <v>105</v>
      </c>
      <c r="C865" t="s">
        <v>2634</v>
      </c>
      <c r="D865" s="29" t="s">
        <v>2555</v>
      </c>
      <c r="E865">
        <v>73</v>
      </c>
      <c r="F865" t="s">
        <v>2633</v>
      </c>
      <c r="G865">
        <v>20240101</v>
      </c>
      <c r="H865">
        <v>22000101</v>
      </c>
    </row>
    <row r="866" spans="1:8" x14ac:dyDescent="0.25">
      <c r="A866">
        <v>0</v>
      </c>
      <c r="B866">
        <v>3</v>
      </c>
      <c r="C866" t="s">
        <v>2561</v>
      </c>
      <c r="D866" s="33" t="s">
        <v>2559</v>
      </c>
      <c r="E866">
        <v>319</v>
      </c>
      <c r="F866" t="s">
        <v>2562</v>
      </c>
      <c r="G866">
        <v>20240101</v>
      </c>
      <c r="H866">
        <v>22000101</v>
      </c>
    </row>
    <row r="867" spans="1:8" x14ac:dyDescent="0.25">
      <c r="A867">
        <v>0</v>
      </c>
      <c r="B867" t="s">
        <v>163</v>
      </c>
      <c r="C867" t="s">
        <v>2554</v>
      </c>
      <c r="D867" s="29" t="s">
        <v>2555</v>
      </c>
      <c r="E867">
        <v>73</v>
      </c>
      <c r="F867" t="s">
        <v>2556</v>
      </c>
      <c r="G867">
        <v>20240101</v>
      </c>
      <c r="H867">
        <v>22000101</v>
      </c>
    </row>
    <row r="868" spans="1:8" x14ac:dyDescent="0.25">
      <c r="A868">
        <v>2</v>
      </c>
      <c r="B868">
        <v>3</v>
      </c>
      <c r="C868" t="s">
        <v>2561</v>
      </c>
      <c r="D868" s="29" t="s">
        <v>2559</v>
      </c>
      <c r="E868">
        <v>342</v>
      </c>
      <c r="F868" t="s">
        <v>2562</v>
      </c>
      <c r="G868">
        <v>20250401</v>
      </c>
      <c r="H868">
        <v>22000101</v>
      </c>
    </row>
    <row r="869" spans="1:8" x14ac:dyDescent="0.25">
      <c r="A869">
        <v>0</v>
      </c>
      <c r="B869">
        <v>28</v>
      </c>
      <c r="C869" t="s">
        <v>2614</v>
      </c>
      <c r="D869" s="29" t="s">
        <v>2559</v>
      </c>
      <c r="E869">
        <v>342</v>
      </c>
      <c r="F869" t="s">
        <v>176</v>
      </c>
      <c r="G869">
        <v>20250401</v>
      </c>
      <c r="H869">
        <v>22000101</v>
      </c>
    </row>
    <row r="870" spans="1:8" x14ac:dyDescent="0.25">
      <c r="A870">
        <v>0</v>
      </c>
      <c r="B870">
        <v>106</v>
      </c>
      <c r="C870" t="s">
        <v>2635</v>
      </c>
      <c r="D870" s="29" t="s">
        <v>2559</v>
      </c>
      <c r="E870">
        <v>342</v>
      </c>
      <c r="F870" t="s">
        <v>2636</v>
      </c>
      <c r="G870">
        <v>20250401</v>
      </c>
      <c r="H870">
        <v>22000101</v>
      </c>
    </row>
    <row r="871" spans="1:8" x14ac:dyDescent="0.25">
      <c r="A871">
        <v>0</v>
      </c>
      <c r="B871">
        <v>302</v>
      </c>
      <c r="C871" t="s">
        <v>2647</v>
      </c>
      <c r="D871" s="29" t="s">
        <v>2559</v>
      </c>
      <c r="E871">
        <v>342</v>
      </c>
      <c r="F871" t="s">
        <v>292</v>
      </c>
      <c r="G871">
        <v>20250401</v>
      </c>
      <c r="H871">
        <v>22000101</v>
      </c>
    </row>
    <row r="872" spans="1:8" x14ac:dyDescent="0.25">
      <c r="A872">
        <v>0</v>
      </c>
      <c r="B872">
        <v>112</v>
      </c>
      <c r="C872" t="s">
        <v>2640</v>
      </c>
      <c r="D872" s="29" t="s">
        <v>2559</v>
      </c>
      <c r="E872">
        <v>342</v>
      </c>
      <c r="F872" t="s">
        <v>2641</v>
      </c>
      <c r="G872">
        <v>20250401</v>
      </c>
      <c r="H872">
        <v>22000101</v>
      </c>
    </row>
    <row r="873" spans="1:8" x14ac:dyDescent="0.25">
      <c r="A873">
        <v>0</v>
      </c>
      <c r="B873">
        <v>3.3</v>
      </c>
      <c r="C873" t="s">
        <v>2656</v>
      </c>
      <c r="D873" s="33" t="s">
        <v>2559</v>
      </c>
      <c r="E873">
        <v>342</v>
      </c>
      <c r="F873" t="s">
        <v>310</v>
      </c>
      <c r="G873">
        <v>20250401</v>
      </c>
      <c r="H873">
        <v>22000101</v>
      </c>
    </row>
    <row r="874" spans="1:8" x14ac:dyDescent="0.25">
      <c r="A874">
        <v>4</v>
      </c>
      <c r="B874">
        <v>21</v>
      </c>
      <c r="C874" t="s">
        <v>2596</v>
      </c>
      <c r="D874" s="29" t="s">
        <v>2555</v>
      </c>
      <c r="E874">
        <v>28</v>
      </c>
      <c r="F874" t="s">
        <v>148</v>
      </c>
      <c r="G874">
        <v>20250401</v>
      </c>
      <c r="H874">
        <v>22000101</v>
      </c>
    </row>
    <row r="875" spans="1:8" x14ac:dyDescent="0.25">
      <c r="A875">
        <v>4</v>
      </c>
      <c r="B875">
        <v>24</v>
      </c>
      <c r="C875" t="s">
        <v>2599</v>
      </c>
      <c r="D875" s="29" t="s">
        <v>2555</v>
      </c>
      <c r="E875">
        <v>28</v>
      </c>
      <c r="F875" t="s">
        <v>161</v>
      </c>
      <c r="G875">
        <v>20250401</v>
      </c>
      <c r="H875">
        <v>22000101</v>
      </c>
    </row>
    <row r="876" spans="1:8" x14ac:dyDescent="0.25">
      <c r="A876">
        <v>0</v>
      </c>
      <c r="B876">
        <v>29</v>
      </c>
      <c r="C876" t="s">
        <v>2619</v>
      </c>
      <c r="D876" s="29" t="s">
        <v>2555</v>
      </c>
      <c r="E876">
        <v>28</v>
      </c>
      <c r="F876" t="s">
        <v>2620</v>
      </c>
      <c r="G876">
        <v>20250401</v>
      </c>
      <c r="H876">
        <v>22000101</v>
      </c>
    </row>
    <row r="877" spans="1:8" x14ac:dyDescent="0.25">
      <c r="A877">
        <v>0</v>
      </c>
      <c r="B877">
        <v>104</v>
      </c>
      <c r="C877" t="s">
        <v>2631</v>
      </c>
      <c r="D877" s="29" t="s">
        <v>2555</v>
      </c>
      <c r="E877">
        <v>28</v>
      </c>
      <c r="F877" t="s">
        <v>2632</v>
      </c>
      <c r="G877">
        <v>20250401</v>
      </c>
      <c r="H877">
        <v>22000101</v>
      </c>
    </row>
    <row r="878" spans="1:8" x14ac:dyDescent="0.25">
      <c r="A878">
        <v>0</v>
      </c>
      <c r="B878">
        <v>112</v>
      </c>
      <c r="C878" t="s">
        <v>2640</v>
      </c>
      <c r="D878" s="29" t="s">
        <v>2555</v>
      </c>
      <c r="E878">
        <v>28</v>
      </c>
      <c r="F878" t="s">
        <v>2641</v>
      </c>
      <c r="G878">
        <v>20250401</v>
      </c>
      <c r="H878">
        <v>22000101</v>
      </c>
    </row>
    <row r="879" spans="1:8" x14ac:dyDescent="0.25">
      <c r="A879">
        <v>2</v>
      </c>
      <c r="B879">
        <v>6</v>
      </c>
      <c r="C879" t="s">
        <v>2569</v>
      </c>
      <c r="D879" s="29" t="s">
        <v>2555</v>
      </c>
      <c r="E879">
        <v>28</v>
      </c>
      <c r="F879" t="s">
        <v>2570</v>
      </c>
      <c r="G879">
        <v>20250401</v>
      </c>
      <c r="H879">
        <v>22000101</v>
      </c>
    </row>
    <row r="880" spans="1:8" x14ac:dyDescent="0.25">
      <c r="A880">
        <v>0</v>
      </c>
      <c r="B880">
        <v>33</v>
      </c>
      <c r="C880" t="s">
        <v>2653</v>
      </c>
      <c r="D880" s="29" t="s">
        <v>2555</v>
      </c>
      <c r="E880">
        <v>28</v>
      </c>
      <c r="F880" t="s">
        <v>2654</v>
      </c>
      <c r="G880">
        <v>20250401</v>
      </c>
      <c r="H880">
        <v>22000101</v>
      </c>
    </row>
  </sheetData>
  <sortState xmlns:xlrd2="http://schemas.microsoft.com/office/spreadsheetml/2017/richdata2" ref="L4:L10">
    <sortCondition ref="L4"/>
  </sortState>
  <phoneticPr fontId="1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879"/>
  <sheetViews>
    <sheetView tabSelected="1" zoomScale="85" zoomScaleNormal="85" workbookViewId="0">
      <selection sqref="A1:A1048576"/>
    </sheetView>
  </sheetViews>
  <sheetFormatPr defaultColWidth="11.42578125" defaultRowHeight="15" x14ac:dyDescent="0.25"/>
  <cols>
    <col min="1" max="1" width="47" customWidth="1"/>
  </cols>
  <sheetData>
    <row r="1" spans="1:1" x14ac:dyDescent="0.25">
      <c r="A1" t="str">
        <f>IF(AGENTES!I2="OBSOLETO","","INSERT INTO INYCEXT.INYC_CONF_INF_AGENTES (COD_INFORME,BO_GROUP,COMPANIA,ID_TIPO_AGENTE,TABLA,F_INICIO,F_FIN,DESCRIPCION) VALUES ("&amp;AGENTES!B2&amp;",'"&amp;AGENTES!C2&amp;"','"&amp;AGENTES!D2&amp;"','"&amp;AGENTES!E2&amp;"','"&amp;AGENTES!F2&amp;"',TO_DATE('"&amp;AGENTES!G2&amp;"','yyyymmdd'),TO_DATE('"&amp;AGENTES!H2&amp;"','yyyymmdd'),'"&amp;AGENTES!I2&amp;"');")</f>
        <v>INSERT INTO INYCEXT.INYC_CONF_INF_AGENTES (COD_INFORME,BO_GROUP,COMPANIA,ID_TIPO_AGENTE,TABLA,F_INICIO,F_FIN,DESCRIPCION) VALUES (1,'INYC Compensation Reports User Group - RPI','01','52','INYC_RPI_RESUMEN,INYC_RPI_DETALLE',TO_DATE('20140101','yyyymmdd'),TO_DATE('22000101','yyyymmdd'),'');</v>
      </c>
    </row>
    <row r="2" spans="1:1" x14ac:dyDescent="0.25">
      <c r="A2" t="str">
        <f>IF(AGENTES!I3="OBSOLETO","","INSERT INTO INYCEXT.INYC_CONF_INF_AGENTES (COD_INFORME,BO_GROUP,COMPANIA,ID_TIPO_AGENTE,TABLA,F_INICIO,F_FIN,DESCRIPCION) VALUES ("&amp;AGENTES!B3&amp;",'"&amp;AGENTES!C3&amp;"','"&amp;AGENTES!D3&amp;"','"&amp;AGENTES!E3&amp;"','"&amp;AGENTES!F3&amp;"',TO_DATE('"&amp;AGENTES!G3&amp;"','yyyymmdd'),TO_DATE('"&amp;AGENTES!H3&amp;"','yyyymmdd'),'"&amp;AGENTES!I3&amp;"');")</f>
        <v>INSERT INTO INYCEXT.INYC_CONF_INF_AGENTES (COD_INFORME,BO_GROUP,COMPANIA,ID_TIPO_AGENTE,TABLA,F_INICIO,F_FIN,DESCRIPCION) VALUES (1,'INYC Compensation Reports User Group - RPI','01','54','INYC_RPI_RESUMEN,INYC_RPI_DETALLE',TO_DATE('20140101','yyyymmdd'),TO_DATE('22000101','yyyymmdd'),'');</v>
      </c>
    </row>
    <row r="3" spans="1:1" x14ac:dyDescent="0.25">
      <c r="A3" t="str">
        <f>IF(AGENTES!I4="OBSOLETO","","INSERT INTO INYCEXT.INYC_CONF_INF_AGENTES (COD_INFORME,BO_GROUP,COMPANIA,ID_TIPO_AGENTE,TABLA,F_INICIO,F_FIN,DESCRIPCION) VALUES ("&amp;AGENTES!B4&amp;",'"&amp;AGENTES!C4&amp;"','"&amp;AGENTES!D4&amp;"','"&amp;AGENTES!E4&amp;"','"&amp;AGENTES!F4&amp;"',TO_DATE('"&amp;AGENTES!G4&amp;"','yyyymmdd'),TO_DATE('"&amp;AGENTES!H4&amp;"','yyyymmdd'),'"&amp;AGENTES!I4&amp;"');")</f>
        <v>INSERT INTO INYCEXT.INYC_CONF_INF_AGENTES (COD_INFORME,BO_GROUP,COMPANIA,ID_TIPO_AGENTE,TABLA,F_INICIO,F_FIN,DESCRIPCION) VALUES (1,'INYC Compensation Reports User Group - RPI','01','56','INYC_RPI_RESUMEN,INYC_RPI_DETALLE',TO_DATE('20140101','yyyymmdd'),TO_DATE('22000101','yyyymmdd'),'');</v>
      </c>
    </row>
    <row r="4" spans="1:1" x14ac:dyDescent="0.25">
      <c r="A4" t="str">
        <f>IF(AGENTES!I5="OBSOLETO","","INSERT INTO INYCEXT.INYC_CONF_INF_AGENTES (COD_INFORME,BO_GROUP,COMPANIA,ID_TIPO_AGENTE,TABLA,F_INICIO,F_FIN,DESCRIPCION) VALUES ("&amp;AGENTES!B5&amp;",'"&amp;AGENTES!C5&amp;"','"&amp;AGENTES!D5&amp;"','"&amp;AGENTES!E5&amp;"','"&amp;AGENTES!F5&amp;"',TO_DATE('"&amp;AGENTES!G5&amp;"','yyyymmdd'),TO_DATE('"&amp;AGENTES!H5&amp;"','yyyymmdd'),'"&amp;AGENTES!I5&amp;"');")</f>
        <v>INSERT INTO INYCEXT.INYC_CONF_INF_AGENTES (COD_INFORME,BO_GROUP,COMPANIA,ID_TIPO_AGENTE,TABLA,F_INICIO,F_FIN,DESCRIPCION) VALUES (1,'INYC Compensation Reports User Group - RPI','01','57','INYC_RPI_RESUMEN,INYC_RPI_DETALLE',TO_DATE('20140101','yyyymmdd'),TO_DATE('22000101','yyyymmdd'),'');</v>
      </c>
    </row>
    <row r="5" spans="1:1" x14ac:dyDescent="0.25">
      <c r="A5" t="str">
        <f>IF(AGENTES!I6="OBSOLETO","","INSERT INTO INYCEXT.INYC_CONF_INF_AGENTES (COD_INFORME,BO_GROUP,COMPANIA,ID_TIPO_AGENTE,TABLA,F_INICIO,F_FIN,DESCRIPCION) VALUES ("&amp;AGENTES!B6&amp;",'"&amp;AGENTES!C6&amp;"','"&amp;AGENTES!D6&amp;"','"&amp;AGENTES!E6&amp;"','"&amp;AGENTES!F6&amp;"',TO_DATE('"&amp;AGENTES!G6&amp;"','yyyymmdd'),TO_DATE('"&amp;AGENTES!H6&amp;"','yyyymmdd'),'"&amp;AGENTES!I6&amp;"');")</f>
        <v>INSERT INTO INYCEXT.INYC_CONF_INF_AGENTES (COD_INFORME,BO_GROUP,COMPANIA,ID_TIPO_AGENTE,TABLA,F_INICIO,F_FIN,DESCRIPCION) VALUES (1,'INYC Compensation Reports User Group - RPI','01','58','INYC_RPI_RESUMEN,INYC_RPI_DETALLE',TO_DATE('20140101','yyyymmdd'),TO_DATE('22000101','yyyymmdd'),'');</v>
      </c>
    </row>
    <row r="6" spans="1:1" x14ac:dyDescent="0.25">
      <c r="A6" t="str">
        <f>IF(AGENTES!I7="OBSOLETO","","INSERT INTO INYCEXT.INYC_CONF_INF_AGENTES (COD_INFORME,BO_GROUP,COMPANIA,ID_TIPO_AGENTE,TABLA,F_INICIO,F_FIN,DESCRIPCION) VALUES ("&amp;AGENTES!B7&amp;",'"&amp;AGENTES!C7&amp;"','"&amp;AGENTES!D7&amp;"','"&amp;AGENTES!E7&amp;"','"&amp;AGENTES!F7&amp;"',TO_DATE('"&amp;AGENTES!G7&amp;"','yyyymmdd'),TO_DATE('"&amp;AGENTES!H7&amp;"','yyyymmdd'),'"&amp;AGENTES!I7&amp;"');")</f>
        <v>INSERT INTO INYCEXT.INYC_CONF_INF_AGENTES (COD_INFORME,BO_GROUP,COMPANIA,ID_TIPO_AGENTE,TABLA,F_INICIO,F_FIN,DESCRIPCION) VALUES (1,'INYC Compensation Reports User Group - RPI','01','59','INYC_RPI_RESUMEN,INYC_RPI_DETALLE',TO_DATE('20140101','yyyymmdd'),TO_DATE('22000101','yyyymmdd'),'');</v>
      </c>
    </row>
    <row r="7" spans="1:1" x14ac:dyDescent="0.25">
      <c r="A7" t="str">
        <f>IF(AGENTES!I8="OBSOLETO","","INSERT INTO INYCEXT.INYC_CONF_INF_AGENTES (COD_INFORME,BO_GROUP,COMPANIA,ID_TIPO_AGENTE,TABLA,F_INICIO,F_FIN,DESCRIPCION) VALUES ("&amp;AGENTES!B8&amp;",'"&amp;AGENTES!C8&amp;"','"&amp;AGENTES!D8&amp;"','"&amp;AGENTES!E8&amp;"','"&amp;AGENTES!F8&amp;"',TO_DATE('"&amp;AGENTES!G8&amp;"','yyyymmdd'),TO_DATE('"&amp;AGENTES!H8&amp;"','yyyymmdd'),'"&amp;AGENTES!I8&amp;"');")</f>
        <v>INSERT INTO INYCEXT.INYC_CONF_INF_AGENTES (COD_INFORME,BO_GROUP,COMPANIA,ID_TIPO_AGENTE,TABLA,F_INICIO,F_FIN,DESCRIPCION) VALUES (1,'INYC Compensation Reports User Group - RPI','01','60','INYC_RPI_RESUMEN,INYC_RPI_DETALLE',TO_DATE('20200101','yyyymmdd'),TO_DATE('22000101','yyyymmdd'),'Version 20200526');</v>
      </c>
    </row>
    <row r="8" spans="1:1" x14ac:dyDescent="0.25">
      <c r="A8" t="str">
        <f>IF(AGENTES!I9="OBSOLETO","","INSERT INTO INYCEXT.INYC_CONF_INF_AGENTES (COD_INFORME,BO_GROUP,COMPANIA,ID_TIPO_AGENTE,TABLA,F_INICIO,F_FIN,DESCRIPCION) VALUES ("&amp;AGENTES!B9&amp;",'"&amp;AGENTES!C9&amp;"','"&amp;AGENTES!D9&amp;"','"&amp;AGENTES!E9&amp;"','"&amp;AGENTES!F9&amp;"',TO_DATE('"&amp;AGENTES!G9&amp;"','yyyymmdd'),TO_DATE('"&amp;AGENTES!H9&amp;"','yyyymmdd'),'"&amp;AGENTES!I9&amp;"');")</f>
        <v>INSERT INTO INYCEXT.INYC_CONF_INF_AGENTES (COD_INFORME,BO_GROUP,COMPANIA,ID_TIPO_AGENTE,TABLA,F_INICIO,F_FIN,DESCRIPCION) VALUES (1,'INYC Compensation Reports User Group - RPI','01','61','INYC_RPI_RESUMEN,INYC_RPI_DETALLE',TO_DATE('20140101','yyyymmdd'),TO_DATE('22000101','yyyymmdd'),'');</v>
      </c>
    </row>
    <row r="9" spans="1:1" x14ac:dyDescent="0.25">
      <c r="A9" t="str">
        <f>IF(AGENTES!I10="OBSOLETO","","INSERT INTO INYCEXT.INYC_CONF_INF_AGENTES (COD_INFORME,BO_GROUP,COMPANIA,ID_TIPO_AGENTE,TABLA,F_INICIO,F_FIN,DESCRIPCION) VALUES ("&amp;AGENTES!B10&amp;",'"&amp;AGENTES!C10&amp;"','"&amp;AGENTES!D10&amp;"','"&amp;AGENTES!E10&amp;"','"&amp;AGENTES!F10&amp;"',TO_DATE('"&amp;AGENTES!G10&amp;"','yyyymmdd'),TO_DATE('"&amp;AGENTES!H10&amp;"','yyyymmdd'),'"&amp;AGENTES!I10&amp;"');")</f>
        <v>INSERT INTO INYCEXT.INYC_CONF_INF_AGENTES (COD_INFORME,BO_GROUP,COMPANIA,ID_TIPO_AGENTE,TABLA,F_INICIO,F_FIN,DESCRIPCION) VALUES (1,'INYC Compensation Reports User Group - RPI','01','62','INYC_RPI_RESUMEN,INYC_RPI_DETALLE',TO_DATE('20140101','yyyymmdd'),TO_DATE('22000101','yyyymmdd'),'');</v>
      </c>
    </row>
    <row r="10" spans="1:1" x14ac:dyDescent="0.25">
      <c r="A10" t="str">
        <f>IF(AGENTES!I11="OBSOLETO","","INSERT INTO INYCEXT.INYC_CONF_INF_AGENTES (COD_INFORME,BO_GROUP,COMPANIA,ID_TIPO_AGENTE,TABLA,F_INICIO,F_FIN,DESCRIPCION) VALUES ("&amp;AGENTES!B11&amp;",'"&amp;AGENTES!C11&amp;"','"&amp;AGENTES!D11&amp;"','"&amp;AGENTES!E11&amp;"','"&amp;AGENTES!F11&amp;"',TO_DATE('"&amp;AGENTES!G11&amp;"','yyyymmdd'),TO_DATE('"&amp;AGENTES!H11&amp;"','yyyymmdd'),'"&amp;AGENTES!I11&amp;"');")</f>
        <v>INSERT INTO INYCEXT.INYC_CONF_INF_AGENTES (COD_INFORME,BO_GROUP,COMPANIA,ID_TIPO_AGENTE,TABLA,F_INICIO,F_FIN,DESCRIPCION) VALUES (1,'INYC Compensation Reports User Group - RPI','01','65','INYC_RPI_RESUMEN,INYC_RPI_DETALLE',TO_DATE('20140101','yyyymmdd'),TO_DATE('22000101','yyyymmdd'),'');</v>
      </c>
    </row>
    <row r="11" spans="1:1" x14ac:dyDescent="0.25">
      <c r="A11" t="str">
        <f>IF(AGENTES!I12="OBSOLETO","","INSERT INTO INYCEXT.INYC_CONF_INF_AGENTES (COD_INFORME,BO_GROUP,COMPANIA,ID_TIPO_AGENTE,TABLA,F_INICIO,F_FIN,DESCRIPCION) VALUES ("&amp;AGENTES!B12&amp;",'"&amp;AGENTES!C12&amp;"','"&amp;AGENTES!D12&amp;"','"&amp;AGENTES!E12&amp;"','"&amp;AGENTES!F12&amp;"',TO_DATE('"&amp;AGENTES!G12&amp;"','yyyymmdd'),TO_DATE('"&amp;AGENTES!H12&amp;"','yyyymmdd'),'"&amp;AGENTES!I12&amp;"');")</f>
        <v>INSERT INTO INYCEXT.INYC_CONF_INF_AGENTES (COD_INFORME,BO_GROUP,COMPANIA,ID_TIPO_AGENTE,TABLA,F_INICIO,F_FIN,DESCRIPCION) VALUES (2,'INYC Compensation Reports User Group - RAG','03','350','INYC_RAG_RESUMEN,INYC_RAG_DETALLE',TO_DATE('20140101','yyyymmdd'),TO_DATE('22000101','yyyymmdd'),'');</v>
      </c>
    </row>
    <row r="12" spans="1:1" x14ac:dyDescent="0.25">
      <c r="A12" t="str">
        <f>IF(AGENTES!I13="OBSOLETO","","INSERT INTO INYCEXT.INYC_CONF_INF_AGENTES (COD_INFORME,BO_GROUP,COMPANIA,ID_TIPO_AGENTE,TABLA,F_INICIO,F_FIN,DESCRIPCION) VALUES ("&amp;AGENTES!B13&amp;",'"&amp;AGENTES!C13&amp;"','"&amp;AGENTES!D13&amp;"','"&amp;AGENTES!E13&amp;"','"&amp;AGENTES!F13&amp;"',TO_DATE('"&amp;AGENTES!G13&amp;"','yyyymmdd'),TO_DATE('"&amp;AGENTES!H13&amp;"','yyyymmdd'),'"&amp;AGENTES!I13&amp;"');")</f>
        <v>INSERT INTO INYCEXT.INYC_CONF_INF_AGENTES (COD_INFORME,BO_GROUP,COMPANIA,ID_TIPO_AGENTE,TABLA,F_INICIO,F_FIN,DESCRIPCION) VALUES (2,'INYC Compensation Reports User Group - RAG','03','351','INYC_RAG_RESUMEN,INYC_RAG_DETALLE',TO_DATE('20140101','yyyymmdd'),TO_DATE('22000101','yyyymmdd'),'');</v>
      </c>
    </row>
    <row r="13" spans="1:1" x14ac:dyDescent="0.25">
      <c r="A13" t="str">
        <f>IF(AGENTES!I14="OBSOLETO","","INSERT INTO INYCEXT.INYC_CONF_INF_AGENTES (COD_INFORME,BO_GROUP,COMPANIA,ID_TIPO_AGENTE,TABLA,F_INICIO,F_FIN,DESCRIPCION) VALUES ("&amp;AGENTES!B14&amp;",'"&amp;AGENTES!C14&amp;"','"&amp;AGENTES!D14&amp;"','"&amp;AGENTES!E14&amp;"','"&amp;AGENTES!F14&amp;"',TO_DATE('"&amp;AGENTES!G14&amp;"','yyyymmdd'),TO_DATE('"&amp;AGENTES!H14&amp;"','yyyymmdd'),'"&amp;AGENTES!I14&amp;"');")</f>
        <v>INSERT INTO INYCEXT.INYC_CONF_INF_AGENTES (COD_INFORME,BO_GROUP,COMPANIA,ID_TIPO_AGENTE,TABLA,F_INICIO,F_FIN,DESCRIPCION) VALUES (2,'INYC Compensation Reports User Group - RAG','03','352','INYC_RAG_RESUMEN,INYC_RAG_DETALLE',TO_DATE('20140101','yyyymmdd'),TO_DATE('22000101','yyyymmdd'),'');</v>
      </c>
    </row>
    <row r="14" spans="1:1" x14ac:dyDescent="0.25">
      <c r="A14" t="str">
        <f>IF(AGENTES!I15="OBSOLETO","","INSERT INTO INYCEXT.INYC_CONF_INF_AGENTES (COD_INFORME,BO_GROUP,COMPANIA,ID_TIPO_AGENTE,TABLA,F_INICIO,F_FIN,DESCRIPCION) VALUES ("&amp;AGENTES!B15&amp;",'"&amp;AGENTES!C15&amp;"','"&amp;AGENTES!D15&amp;"','"&amp;AGENTES!E15&amp;"','"&amp;AGENTES!F15&amp;"',TO_DATE('"&amp;AGENTES!G15&amp;"','yyyymmdd'),TO_DATE('"&amp;AGENTES!H15&amp;"','yyyymmdd'),'"&amp;AGENTES!I15&amp;"');")</f>
        <v>INSERT INTO INYCEXT.INYC_CONF_INF_AGENTES (COD_INFORME,BO_GROUP,COMPANIA,ID_TIPO_AGENTE,TABLA,F_INICIO,F_FIN,DESCRIPCION) VALUES (3,'INYC Compensation Reports User Group - RA','03','301','INYC_RA_RESUMEN,INYC_RA_DETALLE',TO_DATE('20140101','yyyymmdd'),TO_DATE('20170101','yyyymmdd'),'Version 20170602');</v>
      </c>
    </row>
    <row r="15" spans="1:1" x14ac:dyDescent="0.25">
      <c r="A15" t="str">
        <f>IF(AGENTES!I16="OBSOLETO","","INSERT INTO INYCEXT.INYC_CONF_INF_AGENTES (COD_INFORME,BO_GROUP,COMPANIA,ID_TIPO_AGENTE,TABLA,F_INICIO,F_FIN,DESCRIPCION) VALUES ("&amp;AGENTES!B16&amp;",'"&amp;AGENTES!C16&amp;"','"&amp;AGENTES!D16&amp;"','"&amp;AGENTES!E16&amp;"','"&amp;AGENTES!F16&amp;"',TO_DATE('"&amp;AGENTES!G16&amp;"','yyyymmdd'),TO_DATE('"&amp;AGENTES!H16&amp;"','yyyymmdd'),'"&amp;AGENTES!I16&amp;"');")</f>
        <v>INSERT INTO INYCEXT.INYC_CONF_INF_AGENTES (COD_INFORME,BO_GROUP,COMPANIA,ID_TIPO_AGENTE,TABLA,F_INICIO,F_FIN,DESCRIPCION) VALUES (3,'INYC Compensation Reports User Group - RA','03','302','INYC_RA_RESUMEN,INYC_RA_DETALLE',TO_DATE('20140101','yyyymmdd'),TO_DATE('20170101','yyyymmdd'),'Version 20170602');</v>
      </c>
    </row>
    <row r="16" spans="1:1" x14ac:dyDescent="0.25">
      <c r="A16" t="str">
        <f>IF(AGENTES!I17="OBSOLETO","","INSERT INTO INYCEXT.INYC_CONF_INF_AGENTES (COD_INFORME,BO_GROUP,COMPANIA,ID_TIPO_AGENTE,TABLA,F_INICIO,F_FIN,DESCRIPCION) VALUES ("&amp;AGENTES!B17&amp;",'"&amp;AGENTES!C17&amp;"','"&amp;AGENTES!D17&amp;"','"&amp;AGENTES!E17&amp;"','"&amp;AGENTES!F17&amp;"',TO_DATE('"&amp;AGENTES!G17&amp;"','yyyymmdd'),TO_DATE('"&amp;AGENTES!H17&amp;"','yyyymmdd'),'"&amp;AGENTES!I17&amp;"');")</f>
        <v>INSERT INTO INYCEXT.INYC_CONF_INF_AGENTES (COD_INFORME,BO_GROUP,COMPANIA,ID_TIPO_AGENTE,TABLA,F_INICIO,F_FIN,DESCRIPCION) VALUES (3,'INYC Compensation Reports User Group - RA','03','303','INYC_RA_RESUMEN,INYC_RA_DETALLE',TO_DATE('20140101','yyyymmdd'),TO_DATE('20170101','yyyymmdd'),'Version 20170602');</v>
      </c>
    </row>
    <row r="17" spans="1:1" x14ac:dyDescent="0.25">
      <c r="A17" t="str">
        <f>IF(AGENTES!I18="OBSOLETO","","INSERT INTO INYCEXT.INYC_CONF_INF_AGENTES (COD_INFORME,BO_GROUP,COMPANIA,ID_TIPO_AGENTE,TABLA,F_INICIO,F_FIN,DESCRIPCION) VALUES ("&amp;AGENTES!B18&amp;",'"&amp;AGENTES!C18&amp;"','"&amp;AGENTES!D18&amp;"','"&amp;AGENTES!E18&amp;"','"&amp;AGENTES!F18&amp;"',TO_DATE('"&amp;AGENTES!G18&amp;"','yyyymmdd'),TO_DATE('"&amp;AGENTES!H18&amp;"','yyyymmdd'),'"&amp;AGENTES!I18&amp;"');")</f>
        <v>INSERT INTO INYCEXT.INYC_CONF_INF_AGENTES (COD_INFORME,BO_GROUP,COMPANIA,ID_TIPO_AGENTE,TABLA,F_INICIO,F_FIN,DESCRIPCION) VALUES (3,'INYC Compensation Reports User Group - RA','03','316','INYC_RA_RESUMEN,INYC_RA_DETALLE',TO_DATE('20170101','yyyymmdd'),TO_DATE('22000101','yyyymmdd'),'Version 20170602');</v>
      </c>
    </row>
    <row r="18" spans="1:1" x14ac:dyDescent="0.25">
      <c r="A18" t="str">
        <f>IF(AGENTES!I19="OBSOLETO","","INSERT INTO INYCEXT.INYC_CONF_INF_AGENTES (COD_INFORME,BO_GROUP,COMPANIA,ID_TIPO_AGENTE,TABLA,F_INICIO,F_FIN,DESCRIPCION) VALUES ("&amp;AGENTES!B19&amp;",'"&amp;AGENTES!C19&amp;"','"&amp;AGENTES!D19&amp;"','"&amp;AGENTES!E19&amp;"','"&amp;AGENTES!F19&amp;"',TO_DATE('"&amp;AGENTES!G19&amp;"','yyyymmdd'),TO_DATE('"&amp;AGENTES!H19&amp;"','yyyymmdd'),'"&amp;AGENTES!I19&amp;"');")</f>
        <v>INSERT INTO INYCEXT.INYC_CONF_INF_AGENTES (COD_INFORME,BO_GROUP,COMPANIA,ID_TIPO_AGENTE,TABLA,F_INICIO,F_FIN,DESCRIPCION) VALUES (3,'INYC Compensation Reports User Group - RA','03','317','INYC_RA_RESUMEN,INYC_RA_DETALLE',TO_DATE('20200101','yyyymmdd'),TO_DATE('22000101','yyyymmdd'),'Version 20200214');</v>
      </c>
    </row>
    <row r="19" spans="1:1" x14ac:dyDescent="0.25">
      <c r="A19" t="str">
        <f>IF(AGENTES!I20="OBSOLETO","","INSERT INTO INYCEXT.INYC_CONF_INF_AGENTES (COD_INFORME,BO_GROUP,COMPANIA,ID_TIPO_AGENTE,TABLA,F_INICIO,F_FIN,DESCRIPCION) VALUES ("&amp;AGENTES!B20&amp;",'"&amp;AGENTES!C20&amp;"','"&amp;AGENTES!D20&amp;"','"&amp;AGENTES!E20&amp;"','"&amp;AGENTES!F20&amp;"',TO_DATE('"&amp;AGENTES!G20&amp;"','yyyymmdd'),TO_DATE('"&amp;AGENTES!H20&amp;"','yyyymmdd'),'"&amp;AGENTES!I20&amp;"');")</f>
        <v>INSERT INTO INYCEXT.INYC_CONF_INF_AGENTES (COD_INFORME,BO_GROUP,COMPANIA,ID_TIPO_AGENTE,TABLA,F_INICIO,F_FIN,DESCRIPCION) VALUES (3,'INYC Compensation Reports User Group - RA','03','331','INYC_RA_RESUMEN,INYC_RA_DETALLE',TO_DATE('20140101','yyyymmdd'),TO_DATE('20170101','yyyymmdd'),'Version 20170602');</v>
      </c>
    </row>
    <row r="20" spans="1:1" x14ac:dyDescent="0.25">
      <c r="A20" t="str">
        <f>IF(AGENTES!I21="OBSOLETO","","INSERT INTO INYCEXT.INYC_CONF_INF_AGENTES (COD_INFORME,BO_GROUP,COMPANIA,ID_TIPO_AGENTE,TABLA,F_INICIO,F_FIN,DESCRIPCION) VALUES ("&amp;AGENTES!B21&amp;",'"&amp;AGENTES!C21&amp;"','"&amp;AGENTES!D21&amp;"','"&amp;AGENTES!E21&amp;"','"&amp;AGENTES!F21&amp;"',TO_DATE('"&amp;AGENTES!G21&amp;"','yyyymmdd'),TO_DATE('"&amp;AGENTES!H21&amp;"','yyyymmdd'),'"&amp;AGENTES!I21&amp;"');")</f>
        <v>INSERT INTO INYCEXT.INYC_CONF_INF_AGENTES (COD_INFORME,BO_GROUP,COMPANIA,ID_TIPO_AGENTE,TABLA,F_INICIO,F_FIN,DESCRIPCION) VALUES (3,'INYC Compensation Reports User Group - RA','03','334','INYC_RA_RESUMEN,INYC_RA_DETALLE',TO_DATE('20140101','yyyymmdd'),TO_DATE('20170101','yyyymmdd'),'Version 20170602');</v>
      </c>
    </row>
    <row r="21" spans="1:1" x14ac:dyDescent="0.25">
      <c r="A21" t="str">
        <f>IF(AGENTES!I22="OBSOLETO","","INSERT INTO INYCEXT.INYC_CONF_INF_AGENTES (COD_INFORME,BO_GROUP,COMPANIA,ID_TIPO_AGENTE,TABLA,F_INICIO,F_FIN,DESCRIPCION) VALUES ("&amp;AGENTES!B22&amp;",'"&amp;AGENTES!C22&amp;"','"&amp;AGENTES!D22&amp;"','"&amp;AGENTES!E22&amp;"','"&amp;AGENTES!F22&amp;"',TO_DATE('"&amp;AGENTES!G22&amp;"','yyyymmdd'),TO_DATE('"&amp;AGENTES!H22&amp;"','yyyymmdd'),'"&amp;AGENTES!I22&amp;"');")</f>
        <v>INSERT INTO INYCEXT.INYC_CONF_INF_AGENTES (COD_INFORME,BO_GROUP,COMPANIA,ID_TIPO_AGENTE,TABLA,F_INICIO,F_FIN,DESCRIPCION) VALUES (3,'INYC Compensation Reports User Group - RA','03','332','INYC_RA_RESUMEN,INYC_RA_DETALLE',TO_DATE('20190101','yyyymmdd'),TO_DATE('22000101','yyyymmdd'),'Version 20190116');</v>
      </c>
    </row>
    <row r="22" spans="1:1" x14ac:dyDescent="0.25">
      <c r="A22" t="str">
        <f>IF(AGENTES!I23="OBSOLETO","","INSERT INTO INYCEXT.INYC_CONF_INF_AGENTES (COD_INFORME,BO_GROUP,COMPANIA,ID_TIPO_AGENTE,TABLA,F_INICIO,F_FIN,DESCRIPCION) VALUES ("&amp;AGENTES!B23&amp;",'"&amp;AGENTES!C23&amp;"','"&amp;AGENTES!D23&amp;"','"&amp;AGENTES!E23&amp;"','"&amp;AGENTES!F23&amp;"',TO_DATE('"&amp;AGENTES!G23&amp;"','yyyymmdd'),TO_DATE('"&amp;AGENTES!H23&amp;"','yyyymmdd'),'"&amp;AGENTES!I23&amp;"');")</f>
        <v>INSERT INTO INYCEXT.INYC_CONF_INF_AGENTES (COD_INFORME,BO_GROUP,COMPANIA,ID_TIPO_AGENTE,TABLA,F_INICIO,F_FIN,DESCRIPCION) VALUES (3,'INYC Compensation Reports User Group - RA','03','333','INYC_RA_RESUMEN,INYC_RA_DETALLE',TO_DATE('20190101','yyyymmdd'),TO_DATE('22000101','yyyymmdd'),'Version 20190116');</v>
      </c>
    </row>
    <row r="23" spans="1:1" x14ac:dyDescent="0.25">
      <c r="A23" t="str">
        <f>IF(AGENTES!I24="OBSOLETO","","INSERT INTO INYCEXT.INYC_CONF_INF_AGENTES (COD_INFORME,BO_GROUP,COMPANIA,ID_TIPO_AGENTE,TABLA,F_INICIO,F_FIN,DESCRIPCION) VALUES ("&amp;AGENTES!B24&amp;",'"&amp;AGENTES!C24&amp;"','"&amp;AGENTES!D24&amp;"','"&amp;AGENTES!E24&amp;"','"&amp;AGENTES!F24&amp;"',TO_DATE('"&amp;AGENTES!G24&amp;"','yyyymmdd'),TO_DATE('"&amp;AGENTES!H24&amp;"','yyyymmdd'),'"&amp;AGENTES!I24&amp;"');")</f>
        <v>INSERT INTO INYCEXT.INYC_CONF_INF_AGENTES (COD_INFORME,BO_GROUP,COMPANIA,ID_TIPO_AGENTE,TABLA,F_INICIO,F_FIN,DESCRIPCION) VALUES (3,'INYC Compensation Reports User Group - RA','03','338','INYC_RA_RESUMEN,INYC_RA_DETALLE',TO_DATE('20140101','yyyymmdd'),TO_DATE('22000101','yyyymmdd'),'');</v>
      </c>
    </row>
    <row r="24" spans="1:1" x14ac:dyDescent="0.25">
      <c r="A24" t="str">
        <f>IF(AGENTES!I25="OBSOLETO","","INSERT INTO INYCEXT.INYC_CONF_INF_AGENTES (COD_INFORME,BO_GROUP,COMPANIA,ID_TIPO_AGENTE,TABLA,F_INICIO,F_FIN,DESCRIPCION) VALUES ("&amp;AGENTES!B25&amp;",'"&amp;AGENTES!C25&amp;"','"&amp;AGENTES!D25&amp;"','"&amp;AGENTES!E25&amp;"','"&amp;AGENTES!F25&amp;"',TO_DATE('"&amp;AGENTES!G25&amp;"','yyyymmdd'),TO_DATE('"&amp;AGENTES!H25&amp;"','yyyymmdd'),'"&amp;AGENTES!I25&amp;"');")</f>
        <v>INSERT INTO INYCEXT.INYC_CONF_INF_AGENTES (COD_INFORME,BO_GROUP,COMPANIA,ID_TIPO_AGENTE,TABLA,F_INICIO,F_FIN,DESCRIPCION) VALUES (3,'INYC Compensation Reports User Group - RA','03','340','INYC_RA_RESUMEN,INYC_RA_DETALLE',TO_DATE('20140101','yyyymmdd'),TO_DATE('22000101','yyyymmdd'),'');</v>
      </c>
    </row>
    <row r="25" spans="1:1" x14ac:dyDescent="0.25">
      <c r="A25" t="str">
        <f>IF(AGENTES!I26="OBSOLETO","","INSERT INTO INYCEXT.INYC_CONF_INF_AGENTES (COD_INFORME,BO_GROUP,COMPANIA,ID_TIPO_AGENTE,TABLA,F_INICIO,F_FIN,DESCRIPCION) VALUES ("&amp;AGENTES!B26&amp;",'"&amp;AGENTES!C26&amp;"','"&amp;AGENTES!D26&amp;"','"&amp;AGENTES!E26&amp;"','"&amp;AGENTES!F26&amp;"',TO_DATE('"&amp;AGENTES!G26&amp;"','yyyymmdd'),TO_DATE('"&amp;AGENTES!H26&amp;"','yyyymmdd'),'"&amp;AGENTES!I26&amp;"');")</f>
        <v>INSERT INTO INYCEXT.INYC_CONF_INF_AGENTES (COD_INFORME,BO_GROUP,COMPANIA,ID_TIPO_AGENTE,TABLA,F_INICIO,F_FIN,DESCRIPCION) VALUES (3,'INYC Compensation Reports User Group - RA','03','341','INYC_RA_RESUMEN,INYC_RA_DETALLE',TO_DATE('20200101','yyyymmdd'),TO_DATE('22000101','yyyymmdd'),'Version 20200506');</v>
      </c>
    </row>
    <row r="26" spans="1:1" x14ac:dyDescent="0.25">
      <c r="A26" t="str">
        <f>IF(AGENTES!I27="OBSOLETO","","INSERT INTO INYCEXT.INYC_CONF_INF_AGENTES (COD_INFORME,BO_GROUP,COMPANIA,ID_TIPO_AGENTE,TABLA,F_INICIO,F_FIN,DESCRIPCION) VALUES ("&amp;AGENTES!B27&amp;",'"&amp;AGENTES!C27&amp;"','"&amp;AGENTES!D27&amp;"','"&amp;AGENTES!E27&amp;"','"&amp;AGENTES!F27&amp;"',TO_DATE('"&amp;AGENTES!G27&amp;"','yyyymmdd'),TO_DATE('"&amp;AGENTES!H27&amp;"','yyyymmdd'),'"&amp;AGENTES!I27&amp;"');")</f>
        <v>INSERT INTO INYCEXT.INYC_CONF_INF_AGENTES (COD_INFORME,BO_GROUP,COMPANIA,ID_TIPO_AGENTE,TABLA,F_INICIO,F_FIN,DESCRIPCION) VALUES (4,'INYC Compensation Reports User Group - Concurso','03','13','INYC_CONCURSO',TO_DATE('20140101','yyyymmdd'),TO_DATE('22000101','yyyymmdd'),'');</v>
      </c>
    </row>
    <row r="27" spans="1:1" x14ac:dyDescent="0.25">
      <c r="A27" t="str">
        <f>IF(AGENTES!I28="OBSOLETO","","INSERT INTO INYCEXT.INYC_CONF_INF_AGENTES (COD_INFORME,BO_GROUP,COMPANIA,ID_TIPO_AGENTE,TABLA,F_INICIO,F_FIN,DESCRIPCION) VALUES ("&amp;AGENTES!B28&amp;",'"&amp;AGENTES!C28&amp;"','"&amp;AGENTES!D28&amp;"','"&amp;AGENTES!E28&amp;"','"&amp;AGENTES!F28&amp;"',TO_DATE('"&amp;AGENTES!G28&amp;"','yyyymmdd'),TO_DATE('"&amp;AGENTES!H28&amp;"','yyyymmdd'),'"&amp;AGENTES!I28&amp;"');")</f>
        <v>INSERT INTO INYCEXT.INYC_CONF_INF_AGENTES (COD_INFORME,BO_GROUP,COMPANIA,ID_TIPO_AGENTE,TABLA,F_INICIO,F_FIN,DESCRIPCION) VALUES (4,'INYC Compensation Reports User Group - Concurso','03','14','INYC_CONCURSO',TO_DATE('20140101','yyyymmdd'),TO_DATE('22000101','yyyymmdd'),'');</v>
      </c>
    </row>
    <row r="28" spans="1:1" x14ac:dyDescent="0.25">
      <c r="A28" t="str">
        <f>IF(AGENTES!I29="OBSOLETO","","INSERT INTO INYCEXT.INYC_CONF_INF_AGENTES (COD_INFORME,BO_GROUP,COMPANIA,ID_TIPO_AGENTE,TABLA,F_INICIO,F_FIN,DESCRIPCION) VALUES ("&amp;AGENTES!B29&amp;",'"&amp;AGENTES!C29&amp;"','"&amp;AGENTES!D29&amp;"','"&amp;AGENTES!E29&amp;"','"&amp;AGENTES!F29&amp;"',TO_DATE('"&amp;AGENTES!G29&amp;"','yyyymmdd'),TO_DATE('"&amp;AGENTES!H29&amp;"','yyyymmdd'),'"&amp;AGENTES!I29&amp;"');")</f>
        <v>INSERT INTO INYCEXT.INYC_CONF_INF_AGENTES (COD_INFORME,BO_GROUP,COMPANIA,ID_TIPO_AGENTE,TABLA,F_INICIO,F_FIN,DESCRIPCION) VALUES (4,'INYC Compensation Reports User Group - Concurso','03','301','INYC_CONCURSO',TO_DATE('20140101','yyyymmdd'),TO_DATE('22000101','yyyymmdd'),'');</v>
      </c>
    </row>
    <row r="29" spans="1:1" x14ac:dyDescent="0.25">
      <c r="A29" t="str">
        <f>IF(AGENTES!I30="OBSOLETO","","INSERT INTO INYCEXT.INYC_CONF_INF_AGENTES (COD_INFORME,BO_GROUP,COMPANIA,ID_TIPO_AGENTE,TABLA,F_INICIO,F_FIN,DESCRIPCION) VALUES ("&amp;AGENTES!B30&amp;",'"&amp;AGENTES!C30&amp;"','"&amp;AGENTES!D30&amp;"','"&amp;AGENTES!E30&amp;"','"&amp;AGENTES!F30&amp;"',TO_DATE('"&amp;AGENTES!G30&amp;"','yyyymmdd'),TO_DATE('"&amp;AGENTES!H30&amp;"','yyyymmdd'),'"&amp;AGENTES!I30&amp;"');")</f>
        <v>INSERT INTO INYCEXT.INYC_CONF_INF_AGENTES (COD_INFORME,BO_GROUP,COMPANIA,ID_TIPO_AGENTE,TABLA,F_INICIO,F_FIN,DESCRIPCION) VALUES (4,'INYC Compensation Reports User Group - Concurso','03','303','INYC_CONCURSO',TO_DATE('20140101','yyyymmdd'),TO_DATE('22000101','yyyymmdd'),'');</v>
      </c>
    </row>
    <row r="30" spans="1:1" x14ac:dyDescent="0.25">
      <c r="A30" t="str">
        <f>IF(AGENTES!I31="OBSOLETO","","INSERT INTO INYCEXT.INYC_CONF_INF_AGENTES (COD_INFORME,BO_GROUP,COMPANIA,ID_TIPO_AGENTE,TABLA,F_INICIO,F_FIN,DESCRIPCION) VALUES ("&amp;AGENTES!B31&amp;",'"&amp;AGENTES!C31&amp;"','"&amp;AGENTES!D31&amp;"','"&amp;AGENTES!E31&amp;"','"&amp;AGENTES!F31&amp;"',TO_DATE('"&amp;AGENTES!G31&amp;"','yyyymmdd'),TO_DATE('"&amp;AGENTES!H31&amp;"','yyyymmdd'),'"&amp;AGENTES!I31&amp;"');")</f>
        <v>INSERT INTO INYCEXT.INYC_CONF_INF_AGENTES (COD_INFORME,BO_GROUP,COMPANIA,ID_TIPO_AGENTE,TABLA,F_INICIO,F_FIN,DESCRIPCION) VALUES (4,'INYC Compensation Reports User Group - Concurso','03','331','INYC_CONCURSO',TO_DATE('20140101','yyyymmdd'),TO_DATE('22000101','yyyymmdd'),'');</v>
      </c>
    </row>
    <row r="31" spans="1:1" x14ac:dyDescent="0.25">
      <c r="A31" t="str">
        <f>IF(AGENTES!I32="OBSOLETO","","INSERT INTO INYCEXT.INYC_CONF_INF_AGENTES (COD_INFORME,BO_GROUP,COMPANIA,ID_TIPO_AGENTE,TABLA,F_INICIO,F_FIN,DESCRIPCION) VALUES ("&amp;AGENTES!B32&amp;",'"&amp;AGENTES!C32&amp;"','"&amp;AGENTES!D32&amp;"','"&amp;AGENTES!E32&amp;"','"&amp;AGENTES!F32&amp;"',TO_DATE('"&amp;AGENTES!G32&amp;"','yyyymmdd'),TO_DATE('"&amp;AGENTES!H32&amp;"','yyyymmdd'),'"&amp;AGENTES!I32&amp;"');")</f>
        <v>INSERT INTO INYCEXT.INYC_CONF_INF_AGENTES (COD_INFORME,BO_GROUP,COMPANIA,ID_TIPO_AGENTE,TABLA,F_INICIO,F_FIN,DESCRIPCION) VALUES (4,'INYC Compensation Reports User Group - Concurso','03','334','INYC_CONCURSO',TO_DATE('20140101','yyyymmdd'),TO_DATE('22000101','yyyymmdd'),'');</v>
      </c>
    </row>
    <row r="32" spans="1:1" x14ac:dyDescent="0.25">
      <c r="A32" t="str">
        <f>IF(AGENTES!I33="OBSOLETO","","INSERT INTO INYCEXT.INYC_CONF_INF_AGENTES (COD_INFORME,BO_GROUP,COMPANIA,ID_TIPO_AGENTE,TABLA,F_INICIO,F_FIN,DESCRIPCION) VALUES ("&amp;AGENTES!B33&amp;",'"&amp;AGENTES!C33&amp;"','"&amp;AGENTES!D33&amp;"','"&amp;AGENTES!E33&amp;"','"&amp;AGENTES!F33&amp;"',TO_DATE('"&amp;AGENTES!G33&amp;"','yyyymmdd'),TO_DATE('"&amp;AGENTES!H33&amp;"','yyyymmdd'),'"&amp;AGENTES!I33&amp;"');")</f>
        <v>INSERT INTO INYCEXT.INYC_CONF_INF_AGENTES (COD_INFORME,BO_GROUP,COMPANIA,ID_TIPO_AGENTE,TABLA,F_INICIO,F_FIN,DESCRIPCION) VALUES (4,'INYC Compensation Reports User Group - Concurso','03','338','INYC_CONCURSO',TO_DATE('20140101','yyyymmdd'),TO_DATE('22000101','yyyymmdd'),'');</v>
      </c>
    </row>
    <row r="33" spans="1:1" x14ac:dyDescent="0.25">
      <c r="A33" t="str">
        <f>IF(AGENTES!I34="OBSOLETO","","INSERT INTO INYCEXT.INYC_CONF_INF_AGENTES (COD_INFORME,BO_GROUP,COMPANIA,ID_TIPO_AGENTE,TABLA,F_INICIO,F_FIN,DESCRIPCION) VALUES ("&amp;AGENTES!B34&amp;",'"&amp;AGENTES!C34&amp;"','"&amp;AGENTES!D34&amp;"','"&amp;AGENTES!E34&amp;"','"&amp;AGENTES!F34&amp;"',TO_DATE('"&amp;AGENTES!G34&amp;"','yyyymmdd'),TO_DATE('"&amp;AGENTES!H34&amp;"','yyyymmdd'),'"&amp;AGENTES!I34&amp;"');")</f>
        <v>INSERT INTO INYCEXT.INYC_CONF_INF_AGENTES (COD_INFORME,BO_GROUP,COMPANIA,ID_TIPO_AGENTE,TABLA,F_INICIO,F_FIN,DESCRIPCION) VALUES (4,'INYC Compensation Reports User Group - Concurso','03','340','INYC_CONCURSO',TO_DATE('20140101','yyyymmdd'),TO_DATE('22000101','yyyymmdd'),'');</v>
      </c>
    </row>
    <row r="34" spans="1:1" x14ac:dyDescent="0.25">
      <c r="A34" t="str">
        <f>IF(AGENTES!I35="OBSOLETO","","INSERT INTO INYCEXT.INYC_CONF_INF_AGENTES (COD_INFORME,BO_GROUP,COMPANIA,ID_TIPO_AGENTE,TABLA,F_INICIO,F_FIN,DESCRIPCION) VALUES ("&amp;AGENTES!B35&amp;",'"&amp;AGENTES!C35&amp;"','"&amp;AGENTES!D35&amp;"','"&amp;AGENTES!E35&amp;"','"&amp;AGENTES!F35&amp;"',TO_DATE('"&amp;AGENTES!G35&amp;"','yyyymmdd'),TO_DATE('"&amp;AGENTES!H35&amp;"','yyyymmdd'),'"&amp;AGENTES!I35&amp;"');")</f>
        <v>INSERT INTO INYCEXT.INYC_CONF_INF_AGENTES (COD_INFORME,BO_GROUP,COMPANIA,ID_TIPO_AGENTE,TABLA,F_INICIO,F_FIN,DESCRIPCION) VALUES (4,'INYC Compensation Reports User Group - Concurso','03','341','INYC_CONCURSO',TO_DATE('20200101','yyyymmdd'),TO_DATE('22000101','yyyymmdd'),'Version 20200506');</v>
      </c>
    </row>
    <row r="35" spans="1:1" x14ac:dyDescent="0.25">
      <c r="A35" t="str">
        <f>IF(AGENTES!I36="OBSOLETO","","INSERT INTO INYCEXT.INYC_CONF_INF_AGENTES (COD_INFORME,BO_GROUP,COMPANIA,ID_TIPO_AGENTE,TABLA,F_INICIO,F_FIN,DESCRIPCION) VALUES ("&amp;AGENTES!B36&amp;",'"&amp;AGENTES!C36&amp;"','"&amp;AGENTES!D36&amp;"','"&amp;AGENTES!E36&amp;"','"&amp;AGENTES!F36&amp;"',TO_DATE('"&amp;AGENTES!G36&amp;"','yyyymmdd'),TO_DATE('"&amp;AGENTES!H36&amp;"','yyyymmdd'),'"&amp;AGENTES!I36&amp;"');")</f>
        <v>INSERT INTO INYCEXT.INYC_CONF_INF_AGENTES (COD_INFORME,BO_GROUP,COMPANIA,ID_TIPO_AGENTE,TABLA,F_INICIO,F_FIN,DESCRIPCION) VALUES (4,'INYC Compensation Reports User Group - Concurso','03','350','INYC_CONCURSO',TO_DATE('20170101','yyyymmdd'),TO_DATE('22000101','yyyymmdd'),'Version 20171106');</v>
      </c>
    </row>
    <row r="36" spans="1:1" x14ac:dyDescent="0.25">
      <c r="A36" t="str">
        <f>IF(AGENTES!I37="OBSOLETO","","INSERT INTO INYCEXT.INYC_CONF_INF_AGENTES (COD_INFORME,BO_GROUP,COMPANIA,ID_TIPO_AGENTE,TABLA,F_INICIO,F_FIN,DESCRIPCION) VALUES ("&amp;AGENTES!B37&amp;",'"&amp;AGENTES!C37&amp;"','"&amp;AGENTES!D37&amp;"','"&amp;AGENTES!E37&amp;"','"&amp;AGENTES!F37&amp;"',TO_DATE('"&amp;AGENTES!G37&amp;"','yyyymmdd'),TO_DATE('"&amp;AGENTES!H37&amp;"','yyyymmdd'),'"&amp;AGENTES!I37&amp;"');")</f>
        <v>INSERT INTO INYCEXT.INYC_CONF_INF_AGENTES (COD_INFORME,BO_GROUP,COMPANIA,ID_TIPO_AGENTE,TABLA,F_INICIO,F_FIN,DESCRIPCION) VALUES (4,'INYC Compensation Reports User Group - Concurso','03','351','INYC_CONCURSO',TO_DATE('20170101','yyyymmdd'),TO_DATE('22000101','yyyymmdd'),'Version 20171106');</v>
      </c>
    </row>
    <row r="37" spans="1:1" x14ac:dyDescent="0.25">
      <c r="A37" t="str">
        <f>IF(AGENTES!I38="OBSOLETO","","INSERT INTO INYCEXT.INYC_CONF_INF_AGENTES (COD_INFORME,BO_GROUP,COMPANIA,ID_TIPO_AGENTE,TABLA,F_INICIO,F_FIN,DESCRIPCION) VALUES ("&amp;AGENTES!B38&amp;",'"&amp;AGENTES!C38&amp;"','"&amp;AGENTES!D38&amp;"','"&amp;AGENTES!E38&amp;"','"&amp;AGENTES!F38&amp;"',TO_DATE('"&amp;AGENTES!G38&amp;"','yyyymmdd'),TO_DATE('"&amp;AGENTES!H38&amp;"','yyyymmdd'),'"&amp;AGENTES!I38&amp;"');")</f>
        <v>INSERT INTO INYCEXT.INYC_CONF_INF_AGENTES (COD_INFORME,BO_GROUP,COMPANIA,ID_TIPO_AGENTE,TABLA,F_INICIO,F_FIN,DESCRIPCION) VALUES (4,'INYC Compensation Reports User Group - Concurso','03','352','INYC_CONCURSO',TO_DATE('20170101','yyyymmdd'),TO_DATE('22000101','yyyymmdd'),'Version 20171106');</v>
      </c>
    </row>
    <row r="38" spans="1:1" x14ac:dyDescent="0.25">
      <c r="A38" t="str">
        <f>IF(AGENTES!I39="OBSOLETO","","INSERT INTO INYCEXT.INYC_CONF_INF_AGENTES (COD_INFORME,BO_GROUP,COMPANIA,ID_TIPO_AGENTE,TABLA,F_INICIO,F_FIN,DESCRIPCION) VALUES ("&amp;AGENTES!B39&amp;",'"&amp;AGENTES!C39&amp;"','"&amp;AGENTES!D39&amp;"','"&amp;AGENTES!E39&amp;"','"&amp;AGENTES!F39&amp;"',TO_DATE('"&amp;AGENTES!G39&amp;"','yyyymmdd'),TO_DATE('"&amp;AGENTES!H39&amp;"','yyyymmdd'),'"&amp;AGENTES!I39&amp;"');")</f>
        <v>INSERT INTO INYCEXT.INYC_CONF_INF_AGENTES (COD_INFORME,BO_GROUP,COMPANIA,ID_TIPO_AGENTE,TABLA,F_INICIO,F_FIN,DESCRIPCION) VALUES (5,'INYC Compensation Reports User Group - Incentivo','03','350','INYC_INCENTIVO',TO_DATE('20140101','yyyymmdd'),TO_DATE('22000101','yyyymmdd'),'');</v>
      </c>
    </row>
    <row r="39" spans="1:1" x14ac:dyDescent="0.25">
      <c r="A39" t="str">
        <f>IF(AGENTES!I40="OBSOLETO","","INSERT INTO INYCEXT.INYC_CONF_INF_AGENTES (COD_INFORME,BO_GROUP,COMPANIA,ID_TIPO_AGENTE,TABLA,F_INICIO,F_FIN,DESCRIPCION) VALUES ("&amp;AGENTES!B40&amp;",'"&amp;AGENTES!C40&amp;"','"&amp;AGENTES!D40&amp;"','"&amp;AGENTES!E40&amp;"','"&amp;AGENTES!F40&amp;"',TO_DATE('"&amp;AGENTES!G40&amp;"','yyyymmdd'),TO_DATE('"&amp;AGENTES!H40&amp;"','yyyymmdd'),'"&amp;AGENTES!I40&amp;"');")</f>
        <v>INSERT INTO INYCEXT.INYC_CONF_INF_AGENTES (COD_INFORME,BO_GROUP,COMPANIA,ID_TIPO_AGENTE,TABLA,F_INICIO,F_FIN,DESCRIPCION) VALUES (5,'INYC Compensation Reports User Group - Incentivo','03','351','INYC_INCENTIVO',TO_DATE('20140101','yyyymmdd'),TO_DATE('22000101','yyyymmdd'),'');</v>
      </c>
    </row>
    <row r="40" spans="1:1" x14ac:dyDescent="0.25">
      <c r="A40" t="str">
        <f>IF(AGENTES!I41="OBSOLETO","","INSERT INTO INYCEXT.INYC_CONF_INF_AGENTES (COD_INFORME,BO_GROUP,COMPANIA,ID_TIPO_AGENTE,TABLA,F_INICIO,F_FIN,DESCRIPCION) VALUES ("&amp;AGENTES!B41&amp;",'"&amp;AGENTES!C41&amp;"','"&amp;AGENTES!D41&amp;"','"&amp;AGENTES!E41&amp;"','"&amp;AGENTES!F41&amp;"',TO_DATE('"&amp;AGENTES!G41&amp;"','yyyymmdd'),TO_DATE('"&amp;AGENTES!H41&amp;"','yyyymmdd'),'"&amp;AGENTES!I41&amp;"');")</f>
        <v>INSERT INTO INYCEXT.INYC_CONF_INF_AGENTES (COD_INFORME,BO_GROUP,COMPANIA,ID_TIPO_AGENTE,TABLA,F_INICIO,F_FIN,DESCRIPCION) VALUES (5,'INYC Compensation Reports User Group - Incentivo','03','352','INYC_INCENTIVO',TO_DATE('20140101','yyyymmdd'),TO_DATE('22000101','yyyymmdd'),'');</v>
      </c>
    </row>
    <row r="41" spans="1:1" x14ac:dyDescent="0.25">
      <c r="A41" t="str">
        <f>IF(AGENTES!I42="OBSOLETO","","INSERT INTO INYCEXT.INYC_CONF_INF_AGENTES (COD_INFORME,BO_GROUP,COMPANIA,ID_TIPO_AGENTE,TABLA,F_INICIO,F_FIN,DESCRIPCION) VALUES ("&amp;AGENTES!B42&amp;",'"&amp;AGENTES!C42&amp;"','"&amp;AGENTES!D42&amp;"','"&amp;AGENTES!E42&amp;"','"&amp;AGENTES!F42&amp;"',TO_DATE('"&amp;AGENTES!G42&amp;"','yyyymmdd'),TO_DATE('"&amp;AGENTES!H42&amp;"','yyyymmdd'),'"&amp;AGENTES!I42&amp;"');")</f>
        <v>INSERT INTO INYCEXT.INYC_CONF_INF_AGENTES (COD_INFORME,BO_GROUP,COMPANIA,ID_TIPO_AGENTE,TABLA,F_INICIO,F_FIN,DESCRIPCION) VALUES (6,'INYC Compensation Reports User Group - RPA','01','11','INYC_RPA_RESUMEN,INYC_RPA_DETALLE',TO_DATE('20140101','yyyymmdd'),TO_DATE('22000101','yyyymmdd'),'');</v>
      </c>
    </row>
    <row r="42" spans="1:1" x14ac:dyDescent="0.25">
      <c r="A42" t="str">
        <f>IF(AGENTES!I43="OBSOLETO","","INSERT INTO INYCEXT.INYC_CONF_INF_AGENTES (COD_INFORME,BO_GROUP,COMPANIA,ID_TIPO_AGENTE,TABLA,F_INICIO,F_FIN,DESCRIPCION) VALUES ("&amp;AGENTES!B43&amp;",'"&amp;AGENTES!C43&amp;"','"&amp;AGENTES!D43&amp;"','"&amp;AGENTES!E43&amp;"','"&amp;AGENTES!F43&amp;"',TO_DATE('"&amp;AGENTES!G43&amp;"','yyyymmdd'),TO_DATE('"&amp;AGENTES!H43&amp;"','yyyymmdd'),'"&amp;AGENTES!I43&amp;"');")</f>
        <v>INSERT INTO INYCEXT.INYC_CONF_INF_AGENTES (COD_INFORME,BO_GROUP,COMPANIA,ID_TIPO_AGENTE,TABLA,F_INICIO,F_FIN,DESCRIPCION) VALUES (6,'INYC Compensation Reports User Group - RPA','01','13','INYC_RPA_RESUMEN,INYC_RPA_DETALLE',TO_DATE('20140101','yyyymmdd'),TO_DATE('22000101','yyyymmdd'),'');</v>
      </c>
    </row>
    <row r="43" spans="1:1" x14ac:dyDescent="0.25">
      <c r="A43" t="str">
        <f>IF(AGENTES!I44="OBSOLETO","","INSERT INTO INYCEXT.INYC_CONF_INF_AGENTES (COD_INFORME,BO_GROUP,COMPANIA,ID_TIPO_AGENTE,TABLA,F_INICIO,F_FIN,DESCRIPCION) VALUES ("&amp;AGENTES!B44&amp;",'"&amp;AGENTES!C44&amp;"','"&amp;AGENTES!D44&amp;"','"&amp;AGENTES!E44&amp;"','"&amp;AGENTES!F44&amp;"',TO_DATE('"&amp;AGENTES!G44&amp;"','yyyymmdd'),TO_DATE('"&amp;AGENTES!H44&amp;"','yyyymmdd'),'"&amp;AGENTES!I44&amp;"');")</f>
        <v>INSERT INTO INYCEXT.INYC_CONF_INF_AGENTES (COD_INFORME,BO_GROUP,COMPANIA,ID_TIPO_AGENTE,TABLA,F_INICIO,F_FIN,DESCRIPCION) VALUES (6,'INYC Compensation Reports User Group - RPA','01','16','INYC_RPA_RESUMEN,INYC_RPA_DETALLE',TO_DATE('20140101','yyyymmdd'),TO_DATE('22000101','yyyymmdd'),'');</v>
      </c>
    </row>
    <row r="44" spans="1:1" x14ac:dyDescent="0.25">
      <c r="A44" t="str">
        <f>IF(AGENTES!I45="OBSOLETO","","INSERT INTO INYCEXT.INYC_CONF_INF_AGENTES (COD_INFORME,BO_GROUP,COMPANIA,ID_TIPO_AGENTE,TABLA,F_INICIO,F_FIN,DESCRIPCION) VALUES ("&amp;AGENTES!B45&amp;",'"&amp;AGENTES!C45&amp;"','"&amp;AGENTES!D45&amp;"','"&amp;AGENTES!E45&amp;"','"&amp;AGENTES!F45&amp;"',TO_DATE('"&amp;AGENTES!G45&amp;"','yyyymmdd'),TO_DATE('"&amp;AGENTES!H45&amp;"','yyyymmdd'),'"&amp;AGENTES!I45&amp;"');")</f>
        <v>INSERT INTO INYCEXT.INYC_CONF_INF_AGENTES (COD_INFORME,BO_GROUP,COMPANIA,ID_TIPO_AGENTE,TABLA,F_INICIO,F_FIN,DESCRIPCION) VALUES (6,'INYC Compensation Reports User Group - RPA','01','19','INYC_RPA_RESUMEN,INYC_RPA_DETALLE',TO_DATE('20170801','yyyymmdd'),TO_DATE('22000101','yyyymmdd'),'Version 20170810');</v>
      </c>
    </row>
    <row r="45" spans="1:1" x14ac:dyDescent="0.25">
      <c r="A45" t="str">
        <f>IF(AGENTES!I46="OBSOLETO","","INSERT INTO INYCEXT.INYC_CONF_INF_AGENTES (COD_INFORME,BO_GROUP,COMPANIA,ID_TIPO_AGENTE,TABLA,F_INICIO,F_FIN,DESCRIPCION) VALUES ("&amp;AGENTES!B46&amp;",'"&amp;AGENTES!C46&amp;"','"&amp;AGENTES!D46&amp;"','"&amp;AGENTES!E46&amp;"','"&amp;AGENTES!F46&amp;"',TO_DATE('"&amp;AGENTES!G46&amp;"','yyyymmdd'),TO_DATE('"&amp;AGENTES!H46&amp;"','yyyymmdd'),'"&amp;AGENTES!I46&amp;"');")</f>
        <v>INSERT INTO INYCEXT.INYC_CONF_INF_AGENTES (COD_INFORME,BO_GROUP,COMPANIA,ID_TIPO_AGENTE,TABLA,F_INICIO,F_FIN,DESCRIPCION) VALUES (6,'INYC Compensation Reports User Group - RPA','01','20','INYC_RPA_RESUMEN,INYC_RPA_DETALLE',TO_DATE('20140101','yyyymmdd'),TO_DATE('22000101','yyyymmdd'),'');</v>
      </c>
    </row>
    <row r="46" spans="1:1" x14ac:dyDescent="0.25">
      <c r="A46" t="str">
        <f>IF(AGENTES!I47="OBSOLETO","","INSERT INTO INYCEXT.INYC_CONF_INF_AGENTES (COD_INFORME,BO_GROUP,COMPANIA,ID_TIPO_AGENTE,TABLA,F_INICIO,F_FIN,DESCRIPCION) VALUES ("&amp;AGENTES!B47&amp;",'"&amp;AGENTES!C47&amp;"','"&amp;AGENTES!D47&amp;"','"&amp;AGENTES!E47&amp;"','"&amp;AGENTES!F47&amp;"',TO_DATE('"&amp;AGENTES!G47&amp;"','yyyymmdd'),TO_DATE('"&amp;AGENTES!H47&amp;"','yyyymmdd'),'"&amp;AGENTES!I47&amp;"');")</f>
        <v>INSERT INTO INYCEXT.INYC_CONF_INF_AGENTES (COD_INFORME,BO_GROUP,COMPANIA,ID_TIPO_AGENTE,TABLA,F_INICIO,F_FIN,DESCRIPCION) VALUES (6,'INYC Compensation Reports User Group - RPA','01','22','INYC_RPA_RESUMEN,INYC_RPA_DETALLE',TO_DATE('20140101','yyyymmdd'),TO_DATE('22000101','yyyymmdd'),'');</v>
      </c>
    </row>
    <row r="47" spans="1:1" x14ac:dyDescent="0.25">
      <c r="A47" t="str">
        <f>IF(AGENTES!I48="OBSOLETO","","INSERT INTO INYCEXT.INYC_CONF_INF_AGENTES (COD_INFORME,BO_GROUP,COMPANIA,ID_TIPO_AGENTE,TABLA,F_INICIO,F_FIN,DESCRIPCION) VALUES ("&amp;AGENTES!B48&amp;",'"&amp;AGENTES!C48&amp;"','"&amp;AGENTES!D48&amp;"','"&amp;AGENTES!E48&amp;"','"&amp;AGENTES!F48&amp;"',TO_DATE('"&amp;AGENTES!G48&amp;"','yyyymmdd'),TO_DATE('"&amp;AGENTES!H48&amp;"','yyyymmdd'),'"&amp;AGENTES!I48&amp;"');")</f>
        <v>INSERT INTO INYCEXT.INYC_CONF_INF_AGENTES (COD_INFORME,BO_GROUP,COMPANIA,ID_TIPO_AGENTE,TABLA,F_INICIO,F_FIN,DESCRIPCION) VALUES (6,'INYC Compensation Reports User Group - RPA','01','23','INYC_RPA_RESUMEN,INYC_RPA_DETALLE',TO_DATE('20140101','yyyymmdd'),TO_DATE('22000101','yyyymmdd'),'');</v>
      </c>
    </row>
    <row r="48" spans="1:1" x14ac:dyDescent="0.25">
      <c r="A48" t="str">
        <f>IF(AGENTES!I49="OBSOLETO","","INSERT INTO INYCEXT.INYC_CONF_INF_AGENTES (COD_INFORME,BO_GROUP,COMPANIA,ID_TIPO_AGENTE,TABLA,F_INICIO,F_FIN,DESCRIPCION) VALUES ("&amp;AGENTES!B49&amp;",'"&amp;AGENTES!C49&amp;"','"&amp;AGENTES!D49&amp;"','"&amp;AGENTES!E49&amp;"','"&amp;AGENTES!F49&amp;"',TO_DATE('"&amp;AGENTES!G49&amp;"','yyyymmdd'),TO_DATE('"&amp;AGENTES!H49&amp;"','yyyymmdd'),'"&amp;AGENTES!I49&amp;"');")</f>
        <v>INSERT INTO INYCEXT.INYC_CONF_INF_AGENTES (COD_INFORME,BO_GROUP,COMPANIA,ID_TIPO_AGENTE,TABLA,F_INICIO,F_FIN,DESCRIPCION) VALUES (6,'INYC Compensation Reports User Group - RPA','01','27','INYC_RPA_RESUMEN,INYC_RPA_DETALLE',TO_DATE('20140101','yyyymmdd'),TO_DATE('22000101','yyyymmdd'),'');</v>
      </c>
    </row>
    <row r="49" spans="1:1" x14ac:dyDescent="0.25">
      <c r="A49" t="str">
        <f>IF(AGENTES!I50="OBSOLETO","","INSERT INTO INYCEXT.INYC_CONF_INF_AGENTES (COD_INFORME,BO_GROUP,COMPANIA,ID_TIPO_AGENTE,TABLA,F_INICIO,F_FIN,DESCRIPCION) VALUES ("&amp;AGENTES!B50&amp;",'"&amp;AGENTES!C50&amp;"','"&amp;AGENTES!D50&amp;"','"&amp;AGENTES!E50&amp;"','"&amp;AGENTES!F50&amp;"',TO_DATE('"&amp;AGENTES!G50&amp;"','yyyymmdd'),TO_DATE('"&amp;AGENTES!H50&amp;"','yyyymmdd'),'"&amp;AGENTES!I50&amp;"');")</f>
        <v>INSERT INTO INYCEXT.INYC_CONF_INF_AGENTES (COD_INFORME,BO_GROUP,COMPANIA,ID_TIPO_AGENTE,TABLA,F_INICIO,F_FIN,DESCRIPCION) VALUES (6,'INYC Compensation Reports User Group - RPA','01','29','INYC_RPA_RESUMEN,INYC_RPA_DETALLE',TO_DATE('20140101','yyyymmdd'),TO_DATE('22000101','yyyymmdd'),'');</v>
      </c>
    </row>
    <row r="50" spans="1:1" x14ac:dyDescent="0.25">
      <c r="A50" t="str">
        <f>IF(AGENTES!I51="OBSOLETO","","INSERT INTO INYCEXT.INYC_CONF_INF_AGENTES (COD_INFORME,BO_GROUP,COMPANIA,ID_TIPO_AGENTE,TABLA,F_INICIO,F_FIN,DESCRIPCION) VALUES ("&amp;AGENTES!B51&amp;",'"&amp;AGENTES!C51&amp;"','"&amp;AGENTES!D51&amp;"','"&amp;AGENTES!E51&amp;"','"&amp;AGENTES!F51&amp;"',TO_DATE('"&amp;AGENTES!G51&amp;"','yyyymmdd'),TO_DATE('"&amp;AGENTES!H51&amp;"','yyyymmdd'),'"&amp;AGENTES!I51&amp;"');")</f>
        <v>INSERT INTO INYCEXT.INYC_CONF_INF_AGENTES (COD_INFORME,BO_GROUP,COMPANIA,ID_TIPO_AGENTE,TABLA,F_INICIO,F_FIN,DESCRIPCION) VALUES (6,'INYC Compensation Reports User Group - RPA','01','30','INYC_RPA_RESUMEN,INYC_RPA_DETALLE',TO_DATE('20140101','yyyymmdd'),TO_DATE('22000101','yyyymmdd'),'');</v>
      </c>
    </row>
    <row r="51" spans="1:1" x14ac:dyDescent="0.25">
      <c r="A51" t="str">
        <f>IF(AGENTES!I52="OBSOLETO","","INSERT INTO INYCEXT.INYC_CONF_INF_AGENTES (COD_INFORME,BO_GROUP,COMPANIA,ID_TIPO_AGENTE,TABLA,F_INICIO,F_FIN,DESCRIPCION) VALUES ("&amp;AGENTES!B52&amp;",'"&amp;AGENTES!C52&amp;"','"&amp;AGENTES!D52&amp;"','"&amp;AGENTES!E52&amp;"','"&amp;AGENTES!F52&amp;"',TO_DATE('"&amp;AGENTES!G52&amp;"','yyyymmdd'),TO_DATE('"&amp;AGENTES!H52&amp;"','yyyymmdd'),'"&amp;AGENTES!I52&amp;"');")</f>
        <v>INSERT INTO INYCEXT.INYC_CONF_INF_AGENTES (COD_INFORME,BO_GROUP,COMPANIA,ID_TIPO_AGENTE,TABLA,F_INICIO,F_FIN,DESCRIPCION) VALUES (6,'INYC Compensation Reports User Group - RPA','01','32','INYC_RPA_RESUMEN,INYC_RPA_DETALLE',TO_DATE('20140101','yyyymmdd'),TO_DATE('22000101','yyyymmdd'),'Version 20180926');</v>
      </c>
    </row>
    <row r="52" spans="1:1" x14ac:dyDescent="0.25">
      <c r="A52" t="str">
        <f>IF(AGENTES!I53="OBSOLETO","","INSERT INTO INYCEXT.INYC_CONF_INF_AGENTES (COD_INFORME,BO_GROUP,COMPANIA,ID_TIPO_AGENTE,TABLA,F_INICIO,F_FIN,DESCRIPCION) VALUES ("&amp;AGENTES!B53&amp;",'"&amp;AGENTES!C53&amp;"','"&amp;AGENTES!D53&amp;"','"&amp;AGENTES!E53&amp;"','"&amp;AGENTES!F53&amp;"',TO_DATE('"&amp;AGENTES!G53&amp;"','yyyymmdd'),TO_DATE('"&amp;AGENTES!H53&amp;"','yyyymmdd'),'"&amp;AGENTES!I53&amp;"');")</f>
        <v>INSERT INTO INYCEXT.INYC_CONF_INF_AGENTES (COD_INFORME,BO_GROUP,COMPANIA,ID_TIPO_AGENTE,TABLA,F_INICIO,F_FIN,DESCRIPCION) VALUES (6,'INYC Compensation Reports User Group - RPA','01','33','INYC_RPA_RESUMEN,INYC_RPA_DETALLE',TO_DATE('20140101','yyyymmdd'),TO_DATE('22000101','yyyymmdd'),'');</v>
      </c>
    </row>
    <row r="53" spans="1:1" x14ac:dyDescent="0.25">
      <c r="A53" t="str">
        <f>IF(AGENTES!I54="OBSOLETO","","INSERT INTO INYCEXT.INYC_CONF_INF_AGENTES (COD_INFORME,BO_GROUP,COMPANIA,ID_TIPO_AGENTE,TABLA,F_INICIO,F_FIN,DESCRIPCION) VALUES ("&amp;AGENTES!B54&amp;",'"&amp;AGENTES!C54&amp;"','"&amp;AGENTES!D54&amp;"','"&amp;AGENTES!E54&amp;"','"&amp;AGENTES!F54&amp;"',TO_DATE('"&amp;AGENTES!G54&amp;"','yyyymmdd'),TO_DATE('"&amp;AGENTES!H54&amp;"','yyyymmdd'),'"&amp;AGENTES!I54&amp;"');")</f>
        <v>INSERT INTO INYCEXT.INYC_CONF_INF_AGENTES (COD_INFORME,BO_GROUP,COMPANIA,ID_TIPO_AGENTE,TABLA,F_INICIO,F_FIN,DESCRIPCION) VALUES (6,'INYC Compensation Reports User Group - RPA','01','34','INYC_RPA_RESUMEN,INYC_RPA_DETALLE',TO_DATE('20140101','yyyymmdd'),TO_DATE('22000101','yyyymmdd'),'');</v>
      </c>
    </row>
    <row r="54" spans="1:1" x14ac:dyDescent="0.25">
      <c r="A54" t="str">
        <f>IF(AGENTES!I55="OBSOLETO","","INSERT INTO INYCEXT.INYC_CONF_INF_AGENTES (COD_INFORME,BO_GROUP,COMPANIA,ID_TIPO_AGENTE,TABLA,F_INICIO,F_FIN,DESCRIPCION) VALUES ("&amp;AGENTES!B55&amp;",'"&amp;AGENTES!C55&amp;"','"&amp;AGENTES!D55&amp;"','"&amp;AGENTES!E55&amp;"','"&amp;AGENTES!F55&amp;"',TO_DATE('"&amp;AGENTES!G55&amp;"','yyyymmdd'),TO_DATE('"&amp;AGENTES!H55&amp;"','yyyymmdd'),'"&amp;AGENTES!I55&amp;"');")</f>
        <v>INSERT INTO INYCEXT.INYC_CONF_INF_AGENTES (COD_INFORME,BO_GROUP,COMPANIA,ID_TIPO_AGENTE,TABLA,F_INICIO,F_FIN,DESCRIPCION) VALUES (6,'INYC Compensation Reports User Group - RPA','01','36','INYC_RPA_RESUMEN,INYC_RPA_DETALLE',TO_DATE('20140101','yyyymmdd'),TO_DATE('22000101','yyyymmdd'),'');</v>
      </c>
    </row>
    <row r="55" spans="1:1" x14ac:dyDescent="0.25">
      <c r="A55" t="str">
        <f>IF(AGENTES!I56="OBSOLETO","","INSERT INTO INYCEXT.INYC_CONF_INF_AGENTES (COD_INFORME,BO_GROUP,COMPANIA,ID_TIPO_AGENTE,TABLA,F_INICIO,F_FIN,DESCRIPCION) VALUES ("&amp;AGENTES!B56&amp;",'"&amp;AGENTES!C56&amp;"','"&amp;AGENTES!D56&amp;"','"&amp;AGENTES!E56&amp;"','"&amp;AGENTES!F56&amp;"',TO_DATE('"&amp;AGENTES!G56&amp;"','yyyymmdd'),TO_DATE('"&amp;AGENTES!H56&amp;"','yyyymmdd'),'"&amp;AGENTES!I56&amp;"');")</f>
        <v>INSERT INTO INYCEXT.INYC_CONF_INF_AGENTES (COD_INFORME,BO_GROUP,COMPANIA,ID_TIPO_AGENTE,TABLA,F_INICIO,F_FIN,DESCRIPCION) VALUES (6,'INYC Compensation Reports User Group - RPA','01','38','INYC_RPA_RESUMEN,INYC_RPA_DETALLE',TO_DATE('20140101','yyyymmdd'),TO_DATE('22000101','yyyymmdd'),'');</v>
      </c>
    </row>
    <row r="56" spans="1:1" x14ac:dyDescent="0.25">
      <c r="A56" t="str">
        <f>IF(AGENTES!I57="OBSOLETO","","INSERT INTO INYCEXT.INYC_CONF_INF_AGENTES (COD_INFORME,BO_GROUP,COMPANIA,ID_TIPO_AGENTE,TABLA,F_INICIO,F_FIN,DESCRIPCION) VALUES ("&amp;AGENTES!B57&amp;",'"&amp;AGENTES!C57&amp;"','"&amp;AGENTES!D57&amp;"','"&amp;AGENTES!E57&amp;"','"&amp;AGENTES!F57&amp;"',TO_DATE('"&amp;AGENTES!G57&amp;"','yyyymmdd'),TO_DATE('"&amp;AGENTES!H57&amp;"','yyyymmdd'),'"&amp;AGENTES!I57&amp;"');")</f>
        <v>INSERT INTO INYCEXT.INYC_CONF_INF_AGENTES (COD_INFORME,BO_GROUP,COMPANIA,ID_TIPO_AGENTE,TABLA,F_INICIO,F_FIN,DESCRIPCION) VALUES (6,'INYC Compensation Reports User Group - RPA','01','39','INYC_RPA_RESUMEN,INYC_RPA_DETALLE',TO_DATE('20140101','yyyymmdd'),TO_DATE('22000101','yyyymmdd'),'');</v>
      </c>
    </row>
    <row r="57" spans="1:1" x14ac:dyDescent="0.25">
      <c r="A57" t="str">
        <f>IF(AGENTES!I58="OBSOLETO","","INSERT INTO INYCEXT.INYC_CONF_INF_AGENTES (COD_INFORME,BO_GROUP,COMPANIA,ID_TIPO_AGENTE,TABLA,F_INICIO,F_FIN,DESCRIPCION) VALUES ("&amp;AGENTES!B58&amp;",'"&amp;AGENTES!C58&amp;"','"&amp;AGENTES!D58&amp;"','"&amp;AGENTES!E58&amp;"','"&amp;AGENTES!F58&amp;"',TO_DATE('"&amp;AGENTES!G58&amp;"','yyyymmdd'),TO_DATE('"&amp;AGENTES!H58&amp;"','yyyymmdd'),'"&amp;AGENTES!I58&amp;"');")</f>
        <v>INSERT INTO INYCEXT.INYC_CONF_INF_AGENTES (COD_INFORME,BO_GROUP,COMPANIA,ID_TIPO_AGENTE,TABLA,F_INICIO,F_FIN,DESCRIPCION) VALUES (6,'INYC Compensation Reports User Group - RPA','01','40','INYC_RPA_RESUMEN,INYC_RPA_DETALLE',TO_DATE('20140101','yyyymmdd'),TO_DATE('22000101','yyyymmdd'),'');</v>
      </c>
    </row>
    <row r="58" spans="1:1" x14ac:dyDescent="0.25">
      <c r="A58" t="str">
        <f>IF(AGENTES!I59="OBSOLETO","","INSERT INTO INYCEXT.INYC_CONF_INF_AGENTES (COD_INFORME,BO_GROUP,COMPANIA,ID_TIPO_AGENTE,TABLA,F_INICIO,F_FIN,DESCRIPCION) VALUES ("&amp;AGENTES!B59&amp;",'"&amp;AGENTES!C59&amp;"','"&amp;AGENTES!D59&amp;"','"&amp;AGENTES!E59&amp;"','"&amp;AGENTES!F59&amp;"',TO_DATE('"&amp;AGENTES!G59&amp;"','yyyymmdd'),TO_DATE('"&amp;AGENTES!H59&amp;"','yyyymmdd'),'"&amp;AGENTES!I59&amp;"');")</f>
        <v>INSERT INTO INYCEXT.INYC_CONF_INF_AGENTES (COD_INFORME,BO_GROUP,COMPANIA,ID_TIPO_AGENTE,TABLA,F_INICIO,F_FIN,DESCRIPCION) VALUES (6,'INYC Compensation Reports User Group - RPA','01','41','INYC_RPA_RESUMEN,INYC_RPA_DETALLE',TO_DATE('20140101','yyyymmdd'),TO_DATE('22000101','yyyymmdd'),'');</v>
      </c>
    </row>
    <row r="59" spans="1:1" x14ac:dyDescent="0.25">
      <c r="A59" t="str">
        <f>IF(AGENTES!I60="OBSOLETO","","INSERT INTO INYCEXT.INYC_CONF_INF_AGENTES (COD_INFORME,BO_GROUP,COMPANIA,ID_TIPO_AGENTE,TABLA,F_INICIO,F_FIN,DESCRIPCION) VALUES ("&amp;AGENTES!B60&amp;",'"&amp;AGENTES!C60&amp;"','"&amp;AGENTES!D60&amp;"','"&amp;AGENTES!E60&amp;"','"&amp;AGENTES!F60&amp;"',TO_DATE('"&amp;AGENTES!G60&amp;"','yyyymmdd'),TO_DATE('"&amp;AGENTES!H60&amp;"','yyyymmdd'),'"&amp;AGENTES!I60&amp;"');")</f>
        <v>INSERT INTO INYCEXT.INYC_CONF_INF_AGENTES (COD_INFORME,BO_GROUP,COMPANIA,ID_TIPO_AGENTE,TABLA,F_INICIO,F_FIN,DESCRIPCION) VALUES (6,'INYC Compensation Reports User Group - RPA','01','42','INYC_RPA_RESUMEN,INYC_RPA_DETALLE',TO_DATE('20140101','yyyymmdd'),TO_DATE('22000101','yyyymmdd'),'');</v>
      </c>
    </row>
    <row r="60" spans="1:1" x14ac:dyDescent="0.25">
      <c r="A60" t="str">
        <f>IF(AGENTES!I61="OBSOLETO","","INSERT INTO INYCEXT.INYC_CONF_INF_AGENTES (COD_INFORME,BO_GROUP,COMPANIA,ID_TIPO_AGENTE,TABLA,F_INICIO,F_FIN,DESCRIPCION) VALUES ("&amp;AGENTES!B61&amp;",'"&amp;AGENTES!C61&amp;"','"&amp;AGENTES!D61&amp;"','"&amp;AGENTES!E61&amp;"','"&amp;AGENTES!F61&amp;"',TO_DATE('"&amp;AGENTES!G61&amp;"','yyyymmdd'),TO_DATE('"&amp;AGENTES!H61&amp;"','yyyymmdd'),'"&amp;AGENTES!I61&amp;"');")</f>
        <v>INSERT INTO INYCEXT.INYC_CONF_INF_AGENTES (COD_INFORME,BO_GROUP,COMPANIA,ID_TIPO_AGENTE,TABLA,F_INICIO,F_FIN,DESCRIPCION) VALUES (6,'INYC Compensation Reports User Group - RPA','01','44','INYC_RPA_RESUMEN,INYC_RPA_DETALLE',TO_DATE('20140101','yyyymmdd'),TO_DATE('22000101','yyyymmdd'),'');</v>
      </c>
    </row>
    <row r="61" spans="1:1" x14ac:dyDescent="0.25">
      <c r="A61" t="str">
        <f>IF(AGENTES!I62="OBSOLETO","","INSERT INTO INYCEXT.INYC_CONF_INF_AGENTES (COD_INFORME,BO_GROUP,COMPANIA,ID_TIPO_AGENTE,TABLA,F_INICIO,F_FIN,DESCRIPCION) VALUES ("&amp;AGENTES!B62&amp;",'"&amp;AGENTES!C62&amp;"','"&amp;AGENTES!D62&amp;"','"&amp;AGENTES!E62&amp;"','"&amp;AGENTES!F62&amp;"',TO_DATE('"&amp;AGENTES!G62&amp;"','yyyymmdd'),TO_DATE('"&amp;AGENTES!H62&amp;"','yyyymmdd'),'"&amp;AGENTES!I62&amp;"');")</f>
        <v>INSERT INTO INYCEXT.INYC_CONF_INF_AGENTES (COD_INFORME,BO_GROUP,COMPANIA,ID_TIPO_AGENTE,TABLA,F_INICIO,F_FIN,DESCRIPCION) VALUES (6,'INYC Compensation Reports User Group - RPA','01','45','INYC_RPA_RESUMEN,INYC_RPA_DETALLE',TO_DATE('20140101','yyyymmdd'),TO_DATE('22000101','yyyymmdd'),'');</v>
      </c>
    </row>
    <row r="62" spans="1:1" x14ac:dyDescent="0.25">
      <c r="A62" t="str">
        <f>IF(AGENTES!I63="OBSOLETO","","INSERT INTO INYCEXT.INYC_CONF_INF_AGENTES (COD_INFORME,BO_GROUP,COMPANIA,ID_TIPO_AGENTE,TABLA,F_INICIO,F_FIN,DESCRIPCION) VALUES ("&amp;AGENTES!B63&amp;",'"&amp;AGENTES!C63&amp;"','"&amp;AGENTES!D63&amp;"','"&amp;AGENTES!E63&amp;"','"&amp;AGENTES!F63&amp;"',TO_DATE('"&amp;AGENTES!G63&amp;"','yyyymmdd'),TO_DATE('"&amp;AGENTES!H63&amp;"','yyyymmdd'),'"&amp;AGENTES!I63&amp;"');")</f>
        <v>INSERT INTO INYCEXT.INYC_CONF_INF_AGENTES (COD_INFORME,BO_GROUP,COMPANIA,ID_TIPO_AGENTE,TABLA,F_INICIO,F_FIN,DESCRIPCION) VALUES (6,'INYC Compensation Reports User Group - RPA','01','46','INYC_RPA_RESUMEN,INYC_RPA_DETALLE',TO_DATE('20140101','yyyymmdd'),TO_DATE('22000101','yyyymmdd'),'');</v>
      </c>
    </row>
    <row r="63" spans="1:1" x14ac:dyDescent="0.25">
      <c r="A63" t="str">
        <f>IF(AGENTES!I64="OBSOLETO","","INSERT INTO INYCEXT.INYC_CONF_INF_AGENTES (COD_INFORME,BO_GROUP,COMPANIA,ID_TIPO_AGENTE,TABLA,F_INICIO,F_FIN,DESCRIPCION) VALUES ("&amp;AGENTES!B64&amp;",'"&amp;AGENTES!C64&amp;"','"&amp;AGENTES!D64&amp;"','"&amp;AGENTES!E64&amp;"','"&amp;AGENTES!F64&amp;"',TO_DATE('"&amp;AGENTES!G64&amp;"','yyyymmdd'),TO_DATE('"&amp;AGENTES!H64&amp;"','yyyymmdd'),'"&amp;AGENTES!I64&amp;"');")</f>
        <v>INSERT INTO INYCEXT.INYC_CONF_INF_AGENTES (COD_INFORME,BO_GROUP,COMPANIA,ID_TIPO_AGENTE,TABLA,F_INICIO,F_FIN,DESCRIPCION) VALUES (6,'INYC Compensation Reports User Group - RPA','01','47','INYC_RPA_RESUMEN,INYC_RPA_DETALLE',TO_DATE('20140101','yyyymmdd'),TO_DATE('22000101','yyyymmdd'),'');</v>
      </c>
    </row>
    <row r="64" spans="1:1" x14ac:dyDescent="0.25">
      <c r="A64" t="str">
        <f>IF(AGENTES!I65="OBSOLETO","","INSERT INTO INYCEXT.INYC_CONF_INF_AGENTES (COD_INFORME,BO_GROUP,COMPANIA,ID_TIPO_AGENTE,TABLA,F_INICIO,F_FIN,DESCRIPCION) VALUES ("&amp;AGENTES!B65&amp;",'"&amp;AGENTES!C65&amp;"','"&amp;AGENTES!D65&amp;"','"&amp;AGENTES!E65&amp;"','"&amp;AGENTES!F65&amp;"',TO_DATE('"&amp;AGENTES!G65&amp;"','yyyymmdd'),TO_DATE('"&amp;AGENTES!H65&amp;"','yyyymmdd'),'"&amp;AGENTES!I65&amp;"');")</f>
        <v>INSERT INTO INYCEXT.INYC_CONF_INF_AGENTES (COD_INFORME,BO_GROUP,COMPANIA,ID_TIPO_AGENTE,TABLA,F_INICIO,F_FIN,DESCRIPCION) VALUES (6,'INYC Compensation Reports User Group - RPA','01','48','INYC_RPA_RESUMEN,INYC_RPA_DETALLE',TO_DATE('20140101','yyyymmdd'),TO_DATE('22000101','yyyymmdd'),'');</v>
      </c>
    </row>
    <row r="65" spans="1:1" x14ac:dyDescent="0.25">
      <c r="A65" t="str">
        <f>IF(AGENTES!I66="OBSOLETO","","INSERT INTO INYCEXT.INYC_CONF_INF_AGENTES (COD_INFORME,BO_GROUP,COMPANIA,ID_TIPO_AGENTE,TABLA,F_INICIO,F_FIN,DESCRIPCION) VALUES ("&amp;AGENTES!B66&amp;",'"&amp;AGENTES!C66&amp;"','"&amp;AGENTES!D66&amp;"','"&amp;AGENTES!E66&amp;"','"&amp;AGENTES!F66&amp;"',TO_DATE('"&amp;AGENTES!G66&amp;"','yyyymmdd'),TO_DATE('"&amp;AGENTES!H66&amp;"','yyyymmdd'),'"&amp;AGENTES!I66&amp;"');")</f>
        <v>INSERT INTO INYCEXT.INYC_CONF_INF_AGENTES (COD_INFORME,BO_GROUP,COMPANIA,ID_TIPO_AGENTE,TABLA,F_INICIO,F_FIN,DESCRIPCION) VALUES (6,'INYC Compensation Reports User Group - RPA','01','49','INYC_RPA_RESUMEN,INYC_RPA_DETALLE',TO_DATE('20140101','yyyymmdd'),TO_DATE('22000101','yyyymmdd'),'');</v>
      </c>
    </row>
    <row r="66" spans="1:1" x14ac:dyDescent="0.25">
      <c r="A66" t="str">
        <f>IF(AGENTES!I67="OBSOLETO","","INSERT INTO INYCEXT.INYC_CONF_INF_AGENTES (COD_INFORME,BO_GROUP,COMPANIA,ID_TIPO_AGENTE,TABLA,F_INICIO,F_FIN,DESCRIPCION) VALUES ("&amp;AGENTES!B67&amp;",'"&amp;AGENTES!C67&amp;"','"&amp;AGENTES!D67&amp;"','"&amp;AGENTES!E67&amp;"','"&amp;AGENTES!F67&amp;"',TO_DATE('"&amp;AGENTES!G67&amp;"','yyyymmdd'),TO_DATE('"&amp;AGENTES!H67&amp;"','yyyymmdd'),'"&amp;AGENTES!I67&amp;"');")</f>
        <v>INSERT INTO INYCEXT.INYC_CONF_INF_AGENTES (COD_INFORME,BO_GROUP,COMPANIA,ID_TIPO_AGENTE,TABLA,F_INICIO,F_FIN,DESCRIPCION) VALUES (7,'INYC Compensation Reports User Group - DIF','01','52','INYC_DIF_RESUMEN,INYC_DIF_DETALLE',TO_DATE('20140101','yyyymmdd'),TO_DATE('22000101','yyyymmdd'),'');</v>
      </c>
    </row>
    <row r="67" spans="1:1" x14ac:dyDescent="0.25">
      <c r="A67" t="str">
        <f>IF(AGENTES!I68="OBSOLETO","","INSERT INTO INYCEXT.INYC_CONF_INF_AGENTES (COD_INFORME,BO_GROUP,COMPANIA,ID_TIPO_AGENTE,TABLA,F_INICIO,F_FIN,DESCRIPCION) VALUES ("&amp;AGENTES!B68&amp;",'"&amp;AGENTES!C68&amp;"','"&amp;AGENTES!D68&amp;"','"&amp;AGENTES!E68&amp;"','"&amp;AGENTES!F68&amp;"',TO_DATE('"&amp;AGENTES!G68&amp;"','yyyymmdd'),TO_DATE('"&amp;AGENTES!H68&amp;"','yyyymmdd'),'"&amp;AGENTES!I68&amp;"');")</f>
        <v>INSERT INTO INYCEXT.INYC_CONF_INF_AGENTES (COD_INFORME,BO_GROUP,COMPANIA,ID_TIPO_AGENTE,TABLA,F_INICIO,F_FIN,DESCRIPCION) VALUES (7,'INYC Compensation Reports User Group - DIF','01','54','INYC_DIF_RESUMEN,INYC_DIF_DETALLE',TO_DATE('20140101','yyyymmdd'),TO_DATE('22000101','yyyymmdd'),'');</v>
      </c>
    </row>
    <row r="68" spans="1:1" x14ac:dyDescent="0.25">
      <c r="A68" t="str">
        <f>IF(AGENTES!I69="OBSOLETO","","INSERT INTO INYCEXT.INYC_CONF_INF_AGENTES (COD_INFORME,BO_GROUP,COMPANIA,ID_TIPO_AGENTE,TABLA,F_INICIO,F_FIN,DESCRIPCION) VALUES ("&amp;AGENTES!B69&amp;",'"&amp;AGENTES!C69&amp;"','"&amp;AGENTES!D69&amp;"','"&amp;AGENTES!E69&amp;"','"&amp;AGENTES!F69&amp;"',TO_DATE('"&amp;AGENTES!G69&amp;"','yyyymmdd'),TO_DATE('"&amp;AGENTES!H69&amp;"','yyyymmdd'),'"&amp;AGENTES!I69&amp;"');")</f>
        <v>INSERT INTO INYCEXT.INYC_CONF_INF_AGENTES (COD_INFORME,BO_GROUP,COMPANIA,ID_TIPO_AGENTE,TABLA,F_INICIO,F_FIN,DESCRIPCION) VALUES (7,'INYC Compensation Reports User Group - DIF','01','56','INYC_DIF_RESUMEN,INYC_DIF_DETALLE',TO_DATE('20140101','yyyymmdd'),TO_DATE('22000101','yyyymmdd'),'');</v>
      </c>
    </row>
    <row r="69" spans="1:1" x14ac:dyDescent="0.25">
      <c r="A69" t="str">
        <f>IF(AGENTES!I70="OBSOLETO","","INSERT INTO INYCEXT.INYC_CONF_INF_AGENTES (COD_INFORME,BO_GROUP,COMPANIA,ID_TIPO_AGENTE,TABLA,F_INICIO,F_FIN,DESCRIPCION) VALUES ("&amp;AGENTES!B70&amp;",'"&amp;AGENTES!C70&amp;"','"&amp;AGENTES!D70&amp;"','"&amp;AGENTES!E70&amp;"','"&amp;AGENTES!F70&amp;"',TO_DATE('"&amp;AGENTES!G70&amp;"','yyyymmdd'),TO_DATE('"&amp;AGENTES!H70&amp;"','yyyymmdd'),'"&amp;AGENTES!I70&amp;"');")</f>
        <v>INSERT INTO INYCEXT.INYC_CONF_INF_AGENTES (COD_INFORME,BO_GROUP,COMPANIA,ID_TIPO_AGENTE,TABLA,F_INICIO,F_FIN,DESCRIPCION) VALUES (7,'INYC Compensation Reports User Group - DIF','01','57','INYC_DIF_RESUMEN,INYC_DIF_DETALLE',TO_DATE('20140101','yyyymmdd'),TO_DATE('22000101','yyyymmdd'),'');</v>
      </c>
    </row>
    <row r="70" spans="1:1" x14ac:dyDescent="0.25">
      <c r="A70" t="str">
        <f>IF(AGENTES!I71="OBSOLETO","","INSERT INTO INYCEXT.INYC_CONF_INF_AGENTES (COD_INFORME,BO_GROUP,COMPANIA,ID_TIPO_AGENTE,TABLA,F_INICIO,F_FIN,DESCRIPCION) VALUES ("&amp;AGENTES!B71&amp;",'"&amp;AGENTES!C71&amp;"','"&amp;AGENTES!D71&amp;"','"&amp;AGENTES!E71&amp;"','"&amp;AGENTES!F71&amp;"',TO_DATE('"&amp;AGENTES!G71&amp;"','yyyymmdd'),TO_DATE('"&amp;AGENTES!H71&amp;"','yyyymmdd'),'"&amp;AGENTES!I71&amp;"');")</f>
        <v>INSERT INTO INYCEXT.INYC_CONF_INF_AGENTES (COD_INFORME,BO_GROUP,COMPANIA,ID_TIPO_AGENTE,TABLA,F_INICIO,F_FIN,DESCRIPCION) VALUES (7,'INYC Compensation Reports User Group - DIF','01','58','INYC_DIF_RESUMEN,INYC_DIF_DETALLE',TO_DATE('20140101','yyyymmdd'),TO_DATE('22000101','yyyymmdd'),'');</v>
      </c>
    </row>
    <row r="71" spans="1:1" x14ac:dyDescent="0.25">
      <c r="A71" t="str">
        <f>IF(AGENTES!I72="OBSOLETO","","INSERT INTO INYCEXT.INYC_CONF_INF_AGENTES (COD_INFORME,BO_GROUP,COMPANIA,ID_TIPO_AGENTE,TABLA,F_INICIO,F_FIN,DESCRIPCION) VALUES ("&amp;AGENTES!B72&amp;",'"&amp;AGENTES!C72&amp;"','"&amp;AGENTES!D72&amp;"','"&amp;AGENTES!E72&amp;"','"&amp;AGENTES!F72&amp;"',TO_DATE('"&amp;AGENTES!G72&amp;"','yyyymmdd'),TO_DATE('"&amp;AGENTES!H72&amp;"','yyyymmdd'),'"&amp;AGENTES!I72&amp;"');")</f>
        <v>INSERT INTO INYCEXT.INYC_CONF_INF_AGENTES (COD_INFORME,BO_GROUP,COMPANIA,ID_TIPO_AGENTE,TABLA,F_INICIO,F_FIN,DESCRIPCION) VALUES (7,'INYC Compensation Reports User Group - DIF','01','59','INYC_DIF_RESUMEN,INYC_DIF_DETALLE',TO_DATE('20140101','yyyymmdd'),TO_DATE('22000101','yyyymmdd'),'');</v>
      </c>
    </row>
    <row r="72" spans="1:1" x14ac:dyDescent="0.25">
      <c r="A72" t="str">
        <f>IF(AGENTES!I73="OBSOLETO","","INSERT INTO INYCEXT.INYC_CONF_INF_AGENTES (COD_INFORME,BO_GROUP,COMPANIA,ID_TIPO_AGENTE,TABLA,F_INICIO,F_FIN,DESCRIPCION) VALUES ("&amp;AGENTES!B73&amp;",'"&amp;AGENTES!C73&amp;"','"&amp;AGENTES!D73&amp;"','"&amp;AGENTES!E73&amp;"','"&amp;AGENTES!F73&amp;"',TO_DATE('"&amp;AGENTES!G73&amp;"','yyyymmdd'),TO_DATE('"&amp;AGENTES!H73&amp;"','yyyymmdd'),'"&amp;AGENTES!I73&amp;"');")</f>
        <v>INSERT INTO INYCEXT.INYC_CONF_INF_AGENTES (COD_INFORME,BO_GROUP,COMPANIA,ID_TIPO_AGENTE,TABLA,F_INICIO,F_FIN,DESCRIPCION) VALUES (7,'INYC Compensation Reports User Group - DIF','01','60','INYC_DIF_RESUMEN,INYC_DIF_DETALLE',TO_DATE('20200101','yyyymmdd'),TO_DATE('22000101','yyyymmdd'),'Version 20200526');</v>
      </c>
    </row>
    <row r="73" spans="1:1" x14ac:dyDescent="0.25">
      <c r="A73" t="str">
        <f>IF(AGENTES!I74="OBSOLETO","","INSERT INTO INYCEXT.INYC_CONF_INF_AGENTES (COD_INFORME,BO_GROUP,COMPANIA,ID_TIPO_AGENTE,TABLA,F_INICIO,F_FIN,DESCRIPCION) VALUES ("&amp;AGENTES!B74&amp;",'"&amp;AGENTES!C74&amp;"','"&amp;AGENTES!D74&amp;"','"&amp;AGENTES!E74&amp;"','"&amp;AGENTES!F74&amp;"',TO_DATE('"&amp;AGENTES!G74&amp;"','yyyymmdd'),TO_DATE('"&amp;AGENTES!H74&amp;"','yyyymmdd'),'"&amp;AGENTES!I74&amp;"');")</f>
        <v>INSERT INTO INYCEXT.INYC_CONF_INF_AGENTES (COD_INFORME,BO_GROUP,COMPANIA,ID_TIPO_AGENTE,TABLA,F_INICIO,F_FIN,DESCRIPCION) VALUES (7,'INYC Compensation Reports User Group - DIF','01','61','INYC_DIF_RESUMEN,INYC_DIF_DETALLE',TO_DATE('20140101','yyyymmdd'),TO_DATE('22000101','yyyymmdd'),'');</v>
      </c>
    </row>
    <row r="74" spans="1:1" x14ac:dyDescent="0.25">
      <c r="A74" t="str">
        <f>IF(AGENTES!I75="OBSOLETO","","INSERT INTO INYCEXT.INYC_CONF_INF_AGENTES (COD_INFORME,BO_GROUP,COMPANIA,ID_TIPO_AGENTE,TABLA,F_INICIO,F_FIN,DESCRIPCION) VALUES ("&amp;AGENTES!B75&amp;",'"&amp;AGENTES!C75&amp;"','"&amp;AGENTES!D75&amp;"','"&amp;AGENTES!E75&amp;"','"&amp;AGENTES!F75&amp;"',TO_DATE('"&amp;AGENTES!G75&amp;"','yyyymmdd'),TO_DATE('"&amp;AGENTES!H75&amp;"','yyyymmdd'),'"&amp;AGENTES!I75&amp;"');")</f>
        <v>INSERT INTO INYCEXT.INYC_CONF_INF_AGENTES (COD_INFORME,BO_GROUP,COMPANIA,ID_TIPO_AGENTE,TABLA,F_INICIO,F_FIN,DESCRIPCION) VALUES (7,'INYC Compensation Reports User Group - DIF','01','62','INYC_DIF_RESUMEN,INYC_DIF_DETALLE',TO_DATE('20140101','yyyymmdd'),TO_DATE('22000101','yyyymmdd'),'');</v>
      </c>
    </row>
    <row r="75" spans="1:1" x14ac:dyDescent="0.25">
      <c r="A75" t="str">
        <f>IF(AGENTES!I76="OBSOLETO","","INSERT INTO INYCEXT.INYC_CONF_INF_AGENTES (COD_INFORME,BO_GROUP,COMPANIA,ID_TIPO_AGENTE,TABLA,F_INICIO,F_FIN,DESCRIPCION) VALUES ("&amp;AGENTES!B76&amp;",'"&amp;AGENTES!C76&amp;"','"&amp;AGENTES!D76&amp;"','"&amp;AGENTES!E76&amp;"','"&amp;AGENTES!F76&amp;"',TO_DATE('"&amp;AGENTES!G76&amp;"','yyyymmdd'),TO_DATE('"&amp;AGENTES!H76&amp;"','yyyymmdd'),'"&amp;AGENTES!I76&amp;"');")</f>
        <v>INSERT INTO INYCEXT.INYC_CONF_INF_AGENTES (COD_INFORME,BO_GROUP,COMPANIA,ID_TIPO_AGENTE,TABLA,F_INICIO,F_FIN,DESCRIPCION) VALUES (7,'INYC Compensation Reports User Group - DIF','01','65','INYC_DIF_RESUMEN,INYC_DIF_DETALLE',TO_DATE('20140101','yyyymmdd'),TO_DATE('22000101','yyyymmdd'),'');</v>
      </c>
    </row>
    <row r="76" spans="1:1" x14ac:dyDescent="0.25">
      <c r="A76" t="str">
        <f>IF(AGENTES!I77="OBSOLETO","","INSERT INTO INYCEXT.INYC_CONF_INF_AGENTES (COD_INFORME,BO_GROUP,COMPANIA,ID_TIPO_AGENTE,TABLA,F_INICIO,F_FIN,DESCRIPCION) VALUES ("&amp;AGENTES!B77&amp;",'"&amp;AGENTES!C77&amp;"','"&amp;AGENTES!D77&amp;"','"&amp;AGENTES!E77&amp;"','"&amp;AGENTES!F77&amp;"',TO_DATE('"&amp;AGENTES!G77&amp;"','yyyymmdd'),TO_DATE('"&amp;AGENTES!H77&amp;"','yyyymmdd'),'"&amp;AGENTES!I77&amp;"');")</f>
        <v>INSERT INTO INYCEXT.INYC_CONF_INF_AGENTES (COD_INFORME,BO_GROUP,COMPANIA,ID_TIPO_AGENTE,TABLA,F_INICIO,F_FIN,DESCRIPCION) VALUES (7,'INYC Compensation Reports User Group - DIF','01','70','INYC_DIF_RESUMEN,INYC_DIF_DETALLE',TO_DATE('20140101','yyyymmdd'),TO_DATE('22000101','yyyymmdd'),'');</v>
      </c>
    </row>
    <row r="77" spans="1:1" x14ac:dyDescent="0.25">
      <c r="A77" t="str">
        <f>IF(AGENTES!I78="OBSOLETO","","INSERT INTO INYCEXT.INYC_CONF_INF_AGENTES (COD_INFORME,BO_GROUP,COMPANIA,ID_TIPO_AGENTE,TABLA,F_INICIO,F_FIN,DESCRIPCION) VALUES ("&amp;AGENTES!B78&amp;",'"&amp;AGENTES!C78&amp;"','"&amp;AGENTES!D78&amp;"','"&amp;AGENTES!E78&amp;"','"&amp;AGENTES!F78&amp;"',TO_DATE('"&amp;AGENTES!G78&amp;"','yyyymmdd'),TO_DATE('"&amp;AGENTES!H78&amp;"','yyyymmdd'),'"&amp;AGENTES!I78&amp;"');")</f>
        <v>INSERT INTO INYCEXT.INYC_CONF_INF_AGENTES (COD_INFORME,BO_GROUP,COMPANIA,ID_TIPO_AGENTE,TABLA,F_INICIO,F_FIN,DESCRIPCION) VALUES (7,'INYC Compensation Reports User Group - DIF','01','71','INYC_DIF_RESUMEN,INYC_DIF_DETALLE',TO_DATE('20140101','yyyymmdd'),TO_DATE('22000101','yyyymmdd'),'');</v>
      </c>
    </row>
    <row r="78" spans="1:1" x14ac:dyDescent="0.25">
      <c r="A78" t="str">
        <f>IF(AGENTES!I79="OBSOLETO","","INSERT INTO INYCEXT.INYC_CONF_INF_AGENTES (COD_INFORME,BO_GROUP,COMPANIA,ID_TIPO_AGENTE,TABLA,F_INICIO,F_FIN,DESCRIPCION) VALUES ("&amp;AGENTES!B79&amp;",'"&amp;AGENTES!C79&amp;"','"&amp;AGENTES!D79&amp;"','"&amp;AGENTES!E79&amp;"','"&amp;AGENTES!F79&amp;"',TO_DATE('"&amp;AGENTES!G79&amp;"','yyyymmdd'),TO_DATE('"&amp;AGENTES!H79&amp;"','yyyymmdd'),'"&amp;AGENTES!I79&amp;"');")</f>
        <v>INSERT INTO INYCEXT.INYC_CONF_INF_AGENTES (COD_INFORME,BO_GROUP,COMPANIA,ID_TIPO_AGENTE,TABLA,F_INICIO,F_FIN,DESCRIPCION) VALUES (7,'INYC Compensation Reports User Group - DIF','01','72','INYC_DIF_RESUMEN,INYC_DIF_DETALLE',TO_DATE('20140101','yyyymmdd'),TO_DATE('22000101','yyyymmdd'),'');</v>
      </c>
    </row>
    <row r="79" spans="1:1" x14ac:dyDescent="0.25">
      <c r="A79" t="str">
        <f>IF(AGENTES!I80="OBSOLETO","","INSERT INTO INYCEXT.INYC_CONF_INF_AGENTES (COD_INFORME,BO_GROUP,COMPANIA,ID_TIPO_AGENTE,TABLA,F_INICIO,F_FIN,DESCRIPCION) VALUES ("&amp;AGENTES!B80&amp;",'"&amp;AGENTES!C80&amp;"','"&amp;AGENTES!D80&amp;"','"&amp;AGENTES!E80&amp;"','"&amp;AGENTES!F80&amp;"',TO_DATE('"&amp;AGENTES!G80&amp;"','yyyymmdd'),TO_DATE('"&amp;AGENTES!H80&amp;"','yyyymmdd'),'"&amp;AGENTES!I80&amp;"');")</f>
        <v>INSERT INTO INYCEXT.INYC_CONF_INF_AGENTES (COD_INFORME,BO_GROUP,COMPANIA,ID_TIPO_AGENTE,TABLA,F_INICIO,F_FIN,DESCRIPCION) VALUES (7,'INYC Compensation Reports User Group - DIF','01','74','INYC_DIF_RESUMEN,INYC_DIF_DETALLE',TO_DATE('20140101','yyyymmdd'),TO_DATE('22000101','yyyymmdd'),'');</v>
      </c>
    </row>
    <row r="80" spans="1:1" x14ac:dyDescent="0.25">
      <c r="A80" t="str">
        <f>IF(AGENTES!I81="OBSOLETO","","INSERT INTO INYCEXT.INYC_CONF_INF_AGENTES (COD_INFORME,BO_GROUP,COMPANIA,ID_TIPO_AGENTE,TABLA,F_INICIO,F_FIN,DESCRIPCION) VALUES ("&amp;AGENTES!B81&amp;",'"&amp;AGENTES!C81&amp;"','"&amp;AGENTES!D81&amp;"','"&amp;AGENTES!E81&amp;"','"&amp;AGENTES!F81&amp;"',TO_DATE('"&amp;AGENTES!G81&amp;"','yyyymmdd'),TO_DATE('"&amp;AGENTES!H81&amp;"','yyyymmdd'),'"&amp;AGENTES!I81&amp;"');")</f>
        <v>INSERT INTO INYCEXT.INYC_CONF_INF_AGENTES (COD_INFORME,BO_GROUP,COMPANIA,ID_TIPO_AGENTE,TABLA,F_INICIO,F_FIN,DESCRIPCION) VALUES (7,'INYC Compensation Reports User Group - DIF','01','82','INYC_DIF_RESUMEN,INYC_DIF_DETALLE',TO_DATE('20140101','yyyymmdd'),TO_DATE('22000101','yyyymmdd'),'');</v>
      </c>
    </row>
    <row r="81" spans="1:1" x14ac:dyDescent="0.25">
      <c r="A81" t="str">
        <f>IF(AGENTES!I82="OBSOLETO","","INSERT INTO INYCEXT.INYC_CONF_INF_AGENTES (COD_INFORME,BO_GROUP,COMPANIA,ID_TIPO_AGENTE,TABLA,F_INICIO,F_FIN,DESCRIPCION) VALUES ("&amp;AGENTES!B82&amp;",'"&amp;AGENTES!C82&amp;"','"&amp;AGENTES!D82&amp;"','"&amp;AGENTES!E82&amp;"','"&amp;AGENTES!F82&amp;"',TO_DATE('"&amp;AGENTES!G82&amp;"','yyyymmdd'),TO_DATE('"&amp;AGENTES!H82&amp;"','yyyymmdd'),'"&amp;AGENTES!I82&amp;"');")</f>
        <v>INSERT INTO INYCEXT.INYC_CONF_INF_AGENTES (COD_INFORME,BO_GROUP,COMPANIA,ID_TIPO_AGENTE,TABLA,F_INICIO,F_FIN,DESCRIPCION) VALUES (8,'INYC Compensation Reports User Group - COLC','01','70','INYC_COLC_RESUMEN',TO_DATE('20140101','yyyymmdd'),TO_DATE('22000101','yyyymmdd'),'');</v>
      </c>
    </row>
    <row r="82" spans="1:1" x14ac:dyDescent="0.25">
      <c r="A82" t="str">
        <f>IF(AGENTES!I83="OBSOLETO","","INSERT INTO INYCEXT.INYC_CONF_INF_AGENTES (COD_INFORME,BO_GROUP,COMPANIA,ID_TIPO_AGENTE,TABLA,F_INICIO,F_FIN,DESCRIPCION) VALUES ("&amp;AGENTES!B83&amp;",'"&amp;AGENTES!C83&amp;"','"&amp;AGENTES!D83&amp;"','"&amp;AGENTES!E83&amp;"','"&amp;AGENTES!F83&amp;"',TO_DATE('"&amp;AGENTES!G83&amp;"','yyyymmdd'),TO_DATE('"&amp;AGENTES!H83&amp;"','yyyymmdd'),'"&amp;AGENTES!I83&amp;"');")</f>
        <v>INSERT INTO INYCEXT.INYC_CONF_INF_AGENTES (COD_INFORME,BO_GROUP,COMPANIA,ID_TIPO_AGENTE,TABLA,F_INICIO,F_FIN,DESCRIPCION) VALUES (8,'INYC Compensation Reports User Group - COLC','01','71','INYC_COLC_RESUMEN',TO_DATE('20140101','yyyymmdd'),TO_DATE('22000101','yyyymmdd'),'');</v>
      </c>
    </row>
    <row r="83" spans="1:1" x14ac:dyDescent="0.25">
      <c r="A83" t="str">
        <f>IF(AGENTES!I84="OBSOLETO","","INSERT INTO INYCEXT.INYC_CONF_INF_AGENTES (COD_INFORME,BO_GROUP,COMPANIA,ID_TIPO_AGENTE,TABLA,F_INICIO,F_FIN,DESCRIPCION) VALUES ("&amp;AGENTES!B84&amp;",'"&amp;AGENTES!C84&amp;"','"&amp;AGENTES!D84&amp;"','"&amp;AGENTES!E84&amp;"','"&amp;AGENTES!F84&amp;"',TO_DATE('"&amp;AGENTES!G84&amp;"','yyyymmdd'),TO_DATE('"&amp;AGENTES!H84&amp;"','yyyymmdd'),'"&amp;AGENTES!I84&amp;"');")</f>
        <v>INSERT INTO INYCEXT.INYC_CONF_INF_AGENTES (COD_INFORME,BO_GROUP,COMPANIA,ID_TIPO_AGENTE,TABLA,F_INICIO,F_FIN,DESCRIPCION) VALUES (8,'INYC Compensation Reports User Group - COLC','01','72','INYC_COLC_RESUMEN',TO_DATE('20140101','yyyymmdd'),TO_DATE('22000101','yyyymmdd'),'');</v>
      </c>
    </row>
    <row r="84" spans="1:1" x14ac:dyDescent="0.25">
      <c r="A84" t="str">
        <f>IF(AGENTES!I85="OBSOLETO","","INSERT INTO INYCEXT.INYC_CONF_INF_AGENTES (COD_INFORME,BO_GROUP,COMPANIA,ID_TIPO_AGENTE,TABLA,F_INICIO,F_FIN,DESCRIPCION) VALUES ("&amp;AGENTES!B85&amp;",'"&amp;AGENTES!C85&amp;"','"&amp;AGENTES!D85&amp;"','"&amp;AGENTES!E85&amp;"','"&amp;AGENTES!F85&amp;"',TO_DATE('"&amp;AGENTES!G85&amp;"','yyyymmdd'),TO_DATE('"&amp;AGENTES!H85&amp;"','yyyymmdd'),'"&amp;AGENTES!I85&amp;"');")</f>
        <v>INSERT INTO INYCEXT.INYC_CONF_INF_AGENTES (COD_INFORME,BO_GROUP,COMPANIA,ID_TIPO_AGENTE,TABLA,F_INICIO,F_FIN,DESCRIPCION) VALUES (8,'INYC Compensation Reports User Group - COLC','01','74','INYC_COLC_RESUMEN',TO_DATE('20140101','yyyymmdd'),TO_DATE('22000101','yyyymmdd'),'');</v>
      </c>
    </row>
    <row r="85" spans="1:1" x14ac:dyDescent="0.25">
      <c r="A85" t="str">
        <f>IF(AGENTES!I86="OBSOLETO","","INSERT INTO INYCEXT.INYC_CONF_INF_AGENTES (COD_INFORME,BO_GROUP,COMPANIA,ID_TIPO_AGENTE,TABLA,F_INICIO,F_FIN,DESCRIPCION) VALUES ("&amp;AGENTES!B86&amp;",'"&amp;AGENTES!C86&amp;"','"&amp;AGENTES!D86&amp;"','"&amp;AGENTES!E86&amp;"','"&amp;AGENTES!F86&amp;"',TO_DATE('"&amp;AGENTES!G86&amp;"','yyyymmdd'),TO_DATE('"&amp;AGENTES!H86&amp;"','yyyymmdd'),'"&amp;AGENTES!I86&amp;"');")</f>
        <v/>
      </c>
    </row>
    <row r="86" spans="1:1" x14ac:dyDescent="0.25">
      <c r="A86" t="str">
        <f>IF(AGENTES!I87="OBSOLETO","","INSERT INTO INYCEXT.INYC_CONF_INF_AGENTES (COD_INFORME,BO_GROUP,COMPANIA,ID_TIPO_AGENTE,TABLA,F_INICIO,F_FIN,DESCRIPCION) VALUES ("&amp;AGENTES!B87&amp;",'"&amp;AGENTES!C87&amp;"','"&amp;AGENTES!D87&amp;"','"&amp;AGENTES!E87&amp;"','"&amp;AGENTES!F87&amp;"',TO_DATE('"&amp;AGENTES!G87&amp;"','yyyymmdd'),TO_DATE('"&amp;AGENTES!H87&amp;"','yyyymmdd'),'"&amp;AGENTES!I87&amp;"');")</f>
        <v/>
      </c>
    </row>
    <row r="87" spans="1:1" x14ac:dyDescent="0.25">
      <c r="A87" t="str">
        <f>IF(AGENTES!I88="OBSOLETO","","INSERT INTO INYCEXT.INYC_CONF_INF_AGENTES (COD_INFORME,BO_GROUP,COMPANIA,ID_TIPO_AGENTE,TABLA,F_INICIO,F_FIN,DESCRIPCION) VALUES ("&amp;AGENTES!B88&amp;",'"&amp;AGENTES!C88&amp;"','"&amp;AGENTES!D88&amp;"','"&amp;AGENTES!E88&amp;"','"&amp;AGENTES!F88&amp;"',TO_DATE('"&amp;AGENTES!G88&amp;"','yyyymmdd'),TO_DATE('"&amp;AGENTES!H88&amp;"','yyyymmdd'),'"&amp;AGENTES!I88&amp;"');")</f>
        <v/>
      </c>
    </row>
    <row r="88" spans="1:1" x14ac:dyDescent="0.25">
      <c r="A88" t="str">
        <f>IF(AGENTES!I89="OBSOLETO","","INSERT INTO INYCEXT.INYC_CONF_INF_AGENTES (COD_INFORME,BO_GROUP,COMPANIA,ID_TIPO_AGENTE,TABLA,F_INICIO,F_FIN,DESCRIPCION) VALUES ("&amp;AGENTES!B89&amp;",'"&amp;AGENTES!C89&amp;"','"&amp;AGENTES!D89&amp;"','"&amp;AGENTES!E89&amp;"','"&amp;AGENTES!F89&amp;"',TO_DATE('"&amp;AGENTES!G89&amp;"','yyyymmdd'),TO_DATE('"&amp;AGENTES!H89&amp;"','yyyymmdd'),'"&amp;AGENTES!I89&amp;"');")</f>
        <v/>
      </c>
    </row>
    <row r="89" spans="1:1" x14ac:dyDescent="0.25">
      <c r="A89" t="str">
        <f>IF(AGENTES!I90="OBSOLETO","","INSERT INTO INYCEXT.INYC_CONF_INF_AGENTES (COD_INFORME,BO_GROUP,COMPANIA,ID_TIPO_AGENTE,TABLA,F_INICIO,F_FIN,DESCRIPCION) VALUES ("&amp;AGENTES!B90&amp;",'"&amp;AGENTES!C90&amp;"','"&amp;AGENTES!D90&amp;"','"&amp;AGENTES!E90&amp;"','"&amp;AGENTES!F90&amp;"',TO_DATE('"&amp;AGENTES!G90&amp;"','yyyymmdd'),TO_DATE('"&amp;AGENTES!H90&amp;"','yyyymmdd'),'"&amp;AGENTES!I90&amp;"');")</f>
        <v/>
      </c>
    </row>
    <row r="90" spans="1:1" x14ac:dyDescent="0.25">
      <c r="A90" t="str">
        <f>IF(AGENTES!I91="OBSOLETO","","INSERT INTO INYCEXT.INYC_CONF_INF_AGENTES (COD_INFORME,BO_GROUP,COMPANIA,ID_TIPO_AGENTE,TABLA,F_INICIO,F_FIN,DESCRIPCION) VALUES ("&amp;AGENTES!B91&amp;",'"&amp;AGENTES!C91&amp;"','"&amp;AGENTES!D91&amp;"','"&amp;AGENTES!E91&amp;"','"&amp;AGENTES!F91&amp;"',TO_DATE('"&amp;AGENTES!G91&amp;"','yyyymmdd'),TO_DATE('"&amp;AGENTES!H91&amp;"','yyyymmdd'),'"&amp;AGENTES!I91&amp;"');")</f>
        <v>INSERT INTO INYCEXT.INYC_CONF_INF_AGENTES (COD_INFORME,BO_GROUP,COMPANIA,ID_TIPO_AGENTE,TABLA,F_INICIO,F_FIN,DESCRIPCION) VALUES (10,'INYC Compensation Reports User Group - RDC','01','20','INYC_RDC_RESUMEN,INYC_RDC_DETALLE',TO_DATE('20140101','yyyymmdd'),TO_DATE('22000101','yyyymmdd'),'');</v>
      </c>
    </row>
    <row r="91" spans="1:1" x14ac:dyDescent="0.25">
      <c r="A91" t="str">
        <f>IF(AGENTES!I92="OBSOLETO","","INSERT INTO INYCEXT.INYC_CONF_INF_AGENTES (COD_INFORME,BO_GROUP,COMPANIA,ID_TIPO_AGENTE,TABLA,F_INICIO,F_FIN,DESCRIPCION) VALUES ("&amp;AGENTES!B92&amp;",'"&amp;AGENTES!C92&amp;"','"&amp;AGENTES!D92&amp;"','"&amp;AGENTES!E92&amp;"','"&amp;AGENTES!F92&amp;"',TO_DATE('"&amp;AGENTES!G92&amp;"','yyyymmdd'),TO_DATE('"&amp;AGENTES!H92&amp;"','yyyymmdd'),'"&amp;AGENTES!I92&amp;"');")</f>
        <v>INSERT INTO INYCEXT.INYC_CONF_INF_AGENTES (COD_INFORME,BO_GROUP,COMPANIA,ID_TIPO_AGENTE,TABLA,F_INICIO,F_FIN,DESCRIPCION) VALUES (10,'INYC Compensation Reports User Group - RDC','01','39','INYC_RDC_RESUMEN,INYC_RDC_DETALLE',TO_DATE('20170101','yyyymmdd'),TO_DATE('22000101','yyyymmdd'),'Version 20170118');</v>
      </c>
    </row>
    <row r="92" spans="1:1" x14ac:dyDescent="0.25">
      <c r="A92" t="str">
        <f>IF(AGENTES!I93="OBSOLETO","","INSERT INTO INYCEXT.INYC_CONF_INF_AGENTES (COD_INFORME,BO_GROUP,COMPANIA,ID_TIPO_AGENTE,TABLA,F_INICIO,F_FIN,DESCRIPCION) VALUES ("&amp;AGENTES!B93&amp;",'"&amp;AGENTES!C93&amp;"','"&amp;AGENTES!D93&amp;"','"&amp;AGENTES!E93&amp;"','"&amp;AGENTES!F93&amp;"',TO_DATE('"&amp;AGENTES!G93&amp;"','yyyymmdd'),TO_DATE('"&amp;AGENTES!H93&amp;"','yyyymmdd'),'"&amp;AGENTES!I93&amp;"');")</f>
        <v/>
      </c>
    </row>
    <row r="93" spans="1:1" x14ac:dyDescent="0.25">
      <c r="A93" t="str">
        <f>IF(AGENTES!I94="OBSOLETO","","INSERT INTO INYCEXT.INYC_CONF_INF_AGENTES (COD_INFORME,BO_GROUP,COMPANIA,ID_TIPO_AGENTE,TABLA,F_INICIO,F_FIN,DESCRIPCION) VALUES ("&amp;AGENTES!B94&amp;",'"&amp;AGENTES!C94&amp;"','"&amp;AGENTES!D94&amp;"','"&amp;AGENTES!E94&amp;"','"&amp;AGENTES!F94&amp;"',TO_DATE('"&amp;AGENTES!G94&amp;"','yyyymmdd'),TO_DATE('"&amp;AGENTES!H94&amp;"','yyyymmdd'),'"&amp;AGENTES!I94&amp;"');")</f>
        <v/>
      </c>
    </row>
    <row r="94" spans="1:1" x14ac:dyDescent="0.25">
      <c r="A94" t="str">
        <f>IF(AGENTES!I95="OBSOLETO","","INSERT INTO INYCEXT.INYC_CONF_INF_AGENTES (COD_INFORME,BO_GROUP,COMPANIA,ID_TIPO_AGENTE,TABLA,F_INICIO,F_FIN,DESCRIPCION) VALUES ("&amp;AGENTES!B95&amp;",'"&amp;AGENTES!C95&amp;"','"&amp;AGENTES!D95&amp;"','"&amp;AGENTES!E95&amp;"','"&amp;AGENTES!F95&amp;"',TO_DATE('"&amp;AGENTES!G95&amp;"','yyyymmdd'),TO_DATE('"&amp;AGENTES!H95&amp;"','yyyymmdd'),'"&amp;AGENTES!I95&amp;"');")</f>
        <v/>
      </c>
    </row>
    <row r="95" spans="1:1" x14ac:dyDescent="0.25">
      <c r="A95" t="str">
        <f>IF(AGENTES!I96="OBSOLETO","","INSERT INTO INYCEXT.INYC_CONF_INF_AGENTES (COD_INFORME,BO_GROUP,COMPANIA,ID_TIPO_AGENTE,TABLA,F_INICIO,F_FIN,DESCRIPCION) VALUES ("&amp;AGENTES!B96&amp;",'"&amp;AGENTES!C96&amp;"','"&amp;AGENTES!D96&amp;"','"&amp;AGENTES!E96&amp;"','"&amp;AGENTES!F96&amp;"',TO_DATE('"&amp;AGENTES!G96&amp;"','yyyymmdd'),TO_DATE('"&amp;AGENTES!H96&amp;"','yyyymmdd'),'"&amp;AGENTES!I96&amp;"');")</f>
        <v/>
      </c>
    </row>
    <row r="96" spans="1:1" x14ac:dyDescent="0.25">
      <c r="A96" t="str">
        <f>IF(AGENTES!I97="OBSOLETO","","INSERT INTO INYCEXT.INYC_CONF_INF_AGENTES (COD_INFORME,BO_GROUP,COMPANIA,ID_TIPO_AGENTE,TABLA,F_INICIO,F_FIN,DESCRIPCION) VALUES ("&amp;AGENTES!B97&amp;",'"&amp;AGENTES!C97&amp;"','"&amp;AGENTES!D97&amp;"','"&amp;AGENTES!E97&amp;"','"&amp;AGENTES!F97&amp;"',TO_DATE('"&amp;AGENTES!G97&amp;"','yyyymmdd'),TO_DATE('"&amp;AGENTES!H97&amp;"','yyyymmdd'),'"&amp;AGENTES!I97&amp;"');")</f>
        <v/>
      </c>
    </row>
    <row r="97" spans="1:1" x14ac:dyDescent="0.25">
      <c r="A97" t="str">
        <f>IF(AGENTES!I98="OBSOLETO","","INSERT INTO INYCEXT.INYC_CONF_INF_AGENTES (COD_INFORME,BO_GROUP,COMPANIA,ID_TIPO_AGENTE,TABLA,F_INICIO,F_FIN,DESCRIPCION) VALUES ("&amp;AGENTES!B98&amp;",'"&amp;AGENTES!C98&amp;"','"&amp;AGENTES!D98&amp;"','"&amp;AGENTES!E98&amp;"','"&amp;AGENTES!F98&amp;"',TO_DATE('"&amp;AGENTES!G98&amp;"','yyyymmdd'),TO_DATE('"&amp;AGENTES!H98&amp;"','yyyymmdd'),'"&amp;AGENTES!I98&amp;"');")</f>
        <v/>
      </c>
    </row>
    <row r="98" spans="1:1" x14ac:dyDescent="0.25">
      <c r="A98" t="str">
        <f>IF(AGENTES!I99="OBSOLETO","","INSERT INTO INYCEXT.INYC_CONF_INF_AGENTES (COD_INFORME,BO_GROUP,COMPANIA,ID_TIPO_AGENTE,TABLA,F_INICIO,F_FIN,DESCRIPCION) VALUES ("&amp;AGENTES!B99&amp;",'"&amp;AGENTES!C99&amp;"','"&amp;AGENTES!D99&amp;"','"&amp;AGENTES!E99&amp;"','"&amp;AGENTES!F99&amp;"',TO_DATE('"&amp;AGENTES!G99&amp;"','yyyymmdd'),TO_DATE('"&amp;AGENTES!H99&amp;"','yyyymmdd'),'"&amp;AGENTES!I99&amp;"');")</f>
        <v/>
      </c>
    </row>
    <row r="99" spans="1:1" x14ac:dyDescent="0.25">
      <c r="A99" t="str">
        <f>IF(AGENTES!I100="OBSOLETO","","INSERT INTO INYCEXT.INYC_CONF_INF_AGENTES (COD_INFORME,BO_GROUP,COMPANIA,ID_TIPO_AGENTE,TABLA,F_INICIO,F_FIN,DESCRIPCION) VALUES ("&amp;AGENTES!B100&amp;",'"&amp;AGENTES!C100&amp;"','"&amp;AGENTES!D100&amp;"','"&amp;AGENTES!E100&amp;"','"&amp;AGENTES!F100&amp;"',TO_DATE('"&amp;AGENTES!G100&amp;"','yyyymmdd'),TO_DATE('"&amp;AGENTES!H100&amp;"','yyyymmdd'),'"&amp;AGENTES!I100&amp;"');")</f>
        <v/>
      </c>
    </row>
    <row r="100" spans="1:1" x14ac:dyDescent="0.25">
      <c r="A100" t="str">
        <f>IF(AGENTES!I101="OBSOLETO","","INSERT INTO INYCEXT.INYC_CONF_INF_AGENTES (COD_INFORME,BO_GROUP,COMPANIA,ID_TIPO_AGENTE,TABLA,F_INICIO,F_FIN,DESCRIPCION) VALUES ("&amp;AGENTES!B101&amp;",'"&amp;AGENTES!C101&amp;"','"&amp;AGENTES!D101&amp;"','"&amp;AGENTES!E101&amp;"','"&amp;AGENTES!F101&amp;"',TO_DATE('"&amp;AGENTES!G101&amp;"','yyyymmdd'),TO_DATE('"&amp;AGENTES!H101&amp;"','yyyymmdd'),'"&amp;AGENTES!I101&amp;"');")</f>
        <v/>
      </c>
    </row>
    <row r="101" spans="1:1" x14ac:dyDescent="0.25">
      <c r="A101" t="str">
        <f>IF(AGENTES!I102="OBSOLETO","","INSERT INTO INYCEXT.INYC_CONF_INF_AGENTES (COD_INFORME,BO_GROUP,COMPANIA,ID_TIPO_AGENTE,TABLA,F_INICIO,F_FIN,DESCRIPCION) VALUES ("&amp;AGENTES!B102&amp;",'"&amp;AGENTES!C102&amp;"','"&amp;AGENTES!D102&amp;"','"&amp;AGENTES!E102&amp;"','"&amp;AGENTES!F102&amp;"',TO_DATE('"&amp;AGENTES!G102&amp;"','yyyymmdd'),TO_DATE('"&amp;AGENTES!H102&amp;"','yyyymmdd'),'"&amp;AGENTES!I102&amp;"');")</f>
        <v/>
      </c>
    </row>
    <row r="102" spans="1:1" x14ac:dyDescent="0.25">
      <c r="A102" t="str">
        <f>IF(AGENTES!I103="OBSOLETO","","INSERT INTO INYCEXT.INYC_CONF_INF_AGENTES (COD_INFORME,BO_GROUP,COMPANIA,ID_TIPO_AGENTE,TABLA,F_INICIO,F_FIN,DESCRIPCION) VALUES ("&amp;AGENTES!B103&amp;",'"&amp;AGENTES!C103&amp;"','"&amp;AGENTES!D103&amp;"','"&amp;AGENTES!E103&amp;"','"&amp;AGENTES!F103&amp;"',TO_DATE('"&amp;AGENTES!G103&amp;"','yyyymmdd'),TO_DATE('"&amp;AGENTES!H103&amp;"','yyyymmdd'),'"&amp;AGENTES!I103&amp;"');")</f>
        <v/>
      </c>
    </row>
    <row r="103" spans="1:1" x14ac:dyDescent="0.25">
      <c r="A103" t="str">
        <f>IF(AGENTES!I104="OBSOLETO","","INSERT INTO INYCEXT.INYC_CONF_INF_AGENTES (COD_INFORME,BO_GROUP,COMPANIA,ID_TIPO_AGENTE,TABLA,F_INICIO,F_FIN,DESCRIPCION) VALUES ("&amp;AGENTES!B104&amp;",'"&amp;AGENTES!C104&amp;"','"&amp;AGENTES!D104&amp;"','"&amp;AGENTES!E104&amp;"','"&amp;AGENTES!F104&amp;"',TO_DATE('"&amp;AGENTES!G104&amp;"','yyyymmdd'),TO_DATE('"&amp;AGENTES!H104&amp;"','yyyymmdd'),'"&amp;AGENTES!I104&amp;"');")</f>
        <v/>
      </c>
    </row>
    <row r="104" spans="1:1" x14ac:dyDescent="0.25">
      <c r="A104" t="str">
        <f>IF(AGENTES!I105="OBSOLETO","","INSERT INTO INYCEXT.INYC_CONF_INF_AGENTES (COD_INFORME,BO_GROUP,COMPANIA,ID_TIPO_AGENTE,TABLA,F_INICIO,F_FIN,DESCRIPCION) VALUES ("&amp;AGENTES!B105&amp;",'"&amp;AGENTES!C105&amp;"','"&amp;AGENTES!D105&amp;"','"&amp;AGENTES!E105&amp;"','"&amp;AGENTES!F105&amp;"',TO_DATE('"&amp;AGENTES!G105&amp;"','yyyymmdd'),TO_DATE('"&amp;AGENTES!H105&amp;"','yyyymmdd'),'"&amp;AGENTES!I105&amp;"');")</f>
        <v/>
      </c>
    </row>
    <row r="105" spans="1:1" x14ac:dyDescent="0.25">
      <c r="A105" t="str">
        <f>IF(AGENTES!I106="OBSOLETO","","INSERT INTO INYCEXT.INYC_CONF_INF_AGENTES (COD_INFORME,BO_GROUP,COMPANIA,ID_TIPO_AGENTE,TABLA,F_INICIO,F_FIN,DESCRIPCION) VALUES ("&amp;AGENTES!B106&amp;",'"&amp;AGENTES!C106&amp;"','"&amp;AGENTES!D106&amp;"','"&amp;AGENTES!E106&amp;"','"&amp;AGENTES!F106&amp;"',TO_DATE('"&amp;AGENTES!G106&amp;"','yyyymmdd'),TO_DATE('"&amp;AGENTES!H106&amp;"','yyyymmdd'),'"&amp;AGENTES!I106&amp;"');")</f>
        <v/>
      </c>
    </row>
    <row r="106" spans="1:1" x14ac:dyDescent="0.25">
      <c r="A106" t="str">
        <f>IF(AGENTES!I107="OBSOLETO","","INSERT INTO INYCEXT.INYC_CONF_INF_AGENTES (COD_INFORME,BO_GROUP,COMPANIA,ID_TIPO_AGENTE,TABLA,F_INICIO,F_FIN,DESCRIPCION) VALUES ("&amp;AGENTES!B107&amp;",'"&amp;AGENTES!C107&amp;"','"&amp;AGENTES!D107&amp;"','"&amp;AGENTES!E107&amp;"','"&amp;AGENTES!F107&amp;"',TO_DATE('"&amp;AGENTES!G107&amp;"','yyyymmdd'),TO_DATE('"&amp;AGENTES!H107&amp;"','yyyymmdd'),'"&amp;AGENTES!I107&amp;"');")</f>
        <v/>
      </c>
    </row>
    <row r="107" spans="1:1" x14ac:dyDescent="0.25">
      <c r="A107" t="str">
        <f>IF(AGENTES!I108="OBSOLETO","","INSERT INTO INYCEXT.INYC_CONF_INF_AGENTES (COD_INFORME,BO_GROUP,COMPANIA,ID_TIPO_AGENTE,TABLA,F_INICIO,F_FIN,DESCRIPCION) VALUES ("&amp;AGENTES!B108&amp;",'"&amp;AGENTES!C108&amp;"','"&amp;AGENTES!D108&amp;"','"&amp;AGENTES!E108&amp;"','"&amp;AGENTES!F108&amp;"',TO_DATE('"&amp;AGENTES!G108&amp;"','yyyymmdd'),TO_DATE('"&amp;AGENTES!H108&amp;"','yyyymmdd'),'"&amp;AGENTES!I108&amp;"');")</f>
        <v/>
      </c>
    </row>
    <row r="108" spans="1:1" x14ac:dyDescent="0.25">
      <c r="A108" t="str">
        <f>IF(AGENTES!I109="OBSOLETO","","INSERT INTO INYCEXT.INYC_CONF_INF_AGENTES (COD_INFORME,BO_GROUP,COMPANIA,ID_TIPO_AGENTE,TABLA,F_INICIO,F_FIN,DESCRIPCION) VALUES ("&amp;AGENTES!B109&amp;",'"&amp;AGENTES!C109&amp;"','"&amp;AGENTES!D109&amp;"','"&amp;AGENTES!E109&amp;"','"&amp;AGENTES!F109&amp;"',TO_DATE('"&amp;AGENTES!G109&amp;"','yyyymmdd'),TO_DATE('"&amp;AGENTES!H109&amp;"','yyyymmdd'),'"&amp;AGENTES!I109&amp;"');")</f>
        <v>INSERT INTO INYCEXT.INYC_CONF_INF_AGENTES (COD_INFORME,BO_GROUP,COMPANIA,ID_TIPO_AGENTE,TABLA,F_INICIO,F_FIN,DESCRIPCION) VALUES (12,'INYC Compensation Reports User Group - AN','01','52','INYC_AN_RESUMEN,INYC_AN_DETALLE',TO_DATE('20140101','yyyymmdd'),TO_DATE('22000101','yyyymmdd'),'');</v>
      </c>
    </row>
    <row r="109" spans="1:1" x14ac:dyDescent="0.25">
      <c r="A109" t="str">
        <f>IF(AGENTES!I110="OBSOLETO","","INSERT INTO INYCEXT.INYC_CONF_INF_AGENTES (COD_INFORME,BO_GROUP,COMPANIA,ID_TIPO_AGENTE,TABLA,F_INICIO,F_FIN,DESCRIPCION) VALUES ("&amp;AGENTES!B110&amp;",'"&amp;AGENTES!C110&amp;"','"&amp;AGENTES!D110&amp;"','"&amp;AGENTES!E110&amp;"','"&amp;AGENTES!F110&amp;"',TO_DATE('"&amp;AGENTES!G110&amp;"','yyyymmdd'),TO_DATE('"&amp;AGENTES!H110&amp;"','yyyymmdd'),'"&amp;AGENTES!I110&amp;"');")</f>
        <v>INSERT INTO INYCEXT.INYC_CONF_INF_AGENTES (COD_INFORME,BO_GROUP,COMPANIA,ID_TIPO_AGENTE,TABLA,F_INICIO,F_FIN,DESCRIPCION) VALUES (12,'INYC Compensation Reports User Group - AN','01','54','INYC_AN_RESUMEN,INYC_AN_DETALLE',TO_DATE('20140101','yyyymmdd'),TO_DATE('22000101','yyyymmdd'),'');</v>
      </c>
    </row>
    <row r="110" spans="1:1" x14ac:dyDescent="0.25">
      <c r="A110" t="str">
        <f>IF(AGENTES!I111="OBSOLETO","","INSERT INTO INYCEXT.INYC_CONF_INF_AGENTES (COD_INFORME,BO_GROUP,COMPANIA,ID_TIPO_AGENTE,TABLA,F_INICIO,F_FIN,DESCRIPCION) VALUES ("&amp;AGENTES!B111&amp;",'"&amp;AGENTES!C111&amp;"','"&amp;AGENTES!D111&amp;"','"&amp;AGENTES!E111&amp;"','"&amp;AGENTES!F111&amp;"',TO_DATE('"&amp;AGENTES!G111&amp;"','yyyymmdd'),TO_DATE('"&amp;AGENTES!H111&amp;"','yyyymmdd'),'"&amp;AGENTES!I111&amp;"');")</f>
        <v>INSERT INTO INYCEXT.INYC_CONF_INF_AGENTES (COD_INFORME,BO_GROUP,COMPANIA,ID_TIPO_AGENTE,TABLA,F_INICIO,F_FIN,DESCRIPCION) VALUES (12,'INYC Compensation Reports User Group - AN','01','56','INYC_AN_RESUMEN,INYC_AN_DETALLE',TO_DATE('20140101','yyyymmdd'),TO_DATE('22000101','yyyymmdd'),'');</v>
      </c>
    </row>
    <row r="111" spans="1:1" x14ac:dyDescent="0.25">
      <c r="A111" t="str">
        <f>IF(AGENTES!I112="OBSOLETO","","INSERT INTO INYCEXT.INYC_CONF_INF_AGENTES (COD_INFORME,BO_GROUP,COMPANIA,ID_TIPO_AGENTE,TABLA,F_INICIO,F_FIN,DESCRIPCION) VALUES ("&amp;AGENTES!B112&amp;",'"&amp;AGENTES!C112&amp;"','"&amp;AGENTES!D112&amp;"','"&amp;AGENTES!E112&amp;"','"&amp;AGENTES!F112&amp;"',TO_DATE('"&amp;AGENTES!G112&amp;"','yyyymmdd'),TO_DATE('"&amp;AGENTES!H112&amp;"','yyyymmdd'),'"&amp;AGENTES!I112&amp;"');")</f>
        <v>INSERT INTO INYCEXT.INYC_CONF_INF_AGENTES (COD_INFORME,BO_GROUP,COMPANIA,ID_TIPO_AGENTE,TABLA,F_INICIO,F_FIN,DESCRIPCION) VALUES (12,'INYC Compensation Reports User Group - AN','01','57','INYC_AN_RESUMEN,INYC_AN_DETALLE',TO_DATE('20140101','yyyymmdd'),TO_DATE('22000101','yyyymmdd'),'');</v>
      </c>
    </row>
    <row r="112" spans="1:1" x14ac:dyDescent="0.25">
      <c r="A112" t="str">
        <f>IF(AGENTES!I113="OBSOLETO","","INSERT INTO INYCEXT.INYC_CONF_INF_AGENTES (COD_INFORME,BO_GROUP,COMPANIA,ID_TIPO_AGENTE,TABLA,F_INICIO,F_FIN,DESCRIPCION) VALUES ("&amp;AGENTES!B113&amp;",'"&amp;AGENTES!C113&amp;"','"&amp;AGENTES!D113&amp;"','"&amp;AGENTES!E113&amp;"','"&amp;AGENTES!F113&amp;"',TO_DATE('"&amp;AGENTES!G113&amp;"','yyyymmdd'),TO_DATE('"&amp;AGENTES!H113&amp;"','yyyymmdd'),'"&amp;AGENTES!I113&amp;"');")</f>
        <v>INSERT INTO INYCEXT.INYC_CONF_INF_AGENTES (COD_INFORME,BO_GROUP,COMPANIA,ID_TIPO_AGENTE,TABLA,F_INICIO,F_FIN,DESCRIPCION) VALUES (12,'INYC Compensation Reports User Group - AN','01','58','INYC_AN_RESUMEN,INYC_AN_DETALLE',TO_DATE('20140101','yyyymmdd'),TO_DATE('22000101','yyyymmdd'),'');</v>
      </c>
    </row>
    <row r="113" spans="1:1" x14ac:dyDescent="0.25">
      <c r="A113" t="str">
        <f>IF(AGENTES!I114="OBSOLETO","","INSERT INTO INYCEXT.INYC_CONF_INF_AGENTES (COD_INFORME,BO_GROUP,COMPANIA,ID_TIPO_AGENTE,TABLA,F_INICIO,F_FIN,DESCRIPCION) VALUES ("&amp;AGENTES!B114&amp;",'"&amp;AGENTES!C114&amp;"','"&amp;AGENTES!D114&amp;"','"&amp;AGENTES!E114&amp;"','"&amp;AGENTES!F114&amp;"',TO_DATE('"&amp;AGENTES!G114&amp;"','yyyymmdd'),TO_DATE('"&amp;AGENTES!H114&amp;"','yyyymmdd'),'"&amp;AGENTES!I114&amp;"');")</f>
        <v>INSERT INTO INYCEXT.INYC_CONF_INF_AGENTES (COD_INFORME,BO_GROUP,COMPANIA,ID_TIPO_AGENTE,TABLA,F_INICIO,F_FIN,DESCRIPCION) VALUES (12,'INYC Compensation Reports User Group - AN','01','59','INYC_AN_RESUMEN,INYC_AN_DETALLE',TO_DATE('20140101','yyyymmdd'),TO_DATE('22000101','yyyymmdd'),'');</v>
      </c>
    </row>
    <row r="114" spans="1:1" x14ac:dyDescent="0.25">
      <c r="A114" t="str">
        <f>IF(AGENTES!I115="OBSOLETO","","INSERT INTO INYCEXT.INYC_CONF_INF_AGENTES (COD_INFORME,BO_GROUP,COMPANIA,ID_TIPO_AGENTE,TABLA,F_INICIO,F_FIN,DESCRIPCION) VALUES ("&amp;AGENTES!B115&amp;",'"&amp;AGENTES!C115&amp;"','"&amp;AGENTES!D115&amp;"','"&amp;AGENTES!E115&amp;"','"&amp;AGENTES!F115&amp;"',TO_DATE('"&amp;AGENTES!G115&amp;"','yyyymmdd'),TO_DATE('"&amp;AGENTES!H115&amp;"','yyyymmdd'),'"&amp;AGENTES!I115&amp;"');")</f>
        <v>INSERT INTO INYCEXT.INYC_CONF_INF_AGENTES (COD_INFORME,BO_GROUP,COMPANIA,ID_TIPO_AGENTE,TABLA,F_INICIO,F_FIN,DESCRIPCION) VALUES (12,'INYC Compensation Reports User Group - AN','01','60','INYC_AN_RESUMEN,INYC_AN_DETALLE',TO_DATE('20200101','yyyymmdd'),TO_DATE('22000101','yyyymmdd'),'Version 20200526');</v>
      </c>
    </row>
    <row r="115" spans="1:1" x14ac:dyDescent="0.25">
      <c r="A115" t="str">
        <f>IF(AGENTES!I116="OBSOLETO","","INSERT INTO INYCEXT.INYC_CONF_INF_AGENTES (COD_INFORME,BO_GROUP,COMPANIA,ID_TIPO_AGENTE,TABLA,F_INICIO,F_FIN,DESCRIPCION) VALUES ("&amp;AGENTES!B116&amp;",'"&amp;AGENTES!C116&amp;"','"&amp;AGENTES!D116&amp;"','"&amp;AGENTES!E116&amp;"','"&amp;AGENTES!F116&amp;"',TO_DATE('"&amp;AGENTES!G116&amp;"','yyyymmdd'),TO_DATE('"&amp;AGENTES!H116&amp;"','yyyymmdd'),'"&amp;AGENTES!I116&amp;"');")</f>
        <v>INSERT INTO INYCEXT.INYC_CONF_INF_AGENTES (COD_INFORME,BO_GROUP,COMPANIA,ID_TIPO_AGENTE,TABLA,F_INICIO,F_FIN,DESCRIPCION) VALUES (12,'INYC Compensation Reports User Group - AN','01','61','INYC_AN_RESUMEN,INYC_AN_DETALLE',TO_DATE('20140101','yyyymmdd'),TO_DATE('22000101','yyyymmdd'),'');</v>
      </c>
    </row>
    <row r="116" spans="1:1" x14ac:dyDescent="0.25">
      <c r="A116" t="str">
        <f>IF(AGENTES!I117="OBSOLETO","","INSERT INTO INYCEXT.INYC_CONF_INF_AGENTES (COD_INFORME,BO_GROUP,COMPANIA,ID_TIPO_AGENTE,TABLA,F_INICIO,F_FIN,DESCRIPCION) VALUES ("&amp;AGENTES!B117&amp;",'"&amp;AGENTES!C117&amp;"','"&amp;AGENTES!D117&amp;"','"&amp;AGENTES!E117&amp;"','"&amp;AGENTES!F117&amp;"',TO_DATE('"&amp;AGENTES!G117&amp;"','yyyymmdd'),TO_DATE('"&amp;AGENTES!H117&amp;"','yyyymmdd'),'"&amp;AGENTES!I117&amp;"');")</f>
        <v>INSERT INTO INYCEXT.INYC_CONF_INF_AGENTES (COD_INFORME,BO_GROUP,COMPANIA,ID_TIPO_AGENTE,TABLA,F_INICIO,F_FIN,DESCRIPCION) VALUES (12,'INYC Compensation Reports User Group - AN','01','62','INYC_AN_RESUMEN,INYC_AN_DETALLE',TO_DATE('20140101','yyyymmdd'),TO_DATE('22000101','yyyymmdd'),'');</v>
      </c>
    </row>
    <row r="117" spans="1:1" x14ac:dyDescent="0.25">
      <c r="A117" t="str">
        <f>IF(AGENTES!I118="OBSOLETO","","INSERT INTO INYCEXT.INYC_CONF_INF_AGENTES (COD_INFORME,BO_GROUP,COMPANIA,ID_TIPO_AGENTE,TABLA,F_INICIO,F_FIN,DESCRIPCION) VALUES ("&amp;AGENTES!B118&amp;",'"&amp;AGENTES!C118&amp;"','"&amp;AGENTES!D118&amp;"','"&amp;AGENTES!E118&amp;"','"&amp;AGENTES!F118&amp;"',TO_DATE('"&amp;AGENTES!G118&amp;"','yyyymmdd'),TO_DATE('"&amp;AGENTES!H118&amp;"','yyyymmdd'),'"&amp;AGENTES!I118&amp;"');")</f>
        <v>INSERT INTO INYCEXT.INYC_CONF_INF_AGENTES (COD_INFORME,BO_GROUP,COMPANIA,ID_TIPO_AGENTE,TABLA,F_INICIO,F_FIN,DESCRIPCION) VALUES (12,'INYC Compensation Reports User Group - AN','01','65','INYC_AN_RESUMEN,INYC_AN_DETALLE',TO_DATE('20140101','yyyymmdd'),TO_DATE('22000101','yyyymmdd'),'');</v>
      </c>
    </row>
    <row r="118" spans="1:1" x14ac:dyDescent="0.25">
      <c r="A118" t="str">
        <f>IF(AGENTES!I119="OBSOLETO","","INSERT INTO INYCEXT.INYC_CONF_INF_AGENTES (COD_INFORME,BO_GROUP,COMPANIA,ID_TIPO_AGENTE,TABLA,F_INICIO,F_FIN,DESCRIPCION) VALUES ("&amp;AGENTES!B119&amp;",'"&amp;AGENTES!C119&amp;"','"&amp;AGENTES!D119&amp;"','"&amp;AGENTES!E119&amp;"','"&amp;AGENTES!F119&amp;"',TO_DATE('"&amp;AGENTES!G119&amp;"','yyyymmdd'),TO_DATE('"&amp;AGENTES!H119&amp;"','yyyymmdd'),'"&amp;AGENTES!I119&amp;"');")</f>
        <v>INSERT INTO INYCEXT.INYC_CONF_INF_AGENTES (COD_INFORME,BO_GROUP,COMPANIA,ID_TIPO_AGENTE,TABLA,F_INICIO,F_FIN,DESCRIPCION) VALUES (12,'INYC Compensation Reports User Group - AN','01','70','INYC_AN_RESUMEN,INYC_AN_DETALLE',TO_DATE('20140101','yyyymmdd'),TO_DATE('22000101','yyyymmdd'),'');</v>
      </c>
    </row>
    <row r="119" spans="1:1" x14ac:dyDescent="0.25">
      <c r="A119" t="str">
        <f>IF(AGENTES!I120="OBSOLETO","","INSERT INTO INYCEXT.INYC_CONF_INF_AGENTES (COD_INFORME,BO_GROUP,COMPANIA,ID_TIPO_AGENTE,TABLA,F_INICIO,F_FIN,DESCRIPCION) VALUES ("&amp;AGENTES!B120&amp;",'"&amp;AGENTES!C120&amp;"','"&amp;AGENTES!D120&amp;"','"&amp;AGENTES!E120&amp;"','"&amp;AGENTES!F120&amp;"',TO_DATE('"&amp;AGENTES!G120&amp;"','yyyymmdd'),TO_DATE('"&amp;AGENTES!H120&amp;"','yyyymmdd'),'"&amp;AGENTES!I120&amp;"');")</f>
        <v>INSERT INTO INYCEXT.INYC_CONF_INF_AGENTES (COD_INFORME,BO_GROUP,COMPANIA,ID_TIPO_AGENTE,TABLA,F_INICIO,F_FIN,DESCRIPCION) VALUES (12,'INYC Compensation Reports User Group - AN','01','71','INYC_AN_RESUMEN,INYC_AN_DETALLE',TO_DATE('20140101','yyyymmdd'),TO_DATE('22000101','yyyymmdd'),'');</v>
      </c>
    </row>
    <row r="120" spans="1:1" x14ac:dyDescent="0.25">
      <c r="A120" t="str">
        <f>IF(AGENTES!I121="OBSOLETO","","INSERT INTO INYCEXT.INYC_CONF_INF_AGENTES (COD_INFORME,BO_GROUP,COMPANIA,ID_TIPO_AGENTE,TABLA,F_INICIO,F_FIN,DESCRIPCION) VALUES ("&amp;AGENTES!B121&amp;",'"&amp;AGENTES!C121&amp;"','"&amp;AGENTES!D121&amp;"','"&amp;AGENTES!E121&amp;"','"&amp;AGENTES!F121&amp;"',TO_DATE('"&amp;AGENTES!G121&amp;"','yyyymmdd'),TO_DATE('"&amp;AGENTES!H121&amp;"','yyyymmdd'),'"&amp;AGENTES!I121&amp;"');")</f>
        <v>INSERT INTO INYCEXT.INYC_CONF_INF_AGENTES (COD_INFORME,BO_GROUP,COMPANIA,ID_TIPO_AGENTE,TABLA,F_INICIO,F_FIN,DESCRIPCION) VALUES (12,'INYC Compensation Reports User Group - AN','01','72','INYC_AN_RESUMEN,INYC_AN_DETALLE',TO_DATE('20140101','yyyymmdd'),TO_DATE('22000101','yyyymmdd'),'');</v>
      </c>
    </row>
    <row r="121" spans="1:1" x14ac:dyDescent="0.25">
      <c r="A121" t="str">
        <f>IF(AGENTES!I122="OBSOLETO","","INSERT INTO INYCEXT.INYC_CONF_INF_AGENTES (COD_INFORME,BO_GROUP,COMPANIA,ID_TIPO_AGENTE,TABLA,F_INICIO,F_FIN,DESCRIPCION) VALUES ("&amp;AGENTES!B122&amp;",'"&amp;AGENTES!C122&amp;"','"&amp;AGENTES!D122&amp;"','"&amp;AGENTES!E122&amp;"','"&amp;AGENTES!F122&amp;"',TO_DATE('"&amp;AGENTES!G122&amp;"','yyyymmdd'),TO_DATE('"&amp;AGENTES!H122&amp;"','yyyymmdd'),'"&amp;AGENTES!I122&amp;"');")</f>
        <v>INSERT INTO INYCEXT.INYC_CONF_INF_AGENTES (COD_INFORME,BO_GROUP,COMPANIA,ID_TIPO_AGENTE,TABLA,F_INICIO,F_FIN,DESCRIPCION) VALUES (12,'INYC Compensation Reports User Group - AN','01','74','INYC_AN_RESUMEN,INYC_AN_DETALLE',TO_DATE('20140101','yyyymmdd'),TO_DATE('22000101','yyyymmdd'),'');</v>
      </c>
    </row>
    <row r="122" spans="1:1" x14ac:dyDescent="0.25">
      <c r="A122" t="str">
        <f>IF(AGENTES!I123="OBSOLETO","","INSERT INTO INYCEXT.INYC_CONF_INF_AGENTES (COD_INFORME,BO_GROUP,COMPANIA,ID_TIPO_AGENTE,TABLA,F_INICIO,F_FIN,DESCRIPCION) VALUES ("&amp;AGENTES!B123&amp;",'"&amp;AGENTES!C123&amp;"','"&amp;AGENTES!D123&amp;"','"&amp;AGENTES!E123&amp;"','"&amp;AGENTES!F123&amp;"',TO_DATE('"&amp;AGENTES!G123&amp;"','yyyymmdd'),TO_DATE('"&amp;AGENTES!H123&amp;"','yyyymmdd'),'"&amp;AGENTES!I123&amp;"');")</f>
        <v>INSERT INTO INYCEXT.INYC_CONF_INF_AGENTES (COD_INFORME,BO_GROUP,COMPANIA,ID_TIPO_AGENTE,TABLA,F_INICIO,F_FIN,DESCRIPCION) VALUES (13,'INYC Compensation Reports User Group - DIF_E','03','350','INYC_DIF_E_RESUMEN,INYC_DIF_E_DETALLE',TO_DATE('20140101','yyyymmdd'),TO_DATE('22000101','yyyymmdd'),'');</v>
      </c>
    </row>
    <row r="123" spans="1:1" x14ac:dyDescent="0.25">
      <c r="A123" t="str">
        <f>IF(AGENTES!I124="OBSOLETO","","INSERT INTO INYCEXT.INYC_CONF_INF_AGENTES (COD_INFORME,BO_GROUP,COMPANIA,ID_TIPO_AGENTE,TABLA,F_INICIO,F_FIN,DESCRIPCION) VALUES ("&amp;AGENTES!B124&amp;",'"&amp;AGENTES!C124&amp;"','"&amp;AGENTES!D124&amp;"','"&amp;AGENTES!E124&amp;"','"&amp;AGENTES!F124&amp;"',TO_DATE('"&amp;AGENTES!G124&amp;"','yyyymmdd'),TO_DATE('"&amp;AGENTES!H124&amp;"','yyyymmdd'),'"&amp;AGENTES!I124&amp;"');")</f>
        <v>INSERT INTO INYCEXT.INYC_CONF_INF_AGENTES (COD_INFORME,BO_GROUP,COMPANIA,ID_TIPO_AGENTE,TABLA,F_INICIO,F_FIN,DESCRIPCION) VALUES (13,'INYC Compensation Reports User Group - DIF_E','03','351','INYC_DIF_E_RESUMEN,INYC_DIF_E_DETALLE',TO_DATE('20140101','yyyymmdd'),TO_DATE('22000101','yyyymmdd'),'');</v>
      </c>
    </row>
    <row r="124" spans="1:1" x14ac:dyDescent="0.25">
      <c r="A124" t="str">
        <f>IF(AGENTES!I125="OBSOLETO","","INSERT INTO INYCEXT.INYC_CONF_INF_AGENTES (COD_INFORME,BO_GROUP,COMPANIA,ID_TIPO_AGENTE,TABLA,F_INICIO,F_FIN,DESCRIPCION) VALUES ("&amp;AGENTES!B125&amp;",'"&amp;AGENTES!C125&amp;"','"&amp;AGENTES!D125&amp;"','"&amp;AGENTES!E125&amp;"','"&amp;AGENTES!F125&amp;"',TO_DATE('"&amp;AGENTES!G125&amp;"','yyyymmdd'),TO_DATE('"&amp;AGENTES!H125&amp;"','yyyymmdd'),'"&amp;AGENTES!I125&amp;"');")</f>
        <v>INSERT INTO INYCEXT.INYC_CONF_INF_AGENTES (COD_INFORME,BO_GROUP,COMPANIA,ID_TIPO_AGENTE,TABLA,F_INICIO,F_FIN,DESCRIPCION) VALUES (13,'INYC Compensation Reports User Group - DIF_E','03','352','INYC_DIF_E_RESUMEN,INYC_DIF_E_DETALLE',TO_DATE('20140101','yyyymmdd'),TO_DATE('22000101','yyyymmdd'),'');</v>
      </c>
    </row>
    <row r="125" spans="1:1" x14ac:dyDescent="0.25">
      <c r="A125" t="str">
        <f>IF(AGENTES!I126="OBSOLETO","","INSERT INTO INYCEXT.INYC_CONF_INF_AGENTES (COD_INFORME,BO_GROUP,COMPANIA,ID_TIPO_AGENTE,TABLA,F_INICIO,F_FIN,DESCRIPCION) VALUES ("&amp;AGENTES!B126&amp;",'"&amp;AGENTES!C126&amp;"','"&amp;AGENTES!D126&amp;"','"&amp;AGENTES!E126&amp;"','"&amp;AGENTES!F126&amp;"',TO_DATE('"&amp;AGENTES!G126&amp;"','yyyymmdd'),TO_DATE('"&amp;AGENTES!H126&amp;"','yyyymmdd'),'"&amp;AGENTES!I126&amp;"');")</f>
        <v>INSERT INTO INYCEXT.INYC_CONF_INF_AGENTES (COD_INFORME,BO_GROUP,COMPANIA,ID_TIPO_AGENTE,TABLA,F_INICIO,F_FIN,DESCRIPCION) VALUES (13,'INYC Compensation Reports User Group - DIF_E','03','52','INYC_DIF_E_RESUMEN,INYC_DIF_E_DETALLE',TO_DATE('20140101','yyyymmdd'),TO_DATE('22000101','yyyymmdd'),'');</v>
      </c>
    </row>
    <row r="126" spans="1:1" x14ac:dyDescent="0.25">
      <c r="A126" t="str">
        <f>IF(AGENTES!I127="OBSOLETO","","INSERT INTO INYCEXT.INYC_CONF_INF_AGENTES (COD_INFORME,BO_GROUP,COMPANIA,ID_TIPO_AGENTE,TABLA,F_INICIO,F_FIN,DESCRIPCION) VALUES ("&amp;AGENTES!B127&amp;",'"&amp;AGENTES!C127&amp;"','"&amp;AGENTES!D127&amp;"','"&amp;AGENTES!E127&amp;"','"&amp;AGENTES!F127&amp;"',TO_DATE('"&amp;AGENTES!G127&amp;"','yyyymmdd'),TO_DATE('"&amp;AGENTES!H127&amp;"','yyyymmdd'),'"&amp;AGENTES!I127&amp;"');")</f>
        <v>INSERT INTO INYCEXT.INYC_CONF_INF_AGENTES (COD_INFORME,BO_GROUP,COMPANIA,ID_TIPO_AGENTE,TABLA,F_INICIO,F_FIN,DESCRIPCION) VALUES (13,'INYC Compensation Reports User Group - DIF_E','03','54','INYC_DIF_E_RESUMEN,INYC_DIF_E_DETALLE',TO_DATE('20140101','yyyymmdd'),TO_DATE('22000101','yyyymmdd'),'');</v>
      </c>
    </row>
    <row r="127" spans="1:1" x14ac:dyDescent="0.25">
      <c r="A127" t="str">
        <f>IF(AGENTES!I128="OBSOLETO","","INSERT INTO INYCEXT.INYC_CONF_INF_AGENTES (COD_INFORME,BO_GROUP,COMPANIA,ID_TIPO_AGENTE,TABLA,F_INICIO,F_FIN,DESCRIPCION) VALUES ("&amp;AGENTES!B128&amp;",'"&amp;AGENTES!C128&amp;"','"&amp;AGENTES!D128&amp;"','"&amp;AGENTES!E128&amp;"','"&amp;AGENTES!F128&amp;"',TO_DATE('"&amp;AGENTES!G128&amp;"','yyyymmdd'),TO_DATE('"&amp;AGENTES!H128&amp;"','yyyymmdd'),'"&amp;AGENTES!I128&amp;"');")</f>
        <v>INSERT INTO INYCEXT.INYC_CONF_INF_AGENTES (COD_INFORME,BO_GROUP,COMPANIA,ID_TIPO_AGENTE,TABLA,F_INICIO,F_FIN,DESCRIPCION) VALUES (13,'INYC Compensation Reports User Group - DIF_E','03','56','INYC_DIF_E_RESUMEN,INYC_DIF_E_DETALLE',TO_DATE('20140101','yyyymmdd'),TO_DATE('22000101','yyyymmdd'),'');</v>
      </c>
    </row>
    <row r="128" spans="1:1" x14ac:dyDescent="0.25">
      <c r="A128" t="str">
        <f>IF(AGENTES!I129="OBSOLETO","","INSERT INTO INYCEXT.INYC_CONF_INF_AGENTES (COD_INFORME,BO_GROUP,COMPANIA,ID_TIPO_AGENTE,TABLA,F_INICIO,F_FIN,DESCRIPCION) VALUES ("&amp;AGENTES!B129&amp;",'"&amp;AGENTES!C129&amp;"','"&amp;AGENTES!D129&amp;"','"&amp;AGENTES!E129&amp;"','"&amp;AGENTES!F129&amp;"',TO_DATE('"&amp;AGENTES!G129&amp;"','yyyymmdd'),TO_DATE('"&amp;AGENTES!H129&amp;"','yyyymmdd'),'"&amp;AGENTES!I129&amp;"');")</f>
        <v>INSERT INTO INYCEXT.INYC_CONF_INF_AGENTES (COD_INFORME,BO_GROUP,COMPANIA,ID_TIPO_AGENTE,TABLA,F_INICIO,F_FIN,DESCRIPCION) VALUES (13,'INYC Compensation Reports User Group - DIF_E','03','57','INYC_DIF_E_RESUMEN,INYC_DIF_E_DETALLE',TO_DATE('20140101','yyyymmdd'),TO_DATE('22000101','yyyymmdd'),'');</v>
      </c>
    </row>
    <row r="129" spans="1:1" x14ac:dyDescent="0.25">
      <c r="A129" t="str">
        <f>IF(AGENTES!I130="OBSOLETO","","INSERT INTO INYCEXT.INYC_CONF_INF_AGENTES (COD_INFORME,BO_GROUP,COMPANIA,ID_TIPO_AGENTE,TABLA,F_INICIO,F_FIN,DESCRIPCION) VALUES ("&amp;AGENTES!B130&amp;",'"&amp;AGENTES!C130&amp;"','"&amp;AGENTES!D130&amp;"','"&amp;AGENTES!E130&amp;"','"&amp;AGENTES!F130&amp;"',TO_DATE('"&amp;AGENTES!G130&amp;"','yyyymmdd'),TO_DATE('"&amp;AGENTES!H130&amp;"','yyyymmdd'),'"&amp;AGENTES!I130&amp;"');")</f>
        <v>INSERT INTO INYCEXT.INYC_CONF_INF_AGENTES (COD_INFORME,BO_GROUP,COMPANIA,ID_TIPO_AGENTE,TABLA,F_INICIO,F_FIN,DESCRIPCION) VALUES (13,'INYC Compensation Reports User Group - DIF_E','03','58','INYC_DIF_E_RESUMEN,INYC_DIF_E_DETALLE',TO_DATE('20140101','yyyymmdd'),TO_DATE('22000101','yyyymmdd'),'');</v>
      </c>
    </row>
    <row r="130" spans="1:1" x14ac:dyDescent="0.25">
      <c r="A130" t="str">
        <f>IF(AGENTES!I131="OBSOLETO","","INSERT INTO INYCEXT.INYC_CONF_INF_AGENTES (COD_INFORME,BO_GROUP,COMPANIA,ID_TIPO_AGENTE,TABLA,F_INICIO,F_FIN,DESCRIPCION) VALUES ("&amp;AGENTES!B131&amp;",'"&amp;AGENTES!C131&amp;"','"&amp;AGENTES!D131&amp;"','"&amp;AGENTES!E131&amp;"','"&amp;AGENTES!F131&amp;"',TO_DATE('"&amp;AGENTES!G131&amp;"','yyyymmdd'),TO_DATE('"&amp;AGENTES!H131&amp;"','yyyymmdd'),'"&amp;AGENTES!I131&amp;"');")</f>
        <v>INSERT INTO INYCEXT.INYC_CONF_INF_AGENTES (COD_INFORME,BO_GROUP,COMPANIA,ID_TIPO_AGENTE,TABLA,F_INICIO,F_FIN,DESCRIPCION) VALUES (13,'INYC Compensation Reports User Group - DIF_E','03','59','INYC_DIF_E_RESUMEN,INYC_DIF_E_DETALLE',TO_DATE('20140101','yyyymmdd'),TO_DATE('22000101','yyyymmdd'),'');</v>
      </c>
    </row>
    <row r="131" spans="1:1" x14ac:dyDescent="0.25">
      <c r="A131" t="str">
        <f>IF(AGENTES!I132="OBSOLETO","","INSERT INTO INYCEXT.INYC_CONF_INF_AGENTES (COD_INFORME,BO_GROUP,COMPANIA,ID_TIPO_AGENTE,TABLA,F_INICIO,F_FIN,DESCRIPCION) VALUES ("&amp;AGENTES!B132&amp;",'"&amp;AGENTES!C132&amp;"','"&amp;AGENTES!D132&amp;"','"&amp;AGENTES!E132&amp;"','"&amp;AGENTES!F132&amp;"',TO_DATE('"&amp;AGENTES!G132&amp;"','yyyymmdd'),TO_DATE('"&amp;AGENTES!H132&amp;"','yyyymmdd'),'"&amp;AGENTES!I132&amp;"');")</f>
        <v>INSERT INTO INYCEXT.INYC_CONF_INF_AGENTES (COD_INFORME,BO_GROUP,COMPANIA,ID_TIPO_AGENTE,TABLA,F_INICIO,F_FIN,DESCRIPCION) VALUES (13,'INYC Compensation Reports User Group - DIF_E','03','60','INYC_DIF_E_RESUMEN,INYC_DIF_E_DETALLE',TO_DATE('20200101','yyyymmdd'),TO_DATE('22000101','yyyymmdd'),'Version 20200526');</v>
      </c>
    </row>
    <row r="132" spans="1:1" x14ac:dyDescent="0.25">
      <c r="A132" t="str">
        <f>IF(AGENTES!I133="OBSOLETO","","INSERT INTO INYCEXT.INYC_CONF_INF_AGENTES (COD_INFORME,BO_GROUP,COMPANIA,ID_TIPO_AGENTE,TABLA,F_INICIO,F_FIN,DESCRIPCION) VALUES ("&amp;AGENTES!B133&amp;",'"&amp;AGENTES!C133&amp;"','"&amp;AGENTES!D133&amp;"','"&amp;AGENTES!E133&amp;"','"&amp;AGENTES!F133&amp;"',TO_DATE('"&amp;AGENTES!G133&amp;"','yyyymmdd'),TO_DATE('"&amp;AGENTES!H133&amp;"','yyyymmdd'),'"&amp;AGENTES!I133&amp;"');")</f>
        <v>INSERT INTO INYCEXT.INYC_CONF_INF_AGENTES (COD_INFORME,BO_GROUP,COMPANIA,ID_TIPO_AGENTE,TABLA,F_INICIO,F_FIN,DESCRIPCION) VALUES (13,'INYC Compensation Reports User Group - DIF_E','03','61','INYC_DIF_E_RESUMEN,INYC_DIF_E_DETALLE',TO_DATE('20140101','yyyymmdd'),TO_DATE('22000101','yyyymmdd'),'');</v>
      </c>
    </row>
    <row r="133" spans="1:1" x14ac:dyDescent="0.25">
      <c r="A133" t="str">
        <f>IF(AGENTES!I134="OBSOLETO","","INSERT INTO INYCEXT.INYC_CONF_INF_AGENTES (COD_INFORME,BO_GROUP,COMPANIA,ID_TIPO_AGENTE,TABLA,F_INICIO,F_FIN,DESCRIPCION) VALUES ("&amp;AGENTES!B134&amp;",'"&amp;AGENTES!C134&amp;"','"&amp;AGENTES!D134&amp;"','"&amp;AGENTES!E134&amp;"','"&amp;AGENTES!F134&amp;"',TO_DATE('"&amp;AGENTES!G134&amp;"','yyyymmdd'),TO_DATE('"&amp;AGENTES!H134&amp;"','yyyymmdd'),'"&amp;AGENTES!I134&amp;"');")</f>
        <v>INSERT INTO INYCEXT.INYC_CONF_INF_AGENTES (COD_INFORME,BO_GROUP,COMPANIA,ID_TIPO_AGENTE,TABLA,F_INICIO,F_FIN,DESCRIPCION) VALUES (13,'INYC Compensation Reports User Group - DIF_E','03','62','INYC_DIF_E_RESUMEN,INYC_DIF_E_DETALLE',TO_DATE('20140101','yyyymmdd'),TO_DATE('22000101','yyyymmdd'),'');</v>
      </c>
    </row>
    <row r="134" spans="1:1" x14ac:dyDescent="0.25">
      <c r="A134" t="str">
        <f>IF(AGENTES!I135="OBSOLETO","","INSERT INTO INYCEXT.INYC_CONF_INF_AGENTES (COD_INFORME,BO_GROUP,COMPANIA,ID_TIPO_AGENTE,TABLA,F_INICIO,F_FIN,DESCRIPCION) VALUES ("&amp;AGENTES!B135&amp;",'"&amp;AGENTES!C135&amp;"','"&amp;AGENTES!D135&amp;"','"&amp;AGENTES!E135&amp;"','"&amp;AGENTES!F135&amp;"',TO_DATE('"&amp;AGENTES!G135&amp;"','yyyymmdd'),TO_DATE('"&amp;AGENTES!H135&amp;"','yyyymmdd'),'"&amp;AGENTES!I135&amp;"');")</f>
        <v>INSERT INTO INYCEXT.INYC_CONF_INF_AGENTES (COD_INFORME,BO_GROUP,COMPANIA,ID_TIPO_AGENTE,TABLA,F_INICIO,F_FIN,DESCRIPCION) VALUES (13,'INYC Compensation Reports User Group - DIF_E','03','65','INYC_DIF_E_RESUMEN,INYC_DIF_E_DETALLE',TO_DATE('20140101','yyyymmdd'),TO_DATE('22000101','yyyymmdd'),'');</v>
      </c>
    </row>
    <row r="135" spans="1:1" x14ac:dyDescent="0.25">
      <c r="A135" t="str">
        <f>IF(AGENTES!I136="OBSOLETO","","INSERT INTO INYCEXT.INYC_CONF_INF_AGENTES (COD_INFORME,BO_GROUP,COMPANIA,ID_TIPO_AGENTE,TABLA,F_INICIO,F_FIN,DESCRIPCION) VALUES ("&amp;AGENTES!B136&amp;",'"&amp;AGENTES!C136&amp;"','"&amp;AGENTES!D136&amp;"','"&amp;AGENTES!E136&amp;"','"&amp;AGENTES!F136&amp;"',TO_DATE('"&amp;AGENTES!G136&amp;"','yyyymmdd'),TO_DATE('"&amp;AGENTES!H136&amp;"','yyyymmdd'),'"&amp;AGENTES!I136&amp;"');")</f>
        <v>INSERT INTO INYCEXT.INYC_CONF_INF_AGENTES (COD_INFORME,BO_GROUP,COMPANIA,ID_TIPO_AGENTE,TABLA,F_INICIO,F_FIN,DESCRIPCION) VALUES (13,'INYC Compensation Reports User Group - DIF_E','03','70','INYC_DIF_E_RESUMEN,INYC_DIF_E_DETALLE',TO_DATE('20140101','yyyymmdd'),TO_DATE('22000101','yyyymmdd'),'');</v>
      </c>
    </row>
    <row r="136" spans="1:1" x14ac:dyDescent="0.25">
      <c r="A136" t="str">
        <f>IF(AGENTES!I137="OBSOLETO","","INSERT INTO INYCEXT.INYC_CONF_INF_AGENTES (COD_INFORME,BO_GROUP,COMPANIA,ID_TIPO_AGENTE,TABLA,F_INICIO,F_FIN,DESCRIPCION) VALUES ("&amp;AGENTES!B137&amp;",'"&amp;AGENTES!C137&amp;"','"&amp;AGENTES!D137&amp;"','"&amp;AGENTES!E137&amp;"','"&amp;AGENTES!F137&amp;"',TO_DATE('"&amp;AGENTES!G137&amp;"','yyyymmdd'),TO_DATE('"&amp;AGENTES!H137&amp;"','yyyymmdd'),'"&amp;AGENTES!I137&amp;"');")</f>
        <v>INSERT INTO INYCEXT.INYC_CONF_INF_AGENTES (COD_INFORME,BO_GROUP,COMPANIA,ID_TIPO_AGENTE,TABLA,F_INICIO,F_FIN,DESCRIPCION) VALUES (13,'INYC Compensation Reports User Group - DIF_E','03','71','INYC_DIF_E_RESUMEN,INYC_DIF_E_DETALLE',TO_DATE('20140101','yyyymmdd'),TO_DATE('22000101','yyyymmdd'),'');</v>
      </c>
    </row>
    <row r="137" spans="1:1" x14ac:dyDescent="0.25">
      <c r="A137" t="str">
        <f>IF(AGENTES!I138="OBSOLETO","","INSERT INTO INYCEXT.INYC_CONF_INF_AGENTES (COD_INFORME,BO_GROUP,COMPANIA,ID_TIPO_AGENTE,TABLA,F_INICIO,F_FIN,DESCRIPCION) VALUES ("&amp;AGENTES!B138&amp;",'"&amp;AGENTES!C138&amp;"','"&amp;AGENTES!D138&amp;"','"&amp;AGENTES!E138&amp;"','"&amp;AGENTES!F138&amp;"',TO_DATE('"&amp;AGENTES!G138&amp;"','yyyymmdd'),TO_DATE('"&amp;AGENTES!H138&amp;"','yyyymmdd'),'"&amp;AGENTES!I138&amp;"');")</f>
        <v>INSERT INTO INYCEXT.INYC_CONF_INF_AGENTES (COD_INFORME,BO_GROUP,COMPANIA,ID_TIPO_AGENTE,TABLA,F_INICIO,F_FIN,DESCRIPCION) VALUES (13,'INYC Compensation Reports User Group - DIF_E','03','72','INYC_DIF_E_RESUMEN,INYC_DIF_E_DETALLE',TO_DATE('20140101','yyyymmdd'),TO_DATE('22000101','yyyymmdd'),'');</v>
      </c>
    </row>
    <row r="138" spans="1:1" x14ac:dyDescent="0.25">
      <c r="A138" t="str">
        <f>IF(AGENTES!I139="OBSOLETO","","INSERT INTO INYCEXT.INYC_CONF_INF_AGENTES (COD_INFORME,BO_GROUP,COMPANIA,ID_TIPO_AGENTE,TABLA,F_INICIO,F_FIN,DESCRIPCION) VALUES ("&amp;AGENTES!B139&amp;",'"&amp;AGENTES!C139&amp;"','"&amp;AGENTES!D139&amp;"','"&amp;AGENTES!E139&amp;"','"&amp;AGENTES!F139&amp;"',TO_DATE('"&amp;AGENTES!G139&amp;"','yyyymmdd'),TO_DATE('"&amp;AGENTES!H139&amp;"','yyyymmdd'),'"&amp;AGENTES!I139&amp;"');")</f>
        <v>INSERT INTO INYCEXT.INYC_CONF_INF_AGENTES (COD_INFORME,BO_GROUP,COMPANIA,ID_TIPO_AGENTE,TABLA,F_INICIO,F_FIN,DESCRIPCION) VALUES (13,'INYC Compensation Reports User Group - DIF_E','03','74','INYC_DIF_E_RESUMEN,INYC_DIF_E_DETALLE',TO_DATE('20140101','yyyymmdd'),TO_DATE('22000101','yyyymmdd'),'');</v>
      </c>
    </row>
    <row r="139" spans="1:1" x14ac:dyDescent="0.25">
      <c r="A139" t="str">
        <f>IF(AGENTES!I140="OBSOLETO","","INSERT INTO INYCEXT.INYC_CONF_INF_AGENTES (COD_INFORME,BO_GROUP,COMPANIA,ID_TIPO_AGENTE,TABLA,F_INICIO,F_FIN,DESCRIPCION) VALUES ("&amp;AGENTES!B140&amp;",'"&amp;AGENTES!C140&amp;"','"&amp;AGENTES!D140&amp;"','"&amp;AGENTES!E140&amp;"','"&amp;AGENTES!F140&amp;"',TO_DATE('"&amp;AGENTES!G140&amp;"','yyyymmdd'),TO_DATE('"&amp;AGENTES!H140&amp;"','yyyymmdd'),'"&amp;AGENTES!I140&amp;"');")</f>
        <v>INSERT INTO INYCEXT.INYC_CONF_INF_AGENTES (COD_INFORME,BO_GROUP,COMPANIA,ID_TIPO_AGENTE,TABLA,F_INICIO,F_FIN,DESCRIPCION) VALUES (13,'INYC Compensation Reports User Group - DIF_E','03','82','INYC_DIF_E_RESUMEN,INYC_DIF_E_DETALLE',TO_DATE('20140101','yyyymmdd'),TO_DATE('22000101','yyyymmdd'),'');</v>
      </c>
    </row>
    <row r="140" spans="1:1" x14ac:dyDescent="0.25">
      <c r="A140" t="str">
        <f>IF(AGENTES!I141="OBSOLETO","","INSERT INTO INYCEXT.INYC_CONF_INF_AGENTES (COD_INFORME,BO_GROUP,COMPANIA,ID_TIPO_AGENTE,TABLA,F_INICIO,F_FIN,DESCRIPCION) VALUES ("&amp;AGENTES!B141&amp;",'"&amp;AGENTES!C141&amp;"','"&amp;AGENTES!D141&amp;"','"&amp;AGENTES!E141&amp;"','"&amp;AGENTES!F141&amp;"',TO_DATE('"&amp;AGENTES!G141&amp;"','yyyymmdd'),TO_DATE('"&amp;AGENTES!H141&amp;"','yyyymmdd'),'"&amp;AGENTES!I141&amp;"');")</f>
        <v>INSERT INTO INYCEXT.INYC_CONF_INF_AGENTES (COD_INFORME,BO_GROUP,COMPANIA,ID_TIPO_AGENTE,TABLA,F_INICIO,F_FIN,DESCRIPCION) VALUES (14,'INYC Compensation Reports User Group - PP','01','52','INYC_PP_RESUMEN',TO_DATE('20140101','yyyymmdd'),TO_DATE('22000101','yyyymmdd'),'');</v>
      </c>
    </row>
    <row r="141" spans="1:1" x14ac:dyDescent="0.25">
      <c r="A141" t="str">
        <f>IF(AGENTES!I142="OBSOLETO","","INSERT INTO INYCEXT.INYC_CONF_INF_AGENTES (COD_INFORME,BO_GROUP,COMPANIA,ID_TIPO_AGENTE,TABLA,F_INICIO,F_FIN,DESCRIPCION) VALUES ("&amp;AGENTES!B142&amp;",'"&amp;AGENTES!C142&amp;"','"&amp;AGENTES!D142&amp;"','"&amp;AGENTES!E142&amp;"','"&amp;AGENTES!F142&amp;"',TO_DATE('"&amp;AGENTES!G142&amp;"','yyyymmdd'),TO_DATE('"&amp;AGENTES!H142&amp;"','yyyymmdd'),'"&amp;AGENTES!I142&amp;"');")</f>
        <v>INSERT INTO INYCEXT.INYC_CONF_INF_AGENTES (COD_INFORME,BO_GROUP,COMPANIA,ID_TIPO_AGENTE,TABLA,F_INICIO,F_FIN,DESCRIPCION) VALUES (14,'INYC Compensation Reports User Group - PP','01','54','INYC_PP_RESUMEN',TO_DATE('20140101','yyyymmdd'),TO_DATE('22000101','yyyymmdd'),'');</v>
      </c>
    </row>
    <row r="142" spans="1:1" x14ac:dyDescent="0.25">
      <c r="A142" t="str">
        <f>IF(AGENTES!I143="OBSOLETO","","INSERT INTO INYCEXT.INYC_CONF_INF_AGENTES (COD_INFORME,BO_GROUP,COMPANIA,ID_TIPO_AGENTE,TABLA,F_INICIO,F_FIN,DESCRIPCION) VALUES ("&amp;AGENTES!B143&amp;",'"&amp;AGENTES!C143&amp;"','"&amp;AGENTES!D143&amp;"','"&amp;AGENTES!E143&amp;"','"&amp;AGENTES!F143&amp;"',TO_DATE('"&amp;AGENTES!G143&amp;"','yyyymmdd'),TO_DATE('"&amp;AGENTES!H143&amp;"','yyyymmdd'),'"&amp;AGENTES!I143&amp;"');")</f>
        <v>INSERT INTO INYCEXT.INYC_CONF_INF_AGENTES (COD_INFORME,BO_GROUP,COMPANIA,ID_TIPO_AGENTE,TABLA,F_INICIO,F_FIN,DESCRIPCION) VALUES (14,'INYC Compensation Reports User Group - PP','01','56','INYC_PP_RESUMEN',TO_DATE('20140101','yyyymmdd'),TO_DATE('22000101','yyyymmdd'),'');</v>
      </c>
    </row>
    <row r="143" spans="1:1" x14ac:dyDescent="0.25">
      <c r="A143" t="str">
        <f>IF(AGENTES!I144="OBSOLETO","","INSERT INTO INYCEXT.INYC_CONF_INF_AGENTES (COD_INFORME,BO_GROUP,COMPANIA,ID_TIPO_AGENTE,TABLA,F_INICIO,F_FIN,DESCRIPCION) VALUES ("&amp;AGENTES!B144&amp;",'"&amp;AGENTES!C144&amp;"','"&amp;AGENTES!D144&amp;"','"&amp;AGENTES!E144&amp;"','"&amp;AGENTES!F144&amp;"',TO_DATE('"&amp;AGENTES!G144&amp;"','yyyymmdd'),TO_DATE('"&amp;AGENTES!H144&amp;"','yyyymmdd'),'"&amp;AGENTES!I144&amp;"');")</f>
        <v>INSERT INTO INYCEXT.INYC_CONF_INF_AGENTES (COD_INFORME,BO_GROUP,COMPANIA,ID_TIPO_AGENTE,TABLA,F_INICIO,F_FIN,DESCRIPCION) VALUES (14,'INYC Compensation Reports User Group - PP','01','57','INYC_PP_RESUMEN',TO_DATE('20140101','yyyymmdd'),TO_DATE('22000101','yyyymmdd'),'');</v>
      </c>
    </row>
    <row r="144" spans="1:1" x14ac:dyDescent="0.25">
      <c r="A144" t="str">
        <f>IF(AGENTES!I145="OBSOLETO","","INSERT INTO INYCEXT.INYC_CONF_INF_AGENTES (COD_INFORME,BO_GROUP,COMPANIA,ID_TIPO_AGENTE,TABLA,F_INICIO,F_FIN,DESCRIPCION) VALUES ("&amp;AGENTES!B145&amp;",'"&amp;AGENTES!C145&amp;"','"&amp;AGENTES!D145&amp;"','"&amp;AGENTES!E145&amp;"','"&amp;AGENTES!F145&amp;"',TO_DATE('"&amp;AGENTES!G145&amp;"','yyyymmdd'),TO_DATE('"&amp;AGENTES!H145&amp;"','yyyymmdd'),'"&amp;AGENTES!I145&amp;"');")</f>
        <v>INSERT INTO INYCEXT.INYC_CONF_INF_AGENTES (COD_INFORME,BO_GROUP,COMPANIA,ID_TIPO_AGENTE,TABLA,F_INICIO,F_FIN,DESCRIPCION) VALUES (14,'INYC Compensation Reports User Group - PP','01','58','INYC_PP_RESUMEN',TO_DATE('20140101','yyyymmdd'),TO_DATE('22000101','yyyymmdd'),'');</v>
      </c>
    </row>
    <row r="145" spans="1:1" x14ac:dyDescent="0.25">
      <c r="A145" t="str">
        <f>IF(AGENTES!I146="OBSOLETO","","INSERT INTO INYCEXT.INYC_CONF_INF_AGENTES (COD_INFORME,BO_GROUP,COMPANIA,ID_TIPO_AGENTE,TABLA,F_INICIO,F_FIN,DESCRIPCION) VALUES ("&amp;AGENTES!B146&amp;",'"&amp;AGENTES!C146&amp;"','"&amp;AGENTES!D146&amp;"','"&amp;AGENTES!E146&amp;"','"&amp;AGENTES!F146&amp;"',TO_DATE('"&amp;AGENTES!G146&amp;"','yyyymmdd'),TO_DATE('"&amp;AGENTES!H146&amp;"','yyyymmdd'),'"&amp;AGENTES!I146&amp;"');")</f>
        <v>INSERT INTO INYCEXT.INYC_CONF_INF_AGENTES (COD_INFORME,BO_GROUP,COMPANIA,ID_TIPO_AGENTE,TABLA,F_INICIO,F_FIN,DESCRIPCION) VALUES (14,'INYC Compensation Reports User Group - PP','01','59','INYC_PP_RESUMEN',TO_DATE('20140101','yyyymmdd'),TO_DATE('22000101','yyyymmdd'),'');</v>
      </c>
    </row>
    <row r="146" spans="1:1" x14ac:dyDescent="0.25">
      <c r="A146" t="str">
        <f>IF(AGENTES!I147="OBSOLETO","","INSERT INTO INYCEXT.INYC_CONF_INF_AGENTES (COD_INFORME,BO_GROUP,COMPANIA,ID_TIPO_AGENTE,TABLA,F_INICIO,F_FIN,DESCRIPCION) VALUES ("&amp;AGENTES!B147&amp;",'"&amp;AGENTES!C147&amp;"','"&amp;AGENTES!D147&amp;"','"&amp;AGENTES!E147&amp;"','"&amp;AGENTES!F147&amp;"',TO_DATE('"&amp;AGENTES!G147&amp;"','yyyymmdd'),TO_DATE('"&amp;AGENTES!H147&amp;"','yyyymmdd'),'"&amp;AGENTES!I147&amp;"');")</f>
        <v>INSERT INTO INYCEXT.INYC_CONF_INF_AGENTES (COD_INFORME,BO_GROUP,COMPANIA,ID_TIPO_AGENTE,TABLA,F_INICIO,F_FIN,DESCRIPCION) VALUES (14,'INYC Compensation Reports User Group - PP','01','60','INYC_PP_RESUMEN',TO_DATE('20200101','yyyymmdd'),TO_DATE('22000101','yyyymmdd'),'Version 20200526');</v>
      </c>
    </row>
    <row r="147" spans="1:1" x14ac:dyDescent="0.25">
      <c r="A147" t="str">
        <f>IF(AGENTES!I148="OBSOLETO","","INSERT INTO INYCEXT.INYC_CONF_INF_AGENTES (COD_INFORME,BO_GROUP,COMPANIA,ID_TIPO_AGENTE,TABLA,F_INICIO,F_FIN,DESCRIPCION) VALUES ("&amp;AGENTES!B148&amp;",'"&amp;AGENTES!C148&amp;"','"&amp;AGENTES!D148&amp;"','"&amp;AGENTES!E148&amp;"','"&amp;AGENTES!F148&amp;"',TO_DATE('"&amp;AGENTES!G148&amp;"','yyyymmdd'),TO_DATE('"&amp;AGENTES!H148&amp;"','yyyymmdd'),'"&amp;AGENTES!I148&amp;"');")</f>
        <v>INSERT INTO INYCEXT.INYC_CONF_INF_AGENTES (COD_INFORME,BO_GROUP,COMPANIA,ID_TIPO_AGENTE,TABLA,F_INICIO,F_FIN,DESCRIPCION) VALUES (14,'INYC Compensation Reports User Group - PP','01','61','INYC_PP_RESUMEN',TO_DATE('20140101','yyyymmdd'),TO_DATE('22000101','yyyymmdd'),'');</v>
      </c>
    </row>
    <row r="148" spans="1:1" x14ac:dyDescent="0.25">
      <c r="A148" t="str">
        <f>IF(AGENTES!I149="OBSOLETO","","INSERT INTO INYCEXT.INYC_CONF_INF_AGENTES (COD_INFORME,BO_GROUP,COMPANIA,ID_TIPO_AGENTE,TABLA,F_INICIO,F_FIN,DESCRIPCION) VALUES ("&amp;AGENTES!B149&amp;",'"&amp;AGENTES!C149&amp;"','"&amp;AGENTES!D149&amp;"','"&amp;AGENTES!E149&amp;"','"&amp;AGENTES!F149&amp;"',TO_DATE('"&amp;AGENTES!G149&amp;"','yyyymmdd'),TO_DATE('"&amp;AGENTES!H149&amp;"','yyyymmdd'),'"&amp;AGENTES!I149&amp;"');")</f>
        <v>INSERT INTO INYCEXT.INYC_CONF_INF_AGENTES (COD_INFORME,BO_GROUP,COMPANIA,ID_TIPO_AGENTE,TABLA,F_INICIO,F_FIN,DESCRIPCION) VALUES (14,'INYC Compensation Reports User Group - PP','01','62','INYC_PP_RESUMEN',TO_DATE('20140101','yyyymmdd'),TO_DATE('22000101','yyyymmdd'),'');</v>
      </c>
    </row>
    <row r="149" spans="1:1" x14ac:dyDescent="0.25">
      <c r="A149" t="str">
        <f>IF(AGENTES!I150="OBSOLETO","","INSERT INTO INYCEXT.INYC_CONF_INF_AGENTES (COD_INFORME,BO_GROUP,COMPANIA,ID_TIPO_AGENTE,TABLA,F_INICIO,F_FIN,DESCRIPCION) VALUES ("&amp;AGENTES!B150&amp;",'"&amp;AGENTES!C150&amp;"','"&amp;AGENTES!D150&amp;"','"&amp;AGENTES!E150&amp;"','"&amp;AGENTES!F150&amp;"',TO_DATE('"&amp;AGENTES!G150&amp;"','yyyymmdd'),TO_DATE('"&amp;AGENTES!H150&amp;"','yyyymmdd'),'"&amp;AGENTES!I150&amp;"');")</f>
        <v>INSERT INTO INYCEXT.INYC_CONF_INF_AGENTES (COD_INFORME,BO_GROUP,COMPANIA,ID_TIPO_AGENTE,TABLA,F_INICIO,F_FIN,DESCRIPCION) VALUES (14,'INYC Compensation Reports User Group - PP','01','65','INYC_PP_RESUMEN',TO_DATE('20140101','yyyymmdd'),TO_DATE('22000101','yyyymmdd'),'');</v>
      </c>
    </row>
    <row r="150" spans="1:1" x14ac:dyDescent="0.25">
      <c r="A150" t="str">
        <f>IF(AGENTES!I151="OBSOLETO","","INSERT INTO INYCEXT.INYC_CONF_INF_AGENTES (COD_INFORME,BO_GROUP,COMPANIA,ID_TIPO_AGENTE,TABLA,F_INICIO,F_FIN,DESCRIPCION) VALUES ("&amp;AGENTES!B151&amp;",'"&amp;AGENTES!C151&amp;"','"&amp;AGENTES!D151&amp;"','"&amp;AGENTES!E151&amp;"','"&amp;AGENTES!F151&amp;"',TO_DATE('"&amp;AGENTES!G151&amp;"','yyyymmdd'),TO_DATE('"&amp;AGENTES!H151&amp;"','yyyymmdd'),'"&amp;AGENTES!I151&amp;"');")</f>
        <v>INSERT INTO INYCEXT.INYC_CONF_INF_AGENTES (COD_INFORME,BO_GROUP,COMPANIA,ID_TIPO_AGENTE,TABLA,F_INICIO,F_FIN,DESCRIPCION) VALUES (15,'INYC Compensation Reports User Group - RIN','01','32','INYC_RIN_RESUMEN',TO_DATE('20140101','yyyymmdd'),TO_DATE('22000101','yyyymmdd'),'Version 20180926');</v>
      </c>
    </row>
    <row r="151" spans="1:1" x14ac:dyDescent="0.25">
      <c r="A151" t="str">
        <f>IF(AGENTES!I152="OBSOLETO","","INSERT INTO INYCEXT.INYC_CONF_INF_AGENTES (COD_INFORME,BO_GROUP,COMPANIA,ID_TIPO_AGENTE,TABLA,F_INICIO,F_FIN,DESCRIPCION) VALUES ("&amp;AGENTES!B152&amp;",'"&amp;AGENTES!C152&amp;"','"&amp;AGENTES!D152&amp;"','"&amp;AGENTES!E152&amp;"','"&amp;AGENTES!F152&amp;"',TO_DATE('"&amp;AGENTES!G152&amp;"','yyyymmdd'),TO_DATE('"&amp;AGENTES!H152&amp;"','yyyymmdd'),'"&amp;AGENTES!I152&amp;"');")</f>
        <v>INSERT INTO INYCEXT.INYC_CONF_INF_AGENTES (COD_INFORME,BO_GROUP,COMPANIA,ID_TIPO_AGENTE,TABLA,F_INICIO,F_FIN,DESCRIPCION) VALUES (15,'INYC Compensation Reports User Group - RIN','01','42','INYC_RIN_RESUMEN',TO_DATE('20140101','yyyymmdd'),TO_DATE('22000101','yyyymmdd'),'');</v>
      </c>
    </row>
    <row r="152" spans="1:1" x14ac:dyDescent="0.25">
      <c r="A152" t="str">
        <f>IF(AGENTES!I153="OBSOLETO","","INSERT INTO INYCEXT.INYC_CONF_INF_AGENTES (COD_INFORME,BO_GROUP,COMPANIA,ID_TIPO_AGENTE,TABLA,F_INICIO,F_FIN,DESCRIPCION) VALUES ("&amp;AGENTES!B153&amp;",'"&amp;AGENTES!C153&amp;"','"&amp;AGENTES!D153&amp;"','"&amp;AGENTES!E153&amp;"','"&amp;AGENTES!F153&amp;"',TO_DATE('"&amp;AGENTES!G153&amp;"','yyyymmdd'),TO_DATE('"&amp;AGENTES!H153&amp;"','yyyymmdd'),'"&amp;AGENTES!I153&amp;"');")</f>
        <v>INSERT INTO INYCEXT.INYC_CONF_INF_AGENTES (COD_INFORME,BO_GROUP,COMPANIA,ID_TIPO_AGENTE,TABLA,F_INICIO,F_FIN,DESCRIPCION) VALUES (15,'INYC Compensation Reports User Group - RIN','01','44','INYC_RIN_RESUMEN',TO_DATE('20140101','yyyymmdd'),TO_DATE('22000101','yyyymmdd'),'');</v>
      </c>
    </row>
    <row r="153" spans="1:1" x14ac:dyDescent="0.25">
      <c r="A153" t="str">
        <f>IF(AGENTES!I154="OBSOLETO","","INSERT INTO INYCEXT.INYC_CONF_INF_AGENTES (COD_INFORME,BO_GROUP,COMPANIA,ID_TIPO_AGENTE,TABLA,F_INICIO,F_FIN,DESCRIPCION) VALUES ("&amp;AGENTES!B154&amp;",'"&amp;AGENTES!C154&amp;"','"&amp;AGENTES!D154&amp;"','"&amp;AGENTES!E154&amp;"','"&amp;AGENTES!F154&amp;"',TO_DATE('"&amp;AGENTES!G154&amp;"','yyyymmdd'),TO_DATE('"&amp;AGENTES!H154&amp;"','yyyymmdd'),'"&amp;AGENTES!I154&amp;"');")</f>
        <v>INSERT INTO INYCEXT.INYC_CONF_INF_AGENTES (COD_INFORME,BO_GROUP,COMPANIA,ID_TIPO_AGENTE,TABLA,F_INICIO,F_FIN,DESCRIPCION) VALUES (15,'INYC Compensation Reports User Group - RIN','01','45','INYC_RIN_RESUMEN',TO_DATE('20140101','yyyymmdd'),TO_DATE('22000101','yyyymmdd'),'');</v>
      </c>
    </row>
    <row r="154" spans="1:1" x14ac:dyDescent="0.25">
      <c r="A154" t="str">
        <f>IF(AGENTES!I155="OBSOLETO","","INSERT INTO INYCEXT.INYC_CONF_INF_AGENTES (COD_INFORME,BO_GROUP,COMPANIA,ID_TIPO_AGENTE,TABLA,F_INICIO,F_FIN,DESCRIPCION) VALUES ("&amp;AGENTES!B155&amp;",'"&amp;AGENTES!C155&amp;"','"&amp;AGENTES!D155&amp;"','"&amp;AGENTES!E155&amp;"','"&amp;AGENTES!F155&amp;"',TO_DATE('"&amp;AGENTES!G155&amp;"','yyyymmdd'),TO_DATE('"&amp;AGENTES!H155&amp;"','yyyymmdd'),'"&amp;AGENTES!I155&amp;"');")</f>
        <v>INSERT INTO INYCEXT.INYC_CONF_INF_AGENTES (COD_INFORME,BO_GROUP,COMPANIA,ID_TIPO_AGENTE,TABLA,F_INICIO,F_FIN,DESCRIPCION) VALUES (15,'INYC Compensation Reports User Group - RIN','01','48','INYC_RIN_RESUMEN',TO_DATE('20140101','yyyymmdd'),TO_DATE('22000101','yyyymmdd'),'');</v>
      </c>
    </row>
    <row r="155" spans="1:1" x14ac:dyDescent="0.25">
      <c r="A155" t="str">
        <f>IF(AGENTES!I156="OBSOLETO","","INSERT INTO INYCEXT.INYC_CONF_INF_AGENTES (COD_INFORME,BO_GROUP,COMPANIA,ID_TIPO_AGENTE,TABLA,F_INICIO,F_FIN,DESCRIPCION) VALUES ("&amp;AGENTES!B156&amp;",'"&amp;AGENTES!C156&amp;"','"&amp;AGENTES!D156&amp;"','"&amp;AGENTES!E156&amp;"','"&amp;AGENTES!F156&amp;"',TO_DATE('"&amp;AGENTES!G156&amp;"','yyyymmdd'),TO_DATE('"&amp;AGENTES!H156&amp;"','yyyymmdd'),'"&amp;AGENTES!I156&amp;"');")</f>
        <v>INSERT INTO INYCEXT.INYC_CONF_INF_AGENTES (COD_INFORME,BO_GROUP,COMPANIA,ID_TIPO_AGENTE,TABLA,F_INICIO,F_FIN,DESCRIPCION) VALUES (15,'INYC Compensation Reports User Group - RIN','01','49','INYC_RIN_RESUMEN',TO_DATE('20140101','yyyymmdd'),TO_DATE('22000101','yyyymmdd'),'');</v>
      </c>
    </row>
    <row r="156" spans="1:1" x14ac:dyDescent="0.25">
      <c r="A156" t="str">
        <f>IF(AGENTES!I157="OBSOLETO","","INSERT INTO INYCEXT.INYC_CONF_INF_AGENTES (COD_INFORME,BO_GROUP,COMPANIA,ID_TIPO_AGENTE,TABLA,F_INICIO,F_FIN,DESCRIPCION) VALUES ("&amp;AGENTES!B157&amp;",'"&amp;AGENTES!C157&amp;"','"&amp;AGENTES!D157&amp;"','"&amp;AGENTES!E157&amp;"','"&amp;AGENTES!F157&amp;"',TO_DATE('"&amp;AGENTES!G157&amp;"','yyyymmdd'),TO_DATE('"&amp;AGENTES!H157&amp;"','yyyymmdd'),'"&amp;AGENTES!I157&amp;"');")</f>
        <v>INSERT INTO INYCEXT.INYC_CONF_INF_AGENTES (COD_INFORME,BO_GROUP,COMPANIA,ID_TIPO_AGENTE,TABLA,F_INICIO,F_FIN,DESCRIPCION) VALUES (16,'INYC Compensation Reports User Group - FIN','01','41','INYC_FIN_RESUMEN',TO_DATE('20140101','yyyymmdd'),TO_DATE('22000101','yyyymmdd'),'Version 20180118');</v>
      </c>
    </row>
    <row r="157" spans="1:1" x14ac:dyDescent="0.25">
      <c r="A157" t="str">
        <f>IF(AGENTES!I158="OBSOLETO","","INSERT INTO INYCEXT.INYC_CONF_INF_AGENTES (COD_INFORME,BO_GROUP,COMPANIA,ID_TIPO_AGENTE,TABLA,F_INICIO,F_FIN,DESCRIPCION) VALUES ("&amp;AGENTES!B158&amp;",'"&amp;AGENTES!C158&amp;"','"&amp;AGENTES!D158&amp;"','"&amp;AGENTES!E158&amp;"','"&amp;AGENTES!F158&amp;"',TO_DATE('"&amp;AGENTES!G158&amp;"','yyyymmdd'),TO_DATE('"&amp;AGENTES!H158&amp;"','yyyymmdd'),'"&amp;AGENTES!I158&amp;"');")</f>
        <v>INSERT INTO INYCEXT.INYC_CONF_INF_AGENTES (COD_INFORME,BO_GROUP,COMPANIA,ID_TIPO_AGENTE,TABLA,F_INICIO,F_FIN,DESCRIPCION) VALUES (16,'INYC Compensation Reports User Group - FIN','01','42','INYC_FIN_RESUMEN',TO_DATE('20140101','yyyymmdd'),TO_DATE('22000101','yyyymmdd'),'Version 20180118');</v>
      </c>
    </row>
    <row r="158" spans="1:1" x14ac:dyDescent="0.25">
      <c r="A158" t="str">
        <f>IF(AGENTES!I159="OBSOLETO","","INSERT INTO INYCEXT.INYC_CONF_INF_AGENTES (COD_INFORME,BO_GROUP,COMPANIA,ID_TIPO_AGENTE,TABLA,F_INICIO,F_FIN,DESCRIPCION) VALUES ("&amp;AGENTES!B159&amp;",'"&amp;AGENTES!C159&amp;"','"&amp;AGENTES!D159&amp;"','"&amp;AGENTES!E159&amp;"','"&amp;AGENTES!F159&amp;"',TO_DATE('"&amp;AGENTES!G159&amp;"','yyyymmdd'),TO_DATE('"&amp;AGENTES!H159&amp;"','yyyymmdd'),'"&amp;AGENTES!I159&amp;"');")</f>
        <v>INSERT INTO INYCEXT.INYC_CONF_INF_AGENTES (COD_INFORME,BO_GROUP,COMPANIA,ID_TIPO_AGENTE,TABLA,F_INICIO,F_FIN,DESCRIPCION) VALUES (17,'INYC Compensation Reports User Group - RE','01','52','INYC_RE_RESUMEN,INYC_RE_DETALLE',TO_DATE('20140101','yyyymmdd'),TO_DATE('22000101','yyyymmdd'),'');</v>
      </c>
    </row>
    <row r="159" spans="1:1" x14ac:dyDescent="0.25">
      <c r="A159" t="str">
        <f>IF(AGENTES!I160="OBSOLETO","","INSERT INTO INYCEXT.INYC_CONF_INF_AGENTES (COD_INFORME,BO_GROUP,COMPANIA,ID_TIPO_AGENTE,TABLA,F_INICIO,F_FIN,DESCRIPCION) VALUES ("&amp;AGENTES!B160&amp;",'"&amp;AGENTES!C160&amp;"','"&amp;AGENTES!D160&amp;"','"&amp;AGENTES!E160&amp;"','"&amp;AGENTES!F160&amp;"',TO_DATE('"&amp;AGENTES!G160&amp;"','yyyymmdd'),TO_DATE('"&amp;AGENTES!H160&amp;"','yyyymmdd'),'"&amp;AGENTES!I160&amp;"');")</f>
        <v>INSERT INTO INYCEXT.INYC_CONF_INF_AGENTES (COD_INFORME,BO_GROUP,COMPANIA,ID_TIPO_AGENTE,TABLA,F_INICIO,F_FIN,DESCRIPCION) VALUES (17,'INYC Compensation Reports User Group - RE','01','54','INYC_RE_RESUMEN,INYC_RE_DETALLE',TO_DATE('20140101','yyyymmdd'),TO_DATE('22000101','yyyymmdd'),'');</v>
      </c>
    </row>
    <row r="160" spans="1:1" x14ac:dyDescent="0.25">
      <c r="A160" t="str">
        <f>IF(AGENTES!I161="OBSOLETO","","INSERT INTO INYCEXT.INYC_CONF_INF_AGENTES (COD_INFORME,BO_GROUP,COMPANIA,ID_TIPO_AGENTE,TABLA,F_INICIO,F_FIN,DESCRIPCION) VALUES ("&amp;AGENTES!B161&amp;",'"&amp;AGENTES!C161&amp;"','"&amp;AGENTES!D161&amp;"','"&amp;AGENTES!E161&amp;"','"&amp;AGENTES!F161&amp;"',TO_DATE('"&amp;AGENTES!G161&amp;"','yyyymmdd'),TO_DATE('"&amp;AGENTES!H161&amp;"','yyyymmdd'),'"&amp;AGENTES!I161&amp;"');")</f>
        <v>INSERT INTO INYCEXT.INYC_CONF_INF_AGENTES (COD_INFORME,BO_GROUP,COMPANIA,ID_TIPO_AGENTE,TABLA,F_INICIO,F_FIN,DESCRIPCION) VALUES (17,'INYC Compensation Reports User Group - RE','01','56','INYC_RE_RESUMEN,INYC_RE_DETALLE',TO_DATE('20140101','yyyymmdd'),TO_DATE('22000101','yyyymmdd'),'');</v>
      </c>
    </row>
    <row r="161" spans="1:1" x14ac:dyDescent="0.25">
      <c r="A161" t="str">
        <f>IF(AGENTES!I162="OBSOLETO","","INSERT INTO INYCEXT.INYC_CONF_INF_AGENTES (COD_INFORME,BO_GROUP,COMPANIA,ID_TIPO_AGENTE,TABLA,F_INICIO,F_FIN,DESCRIPCION) VALUES ("&amp;AGENTES!B162&amp;",'"&amp;AGENTES!C162&amp;"','"&amp;AGENTES!D162&amp;"','"&amp;AGENTES!E162&amp;"','"&amp;AGENTES!F162&amp;"',TO_DATE('"&amp;AGENTES!G162&amp;"','yyyymmdd'),TO_DATE('"&amp;AGENTES!H162&amp;"','yyyymmdd'),'"&amp;AGENTES!I162&amp;"');")</f>
        <v>INSERT INTO INYCEXT.INYC_CONF_INF_AGENTES (COD_INFORME,BO_GROUP,COMPANIA,ID_TIPO_AGENTE,TABLA,F_INICIO,F_FIN,DESCRIPCION) VALUES (17,'INYC Compensation Reports User Group - RE','01','57','INYC_RE_RESUMEN,INYC_RE_DETALLE',TO_DATE('20140101','yyyymmdd'),TO_DATE('22000101','yyyymmdd'),'');</v>
      </c>
    </row>
    <row r="162" spans="1:1" x14ac:dyDescent="0.25">
      <c r="A162" t="str">
        <f>IF(AGENTES!I163="OBSOLETO","","INSERT INTO INYCEXT.INYC_CONF_INF_AGENTES (COD_INFORME,BO_GROUP,COMPANIA,ID_TIPO_AGENTE,TABLA,F_INICIO,F_FIN,DESCRIPCION) VALUES ("&amp;AGENTES!B163&amp;",'"&amp;AGENTES!C163&amp;"','"&amp;AGENTES!D163&amp;"','"&amp;AGENTES!E163&amp;"','"&amp;AGENTES!F163&amp;"',TO_DATE('"&amp;AGENTES!G163&amp;"','yyyymmdd'),TO_DATE('"&amp;AGENTES!H163&amp;"','yyyymmdd'),'"&amp;AGENTES!I163&amp;"');")</f>
        <v>INSERT INTO INYCEXT.INYC_CONF_INF_AGENTES (COD_INFORME,BO_GROUP,COMPANIA,ID_TIPO_AGENTE,TABLA,F_INICIO,F_FIN,DESCRIPCION) VALUES (17,'INYC Compensation Reports User Group - RE','01','58','INYC_RE_RESUMEN,INYC_RE_DETALLE',TO_DATE('20140101','yyyymmdd'),TO_DATE('22000101','yyyymmdd'),'');</v>
      </c>
    </row>
    <row r="163" spans="1:1" x14ac:dyDescent="0.25">
      <c r="A163" t="str">
        <f>IF(AGENTES!I164="OBSOLETO","","INSERT INTO INYCEXT.INYC_CONF_INF_AGENTES (COD_INFORME,BO_GROUP,COMPANIA,ID_TIPO_AGENTE,TABLA,F_INICIO,F_FIN,DESCRIPCION) VALUES ("&amp;AGENTES!B164&amp;",'"&amp;AGENTES!C164&amp;"','"&amp;AGENTES!D164&amp;"','"&amp;AGENTES!E164&amp;"','"&amp;AGENTES!F164&amp;"',TO_DATE('"&amp;AGENTES!G164&amp;"','yyyymmdd'),TO_DATE('"&amp;AGENTES!H164&amp;"','yyyymmdd'),'"&amp;AGENTES!I164&amp;"');")</f>
        <v>INSERT INTO INYCEXT.INYC_CONF_INF_AGENTES (COD_INFORME,BO_GROUP,COMPANIA,ID_TIPO_AGENTE,TABLA,F_INICIO,F_FIN,DESCRIPCION) VALUES (17,'INYC Compensation Reports User Group - RE','01','59','INYC_RE_RESUMEN,INYC_RE_DETALLE',TO_DATE('20140101','yyyymmdd'),TO_DATE('22000101','yyyymmdd'),'');</v>
      </c>
    </row>
    <row r="164" spans="1:1" x14ac:dyDescent="0.25">
      <c r="A164" t="str">
        <f>IF(AGENTES!I165="OBSOLETO","","INSERT INTO INYCEXT.INYC_CONF_INF_AGENTES (COD_INFORME,BO_GROUP,COMPANIA,ID_TIPO_AGENTE,TABLA,F_INICIO,F_FIN,DESCRIPCION) VALUES ("&amp;AGENTES!B165&amp;",'"&amp;AGENTES!C165&amp;"','"&amp;AGENTES!D165&amp;"','"&amp;AGENTES!E165&amp;"','"&amp;AGENTES!F165&amp;"',TO_DATE('"&amp;AGENTES!G165&amp;"','yyyymmdd'),TO_DATE('"&amp;AGENTES!H165&amp;"','yyyymmdd'),'"&amp;AGENTES!I165&amp;"');")</f>
        <v>INSERT INTO INYCEXT.INYC_CONF_INF_AGENTES (COD_INFORME,BO_GROUP,COMPANIA,ID_TIPO_AGENTE,TABLA,F_INICIO,F_FIN,DESCRIPCION) VALUES (17,'INYC Compensation Reports User Group - RE','01','60','INYC_RE_RESUMEN,INYC_RE_DETALLE',TO_DATE('20200101','yyyymmdd'),TO_DATE('22000101','yyyymmdd'),'Version 20200526');</v>
      </c>
    </row>
    <row r="165" spans="1:1" x14ac:dyDescent="0.25">
      <c r="A165" t="str">
        <f>IF(AGENTES!I166="OBSOLETO","","INSERT INTO INYCEXT.INYC_CONF_INF_AGENTES (COD_INFORME,BO_GROUP,COMPANIA,ID_TIPO_AGENTE,TABLA,F_INICIO,F_FIN,DESCRIPCION) VALUES ("&amp;AGENTES!B166&amp;",'"&amp;AGENTES!C166&amp;"','"&amp;AGENTES!D166&amp;"','"&amp;AGENTES!E166&amp;"','"&amp;AGENTES!F166&amp;"',TO_DATE('"&amp;AGENTES!G166&amp;"','yyyymmdd'),TO_DATE('"&amp;AGENTES!H166&amp;"','yyyymmdd'),'"&amp;AGENTES!I166&amp;"');")</f>
        <v>INSERT INTO INYCEXT.INYC_CONF_INF_AGENTES (COD_INFORME,BO_GROUP,COMPANIA,ID_TIPO_AGENTE,TABLA,F_INICIO,F_FIN,DESCRIPCION) VALUES (17,'INYC Compensation Reports User Group - RE','01','61','INYC_RE_RESUMEN,INYC_RE_DETALLE',TO_DATE('20140101','yyyymmdd'),TO_DATE('22000101','yyyymmdd'),'');</v>
      </c>
    </row>
    <row r="166" spans="1:1" x14ac:dyDescent="0.25">
      <c r="A166" t="str">
        <f>IF(AGENTES!I167="OBSOLETO","","INSERT INTO INYCEXT.INYC_CONF_INF_AGENTES (COD_INFORME,BO_GROUP,COMPANIA,ID_TIPO_AGENTE,TABLA,F_INICIO,F_FIN,DESCRIPCION) VALUES ("&amp;AGENTES!B167&amp;",'"&amp;AGENTES!C167&amp;"','"&amp;AGENTES!D167&amp;"','"&amp;AGENTES!E167&amp;"','"&amp;AGENTES!F167&amp;"',TO_DATE('"&amp;AGENTES!G167&amp;"','yyyymmdd'),TO_DATE('"&amp;AGENTES!H167&amp;"','yyyymmdd'),'"&amp;AGENTES!I167&amp;"');")</f>
        <v>INSERT INTO INYCEXT.INYC_CONF_INF_AGENTES (COD_INFORME,BO_GROUP,COMPANIA,ID_TIPO_AGENTE,TABLA,F_INICIO,F_FIN,DESCRIPCION) VALUES (17,'INYC Compensation Reports User Group - RE','01','62','INYC_RE_RESUMEN,INYC_RE_DETALLE',TO_DATE('20140101','yyyymmdd'),TO_DATE('22000101','yyyymmdd'),'');</v>
      </c>
    </row>
    <row r="167" spans="1:1" x14ac:dyDescent="0.25">
      <c r="A167" t="str">
        <f>IF(AGENTES!I168="OBSOLETO","","INSERT INTO INYCEXT.INYC_CONF_INF_AGENTES (COD_INFORME,BO_GROUP,COMPANIA,ID_TIPO_AGENTE,TABLA,F_INICIO,F_FIN,DESCRIPCION) VALUES ("&amp;AGENTES!B168&amp;",'"&amp;AGENTES!C168&amp;"','"&amp;AGENTES!D168&amp;"','"&amp;AGENTES!E168&amp;"','"&amp;AGENTES!F168&amp;"',TO_DATE('"&amp;AGENTES!G168&amp;"','yyyymmdd'),TO_DATE('"&amp;AGENTES!H168&amp;"','yyyymmdd'),'"&amp;AGENTES!I168&amp;"');")</f>
        <v>INSERT INTO INYCEXT.INYC_CONF_INF_AGENTES (COD_INFORME,BO_GROUP,COMPANIA,ID_TIPO_AGENTE,TABLA,F_INICIO,F_FIN,DESCRIPCION) VALUES (17,'INYC Compensation Reports User Group - RE','01','65','INYC_RE_RESUMEN,INYC_RE_DETALLE',TO_DATE('20140101','yyyymmdd'),TO_DATE('22000101','yyyymmdd'),'');</v>
      </c>
    </row>
    <row r="168" spans="1:1" x14ac:dyDescent="0.25">
      <c r="A168" t="str">
        <f>IF(AGENTES!I169="OBSOLETO","","INSERT INTO INYCEXT.INYC_CONF_INF_AGENTES (COD_INFORME,BO_GROUP,COMPANIA,ID_TIPO_AGENTE,TABLA,F_INICIO,F_FIN,DESCRIPCION) VALUES ("&amp;AGENTES!B169&amp;",'"&amp;AGENTES!C169&amp;"','"&amp;AGENTES!D169&amp;"','"&amp;AGENTES!E169&amp;"','"&amp;AGENTES!F169&amp;"',TO_DATE('"&amp;AGENTES!G169&amp;"','yyyymmdd'),TO_DATE('"&amp;AGENTES!H169&amp;"','yyyymmdd'),'"&amp;AGENTES!I169&amp;"');")</f>
        <v>INSERT INTO INYCEXT.INYC_CONF_INF_AGENTES (COD_INFORME,BO_GROUP,COMPANIA,ID_TIPO_AGENTE,TABLA,F_INICIO,F_FIN,DESCRIPCION) VALUES (17,'INYC Compensation Reports User Group - RE','01','70','INYC_RE_RESUMEN,INYC_RE_DETALLE',TO_DATE('20140101','yyyymmdd'),TO_DATE('22000101','yyyymmdd'),'');</v>
      </c>
    </row>
    <row r="169" spans="1:1" x14ac:dyDescent="0.25">
      <c r="A169" t="str">
        <f>IF(AGENTES!I170="OBSOLETO","","INSERT INTO INYCEXT.INYC_CONF_INF_AGENTES (COD_INFORME,BO_GROUP,COMPANIA,ID_TIPO_AGENTE,TABLA,F_INICIO,F_FIN,DESCRIPCION) VALUES ("&amp;AGENTES!B170&amp;",'"&amp;AGENTES!C170&amp;"','"&amp;AGENTES!D170&amp;"','"&amp;AGENTES!E170&amp;"','"&amp;AGENTES!F170&amp;"',TO_DATE('"&amp;AGENTES!G170&amp;"','yyyymmdd'),TO_DATE('"&amp;AGENTES!H170&amp;"','yyyymmdd'),'"&amp;AGENTES!I170&amp;"');")</f>
        <v>INSERT INTO INYCEXT.INYC_CONF_INF_AGENTES (COD_INFORME,BO_GROUP,COMPANIA,ID_TIPO_AGENTE,TABLA,F_INICIO,F_FIN,DESCRIPCION) VALUES (17,'INYC Compensation Reports User Group - RE','01','71','INYC_RE_RESUMEN,INYC_RE_DETALLE',TO_DATE('20140101','yyyymmdd'),TO_DATE('22000101','yyyymmdd'),'');</v>
      </c>
    </row>
    <row r="170" spans="1:1" x14ac:dyDescent="0.25">
      <c r="A170" t="str">
        <f>IF(AGENTES!I171="OBSOLETO","","INSERT INTO INYCEXT.INYC_CONF_INF_AGENTES (COD_INFORME,BO_GROUP,COMPANIA,ID_TIPO_AGENTE,TABLA,F_INICIO,F_FIN,DESCRIPCION) VALUES ("&amp;AGENTES!B171&amp;",'"&amp;AGENTES!C171&amp;"','"&amp;AGENTES!D171&amp;"','"&amp;AGENTES!E171&amp;"','"&amp;AGENTES!F171&amp;"',TO_DATE('"&amp;AGENTES!G171&amp;"','yyyymmdd'),TO_DATE('"&amp;AGENTES!H171&amp;"','yyyymmdd'),'"&amp;AGENTES!I171&amp;"');")</f>
        <v>INSERT INTO INYCEXT.INYC_CONF_INF_AGENTES (COD_INFORME,BO_GROUP,COMPANIA,ID_TIPO_AGENTE,TABLA,F_INICIO,F_FIN,DESCRIPCION) VALUES (17,'INYC Compensation Reports User Group - RE','01','72','INYC_RE_RESUMEN,INYC_RE_DETALLE',TO_DATE('20140101','yyyymmdd'),TO_DATE('22000101','yyyymmdd'),'');</v>
      </c>
    </row>
    <row r="171" spans="1:1" x14ac:dyDescent="0.25">
      <c r="A171" t="str">
        <f>IF(AGENTES!I172="OBSOLETO","","INSERT INTO INYCEXT.INYC_CONF_INF_AGENTES (COD_INFORME,BO_GROUP,COMPANIA,ID_TIPO_AGENTE,TABLA,F_INICIO,F_FIN,DESCRIPCION) VALUES ("&amp;AGENTES!B172&amp;",'"&amp;AGENTES!C172&amp;"','"&amp;AGENTES!D172&amp;"','"&amp;AGENTES!E172&amp;"','"&amp;AGENTES!F172&amp;"',TO_DATE('"&amp;AGENTES!G172&amp;"','yyyymmdd'),TO_DATE('"&amp;AGENTES!H172&amp;"','yyyymmdd'),'"&amp;AGENTES!I172&amp;"');")</f>
        <v>INSERT INTO INYCEXT.INYC_CONF_INF_AGENTES (COD_INFORME,BO_GROUP,COMPANIA,ID_TIPO_AGENTE,TABLA,F_INICIO,F_FIN,DESCRIPCION) VALUES (17,'INYC Compensation Reports User Group - RE','01','74','INYC_RE_RESUMEN,INYC_RE_DETALLE',TO_DATE('20140101','yyyymmdd'),TO_DATE('22000101','yyyymmdd'),'');</v>
      </c>
    </row>
    <row r="172" spans="1:1" x14ac:dyDescent="0.25">
      <c r="A172" t="str">
        <f>IF(AGENTES!I173="OBSOLETO","","INSERT INTO INYCEXT.INYC_CONF_INF_AGENTES (COD_INFORME,BO_GROUP,COMPANIA,ID_TIPO_AGENTE,TABLA,F_INICIO,F_FIN,DESCRIPCION) VALUES ("&amp;AGENTES!B173&amp;",'"&amp;AGENTES!C173&amp;"','"&amp;AGENTES!D173&amp;"','"&amp;AGENTES!E173&amp;"','"&amp;AGENTES!F173&amp;"',TO_DATE('"&amp;AGENTES!G173&amp;"','yyyymmdd'),TO_DATE('"&amp;AGENTES!H173&amp;"','yyyymmdd'),'"&amp;AGENTES!I173&amp;"');")</f>
        <v>INSERT INTO INYCEXT.INYC_CONF_INF_AGENTES (COD_INFORME,BO_GROUP,COMPANIA,ID_TIPO_AGENTE,TABLA,F_INICIO,F_FIN,DESCRIPCION) VALUES (18,'INYC Compensation Reports User Group - COMU','01','52','INYC_COMU_RESUMEN',TO_DATE('20140101','yyyymmdd'),TO_DATE('22000101','yyyymmdd'),'Version 20180116');</v>
      </c>
    </row>
    <row r="173" spans="1:1" x14ac:dyDescent="0.25">
      <c r="A173" t="str">
        <f>IF(AGENTES!I174="OBSOLETO","","INSERT INTO INYCEXT.INYC_CONF_INF_AGENTES (COD_INFORME,BO_GROUP,COMPANIA,ID_TIPO_AGENTE,TABLA,F_INICIO,F_FIN,DESCRIPCION) VALUES ("&amp;AGENTES!B174&amp;",'"&amp;AGENTES!C174&amp;"','"&amp;AGENTES!D174&amp;"','"&amp;AGENTES!E174&amp;"','"&amp;AGENTES!F174&amp;"',TO_DATE('"&amp;AGENTES!G174&amp;"','yyyymmdd'),TO_DATE('"&amp;AGENTES!H174&amp;"','yyyymmdd'),'"&amp;AGENTES!I174&amp;"');")</f>
        <v>INSERT INTO INYCEXT.INYC_CONF_INF_AGENTES (COD_INFORME,BO_GROUP,COMPANIA,ID_TIPO_AGENTE,TABLA,F_INICIO,F_FIN,DESCRIPCION) VALUES (18,'INYC Compensation Reports User Group - COMU','01','54','INYC_COMU_RESUMEN',TO_DATE('20140101','yyyymmdd'),TO_DATE('22000101','yyyymmdd'),'Version 20180116');</v>
      </c>
    </row>
    <row r="174" spans="1:1" x14ac:dyDescent="0.25">
      <c r="A174" t="str">
        <f>IF(AGENTES!I175="OBSOLETO","","INSERT INTO INYCEXT.INYC_CONF_INF_AGENTES (COD_INFORME,BO_GROUP,COMPANIA,ID_TIPO_AGENTE,TABLA,F_INICIO,F_FIN,DESCRIPCION) VALUES ("&amp;AGENTES!B175&amp;",'"&amp;AGENTES!C175&amp;"','"&amp;AGENTES!D175&amp;"','"&amp;AGENTES!E175&amp;"','"&amp;AGENTES!F175&amp;"',TO_DATE('"&amp;AGENTES!G175&amp;"','yyyymmdd'),TO_DATE('"&amp;AGENTES!H175&amp;"','yyyymmdd'),'"&amp;AGENTES!I175&amp;"');")</f>
        <v>INSERT INTO INYCEXT.INYC_CONF_INF_AGENTES (COD_INFORME,BO_GROUP,COMPANIA,ID_TIPO_AGENTE,TABLA,F_INICIO,F_FIN,DESCRIPCION) VALUES (18,'INYC Compensation Reports User Group - COMU','01','56','INYC_COMU_RESUMEN',TO_DATE('20140101','yyyymmdd'),TO_DATE('22000101','yyyymmdd'),'Version 20180116');</v>
      </c>
    </row>
    <row r="175" spans="1:1" x14ac:dyDescent="0.25">
      <c r="A175" t="str">
        <f>IF(AGENTES!I176="OBSOLETO","","INSERT INTO INYCEXT.INYC_CONF_INF_AGENTES (COD_INFORME,BO_GROUP,COMPANIA,ID_TIPO_AGENTE,TABLA,F_INICIO,F_FIN,DESCRIPCION) VALUES ("&amp;AGENTES!B176&amp;",'"&amp;AGENTES!C176&amp;"','"&amp;AGENTES!D176&amp;"','"&amp;AGENTES!E176&amp;"','"&amp;AGENTES!F176&amp;"',TO_DATE('"&amp;AGENTES!G176&amp;"','yyyymmdd'),TO_DATE('"&amp;AGENTES!H176&amp;"','yyyymmdd'),'"&amp;AGENTES!I176&amp;"');")</f>
        <v>INSERT INTO INYCEXT.INYC_CONF_INF_AGENTES (COD_INFORME,BO_GROUP,COMPANIA,ID_TIPO_AGENTE,TABLA,F_INICIO,F_FIN,DESCRIPCION) VALUES (18,'INYC Compensation Reports User Group - COMU','01','57','INYC_COMU_RESUMEN',TO_DATE('20140101','yyyymmdd'),TO_DATE('22000101','yyyymmdd'),'Version 20180116');</v>
      </c>
    </row>
    <row r="176" spans="1:1" x14ac:dyDescent="0.25">
      <c r="A176" t="str">
        <f>IF(AGENTES!I177="OBSOLETO","","INSERT INTO INYCEXT.INYC_CONF_INF_AGENTES (COD_INFORME,BO_GROUP,COMPANIA,ID_TIPO_AGENTE,TABLA,F_INICIO,F_FIN,DESCRIPCION) VALUES ("&amp;AGENTES!B177&amp;",'"&amp;AGENTES!C177&amp;"','"&amp;AGENTES!D177&amp;"','"&amp;AGENTES!E177&amp;"','"&amp;AGENTES!F177&amp;"',TO_DATE('"&amp;AGENTES!G177&amp;"','yyyymmdd'),TO_DATE('"&amp;AGENTES!H177&amp;"','yyyymmdd'),'"&amp;AGENTES!I177&amp;"');")</f>
        <v>INSERT INTO INYCEXT.INYC_CONF_INF_AGENTES (COD_INFORME,BO_GROUP,COMPANIA,ID_TIPO_AGENTE,TABLA,F_INICIO,F_FIN,DESCRIPCION) VALUES (18,'INYC Compensation Reports User Group - COMU','01','58','INYC_COMU_RESUMEN',TO_DATE('20140101','yyyymmdd'),TO_DATE('22000101','yyyymmdd'),'Version 20180116');</v>
      </c>
    </row>
    <row r="177" spans="1:1" x14ac:dyDescent="0.25">
      <c r="A177" t="str">
        <f>IF(AGENTES!I178="OBSOLETO","","INSERT INTO INYCEXT.INYC_CONF_INF_AGENTES (COD_INFORME,BO_GROUP,COMPANIA,ID_TIPO_AGENTE,TABLA,F_INICIO,F_FIN,DESCRIPCION) VALUES ("&amp;AGENTES!B178&amp;",'"&amp;AGENTES!C178&amp;"','"&amp;AGENTES!D178&amp;"','"&amp;AGENTES!E178&amp;"','"&amp;AGENTES!F178&amp;"',TO_DATE('"&amp;AGENTES!G178&amp;"','yyyymmdd'),TO_DATE('"&amp;AGENTES!H178&amp;"','yyyymmdd'),'"&amp;AGENTES!I178&amp;"');")</f>
        <v>INSERT INTO INYCEXT.INYC_CONF_INF_AGENTES (COD_INFORME,BO_GROUP,COMPANIA,ID_TIPO_AGENTE,TABLA,F_INICIO,F_FIN,DESCRIPCION) VALUES (18,'INYC Compensation Reports User Group - COMU','01','59','INYC_COMU_RESUMEN',TO_DATE('20140101','yyyymmdd'),TO_DATE('22000101','yyyymmdd'),'Version 20180116');</v>
      </c>
    </row>
    <row r="178" spans="1:1" x14ac:dyDescent="0.25">
      <c r="A178" t="str">
        <f>IF(AGENTES!I179="OBSOLETO","","INSERT INTO INYCEXT.INYC_CONF_INF_AGENTES (COD_INFORME,BO_GROUP,COMPANIA,ID_TIPO_AGENTE,TABLA,F_INICIO,F_FIN,DESCRIPCION) VALUES ("&amp;AGENTES!B179&amp;",'"&amp;AGENTES!C179&amp;"','"&amp;AGENTES!D179&amp;"','"&amp;AGENTES!E179&amp;"','"&amp;AGENTES!F179&amp;"',TO_DATE('"&amp;AGENTES!G179&amp;"','yyyymmdd'),TO_DATE('"&amp;AGENTES!H179&amp;"','yyyymmdd'),'"&amp;AGENTES!I179&amp;"');")</f>
        <v>INSERT INTO INYCEXT.INYC_CONF_INF_AGENTES (COD_INFORME,BO_GROUP,COMPANIA,ID_TIPO_AGENTE,TABLA,F_INICIO,F_FIN,DESCRIPCION) VALUES (18,'INYC Compensation Reports User Group - COMU','01','61','INYC_COMU_RESUMEN',TO_DATE('20140101','yyyymmdd'),TO_DATE('22000101','yyyymmdd'),'Version 20180116');</v>
      </c>
    </row>
    <row r="179" spans="1:1" x14ac:dyDescent="0.25">
      <c r="A179" t="str">
        <f>IF(AGENTES!I180="OBSOLETO","","INSERT INTO INYCEXT.INYC_CONF_INF_AGENTES (COD_INFORME,BO_GROUP,COMPANIA,ID_TIPO_AGENTE,TABLA,F_INICIO,F_FIN,DESCRIPCION) VALUES ("&amp;AGENTES!B180&amp;",'"&amp;AGENTES!C180&amp;"','"&amp;AGENTES!D180&amp;"','"&amp;AGENTES!E180&amp;"','"&amp;AGENTES!F180&amp;"',TO_DATE('"&amp;AGENTES!G180&amp;"','yyyymmdd'),TO_DATE('"&amp;AGENTES!H180&amp;"','yyyymmdd'),'"&amp;AGENTES!I180&amp;"');")</f>
        <v>INSERT INTO INYCEXT.INYC_CONF_INF_AGENTES (COD_INFORME,BO_GROUP,COMPANIA,ID_TIPO_AGENTE,TABLA,F_INICIO,F_FIN,DESCRIPCION) VALUES (18,'INYC Compensation Reports User Group - COMU','01','62','INYC_COMU_RESUMEN',TO_DATE('20140101','yyyymmdd'),TO_DATE('22000101','yyyymmdd'),'Version 20180116');</v>
      </c>
    </row>
    <row r="180" spans="1:1" x14ac:dyDescent="0.25">
      <c r="A180" t="str">
        <f>IF(AGENTES!I181="OBSOLETO","","INSERT INTO INYCEXT.INYC_CONF_INF_AGENTES (COD_INFORME,BO_GROUP,COMPANIA,ID_TIPO_AGENTE,TABLA,F_INICIO,F_FIN,DESCRIPCION) VALUES ("&amp;AGENTES!B181&amp;",'"&amp;AGENTES!C181&amp;"','"&amp;AGENTES!D181&amp;"','"&amp;AGENTES!E181&amp;"','"&amp;AGENTES!F181&amp;"',TO_DATE('"&amp;AGENTES!G181&amp;"','yyyymmdd'),TO_DATE('"&amp;AGENTES!H181&amp;"','yyyymmdd'),'"&amp;AGENTES!I181&amp;"');")</f>
        <v>INSERT INTO INYCEXT.INYC_CONF_INF_AGENTES (COD_INFORME,BO_GROUP,COMPANIA,ID_TIPO_AGENTE,TABLA,F_INICIO,F_FIN,DESCRIPCION) VALUES (18,'INYC Compensation Reports User Group - COMU','01','65','INYC_COMU_RESUMEN',TO_DATE('20140101','yyyymmdd'),TO_DATE('22000101','yyyymmdd'),'Version 20180116');</v>
      </c>
    </row>
    <row r="181" spans="1:1" x14ac:dyDescent="0.25">
      <c r="A181" t="str">
        <f>IF(AGENTES!I182="OBSOLETO","","INSERT INTO INYCEXT.INYC_CONF_INF_AGENTES (COD_INFORME,BO_GROUP,COMPANIA,ID_TIPO_AGENTE,TABLA,F_INICIO,F_FIN,DESCRIPCION) VALUES ("&amp;AGENTES!B182&amp;",'"&amp;AGENTES!C182&amp;"','"&amp;AGENTES!D182&amp;"','"&amp;AGENTES!E182&amp;"','"&amp;AGENTES!F182&amp;"',TO_DATE('"&amp;AGENTES!G182&amp;"','yyyymmdd'),TO_DATE('"&amp;AGENTES!H182&amp;"','yyyymmdd'),'"&amp;AGENTES!I182&amp;"');")</f>
        <v>INSERT INTO INYCEXT.INYC_CONF_INF_AGENTES (COD_INFORME,BO_GROUP,COMPANIA,ID_TIPO_AGENTE,TABLA,F_INICIO,F_FIN,DESCRIPCION) VALUES (19,'INYC Compensation Reports User Group - ASI','01','31','INYC_ASI_RESUMEN,INYC_ASI_DETALLE',TO_DATE('20140101','yyyymmdd'),TO_DATE('22000101','yyyymmdd'),'');</v>
      </c>
    </row>
    <row r="182" spans="1:1" x14ac:dyDescent="0.25">
      <c r="A182" t="str">
        <f>IF(AGENTES!I183="OBSOLETO","","INSERT INTO INYCEXT.INYC_CONF_INF_AGENTES (COD_INFORME,BO_GROUP,COMPANIA,ID_TIPO_AGENTE,TABLA,F_INICIO,F_FIN,DESCRIPCION) VALUES ("&amp;AGENTES!B183&amp;",'"&amp;AGENTES!C183&amp;"','"&amp;AGENTES!D183&amp;"','"&amp;AGENTES!E183&amp;"','"&amp;AGENTES!F183&amp;"',TO_DATE('"&amp;AGENTES!G183&amp;"','yyyymmdd'),TO_DATE('"&amp;AGENTES!H183&amp;"','yyyymmdd'),'"&amp;AGENTES!I183&amp;"');")</f>
        <v>INSERT INTO INYCEXT.INYC_CONF_INF_AGENTES (COD_INFORME,BO_GROUP,COMPANIA,ID_TIPO_AGENTE,TABLA,F_INICIO,F_FIN,DESCRIPCION) VALUES (19,'INYC Compensation Reports User Group - ASI','01','331','INYC_ASI_RESUMEN,INYC_ASI_DETALLE',TO_DATE('20140101','yyyymmdd'),TO_DATE('22000101','yyyymmdd'),'');</v>
      </c>
    </row>
    <row r="183" spans="1:1" x14ac:dyDescent="0.25">
      <c r="A183" t="str">
        <f>IF(AGENTES!I184="OBSOLETO","","INSERT INTO INYCEXT.INYC_CONF_INF_AGENTES (COD_INFORME,BO_GROUP,COMPANIA,ID_TIPO_AGENTE,TABLA,F_INICIO,F_FIN,DESCRIPCION) VALUES ("&amp;AGENTES!B184&amp;",'"&amp;AGENTES!C184&amp;"','"&amp;AGENTES!D184&amp;"','"&amp;AGENTES!E184&amp;"','"&amp;AGENTES!F184&amp;"',TO_DATE('"&amp;AGENTES!G184&amp;"','yyyymmdd'),TO_DATE('"&amp;AGENTES!H184&amp;"','yyyymmdd'),'"&amp;AGENTES!I184&amp;"');")</f>
        <v>INSERT INTO INYCEXT.INYC_CONF_INF_AGENTES (COD_INFORME,BO_GROUP,COMPANIA,ID_TIPO_AGENTE,TABLA,F_INICIO,F_FIN,DESCRIPCION) VALUES (20,'INYC Compensation Reports User Group - ASI_E','03','331','INYC_ASI_E_RESUMEN,INYC_ASI_E_DETALLE',TO_DATE('20140101','yyyymmdd'),TO_DATE('22000101','yyyymmdd'),'');</v>
      </c>
    </row>
    <row r="184" spans="1:1" x14ac:dyDescent="0.25">
      <c r="A184" t="str">
        <f>IF(AGENTES!I185="OBSOLETO","","INSERT INTO INYCEXT.INYC_CONF_INF_AGENTES (COD_INFORME,BO_GROUP,COMPANIA,ID_TIPO_AGENTE,TABLA,F_INICIO,F_FIN,DESCRIPCION) VALUES ("&amp;AGENTES!B185&amp;",'"&amp;AGENTES!C185&amp;"','"&amp;AGENTES!D185&amp;"','"&amp;AGENTES!E185&amp;"','"&amp;AGENTES!F185&amp;"',TO_DATE('"&amp;AGENTES!G185&amp;"','yyyymmdd'),TO_DATE('"&amp;AGENTES!H185&amp;"','yyyymmdd'),'"&amp;AGENTES!I185&amp;"');")</f>
        <v>INSERT INTO INYCEXT.INYC_CONF_INF_AGENTES (COD_INFORME,BO_GROUP,COMPANIA,ID_TIPO_AGENTE,TABLA,F_INICIO,F_FIN,DESCRIPCION) VALUES (20,'INYC Compensation Reports User Group - ASI_E','03','31','INYC_ASI_E_RESUMEN,INYC_ASI_E_DETALLE',TO_DATE('20140101','yyyymmdd'),TO_DATE('22000101','yyyymmdd'),'');</v>
      </c>
    </row>
    <row r="185" spans="1:1" x14ac:dyDescent="0.25">
      <c r="A185" t="str">
        <f>IF(AGENTES!I186="OBSOLETO","","INSERT INTO INYCEXT.INYC_CONF_INF_AGENTES (COD_INFORME,BO_GROUP,COMPANIA,ID_TIPO_AGENTE,TABLA,F_INICIO,F_FIN,DESCRIPCION) VALUES ("&amp;AGENTES!B186&amp;",'"&amp;AGENTES!C186&amp;"','"&amp;AGENTES!D186&amp;"','"&amp;AGENTES!E186&amp;"','"&amp;AGENTES!F186&amp;"',TO_DATE('"&amp;AGENTES!G186&amp;"','yyyymmdd'),TO_DATE('"&amp;AGENTES!H186&amp;"','yyyymmdd'),'"&amp;AGENTES!I186&amp;"');")</f>
        <v>INSERT INTO INYCEXT.INYC_CONF_INF_AGENTES (COD_INFORME,BO_GROUP,COMPANIA,ID_TIPO_AGENTE,TABLA,F_INICIO,F_FIN,DESCRIPCION) VALUES (21,'INYC Compensation Reports User Group - RACH','01','2','INYC_RACH_RESUMEN',TO_DATE('20140101','yyyymmdd'),TO_DATE('22000101','yyyymmdd'),'');</v>
      </c>
    </row>
    <row r="186" spans="1:1" x14ac:dyDescent="0.25">
      <c r="A186" t="str">
        <f>IF(AGENTES!I187="OBSOLETO","","INSERT INTO INYCEXT.INYC_CONF_INF_AGENTES (COD_INFORME,BO_GROUP,COMPANIA,ID_TIPO_AGENTE,TABLA,F_INICIO,F_FIN,DESCRIPCION) VALUES ("&amp;AGENTES!B187&amp;",'"&amp;AGENTES!C187&amp;"','"&amp;AGENTES!D187&amp;"','"&amp;AGENTES!E187&amp;"','"&amp;AGENTES!F187&amp;"',TO_DATE('"&amp;AGENTES!G187&amp;"','yyyymmdd'),TO_DATE('"&amp;AGENTES!H187&amp;"','yyyymmdd'),'"&amp;AGENTES!I187&amp;"');")</f>
        <v>INSERT INTO INYCEXT.INYC_CONF_INF_AGENTES (COD_INFORME,BO_GROUP,COMPANIA,ID_TIPO_AGENTE,TABLA,F_INICIO,F_FIN,DESCRIPCION) VALUES (21,'INYC Compensation Reports User Group - RACH','01','3','INYC_RACH_RESUMEN',TO_DATE('20140101','yyyymmdd'),TO_DATE('22000101','yyyymmdd'),'');</v>
      </c>
    </row>
    <row r="187" spans="1:1" x14ac:dyDescent="0.25">
      <c r="A187" t="str">
        <f>IF(AGENTES!I188="OBSOLETO","","INSERT INTO INYCEXT.INYC_CONF_INF_AGENTES (COD_INFORME,BO_GROUP,COMPANIA,ID_TIPO_AGENTE,TABLA,F_INICIO,F_FIN,DESCRIPCION) VALUES ("&amp;AGENTES!B188&amp;",'"&amp;AGENTES!C188&amp;"','"&amp;AGENTES!D188&amp;"','"&amp;AGENTES!E188&amp;"','"&amp;AGENTES!F188&amp;"',TO_DATE('"&amp;AGENTES!G188&amp;"','yyyymmdd'),TO_DATE('"&amp;AGENTES!H188&amp;"','yyyymmdd'),'"&amp;AGENTES!I188&amp;"');")</f>
        <v>INSERT INTO INYCEXT.INYC_CONF_INF_AGENTES (COD_INFORME,BO_GROUP,COMPANIA,ID_TIPO_AGENTE,TABLA,F_INICIO,F_FIN,DESCRIPCION) VALUES (21,'INYC Compensation Reports User Group - RACH','01','8','INYC_RACH_RESUMEN',TO_DATE('20140101','yyyymmdd'),TO_DATE('22000101','yyyymmdd'),'');</v>
      </c>
    </row>
    <row r="188" spans="1:1" x14ac:dyDescent="0.25">
      <c r="A188" t="str">
        <f>IF(AGENTES!I189="OBSOLETO","","INSERT INTO INYCEXT.INYC_CONF_INF_AGENTES (COD_INFORME,BO_GROUP,COMPANIA,ID_TIPO_AGENTE,TABLA,F_INICIO,F_FIN,DESCRIPCION) VALUES ("&amp;AGENTES!B189&amp;",'"&amp;AGENTES!C189&amp;"','"&amp;AGENTES!D189&amp;"','"&amp;AGENTES!E189&amp;"','"&amp;AGENTES!F189&amp;"',TO_DATE('"&amp;AGENTES!G189&amp;"','yyyymmdd'),TO_DATE('"&amp;AGENTES!H189&amp;"','yyyymmdd'),'"&amp;AGENTES!I189&amp;"');")</f>
        <v>INSERT INTO INYCEXT.INYC_CONF_INF_AGENTES (COD_INFORME,BO_GROUP,COMPANIA,ID_TIPO_AGENTE,TABLA,F_INICIO,F_FIN,DESCRIPCION) VALUES (21,'INYC Compensation Reports User Group - RACH','01','9','INYC_RACH_RESUMEN',TO_DATE('20140101','yyyymmdd'),TO_DATE('22000101','yyyymmdd'),'');</v>
      </c>
    </row>
    <row r="189" spans="1:1" x14ac:dyDescent="0.25">
      <c r="A189" t="str">
        <f>IF(AGENTES!I190="OBSOLETO","","INSERT INTO INYCEXT.INYC_CONF_INF_AGENTES (COD_INFORME,BO_GROUP,COMPANIA,ID_TIPO_AGENTE,TABLA,F_INICIO,F_FIN,DESCRIPCION) VALUES ("&amp;AGENTES!B190&amp;",'"&amp;AGENTES!C190&amp;"','"&amp;AGENTES!D190&amp;"','"&amp;AGENTES!E190&amp;"','"&amp;AGENTES!F190&amp;"',TO_DATE('"&amp;AGENTES!G190&amp;"','yyyymmdd'),TO_DATE('"&amp;AGENTES!H190&amp;"','yyyymmdd'),'"&amp;AGENTES!I190&amp;"');")</f>
        <v>INSERT INTO INYCEXT.INYC_CONF_INF_AGENTES (COD_INFORME,BO_GROUP,COMPANIA,ID_TIPO_AGENTE,TABLA,F_INICIO,F_FIN,DESCRIPCION) VALUES (21,'INYC Compensation Reports User Group - RACH','01','11','INYC_RACH_RESUMEN',TO_DATE('20140101','yyyymmdd'),TO_DATE('22000101','yyyymmdd'),'');</v>
      </c>
    </row>
    <row r="190" spans="1:1" x14ac:dyDescent="0.25">
      <c r="A190" t="str">
        <f>IF(AGENTES!I191="OBSOLETO","","INSERT INTO INYCEXT.INYC_CONF_INF_AGENTES (COD_INFORME,BO_GROUP,COMPANIA,ID_TIPO_AGENTE,TABLA,F_INICIO,F_FIN,DESCRIPCION) VALUES ("&amp;AGENTES!B191&amp;",'"&amp;AGENTES!C191&amp;"','"&amp;AGENTES!D191&amp;"','"&amp;AGENTES!E191&amp;"','"&amp;AGENTES!F191&amp;"',TO_DATE('"&amp;AGENTES!G191&amp;"','yyyymmdd'),TO_DATE('"&amp;AGENTES!H191&amp;"','yyyymmdd'),'"&amp;AGENTES!I191&amp;"');")</f>
        <v>INSERT INTO INYCEXT.INYC_CONF_INF_AGENTES (COD_INFORME,BO_GROUP,COMPANIA,ID_TIPO_AGENTE,TABLA,F_INICIO,F_FIN,DESCRIPCION) VALUES (21,'INYC Compensation Reports User Group - RACH','01','13','INYC_RACH_RESUMEN',TO_DATE('20140101','yyyymmdd'),TO_DATE('22000101','yyyymmdd'),'');</v>
      </c>
    </row>
    <row r="191" spans="1:1" x14ac:dyDescent="0.25">
      <c r="A191" t="str">
        <f>IF(AGENTES!I192="OBSOLETO","","INSERT INTO INYCEXT.INYC_CONF_INF_AGENTES (COD_INFORME,BO_GROUP,COMPANIA,ID_TIPO_AGENTE,TABLA,F_INICIO,F_FIN,DESCRIPCION) VALUES ("&amp;AGENTES!B192&amp;",'"&amp;AGENTES!C192&amp;"','"&amp;AGENTES!D192&amp;"','"&amp;AGENTES!E192&amp;"','"&amp;AGENTES!F192&amp;"',TO_DATE('"&amp;AGENTES!G192&amp;"','yyyymmdd'),TO_DATE('"&amp;AGENTES!H192&amp;"','yyyymmdd'),'"&amp;AGENTES!I192&amp;"');")</f>
        <v>INSERT INTO INYCEXT.INYC_CONF_INF_AGENTES (COD_INFORME,BO_GROUP,COMPANIA,ID_TIPO_AGENTE,TABLA,F_INICIO,F_FIN,DESCRIPCION) VALUES (21,'INYC Compensation Reports User Group - RACH','01','14','INYC_RACH_RESUMEN',TO_DATE('20140101','yyyymmdd'),TO_DATE('22000101','yyyymmdd'),'');</v>
      </c>
    </row>
    <row r="192" spans="1:1" x14ac:dyDescent="0.25">
      <c r="A192" t="str">
        <f>IF(AGENTES!I193="OBSOLETO","","INSERT INTO INYCEXT.INYC_CONF_INF_AGENTES (COD_INFORME,BO_GROUP,COMPANIA,ID_TIPO_AGENTE,TABLA,F_INICIO,F_FIN,DESCRIPCION) VALUES ("&amp;AGENTES!B193&amp;",'"&amp;AGENTES!C193&amp;"','"&amp;AGENTES!D193&amp;"','"&amp;AGENTES!E193&amp;"','"&amp;AGENTES!F193&amp;"',TO_DATE('"&amp;AGENTES!G193&amp;"','yyyymmdd'),TO_DATE('"&amp;AGENTES!H193&amp;"','yyyymmdd'),'"&amp;AGENTES!I193&amp;"');")</f>
        <v>INSERT INTO INYCEXT.INYC_CONF_INF_AGENTES (COD_INFORME,BO_GROUP,COMPANIA,ID_TIPO_AGENTE,TABLA,F_INICIO,F_FIN,DESCRIPCION) VALUES (21,'INYC Compensation Reports User Group - RACH','01','15','INYC_RACH_RESUMEN',TO_DATE('20140101','yyyymmdd'),TO_DATE('22000101','yyyymmdd'),'');</v>
      </c>
    </row>
    <row r="193" spans="1:1" x14ac:dyDescent="0.25">
      <c r="A193" t="str">
        <f>IF(AGENTES!I194="OBSOLETO","","INSERT INTO INYCEXT.INYC_CONF_INF_AGENTES (COD_INFORME,BO_GROUP,COMPANIA,ID_TIPO_AGENTE,TABLA,F_INICIO,F_FIN,DESCRIPCION) VALUES ("&amp;AGENTES!B194&amp;",'"&amp;AGENTES!C194&amp;"','"&amp;AGENTES!D194&amp;"','"&amp;AGENTES!E194&amp;"','"&amp;AGENTES!F194&amp;"',TO_DATE('"&amp;AGENTES!G194&amp;"','yyyymmdd'),TO_DATE('"&amp;AGENTES!H194&amp;"','yyyymmdd'),'"&amp;AGENTES!I194&amp;"');")</f>
        <v>INSERT INTO INYCEXT.INYC_CONF_INF_AGENTES (COD_INFORME,BO_GROUP,COMPANIA,ID_TIPO_AGENTE,TABLA,F_INICIO,F_FIN,DESCRIPCION) VALUES (21,'INYC Compensation Reports User Group - RACH','01','16','INYC_RACH_RESUMEN',TO_DATE('20140101','yyyymmdd'),TO_DATE('22000101','yyyymmdd'),'');</v>
      </c>
    </row>
    <row r="194" spans="1:1" x14ac:dyDescent="0.25">
      <c r="A194" t="str">
        <f>IF(AGENTES!I195="OBSOLETO","","INSERT INTO INYCEXT.INYC_CONF_INF_AGENTES (COD_INFORME,BO_GROUP,COMPANIA,ID_TIPO_AGENTE,TABLA,F_INICIO,F_FIN,DESCRIPCION) VALUES ("&amp;AGENTES!B195&amp;",'"&amp;AGENTES!C195&amp;"','"&amp;AGENTES!D195&amp;"','"&amp;AGENTES!E195&amp;"','"&amp;AGENTES!F195&amp;"',TO_DATE('"&amp;AGENTES!G195&amp;"','yyyymmdd'),TO_DATE('"&amp;AGENTES!H195&amp;"','yyyymmdd'),'"&amp;AGENTES!I195&amp;"');")</f>
        <v>INSERT INTO INYCEXT.INYC_CONF_INF_AGENTES (COD_INFORME,BO_GROUP,COMPANIA,ID_TIPO_AGENTE,TABLA,F_INICIO,F_FIN,DESCRIPCION) VALUES (21,'INYC Compensation Reports User Group - RACH','01','17','INYC_RACH_RESUMEN',TO_DATE('20140101','yyyymmdd'),TO_DATE('22000101','yyyymmdd'),'');</v>
      </c>
    </row>
    <row r="195" spans="1:1" x14ac:dyDescent="0.25">
      <c r="A195" t="str">
        <f>IF(AGENTES!I196="OBSOLETO","","INSERT INTO INYCEXT.INYC_CONF_INF_AGENTES (COD_INFORME,BO_GROUP,COMPANIA,ID_TIPO_AGENTE,TABLA,F_INICIO,F_FIN,DESCRIPCION) VALUES ("&amp;AGENTES!B196&amp;",'"&amp;AGENTES!C196&amp;"','"&amp;AGENTES!D196&amp;"','"&amp;AGENTES!E196&amp;"','"&amp;AGENTES!F196&amp;"',TO_DATE('"&amp;AGENTES!G196&amp;"','yyyymmdd'),TO_DATE('"&amp;AGENTES!H196&amp;"','yyyymmdd'),'"&amp;AGENTES!I196&amp;"');")</f>
        <v>INSERT INTO INYCEXT.INYC_CONF_INF_AGENTES (COD_INFORME,BO_GROUP,COMPANIA,ID_TIPO_AGENTE,TABLA,F_INICIO,F_FIN,DESCRIPCION) VALUES (21,'INYC Compensation Reports User Group - RACH','01','19','INYC_RACH_RESUMEN',TO_DATE('20170801','yyyymmdd'),TO_DATE('22000101','yyyymmdd'),'Version 20170810');</v>
      </c>
    </row>
    <row r="196" spans="1:1" x14ac:dyDescent="0.25">
      <c r="A196" t="str">
        <f>IF(AGENTES!I197="OBSOLETO","","INSERT INTO INYCEXT.INYC_CONF_INF_AGENTES (COD_INFORME,BO_GROUP,COMPANIA,ID_TIPO_AGENTE,TABLA,F_INICIO,F_FIN,DESCRIPCION) VALUES ("&amp;AGENTES!B197&amp;",'"&amp;AGENTES!C197&amp;"','"&amp;AGENTES!D197&amp;"','"&amp;AGENTES!E197&amp;"','"&amp;AGENTES!F197&amp;"',TO_DATE('"&amp;AGENTES!G197&amp;"','yyyymmdd'),TO_DATE('"&amp;AGENTES!H197&amp;"','yyyymmdd'),'"&amp;AGENTES!I197&amp;"');")</f>
        <v>INSERT INTO INYCEXT.INYC_CONF_INF_AGENTES (COD_INFORME,BO_GROUP,COMPANIA,ID_TIPO_AGENTE,TABLA,F_INICIO,F_FIN,DESCRIPCION) VALUES (21,'INYC Compensation Reports User Group - RACH','01','20','INYC_RACH_RESUMEN',TO_DATE('20140101','yyyymmdd'),TO_DATE('22000101','yyyymmdd'),'');</v>
      </c>
    </row>
    <row r="197" spans="1:1" x14ac:dyDescent="0.25">
      <c r="A197" t="str">
        <f>IF(AGENTES!I198="OBSOLETO","","INSERT INTO INYCEXT.INYC_CONF_INF_AGENTES (COD_INFORME,BO_GROUP,COMPANIA,ID_TIPO_AGENTE,TABLA,F_INICIO,F_FIN,DESCRIPCION) VALUES ("&amp;AGENTES!B198&amp;",'"&amp;AGENTES!C198&amp;"','"&amp;AGENTES!D198&amp;"','"&amp;AGENTES!E198&amp;"','"&amp;AGENTES!F198&amp;"',TO_DATE('"&amp;AGENTES!G198&amp;"','yyyymmdd'),TO_DATE('"&amp;AGENTES!H198&amp;"','yyyymmdd'),'"&amp;AGENTES!I198&amp;"');")</f>
        <v>INSERT INTO INYCEXT.INYC_CONF_INF_AGENTES (COD_INFORME,BO_GROUP,COMPANIA,ID_TIPO_AGENTE,TABLA,F_INICIO,F_FIN,DESCRIPCION) VALUES (21,'INYC Compensation Reports User Group - RACH','01','22','INYC_RACH_RESUMEN',TO_DATE('20140101','yyyymmdd'),TO_DATE('22000101','yyyymmdd'),'');</v>
      </c>
    </row>
    <row r="198" spans="1:1" x14ac:dyDescent="0.25">
      <c r="A198" t="str">
        <f>IF(AGENTES!I199="OBSOLETO","","INSERT INTO INYCEXT.INYC_CONF_INF_AGENTES (COD_INFORME,BO_GROUP,COMPANIA,ID_TIPO_AGENTE,TABLA,F_INICIO,F_FIN,DESCRIPCION) VALUES ("&amp;AGENTES!B199&amp;",'"&amp;AGENTES!C199&amp;"','"&amp;AGENTES!D199&amp;"','"&amp;AGENTES!E199&amp;"','"&amp;AGENTES!F199&amp;"',TO_DATE('"&amp;AGENTES!G199&amp;"','yyyymmdd'),TO_DATE('"&amp;AGENTES!H199&amp;"','yyyymmdd'),'"&amp;AGENTES!I199&amp;"');")</f>
        <v>INSERT INTO INYCEXT.INYC_CONF_INF_AGENTES (COD_INFORME,BO_GROUP,COMPANIA,ID_TIPO_AGENTE,TABLA,F_INICIO,F_FIN,DESCRIPCION) VALUES (21,'INYC Compensation Reports User Group - RACH','01','23','INYC_RACH_RESUMEN',TO_DATE('20140101','yyyymmdd'),TO_DATE('22000101','yyyymmdd'),'');</v>
      </c>
    </row>
    <row r="199" spans="1:1" x14ac:dyDescent="0.25">
      <c r="A199" t="str">
        <f>IF(AGENTES!I200="OBSOLETO","","INSERT INTO INYCEXT.INYC_CONF_INF_AGENTES (COD_INFORME,BO_GROUP,COMPANIA,ID_TIPO_AGENTE,TABLA,F_INICIO,F_FIN,DESCRIPCION) VALUES ("&amp;AGENTES!B200&amp;",'"&amp;AGENTES!C200&amp;"','"&amp;AGENTES!D200&amp;"','"&amp;AGENTES!E200&amp;"','"&amp;AGENTES!F200&amp;"',TO_DATE('"&amp;AGENTES!G200&amp;"','yyyymmdd'),TO_DATE('"&amp;AGENTES!H200&amp;"','yyyymmdd'),'"&amp;AGENTES!I200&amp;"');")</f>
        <v>INSERT INTO INYCEXT.INYC_CONF_INF_AGENTES (COD_INFORME,BO_GROUP,COMPANIA,ID_TIPO_AGENTE,TABLA,F_INICIO,F_FIN,DESCRIPCION) VALUES (21,'INYC Compensation Reports User Group - RACH','01','25','INYC_RACH_RESUMEN',TO_DATE('20140101','yyyymmdd'),TO_DATE('22000101','yyyymmdd'),'');</v>
      </c>
    </row>
    <row r="200" spans="1:1" x14ac:dyDescent="0.25">
      <c r="A200" t="str">
        <f>IF(AGENTES!I201="OBSOLETO","","INSERT INTO INYCEXT.INYC_CONF_INF_AGENTES (COD_INFORME,BO_GROUP,COMPANIA,ID_TIPO_AGENTE,TABLA,F_INICIO,F_FIN,DESCRIPCION) VALUES ("&amp;AGENTES!B201&amp;",'"&amp;AGENTES!C201&amp;"','"&amp;AGENTES!D201&amp;"','"&amp;AGENTES!E201&amp;"','"&amp;AGENTES!F201&amp;"',TO_DATE('"&amp;AGENTES!G201&amp;"','yyyymmdd'),TO_DATE('"&amp;AGENTES!H201&amp;"','yyyymmdd'),'"&amp;AGENTES!I201&amp;"');")</f>
        <v>INSERT INTO INYCEXT.INYC_CONF_INF_AGENTES (COD_INFORME,BO_GROUP,COMPANIA,ID_TIPO_AGENTE,TABLA,F_INICIO,F_FIN,DESCRIPCION) VALUES (21,'INYC Compensation Reports User Group - RACH','01','26','INYC_RACH_RESUMEN',TO_DATE('20140101','yyyymmdd'),TO_DATE('22000101','yyyymmdd'),'');</v>
      </c>
    </row>
    <row r="201" spans="1:1" x14ac:dyDescent="0.25">
      <c r="A201" t="str">
        <f>IF(AGENTES!I202="OBSOLETO","","INSERT INTO INYCEXT.INYC_CONF_INF_AGENTES (COD_INFORME,BO_GROUP,COMPANIA,ID_TIPO_AGENTE,TABLA,F_INICIO,F_FIN,DESCRIPCION) VALUES ("&amp;AGENTES!B202&amp;",'"&amp;AGENTES!C202&amp;"','"&amp;AGENTES!D202&amp;"','"&amp;AGENTES!E202&amp;"','"&amp;AGENTES!F202&amp;"',TO_DATE('"&amp;AGENTES!G202&amp;"','yyyymmdd'),TO_DATE('"&amp;AGENTES!H202&amp;"','yyyymmdd'),'"&amp;AGENTES!I202&amp;"');")</f>
        <v>INSERT INTO INYCEXT.INYC_CONF_INF_AGENTES (COD_INFORME,BO_GROUP,COMPANIA,ID_TIPO_AGENTE,TABLA,F_INICIO,F_FIN,DESCRIPCION) VALUES (21,'INYC Compensation Reports User Group - RACH','01','27','INYC_RACH_RESUMEN',TO_DATE('20140101','yyyymmdd'),TO_DATE('22000101','yyyymmdd'),'');</v>
      </c>
    </row>
    <row r="202" spans="1:1" x14ac:dyDescent="0.25">
      <c r="A202" t="str">
        <f>IF(AGENTES!I203="OBSOLETO","","INSERT INTO INYCEXT.INYC_CONF_INF_AGENTES (COD_INFORME,BO_GROUP,COMPANIA,ID_TIPO_AGENTE,TABLA,F_INICIO,F_FIN,DESCRIPCION) VALUES ("&amp;AGENTES!B203&amp;",'"&amp;AGENTES!C203&amp;"','"&amp;AGENTES!D203&amp;"','"&amp;AGENTES!E203&amp;"','"&amp;AGENTES!F203&amp;"',TO_DATE('"&amp;AGENTES!G203&amp;"','yyyymmdd'),TO_DATE('"&amp;AGENTES!H203&amp;"','yyyymmdd'),'"&amp;AGENTES!I203&amp;"');")</f>
        <v>INSERT INTO INYCEXT.INYC_CONF_INF_AGENTES (COD_INFORME,BO_GROUP,COMPANIA,ID_TIPO_AGENTE,TABLA,F_INICIO,F_FIN,DESCRIPCION) VALUES (21,'INYC Compensation Reports User Group - RACH','01','29','INYC_RACH_RESUMEN',TO_DATE('20140101','yyyymmdd'),TO_DATE('22000101','yyyymmdd'),'');</v>
      </c>
    </row>
    <row r="203" spans="1:1" x14ac:dyDescent="0.25">
      <c r="A203" t="str">
        <f>IF(AGENTES!I204="OBSOLETO","","INSERT INTO INYCEXT.INYC_CONF_INF_AGENTES (COD_INFORME,BO_GROUP,COMPANIA,ID_TIPO_AGENTE,TABLA,F_INICIO,F_FIN,DESCRIPCION) VALUES ("&amp;AGENTES!B204&amp;",'"&amp;AGENTES!C204&amp;"','"&amp;AGENTES!D204&amp;"','"&amp;AGENTES!E204&amp;"','"&amp;AGENTES!F204&amp;"',TO_DATE('"&amp;AGENTES!G204&amp;"','yyyymmdd'),TO_DATE('"&amp;AGENTES!H204&amp;"','yyyymmdd'),'"&amp;AGENTES!I204&amp;"');")</f>
        <v>INSERT INTO INYCEXT.INYC_CONF_INF_AGENTES (COD_INFORME,BO_GROUP,COMPANIA,ID_TIPO_AGENTE,TABLA,F_INICIO,F_FIN,DESCRIPCION) VALUES (21,'INYC Compensation Reports User Group - RACH','01','30','INYC_RACH_RESUMEN',TO_DATE('20140101','yyyymmdd'),TO_DATE('22000101','yyyymmdd'),'');</v>
      </c>
    </row>
    <row r="204" spans="1:1" x14ac:dyDescent="0.25">
      <c r="A204" t="str">
        <f>IF(AGENTES!I205="OBSOLETO","","INSERT INTO INYCEXT.INYC_CONF_INF_AGENTES (COD_INFORME,BO_GROUP,COMPANIA,ID_TIPO_AGENTE,TABLA,F_INICIO,F_FIN,DESCRIPCION) VALUES ("&amp;AGENTES!B205&amp;",'"&amp;AGENTES!C205&amp;"','"&amp;AGENTES!D205&amp;"','"&amp;AGENTES!E205&amp;"','"&amp;AGENTES!F205&amp;"',TO_DATE('"&amp;AGENTES!G205&amp;"','yyyymmdd'),TO_DATE('"&amp;AGENTES!H205&amp;"','yyyymmdd'),'"&amp;AGENTES!I205&amp;"');")</f>
        <v>INSERT INTO INYCEXT.INYC_CONF_INF_AGENTES (COD_INFORME,BO_GROUP,COMPANIA,ID_TIPO_AGENTE,TABLA,F_INICIO,F_FIN,DESCRIPCION) VALUES (21,'INYC Compensation Reports User Group - RACH','01','31','INYC_RACH_RESUMEN',TO_DATE('20140101','yyyymmdd'),TO_DATE('22000101','yyyymmdd'),'');</v>
      </c>
    </row>
    <row r="205" spans="1:1" x14ac:dyDescent="0.25">
      <c r="A205" t="str">
        <f>IF(AGENTES!I206="OBSOLETO","","INSERT INTO INYCEXT.INYC_CONF_INF_AGENTES (COD_INFORME,BO_GROUP,COMPANIA,ID_TIPO_AGENTE,TABLA,F_INICIO,F_FIN,DESCRIPCION) VALUES ("&amp;AGENTES!B206&amp;",'"&amp;AGENTES!C206&amp;"','"&amp;AGENTES!D206&amp;"','"&amp;AGENTES!E206&amp;"','"&amp;AGENTES!F206&amp;"',TO_DATE('"&amp;AGENTES!G206&amp;"','yyyymmdd'),TO_DATE('"&amp;AGENTES!H206&amp;"','yyyymmdd'),'"&amp;AGENTES!I206&amp;"');")</f>
        <v>INSERT INTO INYCEXT.INYC_CONF_INF_AGENTES (COD_INFORME,BO_GROUP,COMPANIA,ID_TIPO_AGENTE,TABLA,F_INICIO,F_FIN,DESCRIPCION) VALUES (21,'INYC Compensation Reports User Group - RACH','01','32','INYC_RACH_RESUMEN',TO_DATE('20140101','yyyymmdd'),TO_DATE('22000101','yyyymmdd'),'Version 20180926');</v>
      </c>
    </row>
    <row r="206" spans="1:1" x14ac:dyDescent="0.25">
      <c r="A206" t="str">
        <f>IF(AGENTES!I207="OBSOLETO","","INSERT INTO INYCEXT.INYC_CONF_INF_AGENTES (COD_INFORME,BO_GROUP,COMPANIA,ID_TIPO_AGENTE,TABLA,F_INICIO,F_FIN,DESCRIPCION) VALUES ("&amp;AGENTES!B207&amp;",'"&amp;AGENTES!C207&amp;"','"&amp;AGENTES!D207&amp;"','"&amp;AGENTES!E207&amp;"','"&amp;AGENTES!F207&amp;"',TO_DATE('"&amp;AGENTES!G207&amp;"','yyyymmdd'),TO_DATE('"&amp;AGENTES!H207&amp;"','yyyymmdd'),'"&amp;AGENTES!I207&amp;"');")</f>
        <v>INSERT INTO INYCEXT.INYC_CONF_INF_AGENTES (COD_INFORME,BO_GROUP,COMPANIA,ID_TIPO_AGENTE,TABLA,F_INICIO,F_FIN,DESCRIPCION) VALUES (21,'INYC Compensation Reports User Group - RACH','01','33','INYC_RACH_RESUMEN',TO_DATE('20140101','yyyymmdd'),TO_DATE('22000101','yyyymmdd'),'');</v>
      </c>
    </row>
    <row r="207" spans="1:1" x14ac:dyDescent="0.25">
      <c r="A207" t="str">
        <f>IF(AGENTES!I208="OBSOLETO","","INSERT INTO INYCEXT.INYC_CONF_INF_AGENTES (COD_INFORME,BO_GROUP,COMPANIA,ID_TIPO_AGENTE,TABLA,F_INICIO,F_FIN,DESCRIPCION) VALUES ("&amp;AGENTES!B208&amp;",'"&amp;AGENTES!C208&amp;"','"&amp;AGENTES!D208&amp;"','"&amp;AGENTES!E208&amp;"','"&amp;AGENTES!F208&amp;"',TO_DATE('"&amp;AGENTES!G208&amp;"','yyyymmdd'),TO_DATE('"&amp;AGENTES!H208&amp;"','yyyymmdd'),'"&amp;AGENTES!I208&amp;"');")</f>
        <v>INSERT INTO INYCEXT.INYC_CONF_INF_AGENTES (COD_INFORME,BO_GROUP,COMPANIA,ID_TIPO_AGENTE,TABLA,F_INICIO,F_FIN,DESCRIPCION) VALUES (21,'INYC Compensation Reports User Group - RACH','01','34','INYC_RACH_RESUMEN',TO_DATE('20140101','yyyymmdd'),TO_DATE('22000101','yyyymmdd'),'');</v>
      </c>
    </row>
    <row r="208" spans="1:1" x14ac:dyDescent="0.25">
      <c r="A208" t="str">
        <f>IF(AGENTES!I209="OBSOLETO","","INSERT INTO INYCEXT.INYC_CONF_INF_AGENTES (COD_INFORME,BO_GROUP,COMPANIA,ID_TIPO_AGENTE,TABLA,F_INICIO,F_FIN,DESCRIPCION) VALUES ("&amp;AGENTES!B209&amp;",'"&amp;AGENTES!C209&amp;"','"&amp;AGENTES!D209&amp;"','"&amp;AGENTES!E209&amp;"','"&amp;AGENTES!F209&amp;"',TO_DATE('"&amp;AGENTES!G209&amp;"','yyyymmdd'),TO_DATE('"&amp;AGENTES!H209&amp;"','yyyymmdd'),'"&amp;AGENTES!I209&amp;"');")</f>
        <v>INSERT INTO INYCEXT.INYC_CONF_INF_AGENTES (COD_INFORME,BO_GROUP,COMPANIA,ID_TIPO_AGENTE,TABLA,F_INICIO,F_FIN,DESCRIPCION) VALUES (21,'INYC Compensation Reports User Group - RACH','01','35','INYC_RACH_RESUMEN',TO_DATE('20140101','yyyymmdd'),TO_DATE('22000101','yyyymmdd'),'');</v>
      </c>
    </row>
    <row r="209" spans="1:1" x14ac:dyDescent="0.25">
      <c r="A209" t="str">
        <f>IF(AGENTES!I210="OBSOLETO","","INSERT INTO INYCEXT.INYC_CONF_INF_AGENTES (COD_INFORME,BO_GROUP,COMPANIA,ID_TIPO_AGENTE,TABLA,F_INICIO,F_FIN,DESCRIPCION) VALUES ("&amp;AGENTES!B210&amp;",'"&amp;AGENTES!C210&amp;"','"&amp;AGENTES!D210&amp;"','"&amp;AGENTES!E210&amp;"','"&amp;AGENTES!F210&amp;"',TO_DATE('"&amp;AGENTES!G210&amp;"','yyyymmdd'),TO_DATE('"&amp;AGENTES!H210&amp;"','yyyymmdd'),'"&amp;AGENTES!I210&amp;"');")</f>
        <v>INSERT INTO INYCEXT.INYC_CONF_INF_AGENTES (COD_INFORME,BO_GROUP,COMPANIA,ID_TIPO_AGENTE,TABLA,F_INICIO,F_FIN,DESCRIPCION) VALUES (21,'INYC Compensation Reports User Group - RACH','01','36','INYC_RACH_RESUMEN',TO_DATE('20140101','yyyymmdd'),TO_DATE('22000101','yyyymmdd'),'');</v>
      </c>
    </row>
    <row r="210" spans="1:1" x14ac:dyDescent="0.25">
      <c r="A210" t="str">
        <f>IF(AGENTES!I211="OBSOLETO","","INSERT INTO INYCEXT.INYC_CONF_INF_AGENTES (COD_INFORME,BO_GROUP,COMPANIA,ID_TIPO_AGENTE,TABLA,F_INICIO,F_FIN,DESCRIPCION) VALUES ("&amp;AGENTES!B211&amp;",'"&amp;AGENTES!C211&amp;"','"&amp;AGENTES!D211&amp;"','"&amp;AGENTES!E211&amp;"','"&amp;AGENTES!F211&amp;"',TO_DATE('"&amp;AGENTES!G211&amp;"','yyyymmdd'),TO_DATE('"&amp;AGENTES!H211&amp;"','yyyymmdd'),'"&amp;AGENTES!I211&amp;"');")</f>
        <v>INSERT INTO INYCEXT.INYC_CONF_INF_AGENTES (COD_INFORME,BO_GROUP,COMPANIA,ID_TIPO_AGENTE,TABLA,F_INICIO,F_FIN,DESCRIPCION) VALUES (21,'INYC Compensation Reports User Group - RACH','01','38','INYC_RACH_RESUMEN',TO_DATE('20140101','yyyymmdd'),TO_DATE('22000101','yyyymmdd'),'');</v>
      </c>
    </row>
    <row r="211" spans="1:1" x14ac:dyDescent="0.25">
      <c r="A211" t="str">
        <f>IF(AGENTES!I212="OBSOLETO","","INSERT INTO INYCEXT.INYC_CONF_INF_AGENTES (COD_INFORME,BO_GROUP,COMPANIA,ID_TIPO_AGENTE,TABLA,F_INICIO,F_FIN,DESCRIPCION) VALUES ("&amp;AGENTES!B212&amp;",'"&amp;AGENTES!C212&amp;"','"&amp;AGENTES!D212&amp;"','"&amp;AGENTES!E212&amp;"','"&amp;AGENTES!F212&amp;"',TO_DATE('"&amp;AGENTES!G212&amp;"','yyyymmdd'),TO_DATE('"&amp;AGENTES!H212&amp;"','yyyymmdd'),'"&amp;AGENTES!I212&amp;"');")</f>
        <v>INSERT INTO INYCEXT.INYC_CONF_INF_AGENTES (COD_INFORME,BO_GROUP,COMPANIA,ID_TIPO_AGENTE,TABLA,F_INICIO,F_FIN,DESCRIPCION) VALUES (21,'INYC Compensation Reports User Group - RACH','01','39','INYC_RACH_RESUMEN',TO_DATE('20140101','yyyymmdd'),TO_DATE('22000101','yyyymmdd'),'');</v>
      </c>
    </row>
    <row r="212" spans="1:1" x14ac:dyDescent="0.25">
      <c r="A212" t="str">
        <f>IF(AGENTES!I213="OBSOLETO","","INSERT INTO INYCEXT.INYC_CONF_INF_AGENTES (COD_INFORME,BO_GROUP,COMPANIA,ID_TIPO_AGENTE,TABLA,F_INICIO,F_FIN,DESCRIPCION) VALUES ("&amp;AGENTES!B213&amp;",'"&amp;AGENTES!C213&amp;"','"&amp;AGENTES!D213&amp;"','"&amp;AGENTES!E213&amp;"','"&amp;AGENTES!F213&amp;"',TO_DATE('"&amp;AGENTES!G213&amp;"','yyyymmdd'),TO_DATE('"&amp;AGENTES!H213&amp;"','yyyymmdd'),'"&amp;AGENTES!I213&amp;"');")</f>
        <v>INSERT INTO INYCEXT.INYC_CONF_INF_AGENTES (COD_INFORME,BO_GROUP,COMPANIA,ID_TIPO_AGENTE,TABLA,F_INICIO,F_FIN,DESCRIPCION) VALUES (21,'INYC Compensation Reports User Group - RACH','01','40','INYC_RACH_RESUMEN',TO_DATE('20140101','yyyymmdd'),TO_DATE('22000101','yyyymmdd'),'');</v>
      </c>
    </row>
    <row r="213" spans="1:1" x14ac:dyDescent="0.25">
      <c r="A213" t="str">
        <f>IF(AGENTES!I214="OBSOLETO","","INSERT INTO INYCEXT.INYC_CONF_INF_AGENTES (COD_INFORME,BO_GROUP,COMPANIA,ID_TIPO_AGENTE,TABLA,F_INICIO,F_FIN,DESCRIPCION) VALUES ("&amp;AGENTES!B214&amp;",'"&amp;AGENTES!C214&amp;"','"&amp;AGENTES!D214&amp;"','"&amp;AGENTES!E214&amp;"','"&amp;AGENTES!F214&amp;"',TO_DATE('"&amp;AGENTES!G214&amp;"','yyyymmdd'),TO_DATE('"&amp;AGENTES!H214&amp;"','yyyymmdd'),'"&amp;AGENTES!I214&amp;"');")</f>
        <v>INSERT INTO INYCEXT.INYC_CONF_INF_AGENTES (COD_INFORME,BO_GROUP,COMPANIA,ID_TIPO_AGENTE,TABLA,F_INICIO,F_FIN,DESCRIPCION) VALUES (21,'INYC Compensation Reports User Group - RACH','01','41','INYC_RACH_RESUMEN',TO_DATE('20140101','yyyymmdd'),TO_DATE('22000101','yyyymmdd'),'');</v>
      </c>
    </row>
    <row r="214" spans="1:1" x14ac:dyDescent="0.25">
      <c r="A214" t="str">
        <f>IF(AGENTES!I215="OBSOLETO","","INSERT INTO INYCEXT.INYC_CONF_INF_AGENTES (COD_INFORME,BO_GROUP,COMPANIA,ID_TIPO_AGENTE,TABLA,F_INICIO,F_FIN,DESCRIPCION) VALUES ("&amp;AGENTES!B215&amp;",'"&amp;AGENTES!C215&amp;"','"&amp;AGENTES!D215&amp;"','"&amp;AGENTES!E215&amp;"','"&amp;AGENTES!F215&amp;"',TO_DATE('"&amp;AGENTES!G215&amp;"','yyyymmdd'),TO_DATE('"&amp;AGENTES!H215&amp;"','yyyymmdd'),'"&amp;AGENTES!I215&amp;"');")</f>
        <v>INSERT INTO INYCEXT.INYC_CONF_INF_AGENTES (COD_INFORME,BO_GROUP,COMPANIA,ID_TIPO_AGENTE,TABLA,F_INICIO,F_FIN,DESCRIPCION) VALUES (21,'INYC Compensation Reports User Group - RACH','01','42','INYC_RACH_RESUMEN',TO_DATE('20140101','yyyymmdd'),TO_DATE('22000101','yyyymmdd'),'');</v>
      </c>
    </row>
    <row r="215" spans="1:1" x14ac:dyDescent="0.25">
      <c r="A215" t="str">
        <f>IF(AGENTES!I216="OBSOLETO","","INSERT INTO INYCEXT.INYC_CONF_INF_AGENTES (COD_INFORME,BO_GROUP,COMPANIA,ID_TIPO_AGENTE,TABLA,F_INICIO,F_FIN,DESCRIPCION) VALUES ("&amp;AGENTES!B216&amp;",'"&amp;AGENTES!C216&amp;"','"&amp;AGENTES!D216&amp;"','"&amp;AGENTES!E216&amp;"','"&amp;AGENTES!F216&amp;"',TO_DATE('"&amp;AGENTES!G216&amp;"','yyyymmdd'),TO_DATE('"&amp;AGENTES!H216&amp;"','yyyymmdd'),'"&amp;AGENTES!I216&amp;"');")</f>
        <v>INSERT INTO INYCEXT.INYC_CONF_INF_AGENTES (COD_INFORME,BO_GROUP,COMPANIA,ID_TIPO_AGENTE,TABLA,F_INICIO,F_FIN,DESCRIPCION) VALUES (21,'INYC Compensation Reports User Group - RACH','01','44','INYC_RACH_RESUMEN',TO_DATE('20140101','yyyymmdd'),TO_DATE('22000101','yyyymmdd'),'');</v>
      </c>
    </row>
    <row r="216" spans="1:1" x14ac:dyDescent="0.25">
      <c r="A216" t="str">
        <f>IF(AGENTES!I217="OBSOLETO","","INSERT INTO INYCEXT.INYC_CONF_INF_AGENTES (COD_INFORME,BO_GROUP,COMPANIA,ID_TIPO_AGENTE,TABLA,F_INICIO,F_FIN,DESCRIPCION) VALUES ("&amp;AGENTES!B217&amp;",'"&amp;AGENTES!C217&amp;"','"&amp;AGENTES!D217&amp;"','"&amp;AGENTES!E217&amp;"','"&amp;AGENTES!F217&amp;"',TO_DATE('"&amp;AGENTES!G217&amp;"','yyyymmdd'),TO_DATE('"&amp;AGENTES!H217&amp;"','yyyymmdd'),'"&amp;AGENTES!I217&amp;"');")</f>
        <v>INSERT INTO INYCEXT.INYC_CONF_INF_AGENTES (COD_INFORME,BO_GROUP,COMPANIA,ID_TIPO_AGENTE,TABLA,F_INICIO,F_FIN,DESCRIPCION) VALUES (21,'INYC Compensation Reports User Group - RACH','01','45','INYC_RACH_RESUMEN',TO_DATE('20140101','yyyymmdd'),TO_DATE('22000101','yyyymmdd'),'');</v>
      </c>
    </row>
    <row r="217" spans="1:1" x14ac:dyDescent="0.25">
      <c r="A217" t="str">
        <f>IF(AGENTES!I218="OBSOLETO","","INSERT INTO INYCEXT.INYC_CONF_INF_AGENTES (COD_INFORME,BO_GROUP,COMPANIA,ID_TIPO_AGENTE,TABLA,F_INICIO,F_FIN,DESCRIPCION) VALUES ("&amp;AGENTES!B218&amp;",'"&amp;AGENTES!C218&amp;"','"&amp;AGENTES!D218&amp;"','"&amp;AGENTES!E218&amp;"','"&amp;AGENTES!F218&amp;"',TO_DATE('"&amp;AGENTES!G218&amp;"','yyyymmdd'),TO_DATE('"&amp;AGENTES!H218&amp;"','yyyymmdd'),'"&amp;AGENTES!I218&amp;"');")</f>
        <v>INSERT INTO INYCEXT.INYC_CONF_INF_AGENTES (COD_INFORME,BO_GROUP,COMPANIA,ID_TIPO_AGENTE,TABLA,F_INICIO,F_FIN,DESCRIPCION) VALUES (21,'INYC Compensation Reports User Group - RACH','01','46','INYC_RACH_RESUMEN',TO_DATE('20140101','yyyymmdd'),TO_DATE('22000101','yyyymmdd'),'');</v>
      </c>
    </row>
    <row r="218" spans="1:1" x14ac:dyDescent="0.25">
      <c r="A218" t="str">
        <f>IF(AGENTES!I219="OBSOLETO","","INSERT INTO INYCEXT.INYC_CONF_INF_AGENTES (COD_INFORME,BO_GROUP,COMPANIA,ID_TIPO_AGENTE,TABLA,F_INICIO,F_FIN,DESCRIPCION) VALUES ("&amp;AGENTES!B219&amp;",'"&amp;AGENTES!C219&amp;"','"&amp;AGENTES!D219&amp;"','"&amp;AGENTES!E219&amp;"','"&amp;AGENTES!F219&amp;"',TO_DATE('"&amp;AGENTES!G219&amp;"','yyyymmdd'),TO_DATE('"&amp;AGENTES!H219&amp;"','yyyymmdd'),'"&amp;AGENTES!I219&amp;"');")</f>
        <v>INSERT INTO INYCEXT.INYC_CONF_INF_AGENTES (COD_INFORME,BO_GROUP,COMPANIA,ID_TIPO_AGENTE,TABLA,F_INICIO,F_FIN,DESCRIPCION) VALUES (21,'INYC Compensation Reports User Group - RACH','01','47','INYC_RACH_RESUMEN',TO_DATE('20140101','yyyymmdd'),TO_DATE('22000101','yyyymmdd'),'');</v>
      </c>
    </row>
    <row r="219" spans="1:1" x14ac:dyDescent="0.25">
      <c r="A219" t="str">
        <f>IF(AGENTES!I220="OBSOLETO","","INSERT INTO INYCEXT.INYC_CONF_INF_AGENTES (COD_INFORME,BO_GROUP,COMPANIA,ID_TIPO_AGENTE,TABLA,F_INICIO,F_FIN,DESCRIPCION) VALUES ("&amp;AGENTES!B220&amp;",'"&amp;AGENTES!C220&amp;"','"&amp;AGENTES!D220&amp;"','"&amp;AGENTES!E220&amp;"','"&amp;AGENTES!F220&amp;"',TO_DATE('"&amp;AGENTES!G220&amp;"','yyyymmdd'),TO_DATE('"&amp;AGENTES!H220&amp;"','yyyymmdd'),'"&amp;AGENTES!I220&amp;"');")</f>
        <v>INSERT INTO INYCEXT.INYC_CONF_INF_AGENTES (COD_INFORME,BO_GROUP,COMPANIA,ID_TIPO_AGENTE,TABLA,F_INICIO,F_FIN,DESCRIPCION) VALUES (21,'INYC Compensation Reports User Group - RACH','01','48','INYC_RACH_RESUMEN',TO_DATE('20140101','yyyymmdd'),TO_DATE('22000101','yyyymmdd'),'');</v>
      </c>
    </row>
    <row r="220" spans="1:1" x14ac:dyDescent="0.25">
      <c r="A220" t="str">
        <f>IF(AGENTES!I221="OBSOLETO","","INSERT INTO INYCEXT.INYC_CONF_INF_AGENTES (COD_INFORME,BO_GROUP,COMPANIA,ID_TIPO_AGENTE,TABLA,F_INICIO,F_FIN,DESCRIPCION) VALUES ("&amp;AGENTES!B221&amp;",'"&amp;AGENTES!C221&amp;"','"&amp;AGENTES!D221&amp;"','"&amp;AGENTES!E221&amp;"','"&amp;AGENTES!F221&amp;"',TO_DATE('"&amp;AGENTES!G221&amp;"','yyyymmdd'),TO_DATE('"&amp;AGENTES!H221&amp;"','yyyymmdd'),'"&amp;AGENTES!I221&amp;"');")</f>
        <v>INSERT INTO INYCEXT.INYC_CONF_INF_AGENTES (COD_INFORME,BO_GROUP,COMPANIA,ID_TIPO_AGENTE,TABLA,F_INICIO,F_FIN,DESCRIPCION) VALUES (21,'INYC Compensation Reports User Group - RACH','01','49','INYC_RACH_RESUMEN',TO_DATE('20140101','yyyymmdd'),TO_DATE('22000101','yyyymmdd'),'');</v>
      </c>
    </row>
    <row r="221" spans="1:1" x14ac:dyDescent="0.25">
      <c r="A221" t="str">
        <f>IF(AGENTES!I222="OBSOLETO","","INSERT INTO INYCEXT.INYC_CONF_INF_AGENTES (COD_INFORME,BO_GROUP,COMPANIA,ID_TIPO_AGENTE,TABLA,F_INICIO,F_FIN,DESCRIPCION) VALUES ("&amp;AGENTES!B222&amp;",'"&amp;AGENTES!C222&amp;"','"&amp;AGENTES!D222&amp;"','"&amp;AGENTES!E222&amp;"','"&amp;AGENTES!F222&amp;"',TO_DATE('"&amp;AGENTES!G222&amp;"','yyyymmdd'),TO_DATE('"&amp;AGENTES!H222&amp;"','yyyymmdd'),'"&amp;AGENTES!I222&amp;"');")</f>
        <v>INSERT INTO INYCEXT.INYC_CONF_INF_AGENTES (COD_INFORME,BO_GROUP,COMPANIA,ID_TIPO_AGENTE,TABLA,F_INICIO,F_FIN,DESCRIPCION) VALUES (21,'INYC Compensation Reports User Group - RACH','01','52','INYC_RACH_RESUMEN',TO_DATE('20140101','yyyymmdd'),TO_DATE('22000101','yyyymmdd'),'');</v>
      </c>
    </row>
    <row r="222" spans="1:1" x14ac:dyDescent="0.25">
      <c r="A222" t="str">
        <f>IF(AGENTES!I223="OBSOLETO","","INSERT INTO INYCEXT.INYC_CONF_INF_AGENTES (COD_INFORME,BO_GROUP,COMPANIA,ID_TIPO_AGENTE,TABLA,F_INICIO,F_FIN,DESCRIPCION) VALUES ("&amp;AGENTES!B223&amp;",'"&amp;AGENTES!C223&amp;"','"&amp;AGENTES!D223&amp;"','"&amp;AGENTES!E223&amp;"','"&amp;AGENTES!F223&amp;"',TO_DATE('"&amp;AGENTES!G223&amp;"','yyyymmdd'),TO_DATE('"&amp;AGENTES!H223&amp;"','yyyymmdd'),'"&amp;AGENTES!I223&amp;"');")</f>
        <v>INSERT INTO INYCEXT.INYC_CONF_INF_AGENTES (COD_INFORME,BO_GROUP,COMPANIA,ID_TIPO_AGENTE,TABLA,F_INICIO,F_FIN,DESCRIPCION) VALUES (21,'INYC Compensation Reports User Group - RACH','01','54','INYC_RACH_RESUMEN',TO_DATE('20140101','yyyymmdd'),TO_DATE('22000101','yyyymmdd'),'');</v>
      </c>
    </row>
    <row r="223" spans="1:1" x14ac:dyDescent="0.25">
      <c r="A223" t="str">
        <f>IF(AGENTES!I224="OBSOLETO","","INSERT INTO INYCEXT.INYC_CONF_INF_AGENTES (COD_INFORME,BO_GROUP,COMPANIA,ID_TIPO_AGENTE,TABLA,F_INICIO,F_FIN,DESCRIPCION) VALUES ("&amp;AGENTES!B224&amp;",'"&amp;AGENTES!C224&amp;"','"&amp;AGENTES!D224&amp;"','"&amp;AGENTES!E224&amp;"','"&amp;AGENTES!F224&amp;"',TO_DATE('"&amp;AGENTES!G224&amp;"','yyyymmdd'),TO_DATE('"&amp;AGENTES!H224&amp;"','yyyymmdd'),'"&amp;AGENTES!I224&amp;"');")</f>
        <v>INSERT INTO INYCEXT.INYC_CONF_INF_AGENTES (COD_INFORME,BO_GROUP,COMPANIA,ID_TIPO_AGENTE,TABLA,F_INICIO,F_FIN,DESCRIPCION) VALUES (21,'INYC Compensation Reports User Group - RACH','01','56','INYC_RACH_RESUMEN',TO_DATE('20140101','yyyymmdd'),TO_DATE('22000101','yyyymmdd'),'');</v>
      </c>
    </row>
    <row r="224" spans="1:1" x14ac:dyDescent="0.25">
      <c r="A224" t="str">
        <f>IF(AGENTES!I225="OBSOLETO","","INSERT INTO INYCEXT.INYC_CONF_INF_AGENTES (COD_INFORME,BO_GROUP,COMPANIA,ID_TIPO_AGENTE,TABLA,F_INICIO,F_FIN,DESCRIPCION) VALUES ("&amp;AGENTES!B225&amp;",'"&amp;AGENTES!C225&amp;"','"&amp;AGENTES!D225&amp;"','"&amp;AGENTES!E225&amp;"','"&amp;AGENTES!F225&amp;"',TO_DATE('"&amp;AGENTES!G225&amp;"','yyyymmdd'),TO_DATE('"&amp;AGENTES!H225&amp;"','yyyymmdd'),'"&amp;AGENTES!I225&amp;"');")</f>
        <v>INSERT INTO INYCEXT.INYC_CONF_INF_AGENTES (COD_INFORME,BO_GROUP,COMPANIA,ID_TIPO_AGENTE,TABLA,F_INICIO,F_FIN,DESCRIPCION) VALUES (21,'INYC Compensation Reports User Group - RACH','01','57','INYC_RACH_RESUMEN',TO_DATE('20140101','yyyymmdd'),TO_DATE('22000101','yyyymmdd'),'');</v>
      </c>
    </row>
    <row r="225" spans="1:1" x14ac:dyDescent="0.25">
      <c r="A225" t="str">
        <f>IF(AGENTES!I226="OBSOLETO","","INSERT INTO INYCEXT.INYC_CONF_INF_AGENTES (COD_INFORME,BO_GROUP,COMPANIA,ID_TIPO_AGENTE,TABLA,F_INICIO,F_FIN,DESCRIPCION) VALUES ("&amp;AGENTES!B226&amp;",'"&amp;AGENTES!C226&amp;"','"&amp;AGENTES!D226&amp;"','"&amp;AGENTES!E226&amp;"','"&amp;AGENTES!F226&amp;"',TO_DATE('"&amp;AGENTES!G226&amp;"','yyyymmdd'),TO_DATE('"&amp;AGENTES!H226&amp;"','yyyymmdd'),'"&amp;AGENTES!I226&amp;"');")</f>
        <v>INSERT INTO INYCEXT.INYC_CONF_INF_AGENTES (COD_INFORME,BO_GROUP,COMPANIA,ID_TIPO_AGENTE,TABLA,F_INICIO,F_FIN,DESCRIPCION) VALUES (21,'INYC Compensation Reports User Group - RACH','01','58','INYC_RACH_RESUMEN',TO_DATE('20140101','yyyymmdd'),TO_DATE('22000101','yyyymmdd'),'');</v>
      </c>
    </row>
    <row r="226" spans="1:1" x14ac:dyDescent="0.25">
      <c r="A226" t="str">
        <f>IF(AGENTES!I227="OBSOLETO","","INSERT INTO INYCEXT.INYC_CONF_INF_AGENTES (COD_INFORME,BO_GROUP,COMPANIA,ID_TIPO_AGENTE,TABLA,F_INICIO,F_FIN,DESCRIPCION) VALUES ("&amp;AGENTES!B227&amp;",'"&amp;AGENTES!C227&amp;"','"&amp;AGENTES!D227&amp;"','"&amp;AGENTES!E227&amp;"','"&amp;AGENTES!F227&amp;"',TO_DATE('"&amp;AGENTES!G227&amp;"','yyyymmdd'),TO_DATE('"&amp;AGENTES!H227&amp;"','yyyymmdd'),'"&amp;AGENTES!I227&amp;"');")</f>
        <v>INSERT INTO INYCEXT.INYC_CONF_INF_AGENTES (COD_INFORME,BO_GROUP,COMPANIA,ID_TIPO_AGENTE,TABLA,F_INICIO,F_FIN,DESCRIPCION) VALUES (21,'INYC Compensation Reports User Group - RACH','01','59','INYC_RACH_RESUMEN',TO_DATE('20140101','yyyymmdd'),TO_DATE('22000101','yyyymmdd'),'');</v>
      </c>
    </row>
    <row r="227" spans="1:1" x14ac:dyDescent="0.25">
      <c r="A227" t="str">
        <f>IF(AGENTES!I228="OBSOLETO","","INSERT INTO INYCEXT.INYC_CONF_INF_AGENTES (COD_INFORME,BO_GROUP,COMPANIA,ID_TIPO_AGENTE,TABLA,F_INICIO,F_FIN,DESCRIPCION) VALUES ("&amp;AGENTES!B228&amp;",'"&amp;AGENTES!C228&amp;"','"&amp;AGENTES!D228&amp;"','"&amp;AGENTES!E228&amp;"','"&amp;AGENTES!F228&amp;"',TO_DATE('"&amp;AGENTES!G228&amp;"','yyyymmdd'),TO_DATE('"&amp;AGENTES!H228&amp;"','yyyymmdd'),'"&amp;AGENTES!I228&amp;"');")</f>
        <v>INSERT INTO INYCEXT.INYC_CONF_INF_AGENTES (COD_INFORME,BO_GROUP,COMPANIA,ID_TIPO_AGENTE,TABLA,F_INICIO,F_FIN,DESCRIPCION) VALUES (21,'INYC Compensation Reports User Group - RACH','01','60','INYC_RACH_RESUMEN',TO_DATE('20200101','yyyymmdd'),TO_DATE('22000101','yyyymmdd'),'Version 20200526');</v>
      </c>
    </row>
    <row r="228" spans="1:1" x14ac:dyDescent="0.25">
      <c r="A228" t="str">
        <f>IF(AGENTES!I229="OBSOLETO","","INSERT INTO INYCEXT.INYC_CONF_INF_AGENTES (COD_INFORME,BO_GROUP,COMPANIA,ID_TIPO_AGENTE,TABLA,F_INICIO,F_FIN,DESCRIPCION) VALUES ("&amp;AGENTES!B229&amp;",'"&amp;AGENTES!C229&amp;"','"&amp;AGENTES!D229&amp;"','"&amp;AGENTES!E229&amp;"','"&amp;AGENTES!F229&amp;"',TO_DATE('"&amp;AGENTES!G229&amp;"','yyyymmdd'),TO_DATE('"&amp;AGENTES!H229&amp;"','yyyymmdd'),'"&amp;AGENTES!I229&amp;"');")</f>
        <v>INSERT INTO INYCEXT.INYC_CONF_INF_AGENTES (COD_INFORME,BO_GROUP,COMPANIA,ID_TIPO_AGENTE,TABLA,F_INICIO,F_FIN,DESCRIPCION) VALUES (21,'INYC Compensation Reports User Group - RACH','01','61','INYC_RACH_RESUMEN',TO_DATE('20140101','yyyymmdd'),TO_DATE('22000101','yyyymmdd'),'');</v>
      </c>
    </row>
    <row r="229" spans="1:1" x14ac:dyDescent="0.25">
      <c r="A229" t="str">
        <f>IF(AGENTES!I230="OBSOLETO","","INSERT INTO INYCEXT.INYC_CONF_INF_AGENTES (COD_INFORME,BO_GROUP,COMPANIA,ID_TIPO_AGENTE,TABLA,F_INICIO,F_FIN,DESCRIPCION) VALUES ("&amp;AGENTES!B230&amp;",'"&amp;AGENTES!C230&amp;"','"&amp;AGENTES!D230&amp;"','"&amp;AGENTES!E230&amp;"','"&amp;AGENTES!F230&amp;"',TO_DATE('"&amp;AGENTES!G230&amp;"','yyyymmdd'),TO_DATE('"&amp;AGENTES!H230&amp;"','yyyymmdd'),'"&amp;AGENTES!I230&amp;"');")</f>
        <v>INSERT INTO INYCEXT.INYC_CONF_INF_AGENTES (COD_INFORME,BO_GROUP,COMPANIA,ID_TIPO_AGENTE,TABLA,F_INICIO,F_FIN,DESCRIPCION) VALUES (21,'INYC Compensation Reports User Group - RACH','01','62','INYC_RACH_RESUMEN',TO_DATE('20140101','yyyymmdd'),TO_DATE('22000101','yyyymmdd'),'');</v>
      </c>
    </row>
    <row r="230" spans="1:1" x14ac:dyDescent="0.25">
      <c r="A230" t="str">
        <f>IF(AGENTES!I231="OBSOLETO","","INSERT INTO INYCEXT.INYC_CONF_INF_AGENTES (COD_INFORME,BO_GROUP,COMPANIA,ID_TIPO_AGENTE,TABLA,F_INICIO,F_FIN,DESCRIPCION) VALUES ("&amp;AGENTES!B231&amp;",'"&amp;AGENTES!C231&amp;"','"&amp;AGENTES!D231&amp;"','"&amp;AGENTES!E231&amp;"','"&amp;AGENTES!F231&amp;"',TO_DATE('"&amp;AGENTES!G231&amp;"','yyyymmdd'),TO_DATE('"&amp;AGENTES!H231&amp;"','yyyymmdd'),'"&amp;AGENTES!I231&amp;"');")</f>
        <v>INSERT INTO INYCEXT.INYC_CONF_INF_AGENTES (COD_INFORME,BO_GROUP,COMPANIA,ID_TIPO_AGENTE,TABLA,F_INICIO,F_FIN,DESCRIPCION) VALUES (21,'INYC Compensation Reports User Group - RACH','01','65','INYC_RACH_RESUMEN',TO_DATE('20140101','yyyymmdd'),TO_DATE('22000101','yyyymmdd'),'');</v>
      </c>
    </row>
    <row r="231" spans="1:1" x14ac:dyDescent="0.25">
      <c r="A231" t="str">
        <f>IF(AGENTES!I232="OBSOLETO","","INSERT INTO INYCEXT.INYC_CONF_INF_AGENTES (COD_INFORME,BO_GROUP,COMPANIA,ID_TIPO_AGENTE,TABLA,F_INICIO,F_FIN,DESCRIPCION) VALUES ("&amp;AGENTES!B232&amp;",'"&amp;AGENTES!C232&amp;"','"&amp;AGENTES!D232&amp;"','"&amp;AGENTES!E232&amp;"','"&amp;AGENTES!F232&amp;"',TO_DATE('"&amp;AGENTES!G232&amp;"','yyyymmdd'),TO_DATE('"&amp;AGENTES!H232&amp;"','yyyymmdd'),'"&amp;AGENTES!I232&amp;"');")</f>
        <v>INSERT INTO INYCEXT.INYC_CONF_INF_AGENTES (COD_INFORME,BO_GROUP,COMPANIA,ID_TIPO_AGENTE,TABLA,F_INICIO,F_FIN,DESCRIPCION) VALUES (21,'INYC Compensation Reports User Group - RACH','01','70','INYC_RACH_RESUMEN',TO_DATE('20140101','yyyymmdd'),TO_DATE('22000101','yyyymmdd'),'');</v>
      </c>
    </row>
    <row r="232" spans="1:1" x14ac:dyDescent="0.25">
      <c r="A232" t="str">
        <f>IF(AGENTES!I233="OBSOLETO","","INSERT INTO INYCEXT.INYC_CONF_INF_AGENTES (COD_INFORME,BO_GROUP,COMPANIA,ID_TIPO_AGENTE,TABLA,F_INICIO,F_FIN,DESCRIPCION) VALUES ("&amp;AGENTES!B233&amp;",'"&amp;AGENTES!C233&amp;"','"&amp;AGENTES!D233&amp;"','"&amp;AGENTES!E233&amp;"','"&amp;AGENTES!F233&amp;"',TO_DATE('"&amp;AGENTES!G233&amp;"','yyyymmdd'),TO_DATE('"&amp;AGENTES!H233&amp;"','yyyymmdd'),'"&amp;AGENTES!I233&amp;"');")</f>
        <v>INSERT INTO INYCEXT.INYC_CONF_INF_AGENTES (COD_INFORME,BO_GROUP,COMPANIA,ID_TIPO_AGENTE,TABLA,F_INICIO,F_FIN,DESCRIPCION) VALUES (21,'INYC Compensation Reports User Group - RACH','01','71','INYC_RACH_RESUMEN',TO_DATE('20140101','yyyymmdd'),TO_DATE('22000101','yyyymmdd'),'');</v>
      </c>
    </row>
    <row r="233" spans="1:1" x14ac:dyDescent="0.25">
      <c r="A233" t="str">
        <f>IF(AGENTES!I234="OBSOLETO","","INSERT INTO INYCEXT.INYC_CONF_INF_AGENTES (COD_INFORME,BO_GROUP,COMPANIA,ID_TIPO_AGENTE,TABLA,F_INICIO,F_FIN,DESCRIPCION) VALUES ("&amp;AGENTES!B234&amp;",'"&amp;AGENTES!C234&amp;"','"&amp;AGENTES!D234&amp;"','"&amp;AGENTES!E234&amp;"','"&amp;AGENTES!F234&amp;"',TO_DATE('"&amp;AGENTES!G234&amp;"','yyyymmdd'),TO_DATE('"&amp;AGENTES!H234&amp;"','yyyymmdd'),'"&amp;AGENTES!I234&amp;"');")</f>
        <v>INSERT INTO INYCEXT.INYC_CONF_INF_AGENTES (COD_INFORME,BO_GROUP,COMPANIA,ID_TIPO_AGENTE,TABLA,F_INICIO,F_FIN,DESCRIPCION) VALUES (21,'INYC Compensation Reports User Group - RACH','01','72','INYC_RACH_RESUMEN',TO_DATE('20140101','yyyymmdd'),TO_DATE('22000101','yyyymmdd'),'');</v>
      </c>
    </row>
    <row r="234" spans="1:1" x14ac:dyDescent="0.25">
      <c r="A234" t="str">
        <f>IF(AGENTES!I235="OBSOLETO","","INSERT INTO INYCEXT.INYC_CONF_INF_AGENTES (COD_INFORME,BO_GROUP,COMPANIA,ID_TIPO_AGENTE,TABLA,F_INICIO,F_FIN,DESCRIPCION) VALUES ("&amp;AGENTES!B235&amp;",'"&amp;AGENTES!C235&amp;"','"&amp;AGENTES!D235&amp;"','"&amp;AGENTES!E235&amp;"','"&amp;AGENTES!F235&amp;"',TO_DATE('"&amp;AGENTES!G235&amp;"','yyyymmdd'),TO_DATE('"&amp;AGENTES!H235&amp;"','yyyymmdd'),'"&amp;AGENTES!I235&amp;"');")</f>
        <v>INSERT INTO INYCEXT.INYC_CONF_INF_AGENTES (COD_INFORME,BO_GROUP,COMPANIA,ID_TIPO_AGENTE,TABLA,F_INICIO,F_FIN,DESCRIPCION) VALUES (21,'INYC Compensation Reports User Group - RACH','01','74','INYC_RACH_RESUMEN',TO_DATE('20140101','yyyymmdd'),TO_DATE('22000101','yyyymmdd'),'');</v>
      </c>
    </row>
    <row r="235" spans="1:1" x14ac:dyDescent="0.25">
      <c r="A235" t="str">
        <f>IF(AGENTES!I236="OBSOLETO","","INSERT INTO INYCEXT.INYC_CONF_INF_AGENTES (COD_INFORME,BO_GROUP,COMPANIA,ID_TIPO_AGENTE,TABLA,F_INICIO,F_FIN,DESCRIPCION) VALUES ("&amp;AGENTES!B236&amp;",'"&amp;AGENTES!C236&amp;"','"&amp;AGENTES!D236&amp;"','"&amp;AGENTES!E236&amp;"','"&amp;AGENTES!F236&amp;"',TO_DATE('"&amp;AGENTES!G236&amp;"','yyyymmdd'),TO_DATE('"&amp;AGENTES!H236&amp;"','yyyymmdd'),'"&amp;AGENTES!I236&amp;"');")</f>
        <v>INSERT INTO INYCEXT.INYC_CONF_INF_AGENTES (COD_INFORME,BO_GROUP,COMPANIA,ID_TIPO_AGENTE,TABLA,F_INICIO,F_FIN,DESCRIPCION) VALUES (21,'INYC Compensation Reports User Group - RACH','01','82','INYC_RACH_RESUMEN',TO_DATE('20140101','yyyymmdd'),TO_DATE('22000101','yyyymmdd'),'');</v>
      </c>
    </row>
    <row r="236" spans="1:1" x14ac:dyDescent="0.25">
      <c r="A236" t="str">
        <f>IF(AGENTES!I237="OBSOLETO","","INSERT INTO INYCEXT.INYC_CONF_INF_AGENTES (COD_INFORME,BO_GROUP,COMPANIA,ID_TIPO_AGENTE,TABLA,F_INICIO,F_FIN,DESCRIPCION) VALUES ("&amp;AGENTES!B237&amp;",'"&amp;AGENTES!C237&amp;"','"&amp;AGENTES!D237&amp;"','"&amp;AGENTES!E237&amp;"','"&amp;AGENTES!F237&amp;"',TO_DATE('"&amp;AGENTES!G237&amp;"','yyyymmdd'),TO_DATE('"&amp;AGENTES!H237&amp;"','yyyymmdd'),'"&amp;AGENTES!I237&amp;"');")</f>
        <v>INSERT INTO INYCEXT.INYC_CONF_INF_AGENTES (COD_INFORME,BO_GROUP,COMPANIA,ID_TIPO_AGENTE,TABLA,F_INICIO,F_FIN,DESCRIPCION) VALUES (22,'INYC Compensation Reports User Group - MIN','01','52','INYC_MIN_RESUMEN',TO_DATE('20140101','yyyymmdd'),TO_DATE('22000101','yyyymmdd'),'');</v>
      </c>
    </row>
    <row r="237" spans="1:1" x14ac:dyDescent="0.25">
      <c r="A237" t="str">
        <f>IF(AGENTES!I238="OBSOLETO","","INSERT INTO INYCEXT.INYC_CONF_INF_AGENTES (COD_INFORME,BO_GROUP,COMPANIA,ID_TIPO_AGENTE,TABLA,F_INICIO,F_FIN,DESCRIPCION) VALUES ("&amp;AGENTES!B238&amp;",'"&amp;AGENTES!C238&amp;"','"&amp;AGENTES!D238&amp;"','"&amp;AGENTES!E238&amp;"','"&amp;AGENTES!F238&amp;"',TO_DATE('"&amp;AGENTES!G238&amp;"','yyyymmdd'),TO_DATE('"&amp;AGENTES!H238&amp;"','yyyymmdd'),'"&amp;AGENTES!I238&amp;"');")</f>
        <v>INSERT INTO INYCEXT.INYC_CONF_INF_AGENTES (COD_INFORME,BO_GROUP,COMPANIA,ID_TIPO_AGENTE,TABLA,F_INICIO,F_FIN,DESCRIPCION) VALUES (22,'INYC Compensation Reports User Group - MIN','01','54','INYC_MIN_RESUMEN',TO_DATE('20140101','yyyymmdd'),TO_DATE('22000101','yyyymmdd'),'');</v>
      </c>
    </row>
    <row r="238" spans="1:1" x14ac:dyDescent="0.25">
      <c r="A238" t="str">
        <f>IF(AGENTES!I239="OBSOLETO","","INSERT INTO INYCEXT.INYC_CONF_INF_AGENTES (COD_INFORME,BO_GROUP,COMPANIA,ID_TIPO_AGENTE,TABLA,F_INICIO,F_FIN,DESCRIPCION) VALUES ("&amp;AGENTES!B239&amp;",'"&amp;AGENTES!C239&amp;"','"&amp;AGENTES!D239&amp;"','"&amp;AGENTES!E239&amp;"','"&amp;AGENTES!F239&amp;"',TO_DATE('"&amp;AGENTES!G239&amp;"','yyyymmdd'),TO_DATE('"&amp;AGENTES!H239&amp;"','yyyymmdd'),'"&amp;AGENTES!I239&amp;"');")</f>
        <v>INSERT INTO INYCEXT.INYC_CONF_INF_AGENTES (COD_INFORME,BO_GROUP,COMPANIA,ID_TIPO_AGENTE,TABLA,F_INICIO,F_FIN,DESCRIPCION) VALUES (22,'INYC Compensation Reports User Group - MIN','01','56','INYC_MIN_RESUMEN',TO_DATE('20140101','yyyymmdd'),TO_DATE('22000101','yyyymmdd'),'');</v>
      </c>
    </row>
    <row r="239" spans="1:1" x14ac:dyDescent="0.25">
      <c r="A239" t="str">
        <f>IF(AGENTES!I240="OBSOLETO","","INSERT INTO INYCEXT.INYC_CONF_INF_AGENTES (COD_INFORME,BO_GROUP,COMPANIA,ID_TIPO_AGENTE,TABLA,F_INICIO,F_FIN,DESCRIPCION) VALUES ("&amp;AGENTES!B240&amp;",'"&amp;AGENTES!C240&amp;"','"&amp;AGENTES!D240&amp;"','"&amp;AGENTES!E240&amp;"','"&amp;AGENTES!F240&amp;"',TO_DATE('"&amp;AGENTES!G240&amp;"','yyyymmdd'),TO_DATE('"&amp;AGENTES!H240&amp;"','yyyymmdd'),'"&amp;AGENTES!I240&amp;"');")</f>
        <v>INSERT INTO INYCEXT.INYC_CONF_INF_AGENTES (COD_INFORME,BO_GROUP,COMPANIA,ID_TIPO_AGENTE,TABLA,F_INICIO,F_FIN,DESCRIPCION) VALUES (22,'INYC Compensation Reports User Group - MIN','01','57','INYC_MIN_RESUMEN',TO_DATE('20140101','yyyymmdd'),TO_DATE('22000101','yyyymmdd'),'');</v>
      </c>
    </row>
    <row r="240" spans="1:1" x14ac:dyDescent="0.25">
      <c r="A240" t="str">
        <f>IF(AGENTES!I241="OBSOLETO","","INSERT INTO INYCEXT.INYC_CONF_INF_AGENTES (COD_INFORME,BO_GROUP,COMPANIA,ID_TIPO_AGENTE,TABLA,F_INICIO,F_FIN,DESCRIPCION) VALUES ("&amp;AGENTES!B241&amp;",'"&amp;AGENTES!C241&amp;"','"&amp;AGENTES!D241&amp;"','"&amp;AGENTES!E241&amp;"','"&amp;AGENTES!F241&amp;"',TO_DATE('"&amp;AGENTES!G241&amp;"','yyyymmdd'),TO_DATE('"&amp;AGENTES!H241&amp;"','yyyymmdd'),'"&amp;AGENTES!I241&amp;"');")</f>
        <v>INSERT INTO INYCEXT.INYC_CONF_INF_AGENTES (COD_INFORME,BO_GROUP,COMPANIA,ID_TIPO_AGENTE,TABLA,F_INICIO,F_FIN,DESCRIPCION) VALUES (22,'INYC Compensation Reports User Group - MIN','01','58','INYC_MIN_RESUMEN',TO_DATE('20140101','yyyymmdd'),TO_DATE('22000101','yyyymmdd'),'');</v>
      </c>
    </row>
    <row r="241" spans="1:1" x14ac:dyDescent="0.25">
      <c r="A241" t="str">
        <f>IF(AGENTES!I242="OBSOLETO","","INSERT INTO INYCEXT.INYC_CONF_INF_AGENTES (COD_INFORME,BO_GROUP,COMPANIA,ID_TIPO_AGENTE,TABLA,F_INICIO,F_FIN,DESCRIPCION) VALUES ("&amp;AGENTES!B242&amp;",'"&amp;AGENTES!C242&amp;"','"&amp;AGENTES!D242&amp;"','"&amp;AGENTES!E242&amp;"','"&amp;AGENTES!F242&amp;"',TO_DATE('"&amp;AGENTES!G242&amp;"','yyyymmdd'),TO_DATE('"&amp;AGENTES!H242&amp;"','yyyymmdd'),'"&amp;AGENTES!I242&amp;"');")</f>
        <v>INSERT INTO INYCEXT.INYC_CONF_INF_AGENTES (COD_INFORME,BO_GROUP,COMPANIA,ID_TIPO_AGENTE,TABLA,F_INICIO,F_FIN,DESCRIPCION) VALUES (22,'INYC Compensation Reports User Group - MIN','01','59','INYC_MIN_RESUMEN',TO_DATE('20140101','yyyymmdd'),TO_DATE('22000101','yyyymmdd'),'');</v>
      </c>
    </row>
    <row r="242" spans="1:1" x14ac:dyDescent="0.25">
      <c r="A242" t="str">
        <f>IF(AGENTES!I243="OBSOLETO","","INSERT INTO INYCEXT.INYC_CONF_INF_AGENTES (COD_INFORME,BO_GROUP,COMPANIA,ID_TIPO_AGENTE,TABLA,F_INICIO,F_FIN,DESCRIPCION) VALUES ("&amp;AGENTES!B243&amp;",'"&amp;AGENTES!C243&amp;"','"&amp;AGENTES!D243&amp;"','"&amp;AGENTES!E243&amp;"','"&amp;AGENTES!F243&amp;"',TO_DATE('"&amp;AGENTES!G243&amp;"','yyyymmdd'),TO_DATE('"&amp;AGENTES!H243&amp;"','yyyymmdd'),'"&amp;AGENTES!I243&amp;"');")</f>
        <v>INSERT INTO INYCEXT.INYC_CONF_INF_AGENTES (COD_INFORME,BO_GROUP,COMPANIA,ID_TIPO_AGENTE,TABLA,F_INICIO,F_FIN,DESCRIPCION) VALUES (22,'INYC Compensation Reports User Group - MIN','01','60','INYC_MIN_RESUMEN',TO_DATE('20200101','yyyymmdd'),TO_DATE('22000101','yyyymmdd'),'Version 20200526');</v>
      </c>
    </row>
    <row r="243" spans="1:1" x14ac:dyDescent="0.25">
      <c r="A243" t="str">
        <f>IF(AGENTES!I244="OBSOLETO","","INSERT INTO INYCEXT.INYC_CONF_INF_AGENTES (COD_INFORME,BO_GROUP,COMPANIA,ID_TIPO_AGENTE,TABLA,F_INICIO,F_FIN,DESCRIPCION) VALUES ("&amp;AGENTES!B244&amp;",'"&amp;AGENTES!C244&amp;"','"&amp;AGENTES!D244&amp;"','"&amp;AGENTES!E244&amp;"','"&amp;AGENTES!F244&amp;"',TO_DATE('"&amp;AGENTES!G244&amp;"','yyyymmdd'),TO_DATE('"&amp;AGENTES!H244&amp;"','yyyymmdd'),'"&amp;AGENTES!I244&amp;"');")</f>
        <v>INSERT INTO INYCEXT.INYC_CONF_INF_AGENTES (COD_INFORME,BO_GROUP,COMPANIA,ID_TIPO_AGENTE,TABLA,F_INICIO,F_FIN,DESCRIPCION) VALUES (22,'INYC Compensation Reports User Group - MIN','01','61','INYC_MIN_RESUMEN',TO_DATE('20140101','yyyymmdd'),TO_DATE('22000101','yyyymmdd'),'');</v>
      </c>
    </row>
    <row r="244" spans="1:1" x14ac:dyDescent="0.25">
      <c r="A244" t="str">
        <f>IF(AGENTES!I245="OBSOLETO","","INSERT INTO INYCEXT.INYC_CONF_INF_AGENTES (COD_INFORME,BO_GROUP,COMPANIA,ID_TIPO_AGENTE,TABLA,F_INICIO,F_FIN,DESCRIPCION) VALUES ("&amp;AGENTES!B245&amp;",'"&amp;AGENTES!C245&amp;"','"&amp;AGENTES!D245&amp;"','"&amp;AGENTES!E245&amp;"','"&amp;AGENTES!F245&amp;"',TO_DATE('"&amp;AGENTES!G245&amp;"','yyyymmdd'),TO_DATE('"&amp;AGENTES!H245&amp;"','yyyymmdd'),'"&amp;AGENTES!I245&amp;"');")</f>
        <v>INSERT INTO INYCEXT.INYC_CONF_INF_AGENTES (COD_INFORME,BO_GROUP,COMPANIA,ID_TIPO_AGENTE,TABLA,F_INICIO,F_FIN,DESCRIPCION) VALUES (22,'INYC Compensation Reports User Group - MIN','01','62','INYC_MIN_RESUMEN',TO_DATE('20140101','yyyymmdd'),TO_DATE('22000101','yyyymmdd'),'');</v>
      </c>
    </row>
    <row r="245" spans="1:1" x14ac:dyDescent="0.25">
      <c r="A245" t="str">
        <f>IF(AGENTES!I246="OBSOLETO","","INSERT INTO INYCEXT.INYC_CONF_INF_AGENTES (COD_INFORME,BO_GROUP,COMPANIA,ID_TIPO_AGENTE,TABLA,F_INICIO,F_FIN,DESCRIPCION) VALUES ("&amp;AGENTES!B246&amp;",'"&amp;AGENTES!C246&amp;"','"&amp;AGENTES!D246&amp;"','"&amp;AGENTES!E246&amp;"','"&amp;AGENTES!F246&amp;"',TO_DATE('"&amp;AGENTES!G246&amp;"','yyyymmdd'),TO_DATE('"&amp;AGENTES!H246&amp;"','yyyymmdd'),'"&amp;AGENTES!I246&amp;"');")</f>
        <v>INSERT INTO INYCEXT.INYC_CONF_INF_AGENTES (COD_INFORME,BO_GROUP,COMPANIA,ID_TIPO_AGENTE,TABLA,F_INICIO,F_FIN,DESCRIPCION) VALUES (22,'INYC Compensation Reports User Group - MIN','01','65','INYC_MIN_RESUMEN',TO_DATE('20140101','yyyymmdd'),TO_DATE('22000101','yyyymmdd'),'');</v>
      </c>
    </row>
    <row r="246" spans="1:1" x14ac:dyDescent="0.25">
      <c r="A246" t="str">
        <f>IF(AGENTES!I247="OBSOLETO","","INSERT INTO INYCEXT.INYC_CONF_INF_AGENTES (COD_INFORME,BO_GROUP,COMPANIA,ID_TIPO_AGENTE,TABLA,F_INICIO,F_FIN,DESCRIPCION) VALUES ("&amp;AGENTES!B247&amp;",'"&amp;AGENTES!C247&amp;"','"&amp;AGENTES!D247&amp;"','"&amp;AGENTES!E247&amp;"','"&amp;AGENTES!F247&amp;"',TO_DATE('"&amp;AGENTES!G247&amp;"','yyyymmdd'),TO_DATE('"&amp;AGENTES!H247&amp;"','yyyymmdd'),'"&amp;AGENTES!I247&amp;"');")</f>
        <v>INSERT INTO INYCEXT.INYC_CONF_INF_AGENTES (COD_INFORME,BO_GROUP,COMPANIA,ID_TIPO_AGENTE,TABLA,F_INICIO,F_FIN,DESCRIPCION) VALUES (23,'INYC Compensation Reports User Group - REA','01','52','INYC_REA_RESUMEN',TO_DATE('20140101','yyyymmdd'),TO_DATE('22000101','yyyymmdd'),'');</v>
      </c>
    </row>
    <row r="247" spans="1:1" x14ac:dyDescent="0.25">
      <c r="A247" t="str">
        <f>IF(AGENTES!I248="OBSOLETO","","INSERT INTO INYCEXT.INYC_CONF_INF_AGENTES (COD_INFORME,BO_GROUP,COMPANIA,ID_TIPO_AGENTE,TABLA,F_INICIO,F_FIN,DESCRIPCION) VALUES ("&amp;AGENTES!B248&amp;",'"&amp;AGENTES!C248&amp;"','"&amp;AGENTES!D248&amp;"','"&amp;AGENTES!E248&amp;"','"&amp;AGENTES!F248&amp;"',TO_DATE('"&amp;AGENTES!G248&amp;"','yyyymmdd'),TO_DATE('"&amp;AGENTES!H248&amp;"','yyyymmdd'),'"&amp;AGENTES!I248&amp;"');")</f>
        <v>INSERT INTO INYCEXT.INYC_CONF_INF_AGENTES (COD_INFORME,BO_GROUP,COMPANIA,ID_TIPO_AGENTE,TABLA,F_INICIO,F_FIN,DESCRIPCION) VALUES (23,'INYC Compensation Reports User Group - REA','01','54','INYC_REA_RESUMEN',TO_DATE('20140101','yyyymmdd'),TO_DATE('22000101','yyyymmdd'),'');</v>
      </c>
    </row>
    <row r="248" spans="1:1" x14ac:dyDescent="0.25">
      <c r="A248" t="str">
        <f>IF(AGENTES!I249="OBSOLETO","","INSERT INTO INYCEXT.INYC_CONF_INF_AGENTES (COD_INFORME,BO_GROUP,COMPANIA,ID_TIPO_AGENTE,TABLA,F_INICIO,F_FIN,DESCRIPCION) VALUES ("&amp;AGENTES!B249&amp;",'"&amp;AGENTES!C249&amp;"','"&amp;AGENTES!D249&amp;"','"&amp;AGENTES!E249&amp;"','"&amp;AGENTES!F249&amp;"',TO_DATE('"&amp;AGENTES!G249&amp;"','yyyymmdd'),TO_DATE('"&amp;AGENTES!H249&amp;"','yyyymmdd'),'"&amp;AGENTES!I249&amp;"');")</f>
        <v>INSERT INTO INYCEXT.INYC_CONF_INF_AGENTES (COD_INFORME,BO_GROUP,COMPANIA,ID_TIPO_AGENTE,TABLA,F_INICIO,F_FIN,DESCRIPCION) VALUES (23,'INYC Compensation Reports User Group - REA','01','56','INYC_REA_RESUMEN',TO_DATE('20140101','yyyymmdd'),TO_DATE('22000101','yyyymmdd'),'');</v>
      </c>
    </row>
    <row r="249" spans="1:1" x14ac:dyDescent="0.25">
      <c r="A249" t="str">
        <f>IF(AGENTES!I250="OBSOLETO","","INSERT INTO INYCEXT.INYC_CONF_INF_AGENTES (COD_INFORME,BO_GROUP,COMPANIA,ID_TIPO_AGENTE,TABLA,F_INICIO,F_FIN,DESCRIPCION) VALUES ("&amp;AGENTES!B250&amp;",'"&amp;AGENTES!C250&amp;"','"&amp;AGENTES!D250&amp;"','"&amp;AGENTES!E250&amp;"','"&amp;AGENTES!F250&amp;"',TO_DATE('"&amp;AGENTES!G250&amp;"','yyyymmdd'),TO_DATE('"&amp;AGENTES!H250&amp;"','yyyymmdd'),'"&amp;AGENTES!I250&amp;"');")</f>
        <v>INSERT INTO INYCEXT.INYC_CONF_INF_AGENTES (COD_INFORME,BO_GROUP,COMPANIA,ID_TIPO_AGENTE,TABLA,F_INICIO,F_FIN,DESCRIPCION) VALUES (23,'INYC Compensation Reports User Group - REA','01','57','INYC_REA_RESUMEN',TO_DATE('20140101','yyyymmdd'),TO_DATE('22000101','yyyymmdd'),'');</v>
      </c>
    </row>
    <row r="250" spans="1:1" x14ac:dyDescent="0.25">
      <c r="A250" t="str">
        <f>IF(AGENTES!I251="OBSOLETO","","INSERT INTO INYCEXT.INYC_CONF_INF_AGENTES (COD_INFORME,BO_GROUP,COMPANIA,ID_TIPO_AGENTE,TABLA,F_INICIO,F_FIN,DESCRIPCION) VALUES ("&amp;AGENTES!B251&amp;",'"&amp;AGENTES!C251&amp;"','"&amp;AGENTES!D251&amp;"','"&amp;AGENTES!E251&amp;"','"&amp;AGENTES!F251&amp;"',TO_DATE('"&amp;AGENTES!G251&amp;"','yyyymmdd'),TO_DATE('"&amp;AGENTES!H251&amp;"','yyyymmdd'),'"&amp;AGENTES!I251&amp;"');")</f>
        <v>INSERT INTO INYCEXT.INYC_CONF_INF_AGENTES (COD_INFORME,BO_GROUP,COMPANIA,ID_TIPO_AGENTE,TABLA,F_INICIO,F_FIN,DESCRIPCION) VALUES (23,'INYC Compensation Reports User Group - REA','01','58','INYC_REA_RESUMEN',TO_DATE('20140101','yyyymmdd'),TO_DATE('22000101','yyyymmdd'),'');</v>
      </c>
    </row>
    <row r="251" spans="1:1" x14ac:dyDescent="0.25">
      <c r="A251" t="str">
        <f>IF(AGENTES!I252="OBSOLETO","","INSERT INTO INYCEXT.INYC_CONF_INF_AGENTES (COD_INFORME,BO_GROUP,COMPANIA,ID_TIPO_AGENTE,TABLA,F_INICIO,F_FIN,DESCRIPCION) VALUES ("&amp;AGENTES!B252&amp;",'"&amp;AGENTES!C252&amp;"','"&amp;AGENTES!D252&amp;"','"&amp;AGENTES!E252&amp;"','"&amp;AGENTES!F252&amp;"',TO_DATE('"&amp;AGENTES!G252&amp;"','yyyymmdd'),TO_DATE('"&amp;AGENTES!H252&amp;"','yyyymmdd'),'"&amp;AGENTES!I252&amp;"');")</f>
        <v>INSERT INTO INYCEXT.INYC_CONF_INF_AGENTES (COD_INFORME,BO_GROUP,COMPANIA,ID_TIPO_AGENTE,TABLA,F_INICIO,F_FIN,DESCRIPCION) VALUES (23,'INYC Compensation Reports User Group - REA','01','59','INYC_REA_RESUMEN',TO_DATE('20140101','yyyymmdd'),TO_DATE('22000101','yyyymmdd'),'');</v>
      </c>
    </row>
    <row r="252" spans="1:1" x14ac:dyDescent="0.25">
      <c r="A252" t="str">
        <f>IF(AGENTES!I253="OBSOLETO","","INSERT INTO INYCEXT.INYC_CONF_INF_AGENTES (COD_INFORME,BO_GROUP,COMPANIA,ID_TIPO_AGENTE,TABLA,F_INICIO,F_FIN,DESCRIPCION) VALUES ("&amp;AGENTES!B253&amp;",'"&amp;AGENTES!C253&amp;"','"&amp;AGENTES!D253&amp;"','"&amp;AGENTES!E253&amp;"','"&amp;AGENTES!F253&amp;"',TO_DATE('"&amp;AGENTES!G253&amp;"','yyyymmdd'),TO_DATE('"&amp;AGENTES!H253&amp;"','yyyymmdd'),'"&amp;AGENTES!I253&amp;"');")</f>
        <v>INSERT INTO INYCEXT.INYC_CONF_INF_AGENTES (COD_INFORME,BO_GROUP,COMPANIA,ID_TIPO_AGENTE,TABLA,F_INICIO,F_FIN,DESCRIPCION) VALUES (23,'INYC Compensation Reports User Group - REA','01','60','INYC_REA_RESUMEN',TO_DATE('20200101','yyyymmdd'),TO_DATE('22000101','yyyymmdd'),'Version 20200526');</v>
      </c>
    </row>
    <row r="253" spans="1:1" x14ac:dyDescent="0.25">
      <c r="A253" t="str">
        <f>IF(AGENTES!I254="OBSOLETO","","INSERT INTO INYCEXT.INYC_CONF_INF_AGENTES (COD_INFORME,BO_GROUP,COMPANIA,ID_TIPO_AGENTE,TABLA,F_INICIO,F_FIN,DESCRIPCION) VALUES ("&amp;AGENTES!B254&amp;",'"&amp;AGENTES!C254&amp;"','"&amp;AGENTES!D254&amp;"','"&amp;AGENTES!E254&amp;"','"&amp;AGENTES!F254&amp;"',TO_DATE('"&amp;AGENTES!G254&amp;"','yyyymmdd'),TO_DATE('"&amp;AGENTES!H254&amp;"','yyyymmdd'),'"&amp;AGENTES!I254&amp;"');")</f>
        <v>INSERT INTO INYCEXT.INYC_CONF_INF_AGENTES (COD_INFORME,BO_GROUP,COMPANIA,ID_TIPO_AGENTE,TABLA,F_INICIO,F_FIN,DESCRIPCION) VALUES (23,'INYC Compensation Reports User Group - REA','01','61','INYC_REA_RESUMEN',TO_DATE('20140101','yyyymmdd'),TO_DATE('22000101','yyyymmdd'),'');</v>
      </c>
    </row>
    <row r="254" spans="1:1" x14ac:dyDescent="0.25">
      <c r="A254" t="str">
        <f>IF(AGENTES!I255="OBSOLETO","","INSERT INTO INYCEXT.INYC_CONF_INF_AGENTES (COD_INFORME,BO_GROUP,COMPANIA,ID_TIPO_AGENTE,TABLA,F_INICIO,F_FIN,DESCRIPCION) VALUES ("&amp;AGENTES!B255&amp;",'"&amp;AGENTES!C255&amp;"','"&amp;AGENTES!D255&amp;"','"&amp;AGENTES!E255&amp;"','"&amp;AGENTES!F255&amp;"',TO_DATE('"&amp;AGENTES!G255&amp;"','yyyymmdd'),TO_DATE('"&amp;AGENTES!H255&amp;"','yyyymmdd'),'"&amp;AGENTES!I255&amp;"');")</f>
        <v>INSERT INTO INYCEXT.INYC_CONF_INF_AGENTES (COD_INFORME,BO_GROUP,COMPANIA,ID_TIPO_AGENTE,TABLA,F_INICIO,F_FIN,DESCRIPCION) VALUES (23,'INYC Compensation Reports User Group - REA','01','62','INYC_REA_RESUMEN',TO_DATE('20140101','yyyymmdd'),TO_DATE('22000101','yyyymmdd'),'');</v>
      </c>
    </row>
    <row r="255" spans="1:1" x14ac:dyDescent="0.25">
      <c r="A255" t="str">
        <f>IF(AGENTES!I256="OBSOLETO","","INSERT INTO INYCEXT.INYC_CONF_INF_AGENTES (COD_INFORME,BO_GROUP,COMPANIA,ID_TIPO_AGENTE,TABLA,F_INICIO,F_FIN,DESCRIPCION) VALUES ("&amp;AGENTES!B256&amp;",'"&amp;AGENTES!C256&amp;"','"&amp;AGENTES!D256&amp;"','"&amp;AGENTES!E256&amp;"','"&amp;AGENTES!F256&amp;"',TO_DATE('"&amp;AGENTES!G256&amp;"','yyyymmdd'),TO_DATE('"&amp;AGENTES!H256&amp;"','yyyymmdd'),'"&amp;AGENTES!I256&amp;"');")</f>
        <v>INSERT INTO INYCEXT.INYC_CONF_INF_AGENTES (COD_INFORME,BO_GROUP,COMPANIA,ID_TIPO_AGENTE,TABLA,F_INICIO,F_FIN,DESCRIPCION) VALUES (23,'INYC Compensation Reports User Group - REA','01','65','INYC_REA_RESUMEN',TO_DATE('20140101','yyyymmdd'),TO_DATE('22000101','yyyymmdd'),'');</v>
      </c>
    </row>
    <row r="256" spans="1:1" x14ac:dyDescent="0.25">
      <c r="A256" t="str">
        <f>IF(AGENTES!I257="OBSOLETO","","INSERT INTO INYCEXT.INYC_CONF_INF_AGENTES (COD_INFORME,BO_GROUP,COMPANIA,ID_TIPO_AGENTE,TABLA,F_INICIO,F_FIN,DESCRIPCION) VALUES ("&amp;AGENTES!B257&amp;",'"&amp;AGENTES!C257&amp;"','"&amp;AGENTES!D257&amp;"','"&amp;AGENTES!E257&amp;"','"&amp;AGENTES!F257&amp;"',TO_DATE('"&amp;AGENTES!G257&amp;"','yyyymmdd'),TO_DATE('"&amp;AGENTES!H257&amp;"','yyyymmdd'),'"&amp;AGENTES!I257&amp;"');")</f>
        <v>INSERT INTO INYCEXT.INYC_CONF_INF_AGENTES (COD_INFORME,BO_GROUP,COMPANIA,ID_TIPO_AGENTE,TABLA,F_INICIO,F_FIN,DESCRIPCION) VALUES (24,'INYC Compensation Reports User Group - RIP','01','1','INYC_RIP_RESUMEN',TO_DATE('20140101','yyyymmdd'),TO_DATE('22000101','yyyymmdd'),'');</v>
      </c>
    </row>
    <row r="257" spans="1:1" x14ac:dyDescent="0.25">
      <c r="A257" t="str">
        <f>IF(AGENTES!I258="OBSOLETO","","INSERT INTO INYCEXT.INYC_CONF_INF_AGENTES (COD_INFORME,BO_GROUP,COMPANIA,ID_TIPO_AGENTE,TABLA,F_INICIO,F_FIN,DESCRIPCION) VALUES ("&amp;AGENTES!B258&amp;",'"&amp;AGENTES!C258&amp;"','"&amp;AGENTES!D258&amp;"','"&amp;AGENTES!E258&amp;"','"&amp;AGENTES!F258&amp;"',TO_DATE('"&amp;AGENTES!G258&amp;"','yyyymmdd'),TO_DATE('"&amp;AGENTES!H258&amp;"','yyyymmdd'),'"&amp;AGENTES!I258&amp;"');")</f>
        <v>INSERT INTO INYCEXT.INYC_CONF_INF_AGENTES (COD_INFORME,BO_GROUP,COMPANIA,ID_TIPO_AGENTE,TABLA,F_INICIO,F_FIN,DESCRIPCION) VALUES (24,'INYC Compensation Reports User Group - RIP','01','2','INYC_RIP_RESUMEN',TO_DATE('20140101','yyyymmdd'),TO_DATE('22000101','yyyymmdd'),'');</v>
      </c>
    </row>
    <row r="258" spans="1:1" x14ac:dyDescent="0.25">
      <c r="A258" t="str">
        <f>IF(AGENTES!I259="OBSOLETO","","INSERT INTO INYCEXT.INYC_CONF_INF_AGENTES (COD_INFORME,BO_GROUP,COMPANIA,ID_TIPO_AGENTE,TABLA,F_INICIO,F_FIN,DESCRIPCION) VALUES ("&amp;AGENTES!B259&amp;",'"&amp;AGENTES!C259&amp;"','"&amp;AGENTES!D259&amp;"','"&amp;AGENTES!E259&amp;"','"&amp;AGENTES!F259&amp;"',TO_DATE('"&amp;AGENTES!G259&amp;"','yyyymmdd'),TO_DATE('"&amp;AGENTES!H259&amp;"','yyyymmdd'),'"&amp;AGENTES!I259&amp;"');")</f>
        <v>INSERT INTO INYCEXT.INYC_CONF_INF_AGENTES (COD_INFORME,BO_GROUP,COMPANIA,ID_TIPO_AGENTE,TABLA,F_INICIO,F_FIN,DESCRIPCION) VALUES (24,'INYC Compensation Reports User Group - RIP','01','3','INYC_RIP_RESUMEN',TO_DATE('20140101','yyyymmdd'),TO_DATE('22000101','yyyymmdd'),'');</v>
      </c>
    </row>
    <row r="259" spans="1:1" x14ac:dyDescent="0.25">
      <c r="A259" t="str">
        <f>IF(AGENTES!I260="OBSOLETO","","INSERT INTO INYCEXT.INYC_CONF_INF_AGENTES (COD_INFORME,BO_GROUP,COMPANIA,ID_TIPO_AGENTE,TABLA,F_INICIO,F_FIN,DESCRIPCION) VALUES ("&amp;AGENTES!B260&amp;",'"&amp;AGENTES!C260&amp;"','"&amp;AGENTES!D260&amp;"','"&amp;AGENTES!E260&amp;"','"&amp;AGENTES!F260&amp;"',TO_DATE('"&amp;AGENTES!G260&amp;"','yyyymmdd'),TO_DATE('"&amp;AGENTES!H260&amp;"','yyyymmdd'),'"&amp;AGENTES!I260&amp;"');")</f>
        <v>INSERT INTO INYCEXT.INYC_CONF_INF_AGENTES (COD_INFORME,BO_GROUP,COMPANIA,ID_TIPO_AGENTE,TABLA,F_INICIO,F_FIN,DESCRIPCION) VALUES (24,'INYC Compensation Reports User Group - RIP','01','4','INYC_RIP_RESUMEN',TO_DATE('20140101','yyyymmdd'),TO_DATE('22000101','yyyymmdd'),'');</v>
      </c>
    </row>
    <row r="260" spans="1:1" x14ac:dyDescent="0.25">
      <c r="A260" t="str">
        <f>IF(AGENTES!I261="OBSOLETO","","INSERT INTO INYCEXT.INYC_CONF_INF_AGENTES (COD_INFORME,BO_GROUP,COMPANIA,ID_TIPO_AGENTE,TABLA,F_INICIO,F_FIN,DESCRIPCION) VALUES ("&amp;AGENTES!B261&amp;",'"&amp;AGENTES!C261&amp;"','"&amp;AGENTES!D261&amp;"','"&amp;AGENTES!E261&amp;"','"&amp;AGENTES!F261&amp;"',TO_DATE('"&amp;AGENTES!G261&amp;"','yyyymmdd'),TO_DATE('"&amp;AGENTES!H261&amp;"','yyyymmdd'),'"&amp;AGENTES!I261&amp;"');")</f>
        <v>INSERT INTO INYCEXT.INYC_CONF_INF_AGENTES (COD_INFORME,BO_GROUP,COMPANIA,ID_TIPO_AGENTE,TABLA,F_INICIO,F_FIN,DESCRIPCION) VALUES (24,'INYC Compensation Reports User Group - RIP','01','5','INYC_RIP_RESUMEN',TO_DATE('20140101','yyyymmdd'),TO_DATE('22000101','yyyymmdd'),'');</v>
      </c>
    </row>
    <row r="261" spans="1:1" x14ac:dyDescent="0.25">
      <c r="A261" t="str">
        <f>IF(AGENTES!I262="OBSOLETO","","INSERT INTO INYCEXT.INYC_CONF_INF_AGENTES (COD_INFORME,BO_GROUP,COMPANIA,ID_TIPO_AGENTE,TABLA,F_INICIO,F_FIN,DESCRIPCION) VALUES ("&amp;AGENTES!B262&amp;",'"&amp;AGENTES!C262&amp;"','"&amp;AGENTES!D262&amp;"','"&amp;AGENTES!E262&amp;"','"&amp;AGENTES!F262&amp;"',TO_DATE('"&amp;AGENTES!G262&amp;"','yyyymmdd'),TO_DATE('"&amp;AGENTES!H262&amp;"','yyyymmdd'),'"&amp;AGENTES!I262&amp;"');")</f>
        <v>INSERT INTO INYCEXT.INYC_CONF_INF_AGENTES (COD_INFORME,BO_GROUP,COMPANIA,ID_TIPO_AGENTE,TABLA,F_INICIO,F_FIN,DESCRIPCION) VALUES (24,'INYC Compensation Reports User Group - RIP','01','6','INYC_RIP_RESUMEN',TO_DATE('20140101','yyyymmdd'),TO_DATE('22000101','yyyymmdd'),'');</v>
      </c>
    </row>
    <row r="262" spans="1:1" x14ac:dyDescent="0.25">
      <c r="A262" t="str">
        <f>IF(AGENTES!I263="OBSOLETO","","INSERT INTO INYCEXT.INYC_CONF_INF_AGENTES (COD_INFORME,BO_GROUP,COMPANIA,ID_TIPO_AGENTE,TABLA,F_INICIO,F_FIN,DESCRIPCION) VALUES ("&amp;AGENTES!B263&amp;",'"&amp;AGENTES!C263&amp;"','"&amp;AGENTES!D263&amp;"','"&amp;AGENTES!E263&amp;"','"&amp;AGENTES!F263&amp;"',TO_DATE('"&amp;AGENTES!G263&amp;"','yyyymmdd'),TO_DATE('"&amp;AGENTES!H263&amp;"','yyyymmdd'),'"&amp;AGENTES!I263&amp;"');")</f>
        <v>INSERT INTO INYCEXT.INYC_CONF_INF_AGENTES (COD_INFORME,BO_GROUP,COMPANIA,ID_TIPO_AGENTE,TABLA,F_INICIO,F_FIN,DESCRIPCION) VALUES (24,'INYC Compensation Reports User Group - RIP','01','7','INYC_RIP_RESUMEN',TO_DATE('20140101','yyyymmdd'),TO_DATE('22000101','yyyymmdd'),'');</v>
      </c>
    </row>
    <row r="263" spans="1:1" x14ac:dyDescent="0.25">
      <c r="A263" t="str">
        <f>IF(AGENTES!I264="OBSOLETO","","INSERT INTO INYCEXT.INYC_CONF_INF_AGENTES (COD_INFORME,BO_GROUP,COMPANIA,ID_TIPO_AGENTE,TABLA,F_INICIO,F_FIN,DESCRIPCION) VALUES ("&amp;AGENTES!B264&amp;",'"&amp;AGENTES!C264&amp;"','"&amp;AGENTES!D264&amp;"','"&amp;AGENTES!E264&amp;"','"&amp;AGENTES!F264&amp;"',TO_DATE('"&amp;AGENTES!G264&amp;"','yyyymmdd'),TO_DATE('"&amp;AGENTES!H264&amp;"','yyyymmdd'),'"&amp;AGENTES!I264&amp;"');")</f>
        <v>INSERT INTO INYCEXT.INYC_CONF_INF_AGENTES (COD_INFORME,BO_GROUP,COMPANIA,ID_TIPO_AGENTE,TABLA,F_INICIO,F_FIN,DESCRIPCION) VALUES (24,'INYC Compensation Reports User Group - RIP','01','8','INYC_RIP_RESUMEN',TO_DATE('20140101','yyyymmdd'),TO_DATE('22000101','yyyymmdd'),'');</v>
      </c>
    </row>
    <row r="264" spans="1:1" x14ac:dyDescent="0.25">
      <c r="A264" t="str">
        <f>IF(AGENTES!I265="OBSOLETO","","INSERT INTO INYCEXT.INYC_CONF_INF_AGENTES (COD_INFORME,BO_GROUP,COMPANIA,ID_TIPO_AGENTE,TABLA,F_INICIO,F_FIN,DESCRIPCION) VALUES ("&amp;AGENTES!B265&amp;",'"&amp;AGENTES!C265&amp;"','"&amp;AGENTES!D265&amp;"','"&amp;AGENTES!E265&amp;"','"&amp;AGENTES!F265&amp;"',TO_DATE('"&amp;AGENTES!G265&amp;"','yyyymmdd'),TO_DATE('"&amp;AGENTES!H265&amp;"','yyyymmdd'),'"&amp;AGENTES!I265&amp;"');")</f>
        <v>INSERT INTO INYCEXT.INYC_CONF_INF_AGENTES (COD_INFORME,BO_GROUP,COMPANIA,ID_TIPO_AGENTE,TABLA,F_INICIO,F_FIN,DESCRIPCION) VALUES (24,'INYC Compensation Reports User Group - RIP','01','9','INYC_RIP_RESUMEN',TO_DATE('20140101','yyyymmdd'),TO_DATE('22000101','yyyymmdd'),'');</v>
      </c>
    </row>
    <row r="265" spans="1:1" x14ac:dyDescent="0.25">
      <c r="A265" t="str">
        <f>IF(AGENTES!I266="OBSOLETO","","INSERT INTO INYCEXT.INYC_CONF_INF_AGENTES (COD_INFORME,BO_GROUP,COMPANIA,ID_TIPO_AGENTE,TABLA,F_INICIO,F_FIN,DESCRIPCION) VALUES ("&amp;AGENTES!B266&amp;",'"&amp;AGENTES!C266&amp;"','"&amp;AGENTES!D266&amp;"','"&amp;AGENTES!E266&amp;"','"&amp;AGENTES!F266&amp;"',TO_DATE('"&amp;AGENTES!G266&amp;"','yyyymmdd'),TO_DATE('"&amp;AGENTES!H266&amp;"','yyyymmdd'),'"&amp;AGENTES!I266&amp;"');")</f>
        <v>INSERT INTO INYCEXT.INYC_CONF_INF_AGENTES (COD_INFORME,BO_GROUP,COMPANIA,ID_TIPO_AGENTE,TABLA,F_INICIO,F_FIN,DESCRIPCION) VALUES (24,'INYC Compensation Reports User Group - RIP','01','10','INYC_RIP_RESUMEN',TO_DATE('20140101','yyyymmdd'),TO_DATE('22000101','yyyymmdd'),'');</v>
      </c>
    </row>
    <row r="266" spans="1:1" x14ac:dyDescent="0.25">
      <c r="A266" t="str">
        <f>IF(AGENTES!I267="OBSOLETO","","INSERT INTO INYCEXT.INYC_CONF_INF_AGENTES (COD_INFORME,BO_GROUP,COMPANIA,ID_TIPO_AGENTE,TABLA,F_INICIO,F_FIN,DESCRIPCION) VALUES ("&amp;AGENTES!B267&amp;",'"&amp;AGENTES!C267&amp;"','"&amp;AGENTES!D267&amp;"','"&amp;AGENTES!E267&amp;"','"&amp;AGENTES!F267&amp;"',TO_DATE('"&amp;AGENTES!G267&amp;"','yyyymmdd'),TO_DATE('"&amp;AGENTES!H267&amp;"','yyyymmdd'),'"&amp;AGENTES!I267&amp;"');")</f>
        <v>INSERT INTO INYCEXT.INYC_CONF_INF_AGENTES (COD_INFORME,BO_GROUP,COMPANIA,ID_TIPO_AGENTE,TABLA,F_INICIO,F_FIN,DESCRIPCION) VALUES (24,'INYC Compensation Reports User Group - RIP','01','11','INYC_RIP_RESUMEN',TO_DATE('20140101','yyyymmdd'),TO_DATE('22000101','yyyymmdd'),'');</v>
      </c>
    </row>
    <row r="267" spans="1:1" x14ac:dyDescent="0.25">
      <c r="A267" t="str">
        <f>IF(AGENTES!I268="OBSOLETO","","INSERT INTO INYCEXT.INYC_CONF_INF_AGENTES (COD_INFORME,BO_GROUP,COMPANIA,ID_TIPO_AGENTE,TABLA,F_INICIO,F_FIN,DESCRIPCION) VALUES ("&amp;AGENTES!B268&amp;",'"&amp;AGENTES!C268&amp;"','"&amp;AGENTES!D268&amp;"','"&amp;AGENTES!E268&amp;"','"&amp;AGENTES!F268&amp;"',TO_DATE('"&amp;AGENTES!G268&amp;"','yyyymmdd'),TO_DATE('"&amp;AGENTES!H268&amp;"','yyyymmdd'),'"&amp;AGENTES!I268&amp;"');")</f>
        <v>INSERT INTO INYCEXT.INYC_CONF_INF_AGENTES (COD_INFORME,BO_GROUP,COMPANIA,ID_TIPO_AGENTE,TABLA,F_INICIO,F_FIN,DESCRIPCION) VALUES (24,'INYC Compensation Reports User Group - RIP','01','12','INYC_RIP_RESUMEN',TO_DATE('20140101','yyyymmdd'),TO_DATE('22000101','yyyymmdd'),'');</v>
      </c>
    </row>
    <row r="268" spans="1:1" x14ac:dyDescent="0.25">
      <c r="A268" t="str">
        <f>IF(AGENTES!I269="OBSOLETO","","INSERT INTO INYCEXT.INYC_CONF_INF_AGENTES (COD_INFORME,BO_GROUP,COMPANIA,ID_TIPO_AGENTE,TABLA,F_INICIO,F_FIN,DESCRIPCION) VALUES ("&amp;AGENTES!B269&amp;",'"&amp;AGENTES!C269&amp;"','"&amp;AGENTES!D269&amp;"','"&amp;AGENTES!E269&amp;"','"&amp;AGENTES!F269&amp;"',TO_DATE('"&amp;AGENTES!G269&amp;"','yyyymmdd'),TO_DATE('"&amp;AGENTES!H269&amp;"','yyyymmdd'),'"&amp;AGENTES!I269&amp;"');")</f>
        <v>INSERT INTO INYCEXT.INYC_CONF_INF_AGENTES (COD_INFORME,BO_GROUP,COMPANIA,ID_TIPO_AGENTE,TABLA,F_INICIO,F_FIN,DESCRIPCION) VALUES (24,'INYC Compensation Reports User Group - RIP','01','13','INYC_RIP_RESUMEN',TO_DATE('20140101','yyyymmdd'),TO_DATE('22000101','yyyymmdd'),'');</v>
      </c>
    </row>
    <row r="269" spans="1:1" x14ac:dyDescent="0.25">
      <c r="A269" t="str">
        <f>IF(AGENTES!I270="OBSOLETO","","INSERT INTO INYCEXT.INYC_CONF_INF_AGENTES (COD_INFORME,BO_GROUP,COMPANIA,ID_TIPO_AGENTE,TABLA,F_INICIO,F_FIN,DESCRIPCION) VALUES ("&amp;AGENTES!B270&amp;",'"&amp;AGENTES!C270&amp;"','"&amp;AGENTES!D270&amp;"','"&amp;AGENTES!E270&amp;"','"&amp;AGENTES!F270&amp;"',TO_DATE('"&amp;AGENTES!G270&amp;"','yyyymmdd'),TO_DATE('"&amp;AGENTES!H270&amp;"','yyyymmdd'),'"&amp;AGENTES!I270&amp;"');")</f>
        <v>INSERT INTO INYCEXT.INYC_CONF_INF_AGENTES (COD_INFORME,BO_GROUP,COMPANIA,ID_TIPO_AGENTE,TABLA,F_INICIO,F_FIN,DESCRIPCION) VALUES (24,'INYC Compensation Reports User Group - RIP','01','14','INYC_RIP_RESUMEN',TO_DATE('20140101','yyyymmdd'),TO_DATE('22000101','yyyymmdd'),'');</v>
      </c>
    </row>
    <row r="270" spans="1:1" x14ac:dyDescent="0.25">
      <c r="A270" t="str">
        <f>IF(AGENTES!I271="OBSOLETO","","INSERT INTO INYCEXT.INYC_CONF_INF_AGENTES (COD_INFORME,BO_GROUP,COMPANIA,ID_TIPO_AGENTE,TABLA,F_INICIO,F_FIN,DESCRIPCION) VALUES ("&amp;AGENTES!B271&amp;",'"&amp;AGENTES!C271&amp;"','"&amp;AGENTES!D271&amp;"','"&amp;AGENTES!E271&amp;"','"&amp;AGENTES!F271&amp;"',TO_DATE('"&amp;AGENTES!G271&amp;"','yyyymmdd'),TO_DATE('"&amp;AGENTES!H271&amp;"','yyyymmdd'),'"&amp;AGENTES!I271&amp;"');")</f>
        <v>INSERT INTO INYCEXT.INYC_CONF_INF_AGENTES (COD_INFORME,BO_GROUP,COMPANIA,ID_TIPO_AGENTE,TABLA,F_INICIO,F_FIN,DESCRIPCION) VALUES (24,'INYC Compensation Reports User Group - RIP','01','15','INYC_RIP_RESUMEN',TO_DATE('20140101','yyyymmdd'),TO_DATE('22000101','yyyymmdd'),'');</v>
      </c>
    </row>
    <row r="271" spans="1:1" x14ac:dyDescent="0.25">
      <c r="A271" t="str">
        <f>IF(AGENTES!I272="OBSOLETO","","INSERT INTO INYCEXT.INYC_CONF_INF_AGENTES (COD_INFORME,BO_GROUP,COMPANIA,ID_TIPO_AGENTE,TABLA,F_INICIO,F_FIN,DESCRIPCION) VALUES ("&amp;AGENTES!B272&amp;",'"&amp;AGENTES!C272&amp;"','"&amp;AGENTES!D272&amp;"','"&amp;AGENTES!E272&amp;"','"&amp;AGENTES!F272&amp;"',TO_DATE('"&amp;AGENTES!G272&amp;"','yyyymmdd'),TO_DATE('"&amp;AGENTES!H272&amp;"','yyyymmdd'),'"&amp;AGENTES!I272&amp;"');")</f>
        <v>INSERT INTO INYCEXT.INYC_CONF_INF_AGENTES (COD_INFORME,BO_GROUP,COMPANIA,ID_TIPO_AGENTE,TABLA,F_INICIO,F_FIN,DESCRIPCION) VALUES (24,'INYC Compensation Reports User Group - RIP','01','16','INYC_RIP_RESUMEN',TO_DATE('20140101','yyyymmdd'),TO_DATE('22000101','yyyymmdd'),'');</v>
      </c>
    </row>
    <row r="272" spans="1:1" x14ac:dyDescent="0.25">
      <c r="A272" t="str">
        <f>IF(AGENTES!I273="OBSOLETO","","INSERT INTO INYCEXT.INYC_CONF_INF_AGENTES (COD_INFORME,BO_GROUP,COMPANIA,ID_TIPO_AGENTE,TABLA,F_INICIO,F_FIN,DESCRIPCION) VALUES ("&amp;AGENTES!B273&amp;",'"&amp;AGENTES!C273&amp;"','"&amp;AGENTES!D273&amp;"','"&amp;AGENTES!E273&amp;"','"&amp;AGENTES!F273&amp;"',TO_DATE('"&amp;AGENTES!G273&amp;"','yyyymmdd'),TO_DATE('"&amp;AGENTES!H273&amp;"','yyyymmdd'),'"&amp;AGENTES!I273&amp;"');")</f>
        <v>INSERT INTO INYCEXT.INYC_CONF_INF_AGENTES (COD_INFORME,BO_GROUP,COMPANIA,ID_TIPO_AGENTE,TABLA,F_INICIO,F_FIN,DESCRIPCION) VALUES (24,'INYC Compensation Reports User Group - RIP','01','17','INYC_RIP_RESUMEN',TO_DATE('20140101','yyyymmdd'),TO_DATE('22000101','yyyymmdd'),'');</v>
      </c>
    </row>
    <row r="273" spans="1:1" x14ac:dyDescent="0.25">
      <c r="A273" t="str">
        <f>IF(AGENTES!I274="OBSOLETO","","INSERT INTO INYCEXT.INYC_CONF_INF_AGENTES (COD_INFORME,BO_GROUP,COMPANIA,ID_TIPO_AGENTE,TABLA,F_INICIO,F_FIN,DESCRIPCION) VALUES ("&amp;AGENTES!B274&amp;",'"&amp;AGENTES!C274&amp;"','"&amp;AGENTES!D274&amp;"','"&amp;AGENTES!E274&amp;"','"&amp;AGENTES!F274&amp;"',TO_DATE('"&amp;AGENTES!G274&amp;"','yyyymmdd'),TO_DATE('"&amp;AGENTES!H274&amp;"','yyyymmdd'),'"&amp;AGENTES!I274&amp;"');")</f>
        <v>INSERT INTO INYCEXT.INYC_CONF_INF_AGENTES (COD_INFORME,BO_GROUP,COMPANIA,ID_TIPO_AGENTE,TABLA,F_INICIO,F_FIN,DESCRIPCION) VALUES (24,'INYC Compensation Reports User Group - RIP','01','18','INYC_RIP_RESUMEN',TO_DATE('20140101','yyyymmdd'),TO_DATE('22000101','yyyymmdd'),'');</v>
      </c>
    </row>
    <row r="274" spans="1:1" x14ac:dyDescent="0.25">
      <c r="A274" t="str">
        <f>IF(AGENTES!I275="OBSOLETO","","INSERT INTO INYCEXT.INYC_CONF_INF_AGENTES (COD_INFORME,BO_GROUP,COMPANIA,ID_TIPO_AGENTE,TABLA,F_INICIO,F_FIN,DESCRIPCION) VALUES ("&amp;AGENTES!B275&amp;",'"&amp;AGENTES!C275&amp;"','"&amp;AGENTES!D275&amp;"','"&amp;AGENTES!E275&amp;"','"&amp;AGENTES!F275&amp;"',TO_DATE('"&amp;AGENTES!G275&amp;"','yyyymmdd'),TO_DATE('"&amp;AGENTES!H275&amp;"','yyyymmdd'),'"&amp;AGENTES!I275&amp;"');")</f>
        <v>INSERT INTO INYCEXT.INYC_CONF_INF_AGENTES (COD_INFORME,BO_GROUP,COMPANIA,ID_TIPO_AGENTE,TABLA,F_INICIO,F_FIN,DESCRIPCION) VALUES (24,'INYC Compensation Reports User Group - RIP','01','19','INYC_RIP_RESUMEN',TO_DATE('20140101','yyyymmdd'),TO_DATE('22000101','yyyymmdd'),'');</v>
      </c>
    </row>
    <row r="275" spans="1:1" x14ac:dyDescent="0.25">
      <c r="A275" t="str">
        <f>IF(AGENTES!I276="OBSOLETO","","INSERT INTO INYCEXT.INYC_CONF_INF_AGENTES (COD_INFORME,BO_GROUP,COMPANIA,ID_TIPO_AGENTE,TABLA,F_INICIO,F_FIN,DESCRIPCION) VALUES ("&amp;AGENTES!B276&amp;",'"&amp;AGENTES!C276&amp;"','"&amp;AGENTES!D276&amp;"','"&amp;AGENTES!E276&amp;"','"&amp;AGENTES!F276&amp;"',TO_DATE('"&amp;AGENTES!G276&amp;"','yyyymmdd'),TO_DATE('"&amp;AGENTES!H276&amp;"','yyyymmdd'),'"&amp;AGENTES!I276&amp;"');")</f>
        <v>INSERT INTO INYCEXT.INYC_CONF_INF_AGENTES (COD_INFORME,BO_GROUP,COMPANIA,ID_TIPO_AGENTE,TABLA,F_INICIO,F_FIN,DESCRIPCION) VALUES (24,'INYC Compensation Reports User Group - RIP','01','20','INYC_RIP_RESUMEN',TO_DATE('20140101','yyyymmdd'),TO_DATE('22000101','yyyymmdd'),'');</v>
      </c>
    </row>
    <row r="276" spans="1:1" x14ac:dyDescent="0.25">
      <c r="A276" t="str">
        <f>IF(AGENTES!I277="OBSOLETO","","INSERT INTO INYCEXT.INYC_CONF_INF_AGENTES (COD_INFORME,BO_GROUP,COMPANIA,ID_TIPO_AGENTE,TABLA,F_INICIO,F_FIN,DESCRIPCION) VALUES ("&amp;AGENTES!B277&amp;",'"&amp;AGENTES!C277&amp;"','"&amp;AGENTES!D277&amp;"','"&amp;AGENTES!E277&amp;"','"&amp;AGENTES!F277&amp;"',TO_DATE('"&amp;AGENTES!G277&amp;"','yyyymmdd'),TO_DATE('"&amp;AGENTES!H277&amp;"','yyyymmdd'),'"&amp;AGENTES!I277&amp;"');")</f>
        <v>INSERT INTO INYCEXT.INYC_CONF_INF_AGENTES (COD_INFORME,BO_GROUP,COMPANIA,ID_TIPO_AGENTE,TABLA,F_INICIO,F_FIN,DESCRIPCION) VALUES (24,'INYC Compensation Reports User Group - RIP','01','21','INYC_RIP_RESUMEN',TO_DATE('20140101','yyyymmdd'),TO_DATE('22000101','yyyymmdd'),'');</v>
      </c>
    </row>
    <row r="277" spans="1:1" x14ac:dyDescent="0.25">
      <c r="A277" t="str">
        <f>IF(AGENTES!I278="OBSOLETO","","INSERT INTO INYCEXT.INYC_CONF_INF_AGENTES (COD_INFORME,BO_GROUP,COMPANIA,ID_TIPO_AGENTE,TABLA,F_INICIO,F_FIN,DESCRIPCION) VALUES ("&amp;AGENTES!B278&amp;",'"&amp;AGENTES!C278&amp;"','"&amp;AGENTES!D278&amp;"','"&amp;AGENTES!E278&amp;"','"&amp;AGENTES!F278&amp;"',TO_DATE('"&amp;AGENTES!G278&amp;"','yyyymmdd'),TO_DATE('"&amp;AGENTES!H278&amp;"','yyyymmdd'),'"&amp;AGENTES!I278&amp;"');")</f>
        <v>INSERT INTO INYCEXT.INYC_CONF_INF_AGENTES (COD_INFORME,BO_GROUP,COMPANIA,ID_TIPO_AGENTE,TABLA,F_INICIO,F_FIN,DESCRIPCION) VALUES (24,'INYC Compensation Reports User Group - RIP','01','22','INYC_RIP_RESUMEN',TO_DATE('20140101','yyyymmdd'),TO_DATE('22000101','yyyymmdd'),'');</v>
      </c>
    </row>
    <row r="278" spans="1:1" x14ac:dyDescent="0.25">
      <c r="A278" t="str">
        <f>IF(AGENTES!I279="OBSOLETO","","INSERT INTO INYCEXT.INYC_CONF_INF_AGENTES (COD_INFORME,BO_GROUP,COMPANIA,ID_TIPO_AGENTE,TABLA,F_INICIO,F_FIN,DESCRIPCION) VALUES ("&amp;AGENTES!B279&amp;",'"&amp;AGENTES!C279&amp;"','"&amp;AGENTES!D279&amp;"','"&amp;AGENTES!E279&amp;"','"&amp;AGENTES!F279&amp;"',TO_DATE('"&amp;AGENTES!G279&amp;"','yyyymmdd'),TO_DATE('"&amp;AGENTES!H279&amp;"','yyyymmdd'),'"&amp;AGENTES!I279&amp;"');")</f>
        <v>INSERT INTO INYCEXT.INYC_CONF_INF_AGENTES (COD_INFORME,BO_GROUP,COMPANIA,ID_TIPO_AGENTE,TABLA,F_INICIO,F_FIN,DESCRIPCION) VALUES (24,'INYC Compensation Reports User Group - RIP','01','23','INYC_RIP_RESUMEN',TO_DATE('20140101','yyyymmdd'),TO_DATE('22000101','yyyymmdd'),'');</v>
      </c>
    </row>
    <row r="279" spans="1:1" x14ac:dyDescent="0.25">
      <c r="A279" t="str">
        <f>IF(AGENTES!I280="OBSOLETO","","INSERT INTO INYCEXT.INYC_CONF_INF_AGENTES (COD_INFORME,BO_GROUP,COMPANIA,ID_TIPO_AGENTE,TABLA,F_INICIO,F_FIN,DESCRIPCION) VALUES ("&amp;AGENTES!B280&amp;",'"&amp;AGENTES!C280&amp;"','"&amp;AGENTES!D280&amp;"','"&amp;AGENTES!E280&amp;"','"&amp;AGENTES!F280&amp;"',TO_DATE('"&amp;AGENTES!G280&amp;"','yyyymmdd'),TO_DATE('"&amp;AGENTES!H280&amp;"','yyyymmdd'),'"&amp;AGENTES!I280&amp;"');")</f>
        <v>INSERT INTO INYCEXT.INYC_CONF_INF_AGENTES (COD_INFORME,BO_GROUP,COMPANIA,ID_TIPO_AGENTE,TABLA,F_INICIO,F_FIN,DESCRIPCION) VALUES (24,'INYC Compensation Reports User Group - RIP','01','24','INYC_RIP_RESUMEN',TO_DATE('20140101','yyyymmdd'),TO_DATE('22000101','yyyymmdd'),'');</v>
      </c>
    </row>
    <row r="280" spans="1:1" x14ac:dyDescent="0.25">
      <c r="A280" t="str">
        <f>IF(AGENTES!I281="OBSOLETO","","INSERT INTO INYCEXT.INYC_CONF_INF_AGENTES (COD_INFORME,BO_GROUP,COMPANIA,ID_TIPO_AGENTE,TABLA,F_INICIO,F_FIN,DESCRIPCION) VALUES ("&amp;AGENTES!B281&amp;",'"&amp;AGENTES!C281&amp;"','"&amp;AGENTES!D281&amp;"','"&amp;AGENTES!E281&amp;"','"&amp;AGENTES!F281&amp;"',TO_DATE('"&amp;AGENTES!G281&amp;"','yyyymmdd'),TO_DATE('"&amp;AGENTES!H281&amp;"','yyyymmdd'),'"&amp;AGENTES!I281&amp;"');")</f>
        <v>INSERT INTO INYCEXT.INYC_CONF_INF_AGENTES (COD_INFORME,BO_GROUP,COMPANIA,ID_TIPO_AGENTE,TABLA,F_INICIO,F_FIN,DESCRIPCION) VALUES (24,'INYC Compensation Reports User Group - RIP','01','25','INYC_RIP_RESUMEN',TO_DATE('20140101','yyyymmdd'),TO_DATE('22000101','yyyymmdd'),'');</v>
      </c>
    </row>
    <row r="281" spans="1:1" x14ac:dyDescent="0.25">
      <c r="A281" t="str">
        <f>IF(AGENTES!I282="OBSOLETO","","INSERT INTO INYCEXT.INYC_CONF_INF_AGENTES (COD_INFORME,BO_GROUP,COMPANIA,ID_TIPO_AGENTE,TABLA,F_INICIO,F_FIN,DESCRIPCION) VALUES ("&amp;AGENTES!B282&amp;",'"&amp;AGENTES!C282&amp;"','"&amp;AGENTES!D282&amp;"','"&amp;AGENTES!E282&amp;"','"&amp;AGENTES!F282&amp;"',TO_DATE('"&amp;AGENTES!G282&amp;"','yyyymmdd'),TO_DATE('"&amp;AGENTES!H282&amp;"','yyyymmdd'),'"&amp;AGENTES!I282&amp;"');")</f>
        <v>INSERT INTO INYCEXT.INYC_CONF_INF_AGENTES (COD_INFORME,BO_GROUP,COMPANIA,ID_TIPO_AGENTE,TABLA,F_INICIO,F_FIN,DESCRIPCION) VALUES (24,'INYC Compensation Reports User Group - RIP','01','26','INYC_RIP_RESUMEN',TO_DATE('20140101','yyyymmdd'),TO_DATE('22000101','yyyymmdd'),'');</v>
      </c>
    </row>
    <row r="282" spans="1:1" x14ac:dyDescent="0.25">
      <c r="A282" t="str">
        <f>IF(AGENTES!I283="OBSOLETO","","INSERT INTO INYCEXT.INYC_CONF_INF_AGENTES (COD_INFORME,BO_GROUP,COMPANIA,ID_TIPO_AGENTE,TABLA,F_INICIO,F_FIN,DESCRIPCION) VALUES ("&amp;AGENTES!B283&amp;",'"&amp;AGENTES!C283&amp;"','"&amp;AGENTES!D283&amp;"','"&amp;AGENTES!E283&amp;"','"&amp;AGENTES!F283&amp;"',TO_DATE('"&amp;AGENTES!G283&amp;"','yyyymmdd'),TO_DATE('"&amp;AGENTES!H283&amp;"','yyyymmdd'),'"&amp;AGENTES!I283&amp;"');")</f>
        <v>INSERT INTO INYCEXT.INYC_CONF_INF_AGENTES (COD_INFORME,BO_GROUP,COMPANIA,ID_TIPO_AGENTE,TABLA,F_INICIO,F_FIN,DESCRIPCION) VALUES (24,'INYC Compensation Reports User Group - RIP','01','27','INYC_RIP_RESUMEN',TO_DATE('20140101','yyyymmdd'),TO_DATE('22000101','yyyymmdd'),'');</v>
      </c>
    </row>
    <row r="283" spans="1:1" x14ac:dyDescent="0.25">
      <c r="A283" t="str">
        <f>IF(AGENTES!I284="OBSOLETO","","INSERT INTO INYCEXT.INYC_CONF_INF_AGENTES (COD_INFORME,BO_GROUP,COMPANIA,ID_TIPO_AGENTE,TABLA,F_INICIO,F_FIN,DESCRIPCION) VALUES ("&amp;AGENTES!B284&amp;",'"&amp;AGENTES!C284&amp;"','"&amp;AGENTES!D284&amp;"','"&amp;AGENTES!E284&amp;"','"&amp;AGENTES!F284&amp;"',TO_DATE('"&amp;AGENTES!G284&amp;"','yyyymmdd'),TO_DATE('"&amp;AGENTES!H284&amp;"','yyyymmdd'),'"&amp;AGENTES!I284&amp;"');")</f>
        <v>INSERT INTO INYCEXT.INYC_CONF_INF_AGENTES (COD_INFORME,BO_GROUP,COMPANIA,ID_TIPO_AGENTE,TABLA,F_INICIO,F_FIN,DESCRIPCION) VALUES (24,'INYC Compensation Reports User Group - RIP','01','29','INYC_RIP_RESUMEN',TO_DATE('20140101','yyyymmdd'),TO_DATE('22000101','yyyymmdd'),'');</v>
      </c>
    </row>
    <row r="284" spans="1:1" x14ac:dyDescent="0.25">
      <c r="A284" t="str">
        <f>IF(AGENTES!I285="OBSOLETO","","INSERT INTO INYCEXT.INYC_CONF_INF_AGENTES (COD_INFORME,BO_GROUP,COMPANIA,ID_TIPO_AGENTE,TABLA,F_INICIO,F_FIN,DESCRIPCION) VALUES ("&amp;AGENTES!B285&amp;",'"&amp;AGENTES!C285&amp;"','"&amp;AGENTES!D285&amp;"','"&amp;AGENTES!E285&amp;"','"&amp;AGENTES!F285&amp;"',TO_DATE('"&amp;AGENTES!G285&amp;"','yyyymmdd'),TO_DATE('"&amp;AGENTES!H285&amp;"','yyyymmdd'),'"&amp;AGENTES!I285&amp;"');")</f>
        <v>INSERT INTO INYCEXT.INYC_CONF_INF_AGENTES (COD_INFORME,BO_GROUP,COMPANIA,ID_TIPO_AGENTE,TABLA,F_INICIO,F_FIN,DESCRIPCION) VALUES (24,'INYC Compensation Reports User Group - RIP','01','30','INYC_RIP_RESUMEN',TO_DATE('20140101','yyyymmdd'),TO_DATE('22000101','yyyymmdd'),'');</v>
      </c>
    </row>
    <row r="285" spans="1:1" x14ac:dyDescent="0.25">
      <c r="A285" t="str">
        <f>IF(AGENTES!I286="OBSOLETO","","INSERT INTO INYCEXT.INYC_CONF_INF_AGENTES (COD_INFORME,BO_GROUP,COMPANIA,ID_TIPO_AGENTE,TABLA,F_INICIO,F_FIN,DESCRIPCION) VALUES ("&amp;AGENTES!B286&amp;",'"&amp;AGENTES!C286&amp;"','"&amp;AGENTES!D286&amp;"','"&amp;AGENTES!E286&amp;"','"&amp;AGENTES!F286&amp;"',TO_DATE('"&amp;AGENTES!G286&amp;"','yyyymmdd'),TO_DATE('"&amp;AGENTES!H286&amp;"','yyyymmdd'),'"&amp;AGENTES!I286&amp;"');")</f>
        <v>INSERT INTO INYCEXT.INYC_CONF_INF_AGENTES (COD_INFORME,BO_GROUP,COMPANIA,ID_TIPO_AGENTE,TABLA,F_INICIO,F_FIN,DESCRIPCION) VALUES (24,'INYC Compensation Reports User Group - RIP','01','31','INYC_RIP_RESUMEN',TO_DATE('20140101','yyyymmdd'),TO_DATE('22000101','yyyymmdd'),'');</v>
      </c>
    </row>
    <row r="286" spans="1:1" x14ac:dyDescent="0.25">
      <c r="A286" t="str">
        <f>IF(AGENTES!I287="OBSOLETO","","INSERT INTO INYCEXT.INYC_CONF_INF_AGENTES (COD_INFORME,BO_GROUP,COMPANIA,ID_TIPO_AGENTE,TABLA,F_INICIO,F_FIN,DESCRIPCION) VALUES ("&amp;AGENTES!B287&amp;",'"&amp;AGENTES!C287&amp;"','"&amp;AGENTES!D287&amp;"','"&amp;AGENTES!E287&amp;"','"&amp;AGENTES!F287&amp;"',TO_DATE('"&amp;AGENTES!G287&amp;"','yyyymmdd'),TO_DATE('"&amp;AGENTES!H287&amp;"','yyyymmdd'),'"&amp;AGENTES!I287&amp;"');")</f>
        <v>INSERT INTO INYCEXT.INYC_CONF_INF_AGENTES (COD_INFORME,BO_GROUP,COMPANIA,ID_TIPO_AGENTE,TABLA,F_INICIO,F_FIN,DESCRIPCION) VALUES (24,'INYC Compensation Reports User Group - RIP','01','32','INYC_RIP_RESUMEN',TO_DATE('20140101','yyyymmdd'),TO_DATE('22000101','yyyymmdd'),'');</v>
      </c>
    </row>
    <row r="287" spans="1:1" x14ac:dyDescent="0.25">
      <c r="A287" t="str">
        <f>IF(AGENTES!I288="OBSOLETO","","INSERT INTO INYCEXT.INYC_CONF_INF_AGENTES (COD_INFORME,BO_GROUP,COMPANIA,ID_TIPO_AGENTE,TABLA,F_INICIO,F_FIN,DESCRIPCION) VALUES ("&amp;AGENTES!B288&amp;",'"&amp;AGENTES!C288&amp;"','"&amp;AGENTES!D288&amp;"','"&amp;AGENTES!E288&amp;"','"&amp;AGENTES!F288&amp;"',TO_DATE('"&amp;AGENTES!G288&amp;"','yyyymmdd'),TO_DATE('"&amp;AGENTES!H288&amp;"','yyyymmdd'),'"&amp;AGENTES!I288&amp;"');")</f>
        <v>INSERT INTO INYCEXT.INYC_CONF_INF_AGENTES (COD_INFORME,BO_GROUP,COMPANIA,ID_TIPO_AGENTE,TABLA,F_INICIO,F_FIN,DESCRIPCION) VALUES (24,'INYC Compensation Reports User Group - RIP','01','33','INYC_RIP_RESUMEN',TO_DATE('20140101','yyyymmdd'),TO_DATE('22000101','yyyymmdd'),'');</v>
      </c>
    </row>
    <row r="288" spans="1:1" x14ac:dyDescent="0.25">
      <c r="A288" t="str">
        <f>IF(AGENTES!I289="OBSOLETO","","INSERT INTO INYCEXT.INYC_CONF_INF_AGENTES (COD_INFORME,BO_GROUP,COMPANIA,ID_TIPO_AGENTE,TABLA,F_INICIO,F_FIN,DESCRIPCION) VALUES ("&amp;AGENTES!B289&amp;",'"&amp;AGENTES!C289&amp;"','"&amp;AGENTES!D289&amp;"','"&amp;AGENTES!E289&amp;"','"&amp;AGENTES!F289&amp;"',TO_DATE('"&amp;AGENTES!G289&amp;"','yyyymmdd'),TO_DATE('"&amp;AGENTES!H289&amp;"','yyyymmdd'),'"&amp;AGENTES!I289&amp;"');")</f>
        <v>INSERT INTO INYCEXT.INYC_CONF_INF_AGENTES (COD_INFORME,BO_GROUP,COMPANIA,ID_TIPO_AGENTE,TABLA,F_INICIO,F_FIN,DESCRIPCION) VALUES (24,'INYC Compensation Reports User Group - RIP','01','34','INYC_RIP_RESUMEN',TO_DATE('20140101','yyyymmdd'),TO_DATE('22000101','yyyymmdd'),'');</v>
      </c>
    </row>
    <row r="289" spans="1:1" x14ac:dyDescent="0.25">
      <c r="A289" t="str">
        <f>IF(AGENTES!I290="OBSOLETO","","INSERT INTO INYCEXT.INYC_CONF_INF_AGENTES (COD_INFORME,BO_GROUP,COMPANIA,ID_TIPO_AGENTE,TABLA,F_INICIO,F_FIN,DESCRIPCION) VALUES ("&amp;AGENTES!B290&amp;",'"&amp;AGENTES!C290&amp;"','"&amp;AGENTES!D290&amp;"','"&amp;AGENTES!E290&amp;"','"&amp;AGENTES!F290&amp;"',TO_DATE('"&amp;AGENTES!G290&amp;"','yyyymmdd'),TO_DATE('"&amp;AGENTES!H290&amp;"','yyyymmdd'),'"&amp;AGENTES!I290&amp;"');")</f>
        <v>INSERT INTO INYCEXT.INYC_CONF_INF_AGENTES (COD_INFORME,BO_GROUP,COMPANIA,ID_TIPO_AGENTE,TABLA,F_INICIO,F_FIN,DESCRIPCION) VALUES (24,'INYC Compensation Reports User Group - RIP','01','35','INYC_RIP_RESUMEN',TO_DATE('20170101','yyyymmdd'),TO_DATE('22000101','yyyymmdd'),'');</v>
      </c>
    </row>
    <row r="290" spans="1:1" x14ac:dyDescent="0.25">
      <c r="A290" t="str">
        <f>IF(AGENTES!I291="OBSOLETO","","INSERT INTO INYCEXT.INYC_CONF_INF_AGENTES (COD_INFORME,BO_GROUP,COMPANIA,ID_TIPO_AGENTE,TABLA,F_INICIO,F_FIN,DESCRIPCION) VALUES ("&amp;AGENTES!B291&amp;",'"&amp;AGENTES!C291&amp;"','"&amp;AGENTES!D291&amp;"','"&amp;AGENTES!E291&amp;"','"&amp;AGENTES!F291&amp;"',TO_DATE('"&amp;AGENTES!G291&amp;"','yyyymmdd'),TO_DATE('"&amp;AGENTES!H291&amp;"','yyyymmdd'),'"&amp;AGENTES!I291&amp;"');")</f>
        <v>INSERT INTO INYCEXT.INYC_CONF_INF_AGENTES (COD_INFORME,BO_GROUP,COMPANIA,ID_TIPO_AGENTE,TABLA,F_INICIO,F_FIN,DESCRIPCION) VALUES (24,'INYC Compensation Reports User Group - RIP','01','36','INYC_RIP_RESUMEN',TO_DATE('20170101','yyyymmdd'),TO_DATE('22000101','yyyymmdd'),'');</v>
      </c>
    </row>
    <row r="291" spans="1:1" x14ac:dyDescent="0.25">
      <c r="A291" t="str">
        <f>IF(AGENTES!I292="OBSOLETO","","INSERT INTO INYCEXT.INYC_CONF_INF_AGENTES (COD_INFORME,BO_GROUP,COMPANIA,ID_TIPO_AGENTE,TABLA,F_INICIO,F_FIN,DESCRIPCION) VALUES ("&amp;AGENTES!B292&amp;",'"&amp;AGENTES!C292&amp;"','"&amp;AGENTES!D292&amp;"','"&amp;AGENTES!E292&amp;"','"&amp;AGENTES!F292&amp;"',TO_DATE('"&amp;AGENTES!G292&amp;"','yyyymmdd'),TO_DATE('"&amp;AGENTES!H292&amp;"','yyyymmdd'),'"&amp;AGENTES!I292&amp;"');")</f>
        <v>INSERT INTO INYCEXT.INYC_CONF_INF_AGENTES (COD_INFORME,BO_GROUP,COMPANIA,ID_TIPO_AGENTE,TABLA,F_INICIO,F_FIN,DESCRIPCION) VALUES (24,'INYC Compensation Reports User Group - RIP','01','37','INYC_RIP_RESUMEN',TO_DATE('20170101','yyyymmdd'),TO_DATE('22000101','yyyymmdd'),'');</v>
      </c>
    </row>
    <row r="292" spans="1:1" x14ac:dyDescent="0.25">
      <c r="A292" t="str">
        <f>IF(AGENTES!I293="OBSOLETO","","INSERT INTO INYCEXT.INYC_CONF_INF_AGENTES (COD_INFORME,BO_GROUP,COMPANIA,ID_TIPO_AGENTE,TABLA,F_INICIO,F_FIN,DESCRIPCION) VALUES ("&amp;AGENTES!B293&amp;",'"&amp;AGENTES!C293&amp;"','"&amp;AGENTES!D293&amp;"','"&amp;AGENTES!E293&amp;"','"&amp;AGENTES!F293&amp;"',TO_DATE('"&amp;AGENTES!G293&amp;"','yyyymmdd'),TO_DATE('"&amp;AGENTES!H293&amp;"','yyyymmdd'),'"&amp;AGENTES!I293&amp;"');")</f>
        <v>INSERT INTO INYCEXT.INYC_CONF_INF_AGENTES (COD_INFORME,BO_GROUP,COMPANIA,ID_TIPO_AGENTE,TABLA,F_INICIO,F_FIN,DESCRIPCION) VALUES (24,'INYC Compensation Reports User Group - RIP','01','38','INYC_RIP_RESUMEN',TO_DATE('20170101','yyyymmdd'),TO_DATE('22000101','yyyymmdd'),'');</v>
      </c>
    </row>
    <row r="293" spans="1:1" x14ac:dyDescent="0.25">
      <c r="A293" t="str">
        <f>IF(AGENTES!I294="OBSOLETO","","INSERT INTO INYCEXT.INYC_CONF_INF_AGENTES (COD_INFORME,BO_GROUP,COMPANIA,ID_TIPO_AGENTE,TABLA,F_INICIO,F_FIN,DESCRIPCION) VALUES ("&amp;AGENTES!B294&amp;",'"&amp;AGENTES!C294&amp;"','"&amp;AGENTES!D294&amp;"','"&amp;AGENTES!E294&amp;"','"&amp;AGENTES!F294&amp;"',TO_DATE('"&amp;AGENTES!G294&amp;"','yyyymmdd'),TO_DATE('"&amp;AGENTES!H294&amp;"','yyyymmdd'),'"&amp;AGENTES!I294&amp;"');")</f>
        <v>INSERT INTO INYCEXT.INYC_CONF_INF_AGENTES (COD_INFORME,BO_GROUP,COMPANIA,ID_TIPO_AGENTE,TABLA,F_INICIO,F_FIN,DESCRIPCION) VALUES (24,'INYC Compensation Reports User Group - RIP','01','39','INYC_RIP_RESUMEN',TO_DATE('20170101','yyyymmdd'),TO_DATE('22000101','yyyymmdd'),'');</v>
      </c>
    </row>
    <row r="294" spans="1:1" x14ac:dyDescent="0.25">
      <c r="A294" t="str">
        <f>IF(AGENTES!I295="OBSOLETO","","INSERT INTO INYCEXT.INYC_CONF_INF_AGENTES (COD_INFORME,BO_GROUP,COMPANIA,ID_TIPO_AGENTE,TABLA,F_INICIO,F_FIN,DESCRIPCION) VALUES ("&amp;AGENTES!B295&amp;",'"&amp;AGENTES!C295&amp;"','"&amp;AGENTES!D295&amp;"','"&amp;AGENTES!E295&amp;"','"&amp;AGENTES!F295&amp;"',TO_DATE('"&amp;AGENTES!G295&amp;"','yyyymmdd'),TO_DATE('"&amp;AGENTES!H295&amp;"','yyyymmdd'),'"&amp;AGENTES!I295&amp;"');")</f>
        <v>INSERT INTO INYCEXT.INYC_CONF_INF_AGENTES (COD_INFORME,BO_GROUP,COMPANIA,ID_TIPO_AGENTE,TABLA,F_INICIO,F_FIN,DESCRIPCION) VALUES (24,'INYC Compensation Reports User Group - RIP','01','40','INYC_RIP_RESUMEN',TO_DATE('20170101','yyyymmdd'),TO_DATE('22000101','yyyymmdd'),'');</v>
      </c>
    </row>
    <row r="295" spans="1:1" x14ac:dyDescent="0.25">
      <c r="A295" t="str">
        <f>IF(AGENTES!I296="OBSOLETO","","INSERT INTO INYCEXT.INYC_CONF_INF_AGENTES (COD_INFORME,BO_GROUP,COMPANIA,ID_TIPO_AGENTE,TABLA,F_INICIO,F_FIN,DESCRIPCION) VALUES ("&amp;AGENTES!B296&amp;",'"&amp;AGENTES!C296&amp;"','"&amp;AGENTES!D296&amp;"','"&amp;AGENTES!E296&amp;"','"&amp;AGENTES!F296&amp;"',TO_DATE('"&amp;AGENTES!G296&amp;"','yyyymmdd'),TO_DATE('"&amp;AGENTES!H296&amp;"','yyyymmdd'),'"&amp;AGENTES!I296&amp;"');")</f>
        <v>INSERT INTO INYCEXT.INYC_CONF_INF_AGENTES (COD_INFORME,BO_GROUP,COMPANIA,ID_TIPO_AGENTE,TABLA,F_INICIO,F_FIN,DESCRIPCION) VALUES (24,'INYC Compensation Reports User Group - RIP','01','41','INYC_RIP_RESUMEN',TO_DATE('20170101','yyyymmdd'),TO_DATE('22000101','yyyymmdd'),'');</v>
      </c>
    </row>
    <row r="296" spans="1:1" x14ac:dyDescent="0.25">
      <c r="A296" t="str">
        <f>IF(AGENTES!I297="OBSOLETO","","INSERT INTO INYCEXT.INYC_CONF_INF_AGENTES (COD_INFORME,BO_GROUP,COMPANIA,ID_TIPO_AGENTE,TABLA,F_INICIO,F_FIN,DESCRIPCION) VALUES ("&amp;AGENTES!B297&amp;",'"&amp;AGENTES!C297&amp;"','"&amp;AGENTES!D297&amp;"','"&amp;AGENTES!E297&amp;"','"&amp;AGENTES!F297&amp;"',TO_DATE('"&amp;AGENTES!G297&amp;"','yyyymmdd'),TO_DATE('"&amp;AGENTES!H297&amp;"','yyyymmdd'),'"&amp;AGENTES!I297&amp;"');")</f>
        <v>INSERT INTO INYCEXT.INYC_CONF_INF_AGENTES (COD_INFORME,BO_GROUP,COMPANIA,ID_TIPO_AGENTE,TABLA,F_INICIO,F_FIN,DESCRIPCION) VALUES (24,'INYC Compensation Reports User Group - RIP','01','42','INYC_RIP_RESUMEN',TO_DATE('20170101','yyyymmdd'),TO_DATE('22000101','yyyymmdd'),'');</v>
      </c>
    </row>
    <row r="297" spans="1:1" x14ac:dyDescent="0.25">
      <c r="A297" t="str">
        <f>IF(AGENTES!I298="OBSOLETO","","INSERT INTO INYCEXT.INYC_CONF_INF_AGENTES (COD_INFORME,BO_GROUP,COMPANIA,ID_TIPO_AGENTE,TABLA,F_INICIO,F_FIN,DESCRIPCION) VALUES ("&amp;AGENTES!B298&amp;",'"&amp;AGENTES!C298&amp;"','"&amp;AGENTES!D298&amp;"','"&amp;AGENTES!E298&amp;"','"&amp;AGENTES!F298&amp;"',TO_DATE('"&amp;AGENTES!G298&amp;"','yyyymmdd'),TO_DATE('"&amp;AGENTES!H298&amp;"','yyyymmdd'),'"&amp;AGENTES!I298&amp;"');")</f>
        <v>INSERT INTO INYCEXT.INYC_CONF_INF_AGENTES (COD_INFORME,BO_GROUP,COMPANIA,ID_TIPO_AGENTE,TABLA,F_INICIO,F_FIN,DESCRIPCION) VALUES (24,'INYC Compensation Reports User Group - RIP','01','43','INYC_RIP_RESUMEN',TO_DATE('20170101','yyyymmdd'),TO_DATE('22000101','yyyymmdd'),'');</v>
      </c>
    </row>
    <row r="298" spans="1:1" x14ac:dyDescent="0.25">
      <c r="A298" t="str">
        <f>IF(AGENTES!I299="OBSOLETO","","INSERT INTO INYCEXT.INYC_CONF_INF_AGENTES (COD_INFORME,BO_GROUP,COMPANIA,ID_TIPO_AGENTE,TABLA,F_INICIO,F_FIN,DESCRIPCION) VALUES ("&amp;AGENTES!B299&amp;",'"&amp;AGENTES!C299&amp;"','"&amp;AGENTES!D299&amp;"','"&amp;AGENTES!E299&amp;"','"&amp;AGENTES!F299&amp;"',TO_DATE('"&amp;AGENTES!G299&amp;"','yyyymmdd'),TO_DATE('"&amp;AGENTES!H299&amp;"','yyyymmdd'),'"&amp;AGENTES!I299&amp;"');")</f>
        <v>INSERT INTO INYCEXT.INYC_CONF_INF_AGENTES (COD_INFORME,BO_GROUP,COMPANIA,ID_TIPO_AGENTE,TABLA,F_INICIO,F_FIN,DESCRIPCION) VALUES (24,'INYC Compensation Reports User Group - RIP','01','44','INYC_RIP_RESUMEN',TO_DATE('20140101','yyyymmdd'),TO_DATE('22000101','yyyymmdd'),'');</v>
      </c>
    </row>
    <row r="299" spans="1:1" x14ac:dyDescent="0.25">
      <c r="A299" t="str">
        <f>IF(AGENTES!I300="OBSOLETO","","INSERT INTO INYCEXT.INYC_CONF_INF_AGENTES (COD_INFORME,BO_GROUP,COMPANIA,ID_TIPO_AGENTE,TABLA,F_INICIO,F_FIN,DESCRIPCION) VALUES ("&amp;AGENTES!B300&amp;",'"&amp;AGENTES!C300&amp;"','"&amp;AGENTES!D300&amp;"','"&amp;AGENTES!E300&amp;"','"&amp;AGENTES!F300&amp;"',TO_DATE('"&amp;AGENTES!G300&amp;"','yyyymmdd'),TO_DATE('"&amp;AGENTES!H300&amp;"','yyyymmdd'),'"&amp;AGENTES!I300&amp;"');")</f>
        <v>INSERT INTO INYCEXT.INYC_CONF_INF_AGENTES (COD_INFORME,BO_GROUP,COMPANIA,ID_TIPO_AGENTE,TABLA,F_INICIO,F_FIN,DESCRIPCION) VALUES (24,'INYC Compensation Reports User Group - RIP','01','45','INYC_RIP_RESUMEN',TO_DATE('20140101','yyyymmdd'),TO_DATE('22000101','yyyymmdd'),'');</v>
      </c>
    </row>
    <row r="300" spans="1:1" x14ac:dyDescent="0.25">
      <c r="A300" t="str">
        <f>IF(AGENTES!I301="OBSOLETO","","INSERT INTO INYCEXT.INYC_CONF_INF_AGENTES (COD_INFORME,BO_GROUP,COMPANIA,ID_TIPO_AGENTE,TABLA,F_INICIO,F_FIN,DESCRIPCION) VALUES ("&amp;AGENTES!B301&amp;",'"&amp;AGENTES!C301&amp;"','"&amp;AGENTES!D301&amp;"','"&amp;AGENTES!E301&amp;"','"&amp;AGENTES!F301&amp;"',TO_DATE('"&amp;AGENTES!G301&amp;"','yyyymmdd'),TO_DATE('"&amp;AGENTES!H301&amp;"','yyyymmdd'),'"&amp;AGENTES!I301&amp;"');")</f>
        <v>INSERT INTO INYCEXT.INYC_CONF_INF_AGENTES (COD_INFORME,BO_GROUP,COMPANIA,ID_TIPO_AGENTE,TABLA,F_INICIO,F_FIN,DESCRIPCION) VALUES (24,'INYC Compensation Reports User Group - RIP','01','46','INYC_RIP_RESUMEN',TO_DATE('20140101','yyyymmdd'),TO_DATE('22000101','yyyymmdd'),'');</v>
      </c>
    </row>
    <row r="301" spans="1:1" x14ac:dyDescent="0.25">
      <c r="A301" t="str">
        <f>IF(AGENTES!I302="OBSOLETO","","INSERT INTO INYCEXT.INYC_CONF_INF_AGENTES (COD_INFORME,BO_GROUP,COMPANIA,ID_TIPO_AGENTE,TABLA,F_INICIO,F_FIN,DESCRIPCION) VALUES ("&amp;AGENTES!B302&amp;",'"&amp;AGENTES!C302&amp;"','"&amp;AGENTES!D302&amp;"','"&amp;AGENTES!E302&amp;"','"&amp;AGENTES!F302&amp;"',TO_DATE('"&amp;AGENTES!G302&amp;"','yyyymmdd'),TO_DATE('"&amp;AGENTES!H302&amp;"','yyyymmdd'),'"&amp;AGENTES!I302&amp;"');")</f>
        <v>INSERT INTO INYCEXT.INYC_CONF_INF_AGENTES (COD_INFORME,BO_GROUP,COMPANIA,ID_TIPO_AGENTE,TABLA,F_INICIO,F_FIN,DESCRIPCION) VALUES (24,'INYC Compensation Reports User Group - RIP','01','47','INYC_RIP_RESUMEN',TO_DATE('20140101','yyyymmdd'),TO_DATE('22000101','yyyymmdd'),'');</v>
      </c>
    </row>
    <row r="302" spans="1:1" x14ac:dyDescent="0.25">
      <c r="A302" t="str">
        <f>IF(AGENTES!I303="OBSOLETO","","INSERT INTO INYCEXT.INYC_CONF_INF_AGENTES (COD_INFORME,BO_GROUP,COMPANIA,ID_TIPO_AGENTE,TABLA,F_INICIO,F_FIN,DESCRIPCION) VALUES ("&amp;AGENTES!B303&amp;",'"&amp;AGENTES!C303&amp;"','"&amp;AGENTES!D303&amp;"','"&amp;AGENTES!E303&amp;"','"&amp;AGENTES!F303&amp;"',TO_DATE('"&amp;AGENTES!G303&amp;"','yyyymmdd'),TO_DATE('"&amp;AGENTES!H303&amp;"','yyyymmdd'),'"&amp;AGENTES!I303&amp;"');")</f>
        <v>INSERT INTO INYCEXT.INYC_CONF_INF_AGENTES (COD_INFORME,BO_GROUP,COMPANIA,ID_TIPO_AGENTE,TABLA,F_INICIO,F_FIN,DESCRIPCION) VALUES (24,'INYC Compensation Reports User Group - RIP','01','48','INYC_RIP_RESUMEN',TO_DATE('20140101','yyyymmdd'),TO_DATE('22000101','yyyymmdd'),'');</v>
      </c>
    </row>
    <row r="303" spans="1:1" x14ac:dyDescent="0.25">
      <c r="A303" t="str">
        <f>IF(AGENTES!I304="OBSOLETO","","INSERT INTO INYCEXT.INYC_CONF_INF_AGENTES (COD_INFORME,BO_GROUP,COMPANIA,ID_TIPO_AGENTE,TABLA,F_INICIO,F_FIN,DESCRIPCION) VALUES ("&amp;AGENTES!B304&amp;",'"&amp;AGENTES!C304&amp;"','"&amp;AGENTES!D304&amp;"','"&amp;AGENTES!E304&amp;"','"&amp;AGENTES!F304&amp;"',TO_DATE('"&amp;AGENTES!G304&amp;"','yyyymmdd'),TO_DATE('"&amp;AGENTES!H304&amp;"','yyyymmdd'),'"&amp;AGENTES!I304&amp;"');")</f>
        <v>INSERT INTO INYCEXT.INYC_CONF_INF_AGENTES (COD_INFORME,BO_GROUP,COMPANIA,ID_TIPO_AGENTE,TABLA,F_INICIO,F_FIN,DESCRIPCION) VALUES (24,'INYC Compensation Reports User Group - RIP','01','49','INYC_RIP_RESUMEN',TO_DATE('20140101','yyyymmdd'),TO_DATE('22000101','yyyymmdd'),'');</v>
      </c>
    </row>
    <row r="304" spans="1:1" x14ac:dyDescent="0.25">
      <c r="A304" t="str">
        <f>IF(AGENTES!I305="OBSOLETO","","INSERT INTO INYCEXT.INYC_CONF_INF_AGENTES (COD_INFORME,BO_GROUP,COMPANIA,ID_TIPO_AGENTE,TABLA,F_INICIO,F_FIN,DESCRIPCION) VALUES ("&amp;AGENTES!B305&amp;",'"&amp;AGENTES!C305&amp;"','"&amp;AGENTES!D305&amp;"','"&amp;AGENTES!E305&amp;"','"&amp;AGENTES!F305&amp;"',TO_DATE('"&amp;AGENTES!G305&amp;"','yyyymmdd'),TO_DATE('"&amp;AGENTES!H305&amp;"','yyyymmdd'),'"&amp;AGENTES!I305&amp;"');")</f>
        <v>INSERT INTO INYCEXT.INYC_CONF_INF_AGENTES (COD_INFORME,BO_GROUP,COMPANIA,ID_TIPO_AGENTE,TABLA,F_INICIO,F_FIN,DESCRIPCION) VALUES (24,'INYC Compensation Reports User Group - RIP','01','50','INYC_RIP_RESUMEN',TO_DATE('20140101','yyyymmdd'),TO_DATE('22000101','yyyymmdd'),'');</v>
      </c>
    </row>
    <row r="305" spans="1:1" x14ac:dyDescent="0.25">
      <c r="A305" t="str">
        <f>IF(AGENTES!I306="OBSOLETO","","INSERT INTO INYCEXT.INYC_CONF_INF_AGENTES (COD_INFORME,BO_GROUP,COMPANIA,ID_TIPO_AGENTE,TABLA,F_INICIO,F_FIN,DESCRIPCION) VALUES ("&amp;AGENTES!B306&amp;",'"&amp;AGENTES!C306&amp;"','"&amp;AGENTES!D306&amp;"','"&amp;AGENTES!E306&amp;"','"&amp;AGENTES!F306&amp;"',TO_DATE('"&amp;AGENTES!G306&amp;"','yyyymmdd'),TO_DATE('"&amp;AGENTES!H306&amp;"','yyyymmdd'),'"&amp;AGENTES!I306&amp;"');")</f>
        <v>INSERT INTO INYCEXT.INYC_CONF_INF_AGENTES (COD_INFORME,BO_GROUP,COMPANIA,ID_TIPO_AGENTE,TABLA,F_INICIO,F_FIN,DESCRIPCION) VALUES (24,'INYC Compensation Reports User Group - RIP','01','51','INYC_RIP_RESUMEN',TO_DATE('20140101','yyyymmdd'),TO_DATE('22000101','yyyymmdd'),'');</v>
      </c>
    </row>
    <row r="306" spans="1:1" x14ac:dyDescent="0.25">
      <c r="A306" t="str">
        <f>IF(AGENTES!I307="OBSOLETO","","INSERT INTO INYCEXT.INYC_CONF_INF_AGENTES (COD_INFORME,BO_GROUP,COMPANIA,ID_TIPO_AGENTE,TABLA,F_INICIO,F_FIN,DESCRIPCION) VALUES ("&amp;AGENTES!B307&amp;",'"&amp;AGENTES!C307&amp;"','"&amp;AGENTES!D307&amp;"','"&amp;AGENTES!E307&amp;"','"&amp;AGENTES!F307&amp;"',TO_DATE('"&amp;AGENTES!G307&amp;"','yyyymmdd'),TO_DATE('"&amp;AGENTES!H307&amp;"','yyyymmdd'),'"&amp;AGENTES!I307&amp;"');")</f>
        <v>INSERT INTO INYCEXT.INYC_CONF_INF_AGENTES (COD_INFORME,BO_GROUP,COMPANIA,ID_TIPO_AGENTE,TABLA,F_INICIO,F_FIN,DESCRIPCION) VALUES (24,'INYC Compensation Reports User Group - RIP','01','52','INYC_RIP_RESUMEN',TO_DATE('20140101','yyyymmdd'),TO_DATE('22000101','yyyymmdd'),'');</v>
      </c>
    </row>
    <row r="307" spans="1:1" x14ac:dyDescent="0.25">
      <c r="A307" t="str">
        <f>IF(AGENTES!I308="OBSOLETO","","INSERT INTO INYCEXT.INYC_CONF_INF_AGENTES (COD_INFORME,BO_GROUP,COMPANIA,ID_TIPO_AGENTE,TABLA,F_INICIO,F_FIN,DESCRIPCION) VALUES ("&amp;AGENTES!B308&amp;",'"&amp;AGENTES!C308&amp;"','"&amp;AGENTES!D308&amp;"','"&amp;AGENTES!E308&amp;"','"&amp;AGENTES!F308&amp;"',TO_DATE('"&amp;AGENTES!G308&amp;"','yyyymmdd'),TO_DATE('"&amp;AGENTES!H308&amp;"','yyyymmdd'),'"&amp;AGENTES!I308&amp;"');")</f>
        <v>INSERT INTO INYCEXT.INYC_CONF_INF_AGENTES (COD_INFORME,BO_GROUP,COMPANIA,ID_TIPO_AGENTE,TABLA,F_INICIO,F_FIN,DESCRIPCION) VALUES (24,'INYC Compensation Reports User Group - RIP','01','53','INYC_RIP_RESUMEN',TO_DATE('20140101','yyyymmdd'),TO_DATE('22000101','yyyymmdd'),'');</v>
      </c>
    </row>
    <row r="308" spans="1:1" x14ac:dyDescent="0.25">
      <c r="A308" t="str">
        <f>IF(AGENTES!I309="OBSOLETO","","INSERT INTO INYCEXT.INYC_CONF_INF_AGENTES (COD_INFORME,BO_GROUP,COMPANIA,ID_TIPO_AGENTE,TABLA,F_INICIO,F_FIN,DESCRIPCION) VALUES ("&amp;AGENTES!B309&amp;",'"&amp;AGENTES!C309&amp;"','"&amp;AGENTES!D309&amp;"','"&amp;AGENTES!E309&amp;"','"&amp;AGENTES!F309&amp;"',TO_DATE('"&amp;AGENTES!G309&amp;"','yyyymmdd'),TO_DATE('"&amp;AGENTES!H309&amp;"','yyyymmdd'),'"&amp;AGENTES!I309&amp;"');")</f>
        <v>INSERT INTO INYCEXT.INYC_CONF_INF_AGENTES (COD_INFORME,BO_GROUP,COMPANIA,ID_TIPO_AGENTE,TABLA,F_INICIO,F_FIN,DESCRIPCION) VALUES (24,'INYC Compensation Reports User Group - RIP','01','54','INYC_RIP_RESUMEN',TO_DATE('20140101','yyyymmdd'),TO_DATE('22000101','yyyymmdd'),'');</v>
      </c>
    </row>
    <row r="309" spans="1:1" x14ac:dyDescent="0.25">
      <c r="A309" t="str">
        <f>IF(AGENTES!I310="OBSOLETO","","INSERT INTO INYCEXT.INYC_CONF_INF_AGENTES (COD_INFORME,BO_GROUP,COMPANIA,ID_TIPO_AGENTE,TABLA,F_INICIO,F_FIN,DESCRIPCION) VALUES ("&amp;AGENTES!B310&amp;",'"&amp;AGENTES!C310&amp;"','"&amp;AGENTES!D310&amp;"','"&amp;AGENTES!E310&amp;"','"&amp;AGENTES!F310&amp;"',TO_DATE('"&amp;AGENTES!G310&amp;"','yyyymmdd'),TO_DATE('"&amp;AGENTES!H310&amp;"','yyyymmdd'),'"&amp;AGENTES!I310&amp;"');")</f>
        <v>INSERT INTO INYCEXT.INYC_CONF_INF_AGENTES (COD_INFORME,BO_GROUP,COMPANIA,ID_TIPO_AGENTE,TABLA,F_INICIO,F_FIN,DESCRIPCION) VALUES (24,'INYC Compensation Reports User Group - RIP','01','55','INYC_RIP_RESUMEN',TO_DATE('20140101','yyyymmdd'),TO_DATE('22000101','yyyymmdd'),'');</v>
      </c>
    </row>
    <row r="310" spans="1:1" x14ac:dyDescent="0.25">
      <c r="A310" t="str">
        <f>IF(AGENTES!I311="OBSOLETO","","INSERT INTO INYCEXT.INYC_CONF_INF_AGENTES (COD_INFORME,BO_GROUP,COMPANIA,ID_TIPO_AGENTE,TABLA,F_INICIO,F_FIN,DESCRIPCION) VALUES ("&amp;AGENTES!B311&amp;",'"&amp;AGENTES!C311&amp;"','"&amp;AGENTES!D311&amp;"','"&amp;AGENTES!E311&amp;"','"&amp;AGENTES!F311&amp;"',TO_DATE('"&amp;AGENTES!G311&amp;"','yyyymmdd'),TO_DATE('"&amp;AGENTES!H311&amp;"','yyyymmdd'),'"&amp;AGENTES!I311&amp;"');")</f>
        <v>INSERT INTO INYCEXT.INYC_CONF_INF_AGENTES (COD_INFORME,BO_GROUP,COMPANIA,ID_TIPO_AGENTE,TABLA,F_INICIO,F_FIN,DESCRIPCION) VALUES (24,'INYC Compensation Reports User Group - RIP','01','56','INYC_RIP_RESUMEN',TO_DATE('20140101','yyyymmdd'),TO_DATE('22000101','yyyymmdd'),'');</v>
      </c>
    </row>
    <row r="311" spans="1:1" x14ac:dyDescent="0.25">
      <c r="A311" t="str">
        <f>IF(AGENTES!I312="OBSOLETO","","INSERT INTO INYCEXT.INYC_CONF_INF_AGENTES (COD_INFORME,BO_GROUP,COMPANIA,ID_TIPO_AGENTE,TABLA,F_INICIO,F_FIN,DESCRIPCION) VALUES ("&amp;AGENTES!B312&amp;",'"&amp;AGENTES!C312&amp;"','"&amp;AGENTES!D312&amp;"','"&amp;AGENTES!E312&amp;"','"&amp;AGENTES!F312&amp;"',TO_DATE('"&amp;AGENTES!G312&amp;"','yyyymmdd'),TO_DATE('"&amp;AGENTES!H312&amp;"','yyyymmdd'),'"&amp;AGENTES!I312&amp;"');")</f>
        <v>INSERT INTO INYCEXT.INYC_CONF_INF_AGENTES (COD_INFORME,BO_GROUP,COMPANIA,ID_TIPO_AGENTE,TABLA,F_INICIO,F_FIN,DESCRIPCION) VALUES (24,'INYC Compensation Reports User Group - RIP','01','57','INYC_RIP_RESUMEN',TO_DATE('20170101','yyyymmdd'),TO_DATE('22000101','yyyymmdd'),'');</v>
      </c>
    </row>
    <row r="312" spans="1:1" x14ac:dyDescent="0.25">
      <c r="A312" t="str">
        <f>IF(AGENTES!I313="OBSOLETO","","INSERT INTO INYCEXT.INYC_CONF_INF_AGENTES (COD_INFORME,BO_GROUP,COMPANIA,ID_TIPO_AGENTE,TABLA,F_INICIO,F_FIN,DESCRIPCION) VALUES ("&amp;AGENTES!B313&amp;",'"&amp;AGENTES!C313&amp;"','"&amp;AGENTES!D313&amp;"','"&amp;AGENTES!E313&amp;"','"&amp;AGENTES!F313&amp;"',TO_DATE('"&amp;AGENTES!G313&amp;"','yyyymmdd'),TO_DATE('"&amp;AGENTES!H313&amp;"','yyyymmdd'),'"&amp;AGENTES!I313&amp;"');")</f>
        <v>INSERT INTO INYCEXT.INYC_CONF_INF_AGENTES (COD_INFORME,BO_GROUP,COMPANIA,ID_TIPO_AGENTE,TABLA,F_INICIO,F_FIN,DESCRIPCION) VALUES (24,'INYC Compensation Reports User Group - RIP','01','58','INYC_RIP_RESUMEN',TO_DATE('20170101','yyyymmdd'),TO_DATE('22000101','yyyymmdd'),'');</v>
      </c>
    </row>
    <row r="313" spans="1:1" x14ac:dyDescent="0.25">
      <c r="A313" t="str">
        <f>IF(AGENTES!I314="OBSOLETO","","INSERT INTO INYCEXT.INYC_CONF_INF_AGENTES (COD_INFORME,BO_GROUP,COMPANIA,ID_TIPO_AGENTE,TABLA,F_INICIO,F_FIN,DESCRIPCION) VALUES ("&amp;AGENTES!B314&amp;",'"&amp;AGENTES!C314&amp;"','"&amp;AGENTES!D314&amp;"','"&amp;AGENTES!E314&amp;"','"&amp;AGENTES!F314&amp;"',TO_DATE('"&amp;AGENTES!G314&amp;"','yyyymmdd'),TO_DATE('"&amp;AGENTES!H314&amp;"','yyyymmdd'),'"&amp;AGENTES!I314&amp;"');")</f>
        <v>INSERT INTO INYCEXT.INYC_CONF_INF_AGENTES (COD_INFORME,BO_GROUP,COMPANIA,ID_TIPO_AGENTE,TABLA,F_INICIO,F_FIN,DESCRIPCION) VALUES (24,'INYC Compensation Reports User Group - RIP','01','59','INYC_RIP_RESUMEN',TO_DATE('20170101','yyyymmdd'),TO_DATE('22000101','yyyymmdd'),'');</v>
      </c>
    </row>
    <row r="314" spans="1:1" x14ac:dyDescent="0.25">
      <c r="A314" t="str">
        <f>IF(AGENTES!I315="OBSOLETO","","INSERT INTO INYCEXT.INYC_CONF_INF_AGENTES (COD_INFORME,BO_GROUP,COMPANIA,ID_TIPO_AGENTE,TABLA,F_INICIO,F_FIN,DESCRIPCION) VALUES ("&amp;AGENTES!B315&amp;",'"&amp;AGENTES!C315&amp;"','"&amp;AGENTES!D315&amp;"','"&amp;AGENTES!E315&amp;"','"&amp;AGENTES!F315&amp;"',TO_DATE('"&amp;AGENTES!G315&amp;"','yyyymmdd'),TO_DATE('"&amp;AGENTES!H315&amp;"','yyyymmdd'),'"&amp;AGENTES!I315&amp;"');")</f>
        <v>INSERT INTO INYCEXT.INYC_CONF_INF_AGENTES (COD_INFORME,BO_GROUP,COMPANIA,ID_TIPO_AGENTE,TABLA,F_INICIO,F_FIN,DESCRIPCION) VALUES (24,'INYC Compensation Reports User Group - RIP','01','60','INYC_RIP_RESUMEN',TO_DATE('20170101','yyyymmdd'),TO_DATE('22000101','yyyymmdd'),'');</v>
      </c>
    </row>
    <row r="315" spans="1:1" x14ac:dyDescent="0.25">
      <c r="A315" t="str">
        <f>IF(AGENTES!I316="OBSOLETO","","INSERT INTO INYCEXT.INYC_CONF_INF_AGENTES (COD_INFORME,BO_GROUP,COMPANIA,ID_TIPO_AGENTE,TABLA,F_INICIO,F_FIN,DESCRIPCION) VALUES ("&amp;AGENTES!B316&amp;",'"&amp;AGENTES!C316&amp;"','"&amp;AGENTES!D316&amp;"','"&amp;AGENTES!E316&amp;"','"&amp;AGENTES!F316&amp;"',TO_DATE('"&amp;AGENTES!G316&amp;"','yyyymmdd'),TO_DATE('"&amp;AGENTES!H316&amp;"','yyyymmdd'),'"&amp;AGENTES!I316&amp;"');")</f>
        <v>INSERT INTO INYCEXT.INYC_CONF_INF_AGENTES (COD_INFORME,BO_GROUP,COMPANIA,ID_TIPO_AGENTE,TABLA,F_INICIO,F_FIN,DESCRIPCION) VALUES (24,'INYC Compensation Reports User Group - RIP','01','61','INYC_RIP_RESUMEN',TO_DATE('20170101','yyyymmdd'),TO_DATE('22000101','yyyymmdd'),'');</v>
      </c>
    </row>
    <row r="316" spans="1:1" x14ac:dyDescent="0.25">
      <c r="A316" t="str">
        <f>IF(AGENTES!I317="OBSOLETO","","INSERT INTO INYCEXT.INYC_CONF_INF_AGENTES (COD_INFORME,BO_GROUP,COMPANIA,ID_TIPO_AGENTE,TABLA,F_INICIO,F_FIN,DESCRIPCION) VALUES ("&amp;AGENTES!B317&amp;",'"&amp;AGENTES!C317&amp;"','"&amp;AGENTES!D317&amp;"','"&amp;AGENTES!E317&amp;"','"&amp;AGENTES!F317&amp;"',TO_DATE('"&amp;AGENTES!G317&amp;"','yyyymmdd'),TO_DATE('"&amp;AGENTES!H317&amp;"','yyyymmdd'),'"&amp;AGENTES!I317&amp;"');")</f>
        <v>INSERT INTO INYCEXT.INYC_CONF_INF_AGENTES (COD_INFORME,BO_GROUP,COMPANIA,ID_TIPO_AGENTE,TABLA,F_INICIO,F_FIN,DESCRIPCION) VALUES (24,'INYC Compensation Reports User Group - RIP','01','62','INYC_RIP_RESUMEN',TO_DATE('20170101','yyyymmdd'),TO_DATE('22000101','yyyymmdd'),'');</v>
      </c>
    </row>
    <row r="317" spans="1:1" x14ac:dyDescent="0.25">
      <c r="A317" t="str">
        <f>IF(AGENTES!I318="OBSOLETO","","INSERT INTO INYCEXT.INYC_CONF_INF_AGENTES (COD_INFORME,BO_GROUP,COMPANIA,ID_TIPO_AGENTE,TABLA,F_INICIO,F_FIN,DESCRIPCION) VALUES ("&amp;AGENTES!B318&amp;",'"&amp;AGENTES!C318&amp;"','"&amp;AGENTES!D318&amp;"','"&amp;AGENTES!E318&amp;"','"&amp;AGENTES!F318&amp;"',TO_DATE('"&amp;AGENTES!G318&amp;"','yyyymmdd'),TO_DATE('"&amp;AGENTES!H318&amp;"','yyyymmdd'),'"&amp;AGENTES!I318&amp;"');")</f>
        <v>INSERT INTO INYCEXT.INYC_CONF_INF_AGENTES (COD_INFORME,BO_GROUP,COMPANIA,ID_TIPO_AGENTE,TABLA,F_INICIO,F_FIN,DESCRIPCION) VALUES (24,'INYC Compensation Reports User Group - RIP','01','63','INYC_RIP_RESUMEN',TO_DATE('20170101','yyyymmdd'),TO_DATE('22000101','yyyymmdd'),'');</v>
      </c>
    </row>
    <row r="318" spans="1:1" x14ac:dyDescent="0.25">
      <c r="A318" t="str">
        <f>IF(AGENTES!I319="OBSOLETO","","INSERT INTO INYCEXT.INYC_CONF_INF_AGENTES (COD_INFORME,BO_GROUP,COMPANIA,ID_TIPO_AGENTE,TABLA,F_INICIO,F_FIN,DESCRIPCION) VALUES ("&amp;AGENTES!B319&amp;",'"&amp;AGENTES!C319&amp;"','"&amp;AGENTES!D319&amp;"','"&amp;AGENTES!E319&amp;"','"&amp;AGENTES!F319&amp;"',TO_DATE('"&amp;AGENTES!G319&amp;"','yyyymmdd'),TO_DATE('"&amp;AGENTES!H319&amp;"','yyyymmdd'),'"&amp;AGENTES!I319&amp;"');")</f>
        <v>INSERT INTO INYCEXT.INYC_CONF_INF_AGENTES (COD_INFORME,BO_GROUP,COMPANIA,ID_TIPO_AGENTE,TABLA,F_INICIO,F_FIN,DESCRIPCION) VALUES (24,'INYC Compensation Reports User Group - RIP','01','64','INYC_RIP_RESUMEN',TO_DATE('20170101','yyyymmdd'),TO_DATE('22000101','yyyymmdd'),'');</v>
      </c>
    </row>
    <row r="319" spans="1:1" x14ac:dyDescent="0.25">
      <c r="A319" t="str">
        <f>IF(AGENTES!I320="OBSOLETO","","INSERT INTO INYCEXT.INYC_CONF_INF_AGENTES (COD_INFORME,BO_GROUP,COMPANIA,ID_TIPO_AGENTE,TABLA,F_INICIO,F_FIN,DESCRIPCION) VALUES ("&amp;AGENTES!B320&amp;",'"&amp;AGENTES!C320&amp;"','"&amp;AGENTES!D320&amp;"','"&amp;AGENTES!E320&amp;"','"&amp;AGENTES!F320&amp;"',TO_DATE('"&amp;AGENTES!G320&amp;"','yyyymmdd'),TO_DATE('"&amp;AGENTES!H320&amp;"','yyyymmdd'),'"&amp;AGENTES!I320&amp;"');")</f>
        <v>INSERT INTO INYCEXT.INYC_CONF_INF_AGENTES (COD_INFORME,BO_GROUP,COMPANIA,ID_TIPO_AGENTE,TABLA,F_INICIO,F_FIN,DESCRIPCION) VALUES (24,'INYC Compensation Reports User Group - RIP','01','65','INYC_RIP_RESUMEN',TO_DATE('20170101','yyyymmdd'),TO_DATE('22000101','yyyymmdd'),'');</v>
      </c>
    </row>
    <row r="320" spans="1:1" x14ac:dyDescent="0.25">
      <c r="A320" t="str">
        <f>IF(AGENTES!I321="OBSOLETO","","INSERT INTO INYCEXT.INYC_CONF_INF_AGENTES (COD_INFORME,BO_GROUP,COMPANIA,ID_TIPO_AGENTE,TABLA,F_INICIO,F_FIN,DESCRIPCION) VALUES ("&amp;AGENTES!B321&amp;",'"&amp;AGENTES!C321&amp;"','"&amp;AGENTES!D321&amp;"','"&amp;AGENTES!E321&amp;"','"&amp;AGENTES!F321&amp;"',TO_DATE('"&amp;AGENTES!G321&amp;"','yyyymmdd'),TO_DATE('"&amp;AGENTES!H321&amp;"','yyyymmdd'),'"&amp;AGENTES!I321&amp;"');")</f>
        <v/>
      </c>
    </row>
    <row r="321" spans="1:1" x14ac:dyDescent="0.25">
      <c r="A321" t="str">
        <f>IF(AGENTES!I322="OBSOLETO","","INSERT INTO INYCEXT.INYC_CONF_INF_AGENTES (COD_INFORME,BO_GROUP,COMPANIA,ID_TIPO_AGENTE,TABLA,F_INICIO,F_FIN,DESCRIPCION) VALUES ("&amp;AGENTES!B322&amp;",'"&amp;AGENTES!C322&amp;"','"&amp;AGENTES!D322&amp;"','"&amp;AGENTES!E322&amp;"','"&amp;AGENTES!F322&amp;"',TO_DATE('"&amp;AGENTES!G322&amp;"','yyyymmdd'),TO_DATE('"&amp;AGENTES!H322&amp;"','yyyymmdd'),'"&amp;AGENTES!I322&amp;"');")</f>
        <v/>
      </c>
    </row>
    <row r="322" spans="1:1" x14ac:dyDescent="0.25">
      <c r="A322" t="str">
        <f>IF(AGENTES!I323="OBSOLETO","","INSERT INTO INYCEXT.INYC_CONF_INF_AGENTES (COD_INFORME,BO_GROUP,COMPANIA,ID_TIPO_AGENTE,TABLA,F_INICIO,F_FIN,DESCRIPCION) VALUES ("&amp;AGENTES!B323&amp;",'"&amp;AGENTES!C323&amp;"','"&amp;AGENTES!D323&amp;"','"&amp;AGENTES!E323&amp;"','"&amp;AGENTES!F323&amp;"',TO_DATE('"&amp;AGENTES!G323&amp;"','yyyymmdd'),TO_DATE('"&amp;AGENTES!H323&amp;"','yyyymmdd'),'"&amp;AGENTES!I323&amp;"');")</f>
        <v/>
      </c>
    </row>
    <row r="323" spans="1:1" x14ac:dyDescent="0.25">
      <c r="A323" t="str">
        <f>IF(AGENTES!I324="OBSOLETO","","INSERT INTO INYCEXT.INYC_CONF_INF_AGENTES (COD_INFORME,BO_GROUP,COMPANIA,ID_TIPO_AGENTE,TABLA,F_INICIO,F_FIN,DESCRIPCION) VALUES ("&amp;AGENTES!B324&amp;",'"&amp;AGENTES!C324&amp;"','"&amp;AGENTES!D324&amp;"','"&amp;AGENTES!E324&amp;"','"&amp;AGENTES!F324&amp;"',TO_DATE('"&amp;AGENTES!G324&amp;"','yyyymmdd'),TO_DATE('"&amp;AGENTES!H324&amp;"','yyyymmdd'),'"&amp;AGENTES!I324&amp;"');")</f>
        <v/>
      </c>
    </row>
    <row r="324" spans="1:1" x14ac:dyDescent="0.25">
      <c r="A324" t="str">
        <f>IF(AGENTES!I325="OBSOLETO","","INSERT INTO INYCEXT.INYC_CONF_INF_AGENTES (COD_INFORME,BO_GROUP,COMPANIA,ID_TIPO_AGENTE,TABLA,F_INICIO,F_FIN,DESCRIPCION) VALUES ("&amp;AGENTES!B325&amp;",'"&amp;AGENTES!C325&amp;"','"&amp;AGENTES!D325&amp;"','"&amp;AGENTES!E325&amp;"','"&amp;AGENTES!F325&amp;"',TO_DATE('"&amp;AGENTES!G325&amp;"','yyyymmdd'),TO_DATE('"&amp;AGENTES!H325&amp;"','yyyymmdd'),'"&amp;AGENTES!I325&amp;"');")</f>
        <v/>
      </c>
    </row>
    <row r="325" spans="1:1" x14ac:dyDescent="0.25">
      <c r="A325" t="str">
        <f>IF(AGENTES!I326="OBSOLETO","","INSERT INTO INYCEXT.INYC_CONF_INF_AGENTES (COD_INFORME,BO_GROUP,COMPANIA,ID_TIPO_AGENTE,TABLA,F_INICIO,F_FIN,DESCRIPCION) VALUES ("&amp;AGENTES!B326&amp;",'"&amp;AGENTES!C326&amp;"','"&amp;AGENTES!D326&amp;"','"&amp;AGENTES!E326&amp;"','"&amp;AGENTES!F326&amp;"',TO_DATE('"&amp;AGENTES!G326&amp;"','yyyymmdd'),TO_DATE('"&amp;AGENTES!H326&amp;"','yyyymmdd'),'"&amp;AGENTES!I326&amp;"');")</f>
        <v/>
      </c>
    </row>
    <row r="326" spans="1:1" x14ac:dyDescent="0.25">
      <c r="A326" t="str">
        <f>IF(AGENTES!I327="OBSOLETO","","INSERT INTO INYCEXT.INYC_CONF_INF_AGENTES (COD_INFORME,BO_GROUP,COMPANIA,ID_TIPO_AGENTE,TABLA,F_INICIO,F_FIN,DESCRIPCION) VALUES ("&amp;AGENTES!B327&amp;",'"&amp;AGENTES!C327&amp;"','"&amp;AGENTES!D327&amp;"','"&amp;AGENTES!E327&amp;"','"&amp;AGENTES!F327&amp;"',TO_DATE('"&amp;AGENTES!G327&amp;"','yyyymmdd'),TO_DATE('"&amp;AGENTES!H327&amp;"','yyyymmdd'),'"&amp;AGENTES!I327&amp;"');")</f>
        <v/>
      </c>
    </row>
    <row r="327" spans="1:1" x14ac:dyDescent="0.25">
      <c r="A327" t="str">
        <f>IF(AGENTES!I328="OBSOLETO","","INSERT INTO INYCEXT.INYC_CONF_INF_AGENTES (COD_INFORME,BO_GROUP,COMPANIA,ID_TIPO_AGENTE,TABLA,F_INICIO,F_FIN,DESCRIPCION) VALUES ("&amp;AGENTES!B328&amp;",'"&amp;AGENTES!C328&amp;"','"&amp;AGENTES!D328&amp;"','"&amp;AGENTES!E328&amp;"','"&amp;AGENTES!F328&amp;"',TO_DATE('"&amp;AGENTES!G328&amp;"','yyyymmdd'),TO_DATE('"&amp;AGENTES!H328&amp;"','yyyymmdd'),'"&amp;AGENTES!I328&amp;"');")</f>
        <v/>
      </c>
    </row>
    <row r="328" spans="1:1" x14ac:dyDescent="0.25">
      <c r="A328" t="str">
        <f>IF(AGENTES!I329="OBSOLETO","","INSERT INTO INYCEXT.INYC_CONF_INF_AGENTES (COD_INFORME,BO_GROUP,COMPANIA,ID_TIPO_AGENTE,TABLA,F_INICIO,F_FIN,DESCRIPCION) VALUES ("&amp;AGENTES!B329&amp;",'"&amp;AGENTES!C329&amp;"','"&amp;AGENTES!D329&amp;"','"&amp;AGENTES!E329&amp;"','"&amp;AGENTES!F329&amp;"',TO_DATE('"&amp;AGENTES!G329&amp;"','yyyymmdd'),TO_DATE('"&amp;AGENTES!H329&amp;"','yyyymmdd'),'"&amp;AGENTES!I329&amp;"');")</f>
        <v/>
      </c>
    </row>
    <row r="329" spans="1:1" x14ac:dyDescent="0.25">
      <c r="A329" t="str">
        <f>IF(AGENTES!I330="OBSOLETO","","INSERT INTO INYCEXT.INYC_CONF_INF_AGENTES (COD_INFORME,BO_GROUP,COMPANIA,ID_TIPO_AGENTE,TABLA,F_INICIO,F_FIN,DESCRIPCION) VALUES ("&amp;AGENTES!B330&amp;",'"&amp;AGENTES!C330&amp;"','"&amp;AGENTES!D330&amp;"','"&amp;AGENTES!E330&amp;"','"&amp;AGENTES!F330&amp;"',TO_DATE('"&amp;AGENTES!G330&amp;"','yyyymmdd'),TO_DATE('"&amp;AGENTES!H330&amp;"','yyyymmdd'),'"&amp;AGENTES!I330&amp;"');")</f>
        <v/>
      </c>
    </row>
    <row r="330" spans="1:1" x14ac:dyDescent="0.25">
      <c r="A330" t="str">
        <f>IF(AGENTES!I331="OBSOLETO","","INSERT INTO INYCEXT.INYC_CONF_INF_AGENTES (COD_INFORME,BO_GROUP,COMPANIA,ID_TIPO_AGENTE,TABLA,F_INICIO,F_FIN,DESCRIPCION) VALUES ("&amp;AGENTES!B331&amp;",'"&amp;AGENTES!C331&amp;"','"&amp;AGENTES!D331&amp;"','"&amp;AGENTES!E331&amp;"','"&amp;AGENTES!F331&amp;"',TO_DATE('"&amp;AGENTES!G331&amp;"','yyyymmdd'),TO_DATE('"&amp;AGENTES!H331&amp;"','yyyymmdd'),'"&amp;AGENTES!I331&amp;"');")</f>
        <v/>
      </c>
    </row>
    <row r="331" spans="1:1" x14ac:dyDescent="0.25">
      <c r="A331" t="str">
        <f>IF(AGENTES!I332="OBSOLETO","","INSERT INTO INYCEXT.INYC_CONF_INF_AGENTES (COD_INFORME,BO_GROUP,COMPANIA,ID_TIPO_AGENTE,TABLA,F_INICIO,F_FIN,DESCRIPCION) VALUES ("&amp;AGENTES!B332&amp;",'"&amp;AGENTES!C332&amp;"','"&amp;AGENTES!D332&amp;"','"&amp;AGENTES!E332&amp;"','"&amp;AGENTES!F332&amp;"',TO_DATE('"&amp;AGENTES!G332&amp;"','yyyymmdd'),TO_DATE('"&amp;AGENTES!H332&amp;"','yyyymmdd'),'"&amp;AGENTES!I332&amp;"');")</f>
        <v/>
      </c>
    </row>
    <row r="332" spans="1:1" x14ac:dyDescent="0.25">
      <c r="A332" t="str">
        <f>IF(AGENTES!I333="OBSOLETO","","INSERT INTO INYCEXT.INYC_CONF_INF_AGENTES (COD_INFORME,BO_GROUP,COMPANIA,ID_TIPO_AGENTE,TABLA,F_INICIO,F_FIN,DESCRIPCION) VALUES ("&amp;AGENTES!B333&amp;",'"&amp;AGENTES!C333&amp;"','"&amp;AGENTES!D333&amp;"','"&amp;AGENTES!E333&amp;"','"&amp;AGENTES!F333&amp;"',TO_DATE('"&amp;AGENTES!G333&amp;"','yyyymmdd'),TO_DATE('"&amp;AGENTES!H333&amp;"','yyyymmdd'),'"&amp;AGENTES!I333&amp;"');")</f>
        <v/>
      </c>
    </row>
    <row r="333" spans="1:1" x14ac:dyDescent="0.25">
      <c r="A333" t="str">
        <f>IF(AGENTES!I334="OBSOLETO","","INSERT INTO INYCEXT.INYC_CONF_INF_AGENTES (COD_INFORME,BO_GROUP,COMPANIA,ID_TIPO_AGENTE,TABLA,F_INICIO,F_FIN,DESCRIPCION) VALUES ("&amp;AGENTES!B334&amp;",'"&amp;AGENTES!C334&amp;"','"&amp;AGENTES!D334&amp;"','"&amp;AGENTES!E334&amp;"','"&amp;AGENTES!F334&amp;"',TO_DATE('"&amp;AGENTES!G334&amp;"','yyyymmdd'),TO_DATE('"&amp;AGENTES!H334&amp;"','yyyymmdd'),'"&amp;AGENTES!I334&amp;"');")</f>
        <v>INSERT INTO INYCEXT.INYC_CONF_INF_AGENTES (COD_INFORME,BO_GROUP,COMPANIA,ID_TIPO_AGENTE,TABLA,F_INICIO,F_FIN,DESCRIPCION) VALUES (26,'INYC Compensation Reports User Group - RECOA','01','52','INYC_RECOA_RESUMEN',TO_DATE('20140101','yyyymmdd'),TO_DATE('22000101','yyyymmdd'),'Version 20180119');</v>
      </c>
    </row>
    <row r="334" spans="1:1" x14ac:dyDescent="0.25">
      <c r="A334" t="str">
        <f>IF(AGENTES!I335="OBSOLETO","","INSERT INTO INYCEXT.INYC_CONF_INF_AGENTES (COD_INFORME,BO_GROUP,COMPANIA,ID_TIPO_AGENTE,TABLA,F_INICIO,F_FIN,DESCRIPCION) VALUES ("&amp;AGENTES!B335&amp;",'"&amp;AGENTES!C335&amp;"','"&amp;AGENTES!D335&amp;"','"&amp;AGENTES!E335&amp;"','"&amp;AGENTES!F335&amp;"',TO_DATE('"&amp;AGENTES!G335&amp;"','yyyymmdd'),TO_DATE('"&amp;AGENTES!H335&amp;"','yyyymmdd'),'"&amp;AGENTES!I335&amp;"');")</f>
        <v>INSERT INTO INYCEXT.INYC_CONF_INF_AGENTES (COD_INFORME,BO_GROUP,COMPANIA,ID_TIPO_AGENTE,TABLA,F_INICIO,F_FIN,DESCRIPCION) VALUES (26,'INYC Compensation Reports User Group - RECOA','01','54','INYC_RECOA_RESUMEN',TO_DATE('20140101','yyyymmdd'),TO_DATE('22000101','yyyymmdd'),'Version 20180119');</v>
      </c>
    </row>
    <row r="335" spans="1:1" x14ac:dyDescent="0.25">
      <c r="A335" t="str">
        <f>IF(AGENTES!I336="OBSOLETO","","INSERT INTO INYCEXT.INYC_CONF_INF_AGENTES (COD_INFORME,BO_GROUP,COMPANIA,ID_TIPO_AGENTE,TABLA,F_INICIO,F_FIN,DESCRIPCION) VALUES ("&amp;AGENTES!B336&amp;",'"&amp;AGENTES!C336&amp;"','"&amp;AGENTES!D336&amp;"','"&amp;AGENTES!E336&amp;"','"&amp;AGENTES!F336&amp;"',TO_DATE('"&amp;AGENTES!G336&amp;"','yyyymmdd'),TO_DATE('"&amp;AGENTES!H336&amp;"','yyyymmdd'),'"&amp;AGENTES!I336&amp;"');")</f>
        <v>INSERT INTO INYCEXT.INYC_CONF_INF_AGENTES (COD_INFORME,BO_GROUP,COMPANIA,ID_TIPO_AGENTE,TABLA,F_INICIO,F_FIN,DESCRIPCION) VALUES (26,'INYC Compensation Reports User Group - RECOA','01','56','INYC_RECOA_RESUMEN',TO_DATE('20140101','yyyymmdd'),TO_DATE('22000101','yyyymmdd'),'Version 20180119');</v>
      </c>
    </row>
    <row r="336" spans="1:1" x14ac:dyDescent="0.25">
      <c r="A336" t="str">
        <f>IF(AGENTES!I337="OBSOLETO","","INSERT INTO INYCEXT.INYC_CONF_INF_AGENTES (COD_INFORME,BO_GROUP,COMPANIA,ID_TIPO_AGENTE,TABLA,F_INICIO,F_FIN,DESCRIPCION) VALUES ("&amp;AGENTES!B337&amp;",'"&amp;AGENTES!C337&amp;"','"&amp;AGENTES!D337&amp;"','"&amp;AGENTES!E337&amp;"','"&amp;AGENTES!F337&amp;"',TO_DATE('"&amp;AGENTES!G337&amp;"','yyyymmdd'),TO_DATE('"&amp;AGENTES!H337&amp;"','yyyymmdd'),'"&amp;AGENTES!I337&amp;"');")</f>
        <v>INSERT INTO INYCEXT.INYC_CONF_INF_AGENTES (COD_INFORME,BO_GROUP,COMPANIA,ID_TIPO_AGENTE,TABLA,F_INICIO,F_FIN,DESCRIPCION) VALUES (26,'INYC Compensation Reports User Group - RECOA','01','57','INYC_RECOA_RESUMEN',TO_DATE('20140101','yyyymmdd'),TO_DATE('22000101','yyyymmdd'),'Version 20180119');</v>
      </c>
    </row>
    <row r="337" spans="1:1" x14ac:dyDescent="0.25">
      <c r="A337" t="str">
        <f>IF(AGENTES!I338="OBSOLETO","","INSERT INTO INYCEXT.INYC_CONF_INF_AGENTES (COD_INFORME,BO_GROUP,COMPANIA,ID_TIPO_AGENTE,TABLA,F_INICIO,F_FIN,DESCRIPCION) VALUES ("&amp;AGENTES!B338&amp;",'"&amp;AGENTES!C338&amp;"','"&amp;AGENTES!D338&amp;"','"&amp;AGENTES!E338&amp;"','"&amp;AGENTES!F338&amp;"',TO_DATE('"&amp;AGENTES!G338&amp;"','yyyymmdd'),TO_DATE('"&amp;AGENTES!H338&amp;"','yyyymmdd'),'"&amp;AGENTES!I338&amp;"');")</f>
        <v>INSERT INTO INYCEXT.INYC_CONF_INF_AGENTES (COD_INFORME,BO_GROUP,COMPANIA,ID_TIPO_AGENTE,TABLA,F_INICIO,F_FIN,DESCRIPCION) VALUES (26,'INYC Compensation Reports User Group - RECOA','01','58','INYC_RECOA_RESUMEN',TO_DATE('20140101','yyyymmdd'),TO_DATE('22000101','yyyymmdd'),'Version 20180119');</v>
      </c>
    </row>
    <row r="338" spans="1:1" x14ac:dyDescent="0.25">
      <c r="A338" t="str">
        <f>IF(AGENTES!I339="OBSOLETO","","INSERT INTO INYCEXT.INYC_CONF_INF_AGENTES (COD_INFORME,BO_GROUP,COMPANIA,ID_TIPO_AGENTE,TABLA,F_INICIO,F_FIN,DESCRIPCION) VALUES ("&amp;AGENTES!B339&amp;",'"&amp;AGENTES!C339&amp;"','"&amp;AGENTES!D339&amp;"','"&amp;AGENTES!E339&amp;"','"&amp;AGENTES!F339&amp;"',TO_DATE('"&amp;AGENTES!G339&amp;"','yyyymmdd'),TO_DATE('"&amp;AGENTES!H339&amp;"','yyyymmdd'),'"&amp;AGENTES!I339&amp;"');")</f>
        <v>INSERT INTO INYCEXT.INYC_CONF_INF_AGENTES (COD_INFORME,BO_GROUP,COMPANIA,ID_TIPO_AGENTE,TABLA,F_INICIO,F_FIN,DESCRIPCION) VALUES (26,'INYC Compensation Reports User Group - RECOA','01','59','INYC_RECOA_RESUMEN',TO_DATE('20140101','yyyymmdd'),TO_DATE('22000101','yyyymmdd'),'Version 20180119');</v>
      </c>
    </row>
    <row r="339" spans="1:1" x14ac:dyDescent="0.25">
      <c r="A339" t="str">
        <f>IF(AGENTES!I340="OBSOLETO","","INSERT INTO INYCEXT.INYC_CONF_INF_AGENTES (COD_INFORME,BO_GROUP,COMPANIA,ID_TIPO_AGENTE,TABLA,F_INICIO,F_FIN,DESCRIPCION) VALUES ("&amp;AGENTES!B340&amp;",'"&amp;AGENTES!C340&amp;"','"&amp;AGENTES!D340&amp;"','"&amp;AGENTES!E340&amp;"','"&amp;AGENTES!F340&amp;"',TO_DATE('"&amp;AGENTES!G340&amp;"','yyyymmdd'),TO_DATE('"&amp;AGENTES!H340&amp;"','yyyymmdd'),'"&amp;AGENTES!I340&amp;"');")</f>
        <v>INSERT INTO INYCEXT.INYC_CONF_INF_AGENTES (COD_INFORME,BO_GROUP,COMPANIA,ID_TIPO_AGENTE,TABLA,F_INICIO,F_FIN,DESCRIPCION) VALUES (26,'INYC Compensation Reports User Group - RECOA','01','61','INYC_RECOA_RESUMEN',TO_DATE('20140101','yyyymmdd'),TO_DATE('22000101','yyyymmdd'),'Version 20180119');</v>
      </c>
    </row>
    <row r="340" spans="1:1" x14ac:dyDescent="0.25">
      <c r="A340" t="str">
        <f>IF(AGENTES!I341="OBSOLETO","","INSERT INTO INYCEXT.INYC_CONF_INF_AGENTES (COD_INFORME,BO_GROUP,COMPANIA,ID_TIPO_AGENTE,TABLA,F_INICIO,F_FIN,DESCRIPCION) VALUES ("&amp;AGENTES!B341&amp;",'"&amp;AGENTES!C341&amp;"','"&amp;AGENTES!D341&amp;"','"&amp;AGENTES!E341&amp;"','"&amp;AGENTES!F341&amp;"',TO_DATE('"&amp;AGENTES!G341&amp;"','yyyymmdd'),TO_DATE('"&amp;AGENTES!H341&amp;"','yyyymmdd'),'"&amp;AGENTES!I341&amp;"');")</f>
        <v>INSERT INTO INYCEXT.INYC_CONF_INF_AGENTES (COD_INFORME,BO_GROUP,COMPANIA,ID_TIPO_AGENTE,TABLA,F_INICIO,F_FIN,DESCRIPCION) VALUES (26,'INYC Compensation Reports User Group - RECOA','01','62','INYC_RECOA_RESUMEN',TO_DATE('20140101','yyyymmdd'),TO_DATE('22000101','yyyymmdd'),'Version 20180119');</v>
      </c>
    </row>
    <row r="341" spans="1:1" x14ac:dyDescent="0.25">
      <c r="A341" t="str">
        <f>IF(AGENTES!I342="OBSOLETO","","INSERT INTO INYCEXT.INYC_CONF_INF_AGENTES (COD_INFORME,BO_GROUP,COMPANIA,ID_TIPO_AGENTE,TABLA,F_INICIO,F_FIN,DESCRIPCION) VALUES ("&amp;AGENTES!B342&amp;",'"&amp;AGENTES!C342&amp;"','"&amp;AGENTES!D342&amp;"','"&amp;AGENTES!E342&amp;"','"&amp;AGENTES!F342&amp;"',TO_DATE('"&amp;AGENTES!G342&amp;"','yyyymmdd'),TO_DATE('"&amp;AGENTES!H342&amp;"','yyyymmdd'),'"&amp;AGENTES!I342&amp;"');")</f>
        <v>INSERT INTO INYCEXT.INYC_CONF_INF_AGENTES (COD_INFORME,BO_GROUP,COMPANIA,ID_TIPO_AGENTE,TABLA,F_INICIO,F_FIN,DESCRIPCION) VALUES (26,'INYC Compensation Reports User Group - RECOA','01','65','INYC_RECOA_RESUMEN',TO_DATE('20140101','yyyymmdd'),TO_DATE('22000101','yyyymmdd'),'Version 20180119');</v>
      </c>
    </row>
    <row r="342" spans="1:1" x14ac:dyDescent="0.25">
      <c r="A342" t="str">
        <f>IF(AGENTES!I343="OBSOLETO","","INSERT INTO INYCEXT.INYC_CONF_INF_AGENTES (COD_INFORME,BO_GROUP,COMPANIA,ID_TIPO_AGENTE,TABLA,F_INICIO,F_FIN,DESCRIPCION) VALUES ("&amp;AGENTES!B343&amp;",'"&amp;AGENTES!C343&amp;"','"&amp;AGENTES!D343&amp;"','"&amp;AGENTES!E343&amp;"','"&amp;AGENTES!F343&amp;"',TO_DATE('"&amp;AGENTES!G343&amp;"','yyyymmdd'),TO_DATE('"&amp;AGENTES!H343&amp;"','yyyymmdd'),'"&amp;AGENTES!I343&amp;"');")</f>
        <v>INSERT INTO INYCEXT.INYC_CONF_INF_AGENTES (COD_INFORME,BO_GROUP,COMPANIA,ID_TIPO_AGENTE,TABLA,F_INICIO,F_FIN,DESCRIPCION) VALUES (26,'INYC Compensation Reports User Group - RECOA','01','70','INYC_RECOA_RESUMEN',TO_DATE('20140101','yyyymmdd'),TO_DATE('22000101','yyyymmdd'),'Version 20180119');</v>
      </c>
    </row>
    <row r="343" spans="1:1" x14ac:dyDescent="0.25">
      <c r="A343" t="str">
        <f>IF(AGENTES!I344="OBSOLETO","","INSERT INTO INYCEXT.INYC_CONF_INF_AGENTES (COD_INFORME,BO_GROUP,COMPANIA,ID_TIPO_AGENTE,TABLA,F_INICIO,F_FIN,DESCRIPCION) VALUES ("&amp;AGENTES!B344&amp;",'"&amp;AGENTES!C344&amp;"','"&amp;AGENTES!D344&amp;"','"&amp;AGENTES!E344&amp;"','"&amp;AGENTES!F344&amp;"',TO_DATE('"&amp;AGENTES!G344&amp;"','yyyymmdd'),TO_DATE('"&amp;AGENTES!H344&amp;"','yyyymmdd'),'"&amp;AGENTES!I344&amp;"');")</f>
        <v>INSERT INTO INYCEXT.INYC_CONF_INF_AGENTES (COD_INFORME,BO_GROUP,COMPANIA,ID_TIPO_AGENTE,TABLA,F_INICIO,F_FIN,DESCRIPCION) VALUES (26,'INYC Compensation Reports User Group - RECOA','01','71','INYC_RECOA_RESUMEN',TO_DATE('20140101','yyyymmdd'),TO_DATE('22000101','yyyymmdd'),'Version 20180119');</v>
      </c>
    </row>
    <row r="344" spans="1:1" x14ac:dyDescent="0.25">
      <c r="A344" t="str">
        <f>IF(AGENTES!I345="OBSOLETO","","INSERT INTO INYCEXT.INYC_CONF_INF_AGENTES (COD_INFORME,BO_GROUP,COMPANIA,ID_TIPO_AGENTE,TABLA,F_INICIO,F_FIN,DESCRIPCION) VALUES ("&amp;AGENTES!B345&amp;",'"&amp;AGENTES!C345&amp;"','"&amp;AGENTES!D345&amp;"','"&amp;AGENTES!E345&amp;"','"&amp;AGENTES!F345&amp;"',TO_DATE('"&amp;AGENTES!G345&amp;"','yyyymmdd'),TO_DATE('"&amp;AGENTES!H345&amp;"','yyyymmdd'),'"&amp;AGENTES!I345&amp;"');")</f>
        <v>INSERT INTO INYCEXT.INYC_CONF_INF_AGENTES (COD_INFORME,BO_GROUP,COMPANIA,ID_TIPO_AGENTE,TABLA,F_INICIO,F_FIN,DESCRIPCION) VALUES (26,'INYC Compensation Reports User Group - RECOA','01','72','INYC_RECOA_RESUMEN',TO_DATE('20140101','yyyymmdd'),TO_DATE('22000101','yyyymmdd'),'Version 20180119');</v>
      </c>
    </row>
    <row r="345" spans="1:1" x14ac:dyDescent="0.25">
      <c r="A345" t="str">
        <f>IF(AGENTES!I346="OBSOLETO","","INSERT INTO INYCEXT.INYC_CONF_INF_AGENTES (COD_INFORME,BO_GROUP,COMPANIA,ID_TIPO_AGENTE,TABLA,F_INICIO,F_FIN,DESCRIPCION) VALUES ("&amp;AGENTES!B346&amp;",'"&amp;AGENTES!C346&amp;"','"&amp;AGENTES!D346&amp;"','"&amp;AGENTES!E346&amp;"','"&amp;AGENTES!F346&amp;"',TO_DATE('"&amp;AGENTES!G346&amp;"','yyyymmdd'),TO_DATE('"&amp;AGENTES!H346&amp;"','yyyymmdd'),'"&amp;AGENTES!I346&amp;"');")</f>
        <v>INSERT INTO INYCEXT.INYC_CONF_INF_AGENTES (COD_INFORME,BO_GROUP,COMPANIA,ID_TIPO_AGENTE,TABLA,F_INICIO,F_FIN,DESCRIPCION) VALUES (26,'INYC Compensation Reports User Group - RECOA','01','74','INYC_RECOA_RESUMEN',TO_DATE('20140101','yyyymmdd'),TO_DATE('22000101','yyyymmdd'),'Version 20180119');</v>
      </c>
    </row>
    <row r="346" spans="1:1" x14ac:dyDescent="0.25">
      <c r="A346" t="str">
        <f>IF(AGENTES!I347="OBSOLETO","","INSERT INTO INYCEXT.INYC_CONF_INF_AGENTES (COD_INFORME,BO_GROUP,COMPANIA,ID_TIPO_AGENTE,TABLA,F_INICIO,F_FIN,DESCRIPCION) VALUES ("&amp;AGENTES!B347&amp;",'"&amp;AGENTES!C347&amp;"','"&amp;AGENTES!D347&amp;"','"&amp;AGENTES!E347&amp;"','"&amp;AGENTES!F347&amp;"',TO_DATE('"&amp;AGENTES!G347&amp;"','yyyymmdd'),TO_DATE('"&amp;AGENTES!H347&amp;"','yyyymmdd'),'"&amp;AGENTES!I347&amp;"');")</f>
        <v>INSERT INTO INYCEXT.INYC_CONF_INF_AGENTES (COD_INFORME,BO_GROUP,COMPANIA,ID_TIPO_AGENTE,TABLA,F_INICIO,F_FIN,DESCRIPCION) VALUES (27,'INYC Compensation Reports User Group - CAP','01','52','INYC_CAP_RESUMEN',TO_DATE('20180101','yyyymmdd'),TO_DATE('22000101','yyyymmdd'),'Version 20180222');</v>
      </c>
    </row>
    <row r="347" spans="1:1" x14ac:dyDescent="0.25">
      <c r="A347" t="str">
        <f>IF(AGENTES!I348="OBSOLETO","","INSERT INTO INYCEXT.INYC_CONF_INF_AGENTES (COD_INFORME,BO_GROUP,COMPANIA,ID_TIPO_AGENTE,TABLA,F_INICIO,F_FIN,DESCRIPCION) VALUES ("&amp;AGENTES!B348&amp;",'"&amp;AGENTES!C348&amp;"','"&amp;AGENTES!D348&amp;"','"&amp;AGENTES!E348&amp;"','"&amp;AGENTES!F348&amp;"',TO_DATE('"&amp;AGENTES!G348&amp;"','yyyymmdd'),TO_DATE('"&amp;AGENTES!H348&amp;"','yyyymmdd'),'"&amp;AGENTES!I348&amp;"');")</f>
        <v>INSERT INTO INYCEXT.INYC_CONF_INF_AGENTES (COD_INFORME,BO_GROUP,COMPANIA,ID_TIPO_AGENTE,TABLA,F_INICIO,F_FIN,DESCRIPCION) VALUES (27,'INYC Compensation Reports User Group - CAP','01','54','INYC_CAP_RESUMEN',TO_DATE('20180101','yyyymmdd'),TO_DATE('22000101','yyyymmdd'),'Version 20180223');</v>
      </c>
    </row>
    <row r="348" spans="1:1" x14ac:dyDescent="0.25">
      <c r="A348" t="str">
        <f>IF(AGENTES!I349="OBSOLETO","","INSERT INTO INYCEXT.INYC_CONF_INF_AGENTES (COD_INFORME,BO_GROUP,COMPANIA,ID_TIPO_AGENTE,TABLA,F_INICIO,F_FIN,DESCRIPCION) VALUES ("&amp;AGENTES!B349&amp;",'"&amp;AGENTES!C349&amp;"','"&amp;AGENTES!D349&amp;"','"&amp;AGENTES!E349&amp;"','"&amp;AGENTES!F349&amp;"',TO_DATE('"&amp;AGENTES!G349&amp;"','yyyymmdd'),TO_DATE('"&amp;AGENTES!H349&amp;"','yyyymmdd'),'"&amp;AGENTES!I349&amp;"');")</f>
        <v>INSERT INTO INYCEXT.INYC_CONF_INF_AGENTES (COD_INFORME,BO_GROUP,COMPANIA,ID_TIPO_AGENTE,TABLA,F_INICIO,F_FIN,DESCRIPCION) VALUES (27,'INYC Compensation Reports User Group - CAP','01','56','INYC_CAP_RESUMEN',TO_DATE('20180101','yyyymmdd'),TO_DATE('22000101','yyyymmdd'),'Version 20180224');</v>
      </c>
    </row>
    <row r="349" spans="1:1" x14ac:dyDescent="0.25">
      <c r="A349" t="str">
        <f>IF(AGENTES!I350="OBSOLETO","","INSERT INTO INYCEXT.INYC_CONF_INF_AGENTES (COD_INFORME,BO_GROUP,COMPANIA,ID_TIPO_AGENTE,TABLA,F_INICIO,F_FIN,DESCRIPCION) VALUES ("&amp;AGENTES!B350&amp;",'"&amp;AGENTES!C350&amp;"','"&amp;AGENTES!D350&amp;"','"&amp;AGENTES!E350&amp;"','"&amp;AGENTES!F350&amp;"',TO_DATE('"&amp;AGENTES!G350&amp;"','yyyymmdd'),TO_DATE('"&amp;AGENTES!H350&amp;"','yyyymmdd'),'"&amp;AGENTES!I350&amp;"');")</f>
        <v>INSERT INTO INYCEXT.INYC_CONF_INF_AGENTES (COD_INFORME,BO_GROUP,COMPANIA,ID_TIPO_AGENTE,TABLA,F_INICIO,F_FIN,DESCRIPCION) VALUES (27,'INYC Compensation Reports User Group - CAP','01','57','INYC_CAP_RESUMEN',TO_DATE('20180101','yyyymmdd'),TO_DATE('22000101','yyyymmdd'),'Version 20180225');</v>
      </c>
    </row>
    <row r="350" spans="1:1" x14ac:dyDescent="0.25">
      <c r="A350" t="str">
        <f>IF(AGENTES!I351="OBSOLETO","","INSERT INTO INYCEXT.INYC_CONF_INF_AGENTES (COD_INFORME,BO_GROUP,COMPANIA,ID_TIPO_AGENTE,TABLA,F_INICIO,F_FIN,DESCRIPCION) VALUES ("&amp;AGENTES!B351&amp;",'"&amp;AGENTES!C351&amp;"','"&amp;AGENTES!D351&amp;"','"&amp;AGENTES!E351&amp;"','"&amp;AGENTES!F351&amp;"',TO_DATE('"&amp;AGENTES!G351&amp;"','yyyymmdd'),TO_DATE('"&amp;AGENTES!H351&amp;"','yyyymmdd'),'"&amp;AGENTES!I351&amp;"');")</f>
        <v>INSERT INTO INYCEXT.INYC_CONF_INF_AGENTES (COD_INFORME,BO_GROUP,COMPANIA,ID_TIPO_AGENTE,TABLA,F_INICIO,F_FIN,DESCRIPCION) VALUES (27,'INYC Compensation Reports User Group - CAP','01','58','INYC_CAP_RESUMEN',TO_DATE('20180101','yyyymmdd'),TO_DATE('22000101','yyyymmdd'),'Version 20180226');</v>
      </c>
    </row>
    <row r="351" spans="1:1" x14ac:dyDescent="0.25">
      <c r="A351" t="str">
        <f>IF(AGENTES!I352="OBSOLETO","","INSERT INTO INYCEXT.INYC_CONF_INF_AGENTES (COD_INFORME,BO_GROUP,COMPANIA,ID_TIPO_AGENTE,TABLA,F_INICIO,F_FIN,DESCRIPCION) VALUES ("&amp;AGENTES!B352&amp;",'"&amp;AGENTES!C352&amp;"','"&amp;AGENTES!D352&amp;"','"&amp;AGENTES!E352&amp;"','"&amp;AGENTES!F352&amp;"',TO_DATE('"&amp;AGENTES!G352&amp;"','yyyymmdd'),TO_DATE('"&amp;AGENTES!H352&amp;"','yyyymmdd'),'"&amp;AGENTES!I352&amp;"');")</f>
        <v>INSERT INTO INYCEXT.INYC_CONF_INF_AGENTES (COD_INFORME,BO_GROUP,COMPANIA,ID_TIPO_AGENTE,TABLA,F_INICIO,F_FIN,DESCRIPCION) VALUES (27,'INYC Compensation Reports User Group - CAP','01','59','INYC_CAP_RESUMEN',TO_DATE('20180101','yyyymmdd'),TO_DATE('22000101','yyyymmdd'),'Version 20180227');</v>
      </c>
    </row>
    <row r="352" spans="1:1" x14ac:dyDescent="0.25">
      <c r="A352" t="str">
        <f>IF(AGENTES!I353="OBSOLETO","","INSERT INTO INYCEXT.INYC_CONF_INF_AGENTES (COD_INFORME,BO_GROUP,COMPANIA,ID_TIPO_AGENTE,TABLA,F_INICIO,F_FIN,DESCRIPCION) VALUES ("&amp;AGENTES!B353&amp;",'"&amp;AGENTES!C353&amp;"','"&amp;AGENTES!D353&amp;"','"&amp;AGENTES!E353&amp;"','"&amp;AGENTES!F353&amp;"',TO_DATE('"&amp;AGENTES!G353&amp;"','yyyymmdd'),TO_DATE('"&amp;AGENTES!H353&amp;"','yyyymmdd'),'"&amp;AGENTES!I353&amp;"');")</f>
        <v>INSERT INTO INYCEXT.INYC_CONF_INF_AGENTES (COD_INFORME,BO_GROUP,COMPANIA,ID_TIPO_AGENTE,TABLA,F_INICIO,F_FIN,DESCRIPCION) VALUES (27,'INYC Compensation Reports User Group - CAP','01','60','INYC_CAP_RESUMEN',TO_DATE('20200101','yyyymmdd'),TO_DATE('22000101','yyyymmdd'),'Version 20200526');</v>
      </c>
    </row>
    <row r="353" spans="1:1" x14ac:dyDescent="0.25">
      <c r="A353" t="str">
        <f>IF(AGENTES!I354="OBSOLETO","","INSERT INTO INYCEXT.INYC_CONF_INF_AGENTES (COD_INFORME,BO_GROUP,COMPANIA,ID_TIPO_AGENTE,TABLA,F_INICIO,F_FIN,DESCRIPCION) VALUES ("&amp;AGENTES!B354&amp;",'"&amp;AGENTES!C354&amp;"','"&amp;AGENTES!D354&amp;"','"&amp;AGENTES!E354&amp;"','"&amp;AGENTES!F354&amp;"',TO_DATE('"&amp;AGENTES!G354&amp;"','yyyymmdd'),TO_DATE('"&amp;AGENTES!H354&amp;"','yyyymmdd'),'"&amp;AGENTES!I354&amp;"');")</f>
        <v>INSERT INTO INYCEXT.INYC_CONF_INF_AGENTES (COD_INFORME,BO_GROUP,COMPANIA,ID_TIPO_AGENTE,TABLA,F_INICIO,F_FIN,DESCRIPCION) VALUES (27,'INYC Compensation Reports User Group - CAP','01','61','INYC_CAP_RESUMEN',TO_DATE('20180101','yyyymmdd'),TO_DATE('22000101','yyyymmdd'),'Version 20180228');</v>
      </c>
    </row>
    <row r="354" spans="1:1" x14ac:dyDescent="0.25">
      <c r="A354" t="str">
        <f>IF(AGENTES!I355="OBSOLETO","","INSERT INTO INYCEXT.INYC_CONF_INF_AGENTES (COD_INFORME,BO_GROUP,COMPANIA,ID_TIPO_AGENTE,TABLA,F_INICIO,F_FIN,DESCRIPCION) VALUES ("&amp;AGENTES!B355&amp;",'"&amp;AGENTES!C355&amp;"','"&amp;AGENTES!D355&amp;"','"&amp;AGENTES!E355&amp;"','"&amp;AGENTES!F355&amp;"',TO_DATE('"&amp;AGENTES!G355&amp;"','yyyymmdd'),TO_DATE('"&amp;AGENTES!H355&amp;"','yyyymmdd'),'"&amp;AGENTES!I355&amp;"');")</f>
        <v>INSERT INTO INYCEXT.INYC_CONF_INF_AGENTES (COD_INFORME,BO_GROUP,COMPANIA,ID_TIPO_AGENTE,TABLA,F_INICIO,F_FIN,DESCRIPCION) VALUES (27,'INYC Compensation Reports User Group - CAP','01','62','INYC_CAP_RESUMEN',TO_DATE('20180101','yyyymmdd'),TO_DATE('22000101','yyyymmdd'),'Version 20180229');</v>
      </c>
    </row>
    <row r="355" spans="1:1" x14ac:dyDescent="0.25">
      <c r="A355" t="str">
        <f>IF(AGENTES!I356="OBSOLETO","","INSERT INTO INYCEXT.INYC_CONF_INF_AGENTES (COD_INFORME,BO_GROUP,COMPANIA,ID_TIPO_AGENTE,TABLA,F_INICIO,F_FIN,DESCRIPCION) VALUES ("&amp;AGENTES!B356&amp;",'"&amp;AGENTES!C356&amp;"','"&amp;AGENTES!D356&amp;"','"&amp;AGENTES!E356&amp;"','"&amp;AGENTES!F356&amp;"',TO_DATE('"&amp;AGENTES!G356&amp;"','yyyymmdd'),TO_DATE('"&amp;AGENTES!H356&amp;"','yyyymmdd'),'"&amp;AGENTES!I356&amp;"');")</f>
        <v>INSERT INTO INYCEXT.INYC_CONF_INF_AGENTES (COD_INFORME,BO_GROUP,COMPANIA,ID_TIPO_AGENTE,TABLA,F_INICIO,F_FIN,DESCRIPCION) VALUES (27,'INYC Compensation Reports User Group - CAP','01','65','INYC_CAP_RESUMEN',TO_DATE('20180101','yyyymmdd'),TO_DATE('22000101','yyyymmdd'),'Version 20180230');</v>
      </c>
    </row>
    <row r="356" spans="1:1" x14ac:dyDescent="0.25">
      <c r="A356" t="str">
        <f>IF(AGENTES!I357="OBSOLETO","","INSERT INTO INYCEXT.INYC_CONF_INF_AGENTES (COD_INFORME,BO_GROUP,COMPANIA,ID_TIPO_AGENTE,TABLA,F_INICIO,F_FIN,DESCRIPCION) VALUES ("&amp;AGENTES!B357&amp;",'"&amp;AGENTES!C357&amp;"','"&amp;AGENTES!D357&amp;"','"&amp;AGENTES!E357&amp;"','"&amp;AGENTES!F357&amp;"',TO_DATE('"&amp;AGENTES!G357&amp;"','yyyymmdd'),TO_DATE('"&amp;AGENTES!H357&amp;"','yyyymmdd'),'"&amp;AGENTES!I357&amp;"');")</f>
        <v>INSERT INTO INYCEXT.INYC_CONF_INF_AGENTES (COD_INFORME,BO_GROUP,COMPANIA,ID_TIPO_AGENTE,TABLA,F_INICIO,F_FIN,DESCRIPCION) VALUES (27,'INYC Compensation Reports User Group - CAP','01','70','INYC_CAP_RESUMEN',TO_DATE('20180101','yyyymmdd'),TO_DATE('22000101','yyyymmdd'),'Version 20180231');</v>
      </c>
    </row>
    <row r="357" spans="1:1" x14ac:dyDescent="0.25">
      <c r="A357" t="str">
        <f>IF(AGENTES!I358="OBSOLETO","","INSERT INTO INYCEXT.INYC_CONF_INF_AGENTES (COD_INFORME,BO_GROUP,COMPANIA,ID_TIPO_AGENTE,TABLA,F_INICIO,F_FIN,DESCRIPCION) VALUES ("&amp;AGENTES!B358&amp;",'"&amp;AGENTES!C358&amp;"','"&amp;AGENTES!D358&amp;"','"&amp;AGENTES!E358&amp;"','"&amp;AGENTES!F358&amp;"',TO_DATE('"&amp;AGENTES!G358&amp;"','yyyymmdd'),TO_DATE('"&amp;AGENTES!H358&amp;"','yyyymmdd'),'"&amp;AGENTES!I358&amp;"');")</f>
        <v>INSERT INTO INYCEXT.INYC_CONF_INF_AGENTES (COD_INFORME,BO_GROUP,COMPANIA,ID_TIPO_AGENTE,TABLA,F_INICIO,F_FIN,DESCRIPCION) VALUES (27,'INYC Compensation Reports User Group - CAP','01','71','INYC_CAP_RESUMEN',TO_DATE('20180101','yyyymmdd'),TO_DATE('22000101','yyyymmdd'),'Version 20180232');</v>
      </c>
    </row>
    <row r="358" spans="1:1" x14ac:dyDescent="0.25">
      <c r="A358" t="str">
        <f>IF(AGENTES!I359="OBSOLETO","","INSERT INTO INYCEXT.INYC_CONF_INF_AGENTES (COD_INFORME,BO_GROUP,COMPANIA,ID_TIPO_AGENTE,TABLA,F_INICIO,F_FIN,DESCRIPCION) VALUES ("&amp;AGENTES!B359&amp;",'"&amp;AGENTES!C359&amp;"','"&amp;AGENTES!D359&amp;"','"&amp;AGENTES!E359&amp;"','"&amp;AGENTES!F359&amp;"',TO_DATE('"&amp;AGENTES!G359&amp;"','yyyymmdd'),TO_DATE('"&amp;AGENTES!H359&amp;"','yyyymmdd'),'"&amp;AGENTES!I359&amp;"');")</f>
        <v>INSERT INTO INYCEXT.INYC_CONF_INF_AGENTES (COD_INFORME,BO_GROUP,COMPANIA,ID_TIPO_AGENTE,TABLA,F_INICIO,F_FIN,DESCRIPCION) VALUES (27,'INYC Compensation Reports User Group - CAP','01','72','INYC_CAP_RESUMEN',TO_DATE('20180101','yyyymmdd'),TO_DATE('22000101','yyyymmdd'),'Version 20180233');</v>
      </c>
    </row>
    <row r="359" spans="1:1" x14ac:dyDescent="0.25">
      <c r="A359" t="str">
        <f>IF(AGENTES!I360="OBSOLETO","","INSERT INTO INYCEXT.INYC_CONF_INF_AGENTES (COD_INFORME,BO_GROUP,COMPANIA,ID_TIPO_AGENTE,TABLA,F_INICIO,F_FIN,DESCRIPCION) VALUES ("&amp;AGENTES!B360&amp;",'"&amp;AGENTES!C360&amp;"','"&amp;AGENTES!D360&amp;"','"&amp;AGENTES!E360&amp;"','"&amp;AGENTES!F360&amp;"',TO_DATE('"&amp;AGENTES!G360&amp;"','yyyymmdd'),TO_DATE('"&amp;AGENTES!H360&amp;"','yyyymmdd'),'"&amp;AGENTES!I360&amp;"');")</f>
        <v>INSERT INTO INYCEXT.INYC_CONF_INF_AGENTES (COD_INFORME,BO_GROUP,COMPANIA,ID_TIPO_AGENTE,TABLA,F_INICIO,F_FIN,DESCRIPCION) VALUES (27,'INYC Compensation Reports User Group - CAP','01','74','INYC_CAP_RESUMEN',TO_DATE('20180101','yyyymmdd'),TO_DATE('22000101','yyyymmdd'),'Version 20180234');</v>
      </c>
    </row>
    <row r="360" spans="1:1" x14ac:dyDescent="0.25">
      <c r="A360" t="str">
        <f>IF(AGENTES!I361="OBSOLETO","","INSERT INTO INYCEXT.INYC_CONF_INF_AGENTES (COD_INFORME,BO_GROUP,COMPANIA,ID_TIPO_AGENTE,TABLA,F_INICIO,F_FIN,DESCRIPCION) VALUES ("&amp;AGENTES!B361&amp;",'"&amp;AGENTES!C361&amp;"','"&amp;AGENTES!D361&amp;"','"&amp;AGENTES!E361&amp;"','"&amp;AGENTES!F361&amp;"',TO_DATE('"&amp;AGENTES!G361&amp;"','yyyymmdd'),TO_DATE('"&amp;AGENTES!H361&amp;"','yyyymmdd'),'"&amp;AGENTES!I361&amp;"');")</f>
        <v>INSERT INTO INYCEXT.INYC_CONF_INF_AGENTES (COD_INFORME,BO_GROUP,COMPANIA,ID_TIPO_AGENTE,TABLA,F_INICIO,F_FIN,DESCRIPCION) VALUES (28,'INYC Compensation Reports User Group - CC_E','03','13','INYC_CC_E_RESUMEN',TO_DATE('20181001','yyyymmdd'),TO_DATE('20190101','yyyymmdd'),'Version 20190404');</v>
      </c>
    </row>
    <row r="361" spans="1:1" x14ac:dyDescent="0.25">
      <c r="A361" t="str">
        <f>IF(AGENTES!I362="OBSOLETO","","INSERT INTO INYCEXT.INYC_CONF_INF_AGENTES (COD_INFORME,BO_GROUP,COMPANIA,ID_TIPO_AGENTE,TABLA,F_INICIO,F_FIN,DESCRIPCION) VALUES ("&amp;AGENTES!B362&amp;",'"&amp;AGENTES!C362&amp;"','"&amp;AGENTES!D362&amp;"','"&amp;AGENTES!E362&amp;"','"&amp;AGENTES!F362&amp;"',TO_DATE('"&amp;AGENTES!G362&amp;"','yyyymmdd'),TO_DATE('"&amp;AGENTES!H362&amp;"','yyyymmdd'),'"&amp;AGENTES!I362&amp;"');")</f>
        <v>INSERT INTO INYCEXT.INYC_CONF_INF_AGENTES (COD_INFORME,BO_GROUP,COMPANIA,ID_TIPO_AGENTE,TABLA,F_INICIO,F_FIN,DESCRIPCION) VALUES (28,'INYC Compensation Reports User Group - CC_E','03','301','INYC_CC_E_RESUMEN',TO_DATE('20181001','yyyymmdd'),TO_DATE('20190101','yyyymmdd'),'Version 20190404');</v>
      </c>
    </row>
    <row r="362" spans="1:1" x14ac:dyDescent="0.25">
      <c r="A362" t="str">
        <f>IF(AGENTES!I363="OBSOLETO","","INSERT INTO INYCEXT.INYC_CONF_INF_AGENTES (COD_INFORME,BO_GROUP,COMPANIA,ID_TIPO_AGENTE,TABLA,F_INICIO,F_FIN,DESCRIPCION) VALUES ("&amp;AGENTES!B363&amp;",'"&amp;AGENTES!C363&amp;"','"&amp;AGENTES!D363&amp;"','"&amp;AGENTES!E363&amp;"','"&amp;AGENTES!F363&amp;"',TO_DATE('"&amp;AGENTES!G363&amp;"','yyyymmdd'),TO_DATE('"&amp;AGENTES!H363&amp;"','yyyymmdd'),'"&amp;AGENTES!I363&amp;"');")</f>
        <v>INSERT INTO INYCEXT.INYC_CONF_INF_AGENTES (COD_INFORME,BO_GROUP,COMPANIA,ID_TIPO_AGENTE,TABLA,F_INICIO,F_FIN,DESCRIPCION) VALUES (28,'INYC Compensation Reports User Group - CC_E','03','303','INYC_CC_E_RESUMEN',TO_DATE('20181001','yyyymmdd'),TO_DATE('20190101','yyyymmdd'),'Version 20190404');</v>
      </c>
    </row>
    <row r="363" spans="1:1" x14ac:dyDescent="0.25">
      <c r="A363" t="str">
        <f>IF(AGENTES!I364="OBSOLETO","","INSERT INTO INYCEXT.INYC_CONF_INF_AGENTES (COD_INFORME,BO_GROUP,COMPANIA,ID_TIPO_AGENTE,TABLA,F_INICIO,F_FIN,DESCRIPCION) VALUES ("&amp;AGENTES!B364&amp;",'"&amp;AGENTES!C364&amp;"','"&amp;AGENTES!D364&amp;"','"&amp;AGENTES!E364&amp;"','"&amp;AGENTES!F364&amp;"',TO_DATE('"&amp;AGENTES!G364&amp;"','yyyymmdd'),TO_DATE('"&amp;AGENTES!H364&amp;"','yyyymmdd'),'"&amp;AGENTES!I364&amp;"');")</f>
        <v>INSERT INTO INYCEXT.INYC_CONF_INF_AGENTES (COD_INFORME,BO_GROUP,COMPANIA,ID_TIPO_AGENTE,TABLA,F_INICIO,F_FIN,DESCRIPCION) VALUES (28,'INYC Compensation Reports User Group - CC_E','03','313','INYC_CC_E_RESUMEN',TO_DATE('20181001','yyyymmdd'),TO_DATE('20190101','yyyymmdd'),'Version 20190404');</v>
      </c>
    </row>
    <row r="364" spans="1:1" x14ac:dyDescent="0.25">
      <c r="A364" t="str">
        <f>IF(AGENTES!I365="OBSOLETO","","INSERT INTO INYCEXT.INYC_CONF_INF_AGENTES (COD_INFORME,BO_GROUP,COMPANIA,ID_TIPO_AGENTE,TABLA,F_INICIO,F_FIN,DESCRIPCION) VALUES ("&amp;AGENTES!B365&amp;",'"&amp;AGENTES!C365&amp;"','"&amp;AGENTES!D365&amp;"','"&amp;AGENTES!E365&amp;"','"&amp;AGENTES!F365&amp;"',TO_DATE('"&amp;AGENTES!G365&amp;"','yyyymmdd'),TO_DATE('"&amp;AGENTES!H365&amp;"','yyyymmdd'),'"&amp;AGENTES!I365&amp;"');")</f>
        <v>INSERT INTO INYCEXT.INYC_CONF_INF_AGENTES (COD_INFORME,BO_GROUP,COMPANIA,ID_TIPO_AGENTE,TABLA,F_INICIO,F_FIN,DESCRIPCION) VALUES (28,'INYC Compensation Reports User Group - CC_E','03','316','INYC_CC_E_RESUMEN',TO_DATE('20181001','yyyymmdd'),TO_DATE('22000101','yyyymmdd'),'Version 20181113');</v>
      </c>
    </row>
    <row r="365" spans="1:1" x14ac:dyDescent="0.25">
      <c r="A365" t="str">
        <f>IF(AGENTES!I366="OBSOLETO","","INSERT INTO INYCEXT.INYC_CONF_INF_AGENTES (COD_INFORME,BO_GROUP,COMPANIA,ID_TIPO_AGENTE,TABLA,F_INICIO,F_FIN,DESCRIPCION) VALUES ("&amp;AGENTES!B366&amp;",'"&amp;AGENTES!C366&amp;"','"&amp;AGENTES!D366&amp;"','"&amp;AGENTES!E366&amp;"','"&amp;AGENTES!F366&amp;"',TO_DATE('"&amp;AGENTES!G366&amp;"','yyyymmdd'),TO_DATE('"&amp;AGENTES!H366&amp;"','yyyymmdd'),'"&amp;AGENTES!I366&amp;"');")</f>
        <v>INSERT INTO INYCEXT.INYC_CONF_INF_AGENTES (COD_INFORME,BO_GROUP,COMPANIA,ID_TIPO_AGENTE,TABLA,F_INICIO,F_FIN,DESCRIPCION) VALUES (28,'INYC Compensation Reports User Group - CC_E','03','317','INYC_CC_E_RESUMEN',TO_DATE('20190201','yyyymmdd'),TO_DATE('22000101','yyyymmdd'),'Version 20190214');</v>
      </c>
    </row>
    <row r="366" spans="1:1" x14ac:dyDescent="0.25">
      <c r="A366" t="str">
        <f>IF(AGENTES!I367="OBSOLETO","","INSERT INTO INYCEXT.INYC_CONF_INF_AGENTES (COD_INFORME,BO_GROUP,COMPANIA,ID_TIPO_AGENTE,TABLA,F_INICIO,F_FIN,DESCRIPCION) VALUES ("&amp;AGENTES!B367&amp;",'"&amp;AGENTES!C367&amp;"','"&amp;AGENTES!D367&amp;"','"&amp;AGENTES!E367&amp;"','"&amp;AGENTES!F367&amp;"',TO_DATE('"&amp;AGENTES!G367&amp;"','yyyymmdd'),TO_DATE('"&amp;AGENTES!H367&amp;"','yyyymmdd'),'"&amp;AGENTES!I367&amp;"');")</f>
        <v>INSERT INTO INYCEXT.INYC_CONF_INF_AGENTES (COD_INFORME,BO_GROUP,COMPANIA,ID_TIPO_AGENTE,TABLA,F_INICIO,F_FIN,DESCRIPCION) VALUES (28,'INYC Compensation Reports User Group - CC_E','03','319','INYC_CC_E_RESUMEN',TO_DATE('20181001','yyyymmdd'),TO_DATE('20190101','yyyymmdd'),'Version 20190404');</v>
      </c>
    </row>
    <row r="367" spans="1:1" x14ac:dyDescent="0.25">
      <c r="A367" t="str">
        <f>IF(AGENTES!I368="OBSOLETO","","INSERT INTO INYCEXT.INYC_CONF_INF_AGENTES (COD_INFORME,BO_GROUP,COMPANIA,ID_TIPO_AGENTE,TABLA,F_INICIO,F_FIN,DESCRIPCION) VALUES ("&amp;AGENTES!B368&amp;",'"&amp;AGENTES!C368&amp;"','"&amp;AGENTES!D368&amp;"','"&amp;AGENTES!E368&amp;"','"&amp;AGENTES!F368&amp;"',TO_DATE('"&amp;AGENTES!G368&amp;"','yyyymmdd'),TO_DATE('"&amp;AGENTES!H368&amp;"','yyyymmdd'),'"&amp;AGENTES!I368&amp;"');")</f>
        <v>INSERT INTO INYCEXT.INYC_CONF_INF_AGENTES (COD_INFORME,BO_GROUP,COMPANIA,ID_TIPO_AGENTE,TABLA,F_INICIO,F_FIN,DESCRIPCION) VALUES (28,'INYC Compensation Reports User Group - CC_E','03','331','INYC_CC_E_RESUMEN',TO_DATE('20181001','yyyymmdd'),TO_DATE('20190101','yyyymmdd'),'Version 20190404');</v>
      </c>
    </row>
    <row r="368" spans="1:1" x14ac:dyDescent="0.25">
      <c r="A368" t="str">
        <f>IF(AGENTES!I369="OBSOLETO","","INSERT INTO INYCEXT.INYC_CONF_INF_AGENTES (COD_INFORME,BO_GROUP,COMPANIA,ID_TIPO_AGENTE,TABLA,F_INICIO,F_FIN,DESCRIPCION) VALUES ("&amp;AGENTES!B369&amp;",'"&amp;AGENTES!C369&amp;"','"&amp;AGENTES!D369&amp;"','"&amp;AGENTES!E369&amp;"','"&amp;AGENTES!F369&amp;"',TO_DATE('"&amp;AGENTES!G369&amp;"','yyyymmdd'),TO_DATE('"&amp;AGENTES!H369&amp;"','yyyymmdd'),'"&amp;AGENTES!I369&amp;"');")</f>
        <v>INSERT INTO INYCEXT.INYC_CONF_INF_AGENTES (COD_INFORME,BO_GROUP,COMPANIA,ID_TIPO_AGENTE,TABLA,F_INICIO,F_FIN,DESCRIPCION) VALUES (28,'INYC Compensation Reports User Group - CC_E','03','332','INYC_CC_E_RESUMEN',TO_DATE('20190101','yyyymmdd'),TO_DATE('22000101','yyyymmdd'),'Version 20190122');</v>
      </c>
    </row>
    <row r="369" spans="1:1" x14ac:dyDescent="0.25">
      <c r="A369" t="str">
        <f>IF(AGENTES!I370="OBSOLETO","","INSERT INTO INYCEXT.INYC_CONF_INF_AGENTES (COD_INFORME,BO_GROUP,COMPANIA,ID_TIPO_AGENTE,TABLA,F_INICIO,F_FIN,DESCRIPCION) VALUES ("&amp;AGENTES!B370&amp;",'"&amp;AGENTES!C370&amp;"','"&amp;AGENTES!D370&amp;"','"&amp;AGENTES!E370&amp;"','"&amp;AGENTES!F370&amp;"',TO_DATE('"&amp;AGENTES!G370&amp;"','yyyymmdd'),TO_DATE('"&amp;AGENTES!H370&amp;"','yyyymmdd'),'"&amp;AGENTES!I370&amp;"');")</f>
        <v>INSERT INTO INYCEXT.INYC_CONF_INF_AGENTES (COD_INFORME,BO_GROUP,COMPANIA,ID_TIPO_AGENTE,TABLA,F_INICIO,F_FIN,DESCRIPCION) VALUES (28,'INYC Compensation Reports User Group - CC_E','03','333','INYC_CC_E_RESUMEN',TO_DATE('20190101','yyyymmdd'),TO_DATE('22000101','yyyymmdd'),'Version 20190122');</v>
      </c>
    </row>
    <row r="370" spans="1:1" x14ac:dyDescent="0.25">
      <c r="A370" t="str">
        <f>IF(AGENTES!I371="OBSOLETO","","INSERT INTO INYCEXT.INYC_CONF_INF_AGENTES (COD_INFORME,BO_GROUP,COMPANIA,ID_TIPO_AGENTE,TABLA,F_INICIO,F_FIN,DESCRIPCION) VALUES ("&amp;AGENTES!B371&amp;",'"&amp;AGENTES!C371&amp;"','"&amp;AGENTES!D371&amp;"','"&amp;AGENTES!E371&amp;"','"&amp;AGENTES!F371&amp;"',TO_DATE('"&amp;AGENTES!G371&amp;"','yyyymmdd'),TO_DATE('"&amp;AGENTES!H371&amp;"','yyyymmdd'),'"&amp;AGENTES!I371&amp;"');")</f>
        <v>INSERT INTO INYCEXT.INYC_CONF_INF_AGENTES (COD_INFORME,BO_GROUP,COMPANIA,ID_TIPO_AGENTE,TABLA,F_INICIO,F_FIN,DESCRIPCION) VALUES (28,'INYC Compensation Reports User Group - CC_E','03','338','INYC_CC_E_RESUMEN',TO_DATE('20181001','yyyymmdd'),TO_DATE('22000101','yyyymmdd'),'Version 20181107');</v>
      </c>
    </row>
    <row r="371" spans="1:1" x14ac:dyDescent="0.25">
      <c r="A371" t="str">
        <f>IF(AGENTES!I372="OBSOLETO","","INSERT INTO INYCEXT.INYC_CONF_INF_AGENTES (COD_INFORME,BO_GROUP,COMPANIA,ID_TIPO_AGENTE,TABLA,F_INICIO,F_FIN,DESCRIPCION) VALUES ("&amp;AGENTES!B372&amp;",'"&amp;AGENTES!C372&amp;"','"&amp;AGENTES!D372&amp;"','"&amp;AGENTES!E372&amp;"','"&amp;AGENTES!F372&amp;"',TO_DATE('"&amp;AGENTES!G372&amp;"','yyyymmdd'),TO_DATE('"&amp;AGENTES!H372&amp;"','yyyymmdd'),'"&amp;AGENTES!I372&amp;"');")</f>
        <v>INSERT INTO INYCEXT.INYC_CONF_INF_AGENTES (COD_INFORME,BO_GROUP,COMPANIA,ID_TIPO_AGENTE,TABLA,F_INICIO,F_FIN,DESCRIPCION) VALUES (28,'INYC Compensation Reports User Group - CC_E','03','340','INYC_CC_E_RESUMEN',TO_DATE('20181001','yyyymmdd'),TO_DATE('22000101','yyyymmdd'),'Version 20181107');</v>
      </c>
    </row>
    <row r="372" spans="1:1" x14ac:dyDescent="0.25">
      <c r="A372" t="str">
        <f>IF(AGENTES!I373="OBSOLETO","","INSERT INTO INYCEXT.INYC_CONF_INF_AGENTES (COD_INFORME,BO_GROUP,COMPANIA,ID_TIPO_AGENTE,TABLA,F_INICIO,F_FIN,DESCRIPCION) VALUES ("&amp;AGENTES!B373&amp;",'"&amp;AGENTES!C373&amp;"','"&amp;AGENTES!D373&amp;"','"&amp;AGENTES!E373&amp;"','"&amp;AGENTES!F373&amp;"',TO_DATE('"&amp;AGENTES!G373&amp;"','yyyymmdd'),TO_DATE('"&amp;AGENTES!H373&amp;"','yyyymmdd'),'"&amp;AGENTES!I373&amp;"');")</f>
        <v>INSERT INTO INYCEXT.INYC_CONF_INF_AGENTES (COD_INFORME,BO_GROUP,COMPANIA,ID_TIPO_AGENTE,TABLA,F_INICIO,F_FIN,DESCRIPCION) VALUES (28,'INYC Compensation Reports User Group - CC_E','03','341','INYC_CC_E_RESUMEN',TO_DATE('20200101','yyyymmdd'),TO_DATE('22000101','yyyymmdd'),'Version 20200506');</v>
      </c>
    </row>
    <row r="373" spans="1:1" x14ac:dyDescent="0.25">
      <c r="A373" t="str">
        <f>IF(AGENTES!I374="OBSOLETO","","INSERT INTO INYCEXT.INYC_CONF_INF_AGENTES (COD_INFORME,BO_GROUP,COMPANIA,ID_TIPO_AGENTE,TABLA,F_INICIO,F_FIN,DESCRIPCION) VALUES ("&amp;AGENTES!B374&amp;",'"&amp;AGENTES!C374&amp;"','"&amp;AGENTES!D374&amp;"','"&amp;AGENTES!E374&amp;"','"&amp;AGENTES!F374&amp;"',TO_DATE('"&amp;AGENTES!G374&amp;"','yyyymmdd'),TO_DATE('"&amp;AGENTES!H374&amp;"','yyyymmdd'),'"&amp;AGENTES!I374&amp;"');")</f>
        <v>INSERT INTO INYCEXT.INYC_CONF_INF_AGENTES (COD_INFORME,BO_GROUP,COMPANIA,ID_TIPO_AGENTE,TABLA,F_INICIO,F_FIN,DESCRIPCION) VALUES (28,'INYC Compensation Reports User Group - CC_E','03','350','INYC_CC_E_RESUMEN',TO_DATE('20181001','yyyymmdd'),TO_DATE('22000101','yyyymmdd'),'Version 20181107');</v>
      </c>
    </row>
    <row r="374" spans="1:1" x14ac:dyDescent="0.25">
      <c r="A374" t="str">
        <f>IF(AGENTES!I375="OBSOLETO","","INSERT INTO INYCEXT.INYC_CONF_INF_AGENTES (COD_INFORME,BO_GROUP,COMPANIA,ID_TIPO_AGENTE,TABLA,F_INICIO,F_FIN,DESCRIPCION) VALUES ("&amp;AGENTES!B375&amp;",'"&amp;AGENTES!C375&amp;"','"&amp;AGENTES!D375&amp;"','"&amp;AGENTES!E375&amp;"','"&amp;AGENTES!F375&amp;"',TO_DATE('"&amp;AGENTES!G375&amp;"','yyyymmdd'),TO_DATE('"&amp;AGENTES!H375&amp;"','yyyymmdd'),'"&amp;AGENTES!I375&amp;"');")</f>
        <v>INSERT INTO INYCEXT.INYC_CONF_INF_AGENTES (COD_INFORME,BO_GROUP,COMPANIA,ID_TIPO_AGENTE,TABLA,F_INICIO,F_FIN,DESCRIPCION) VALUES (28,'INYC Compensation Reports User Group - CC_E','03','351','INYC_CC_E_RESUMEN',TO_DATE('20181001','yyyymmdd'),TO_DATE('22000101','yyyymmdd'),'Version 20181107');</v>
      </c>
    </row>
    <row r="375" spans="1:1" x14ac:dyDescent="0.25">
      <c r="A375" t="str">
        <f>IF(AGENTES!I376="OBSOLETO","","INSERT INTO INYCEXT.INYC_CONF_INF_AGENTES (COD_INFORME,BO_GROUP,COMPANIA,ID_TIPO_AGENTE,TABLA,F_INICIO,F_FIN,DESCRIPCION) VALUES ("&amp;AGENTES!B376&amp;",'"&amp;AGENTES!C376&amp;"','"&amp;AGENTES!D376&amp;"','"&amp;AGENTES!E376&amp;"','"&amp;AGENTES!F376&amp;"',TO_DATE('"&amp;AGENTES!G376&amp;"','yyyymmdd'),TO_DATE('"&amp;AGENTES!H376&amp;"','yyyymmdd'),'"&amp;AGENTES!I376&amp;"');")</f>
        <v>INSERT INTO INYCEXT.INYC_CONF_INF_AGENTES (COD_INFORME,BO_GROUP,COMPANIA,ID_TIPO_AGENTE,TABLA,F_INICIO,F_FIN,DESCRIPCION) VALUES (28,'INYC Compensation Reports User Group - CC_E','03','352','INYC_CC_E_RESUMEN',TO_DATE('20181001','yyyymmdd'),TO_DATE('20190101','yyyymmdd'),'Version 20190404');</v>
      </c>
    </row>
    <row r="376" spans="1:1" x14ac:dyDescent="0.25">
      <c r="A376" t="str">
        <f>IF(AGENTES!I377="OBSOLETO","","INSERT INTO INYCEXT.INYC_CONF_INF_AGENTES (COD_INFORME,BO_GROUP,COMPANIA,ID_TIPO_AGENTE,TABLA,F_INICIO,F_FIN,DESCRIPCION) VALUES ("&amp;AGENTES!B377&amp;",'"&amp;AGENTES!C377&amp;"','"&amp;AGENTES!D377&amp;"','"&amp;AGENTES!E377&amp;"','"&amp;AGENTES!F377&amp;"',TO_DATE('"&amp;AGENTES!G377&amp;"','yyyymmdd'),TO_DATE('"&amp;AGENTES!H377&amp;"','yyyymmdd'),'"&amp;AGENTES!I377&amp;"');")</f>
        <v>INSERT INTO INYCEXT.INYC_CONF_INF_AGENTES (COD_INFORME,BO_GROUP,COMPANIA,ID_TIPO_AGENTE,TABLA,F_INICIO,F_FIN,DESCRIPCION) VALUES (29,'INYC Compensation Reports User Group - CPP','01','1','INYC_CPP_RESUMEN,INYC_CPP_DETALLE',TO_DATE('20181101','yyyymmdd'),TO_DATE('22000101','yyyymmdd'),'Version 20181127');</v>
      </c>
    </row>
    <row r="377" spans="1:1" x14ac:dyDescent="0.25">
      <c r="A377" t="str">
        <f>IF(AGENTES!I378="OBSOLETO","","INSERT INTO INYCEXT.INYC_CONF_INF_AGENTES (COD_INFORME,BO_GROUP,COMPANIA,ID_TIPO_AGENTE,TABLA,F_INICIO,F_FIN,DESCRIPCION) VALUES ("&amp;AGENTES!B378&amp;",'"&amp;AGENTES!C378&amp;"','"&amp;AGENTES!D378&amp;"','"&amp;AGENTES!E378&amp;"','"&amp;AGENTES!F378&amp;"',TO_DATE('"&amp;AGENTES!G378&amp;"','yyyymmdd'),TO_DATE('"&amp;AGENTES!H378&amp;"','yyyymmdd'),'"&amp;AGENTES!I378&amp;"');")</f>
        <v>INSERT INTO INYCEXT.INYC_CONF_INF_AGENTES (COD_INFORME,BO_GROUP,COMPANIA,ID_TIPO_AGENTE,TABLA,F_INICIO,F_FIN,DESCRIPCION) VALUES (29,'INYC Compensation Reports User Group - CPP','01','2','INYC_CPP_RESUMEN,INYC_CPP_DETALLE',TO_DATE('20181101','yyyymmdd'),TO_DATE('22000101','yyyymmdd'),'Version 20181127');</v>
      </c>
    </row>
    <row r="378" spans="1:1" x14ac:dyDescent="0.25">
      <c r="A378" t="str">
        <f>IF(AGENTES!I379="OBSOLETO","","INSERT INTO INYCEXT.INYC_CONF_INF_AGENTES (COD_INFORME,BO_GROUP,COMPANIA,ID_TIPO_AGENTE,TABLA,F_INICIO,F_FIN,DESCRIPCION) VALUES ("&amp;AGENTES!B379&amp;",'"&amp;AGENTES!C379&amp;"','"&amp;AGENTES!D379&amp;"','"&amp;AGENTES!E379&amp;"','"&amp;AGENTES!F379&amp;"',TO_DATE('"&amp;AGENTES!G379&amp;"','yyyymmdd'),TO_DATE('"&amp;AGENTES!H379&amp;"','yyyymmdd'),'"&amp;AGENTES!I379&amp;"');")</f>
        <v>INSERT INTO INYCEXT.INYC_CONF_INF_AGENTES (COD_INFORME,BO_GROUP,COMPANIA,ID_TIPO_AGENTE,TABLA,F_INICIO,F_FIN,DESCRIPCION) VALUES (29,'INYC Compensation Reports User Group - CPP','01','3','INYC_CPP_RESUMEN,INYC_CPP_DETALLE',TO_DATE('20181101','yyyymmdd'),TO_DATE('22000101','yyyymmdd'),'Version 20181127');</v>
      </c>
    </row>
    <row r="379" spans="1:1" x14ac:dyDescent="0.25">
      <c r="A379" t="str">
        <f>IF(AGENTES!I380="OBSOLETO","","INSERT INTO INYCEXT.INYC_CONF_INF_AGENTES (COD_INFORME,BO_GROUP,COMPANIA,ID_TIPO_AGENTE,TABLA,F_INICIO,F_FIN,DESCRIPCION) VALUES ("&amp;AGENTES!B380&amp;",'"&amp;AGENTES!C380&amp;"','"&amp;AGENTES!D380&amp;"','"&amp;AGENTES!E380&amp;"','"&amp;AGENTES!F380&amp;"',TO_DATE('"&amp;AGENTES!G380&amp;"','yyyymmdd'),TO_DATE('"&amp;AGENTES!H380&amp;"','yyyymmdd'),'"&amp;AGENTES!I380&amp;"');")</f>
        <v>INSERT INTO INYCEXT.INYC_CONF_INF_AGENTES (COD_INFORME,BO_GROUP,COMPANIA,ID_TIPO_AGENTE,TABLA,F_INICIO,F_FIN,DESCRIPCION) VALUES (29,'INYC Compensation Reports User Group - CPP','01','4','INYC_CPP_RESUMEN,INYC_CPP_DETALLE',TO_DATE('20181101','yyyymmdd'),TO_DATE('22000101','yyyymmdd'),'Version 20181127');</v>
      </c>
    </row>
    <row r="380" spans="1:1" x14ac:dyDescent="0.25">
      <c r="A380" t="str">
        <f>IF(AGENTES!I381="OBSOLETO","","INSERT INTO INYCEXT.INYC_CONF_INF_AGENTES (COD_INFORME,BO_GROUP,COMPANIA,ID_TIPO_AGENTE,TABLA,F_INICIO,F_FIN,DESCRIPCION) VALUES ("&amp;AGENTES!B381&amp;",'"&amp;AGENTES!C381&amp;"','"&amp;AGENTES!D381&amp;"','"&amp;AGENTES!E381&amp;"','"&amp;AGENTES!F381&amp;"',TO_DATE('"&amp;AGENTES!G381&amp;"','yyyymmdd'),TO_DATE('"&amp;AGENTES!H381&amp;"','yyyymmdd'),'"&amp;AGENTES!I381&amp;"');")</f>
        <v>INSERT INTO INYCEXT.INYC_CONF_INF_AGENTES (COD_INFORME,BO_GROUP,COMPANIA,ID_TIPO_AGENTE,TABLA,F_INICIO,F_FIN,DESCRIPCION) VALUES (29,'INYC Compensation Reports User Group - CPP','01','7','INYC_CPP_RESUMEN,INYC_CPP_DETALLE',TO_DATE('20181101','yyyymmdd'),TO_DATE('22000101','yyyymmdd'),'Version 20181127');</v>
      </c>
    </row>
    <row r="381" spans="1:1" x14ac:dyDescent="0.25">
      <c r="A381" t="str">
        <f>IF(AGENTES!I382="OBSOLETO","","INSERT INTO INYCEXT.INYC_CONF_INF_AGENTES (COD_INFORME,BO_GROUP,COMPANIA,ID_TIPO_AGENTE,TABLA,F_INICIO,F_FIN,DESCRIPCION) VALUES ("&amp;AGENTES!B382&amp;",'"&amp;AGENTES!C382&amp;"','"&amp;AGENTES!D382&amp;"','"&amp;AGENTES!E382&amp;"','"&amp;AGENTES!F382&amp;"',TO_DATE('"&amp;AGENTES!G382&amp;"','yyyymmdd'),TO_DATE('"&amp;AGENTES!H382&amp;"','yyyymmdd'),'"&amp;AGENTES!I382&amp;"');")</f>
        <v>INSERT INTO INYCEXT.INYC_CONF_INF_AGENTES (COD_INFORME,BO_GROUP,COMPANIA,ID_TIPO_AGENTE,TABLA,F_INICIO,F_FIN,DESCRIPCION) VALUES (29,'INYC Compensation Reports User Group - CPP','01','8','INYC_CPP_RESUMEN,INYC_CPP_DETALLE',TO_DATE('20181101','yyyymmdd'),TO_DATE('22000101','yyyymmdd'),'Version 20181127');</v>
      </c>
    </row>
    <row r="382" spans="1:1" x14ac:dyDescent="0.25">
      <c r="A382" t="str">
        <f>IF(AGENTES!I383="OBSOLETO","","INSERT INTO INYCEXT.INYC_CONF_INF_AGENTES (COD_INFORME,BO_GROUP,COMPANIA,ID_TIPO_AGENTE,TABLA,F_INICIO,F_FIN,DESCRIPCION) VALUES ("&amp;AGENTES!B383&amp;",'"&amp;AGENTES!C383&amp;"','"&amp;AGENTES!D383&amp;"','"&amp;AGENTES!E383&amp;"','"&amp;AGENTES!F383&amp;"',TO_DATE('"&amp;AGENTES!G383&amp;"','yyyymmdd'),TO_DATE('"&amp;AGENTES!H383&amp;"','yyyymmdd'),'"&amp;AGENTES!I383&amp;"');")</f>
        <v>INSERT INTO INYCEXT.INYC_CONF_INF_AGENTES (COD_INFORME,BO_GROUP,COMPANIA,ID_TIPO_AGENTE,TABLA,F_INICIO,F_FIN,DESCRIPCION) VALUES (29,'INYC Compensation Reports User Group - CPP','01','9','INYC_CPP_RESUMEN,INYC_CPP_DETALLE',TO_DATE('20181101','yyyymmdd'),TO_DATE('22000101','yyyymmdd'),'Version 20181127');</v>
      </c>
    </row>
    <row r="383" spans="1:1" x14ac:dyDescent="0.25">
      <c r="A383" t="str">
        <f>IF(AGENTES!I384="OBSOLETO","","INSERT INTO INYCEXT.INYC_CONF_INF_AGENTES (COD_INFORME,BO_GROUP,COMPANIA,ID_TIPO_AGENTE,TABLA,F_INICIO,F_FIN,DESCRIPCION) VALUES ("&amp;AGENTES!B384&amp;",'"&amp;AGENTES!C384&amp;"','"&amp;AGENTES!D384&amp;"','"&amp;AGENTES!E384&amp;"','"&amp;AGENTES!F384&amp;"',TO_DATE('"&amp;AGENTES!G384&amp;"','yyyymmdd'),TO_DATE('"&amp;AGENTES!H384&amp;"','yyyymmdd'),'"&amp;AGENTES!I384&amp;"');")</f>
        <v>INSERT INTO INYCEXT.INYC_CONF_INF_AGENTES (COD_INFORME,BO_GROUP,COMPANIA,ID_TIPO_AGENTE,TABLA,F_INICIO,F_FIN,DESCRIPCION) VALUES (29,'INYC Compensation Reports User Group - CPP','01','11','INYC_CPP_RESUMEN,INYC_CPP_DETALLE',TO_DATE('20181101','yyyymmdd'),TO_DATE('22000101','yyyymmdd'),'Version 20181127');</v>
      </c>
    </row>
    <row r="384" spans="1:1" x14ac:dyDescent="0.25">
      <c r="A384" t="str">
        <f>IF(AGENTES!I385="OBSOLETO","","INSERT INTO INYCEXT.INYC_CONF_INF_AGENTES (COD_INFORME,BO_GROUP,COMPANIA,ID_TIPO_AGENTE,TABLA,F_INICIO,F_FIN,DESCRIPCION) VALUES ("&amp;AGENTES!B385&amp;",'"&amp;AGENTES!C385&amp;"','"&amp;AGENTES!D385&amp;"','"&amp;AGENTES!E385&amp;"','"&amp;AGENTES!F385&amp;"',TO_DATE('"&amp;AGENTES!G385&amp;"','yyyymmdd'),TO_DATE('"&amp;AGENTES!H385&amp;"','yyyymmdd'),'"&amp;AGENTES!I385&amp;"');")</f>
        <v>INSERT INTO INYCEXT.INYC_CONF_INF_AGENTES (COD_INFORME,BO_GROUP,COMPANIA,ID_TIPO_AGENTE,TABLA,F_INICIO,F_FIN,DESCRIPCION) VALUES (29,'INYC Compensation Reports User Group - CPP','01','12','INYC_CPP_RESUMEN,INYC_CPP_DETALLE',TO_DATE('20181101','yyyymmdd'),TO_DATE('22000101','yyyymmdd'),'Version 20181127');</v>
      </c>
    </row>
    <row r="385" spans="1:1" x14ac:dyDescent="0.25">
      <c r="A385" t="str">
        <f>IF(AGENTES!I386="OBSOLETO","","INSERT INTO INYCEXT.INYC_CONF_INF_AGENTES (COD_INFORME,BO_GROUP,COMPANIA,ID_TIPO_AGENTE,TABLA,F_INICIO,F_FIN,DESCRIPCION) VALUES ("&amp;AGENTES!B386&amp;",'"&amp;AGENTES!C386&amp;"','"&amp;AGENTES!D386&amp;"','"&amp;AGENTES!E386&amp;"','"&amp;AGENTES!F386&amp;"',TO_DATE('"&amp;AGENTES!G386&amp;"','yyyymmdd'),TO_DATE('"&amp;AGENTES!H386&amp;"','yyyymmdd'),'"&amp;AGENTES!I386&amp;"');")</f>
        <v>INSERT INTO INYCEXT.INYC_CONF_INF_AGENTES (COD_INFORME,BO_GROUP,COMPANIA,ID_TIPO_AGENTE,TABLA,F_INICIO,F_FIN,DESCRIPCION) VALUES (29,'INYC Compensation Reports User Group - CPP','01','13','INYC_CPP_RESUMEN,INYC_CPP_DETALLE',TO_DATE('20181101','yyyymmdd'),TO_DATE('22000101','yyyymmdd'),'Version 20181127');</v>
      </c>
    </row>
    <row r="386" spans="1:1" x14ac:dyDescent="0.25">
      <c r="A386" t="str">
        <f>IF(AGENTES!I387="OBSOLETO","","INSERT INTO INYCEXT.INYC_CONF_INF_AGENTES (COD_INFORME,BO_GROUP,COMPANIA,ID_TIPO_AGENTE,TABLA,F_INICIO,F_FIN,DESCRIPCION) VALUES ("&amp;AGENTES!B387&amp;",'"&amp;AGENTES!C387&amp;"','"&amp;AGENTES!D387&amp;"','"&amp;AGENTES!E387&amp;"','"&amp;AGENTES!F387&amp;"',TO_DATE('"&amp;AGENTES!G387&amp;"','yyyymmdd'),TO_DATE('"&amp;AGENTES!H387&amp;"','yyyymmdd'),'"&amp;AGENTES!I387&amp;"');")</f>
        <v>INSERT INTO INYCEXT.INYC_CONF_INF_AGENTES (COD_INFORME,BO_GROUP,COMPANIA,ID_TIPO_AGENTE,TABLA,F_INICIO,F_FIN,DESCRIPCION) VALUES (29,'INYC Compensation Reports User Group - CPP','01','14','INYC_CPP_RESUMEN,INYC_CPP_DETALLE',TO_DATE('20181101','yyyymmdd'),TO_DATE('22000101','yyyymmdd'),'Version 20181127');</v>
      </c>
    </row>
    <row r="387" spans="1:1" x14ac:dyDescent="0.25">
      <c r="A387" t="str">
        <f>IF(AGENTES!I388="OBSOLETO","","INSERT INTO INYCEXT.INYC_CONF_INF_AGENTES (COD_INFORME,BO_GROUP,COMPANIA,ID_TIPO_AGENTE,TABLA,F_INICIO,F_FIN,DESCRIPCION) VALUES ("&amp;AGENTES!B388&amp;",'"&amp;AGENTES!C388&amp;"','"&amp;AGENTES!D388&amp;"','"&amp;AGENTES!E388&amp;"','"&amp;AGENTES!F388&amp;"',TO_DATE('"&amp;AGENTES!G388&amp;"','yyyymmdd'),TO_DATE('"&amp;AGENTES!H388&amp;"','yyyymmdd'),'"&amp;AGENTES!I388&amp;"');")</f>
        <v>INSERT INTO INYCEXT.INYC_CONF_INF_AGENTES (COD_INFORME,BO_GROUP,COMPANIA,ID_TIPO_AGENTE,TABLA,F_INICIO,F_FIN,DESCRIPCION) VALUES (29,'INYC Compensation Reports User Group - CPP','01','15','INYC_CPP_RESUMEN,INYC_CPP_DETALLE',TO_DATE('20181101','yyyymmdd'),TO_DATE('22000101','yyyymmdd'),'Version 20181127');</v>
      </c>
    </row>
    <row r="388" spans="1:1" x14ac:dyDescent="0.25">
      <c r="A388" t="str">
        <f>IF(AGENTES!I389="OBSOLETO","","INSERT INTO INYCEXT.INYC_CONF_INF_AGENTES (COD_INFORME,BO_GROUP,COMPANIA,ID_TIPO_AGENTE,TABLA,F_INICIO,F_FIN,DESCRIPCION) VALUES ("&amp;AGENTES!B389&amp;",'"&amp;AGENTES!C389&amp;"','"&amp;AGENTES!D389&amp;"','"&amp;AGENTES!E389&amp;"','"&amp;AGENTES!F389&amp;"',TO_DATE('"&amp;AGENTES!G389&amp;"','yyyymmdd'),TO_DATE('"&amp;AGENTES!H389&amp;"','yyyymmdd'),'"&amp;AGENTES!I389&amp;"');")</f>
        <v>INSERT INTO INYCEXT.INYC_CONF_INF_AGENTES (COD_INFORME,BO_GROUP,COMPANIA,ID_TIPO_AGENTE,TABLA,F_INICIO,F_FIN,DESCRIPCION) VALUES (29,'INYC Compensation Reports User Group - CPP','01','16','INYC_CPP_RESUMEN,INYC_CPP_DETALLE',TO_DATE('20181101','yyyymmdd'),TO_DATE('22000101','yyyymmdd'),'Version 20181127');</v>
      </c>
    </row>
    <row r="389" spans="1:1" x14ac:dyDescent="0.25">
      <c r="A389" t="str">
        <f>IF(AGENTES!I390="OBSOLETO","","INSERT INTO INYCEXT.INYC_CONF_INF_AGENTES (COD_INFORME,BO_GROUP,COMPANIA,ID_TIPO_AGENTE,TABLA,F_INICIO,F_FIN,DESCRIPCION) VALUES ("&amp;AGENTES!B390&amp;",'"&amp;AGENTES!C390&amp;"','"&amp;AGENTES!D390&amp;"','"&amp;AGENTES!E390&amp;"','"&amp;AGENTES!F390&amp;"',TO_DATE('"&amp;AGENTES!G390&amp;"','yyyymmdd'),TO_DATE('"&amp;AGENTES!H390&amp;"','yyyymmdd'),'"&amp;AGENTES!I390&amp;"');")</f>
        <v>INSERT INTO INYCEXT.INYC_CONF_INF_AGENTES (COD_INFORME,BO_GROUP,COMPANIA,ID_TIPO_AGENTE,TABLA,F_INICIO,F_FIN,DESCRIPCION) VALUES (29,'INYC Compensation Reports User Group - CPP','01','17','INYC_CPP_RESUMEN,INYC_CPP_DETALLE',TO_DATE('20181101','yyyymmdd'),TO_DATE('22000101','yyyymmdd'),'Version 20181127');</v>
      </c>
    </row>
    <row r="390" spans="1:1" x14ac:dyDescent="0.25">
      <c r="A390" t="str">
        <f>IF(AGENTES!I391="OBSOLETO","","INSERT INTO INYCEXT.INYC_CONF_INF_AGENTES (COD_INFORME,BO_GROUP,COMPANIA,ID_TIPO_AGENTE,TABLA,F_INICIO,F_FIN,DESCRIPCION) VALUES ("&amp;AGENTES!B391&amp;",'"&amp;AGENTES!C391&amp;"','"&amp;AGENTES!D391&amp;"','"&amp;AGENTES!E391&amp;"','"&amp;AGENTES!F391&amp;"',TO_DATE('"&amp;AGENTES!G391&amp;"','yyyymmdd'),TO_DATE('"&amp;AGENTES!H391&amp;"','yyyymmdd'),'"&amp;AGENTES!I391&amp;"');")</f>
        <v>INSERT INTO INYCEXT.INYC_CONF_INF_AGENTES (COD_INFORME,BO_GROUP,COMPANIA,ID_TIPO_AGENTE,TABLA,F_INICIO,F_FIN,DESCRIPCION) VALUES (29,'INYC Compensation Reports User Group - CPP','01','19','INYC_CPP_RESUMEN,INYC_CPP_DETALLE',TO_DATE('20181101','yyyymmdd'),TO_DATE('22000101','yyyymmdd'),'Version 20181127');</v>
      </c>
    </row>
    <row r="391" spans="1:1" x14ac:dyDescent="0.25">
      <c r="A391" t="str">
        <f>IF(AGENTES!I392="OBSOLETO","","INSERT INTO INYCEXT.INYC_CONF_INF_AGENTES (COD_INFORME,BO_GROUP,COMPANIA,ID_TIPO_AGENTE,TABLA,F_INICIO,F_FIN,DESCRIPCION) VALUES ("&amp;AGENTES!B392&amp;",'"&amp;AGENTES!C392&amp;"','"&amp;AGENTES!D392&amp;"','"&amp;AGENTES!E392&amp;"','"&amp;AGENTES!F392&amp;"',TO_DATE('"&amp;AGENTES!G392&amp;"','yyyymmdd'),TO_DATE('"&amp;AGENTES!H392&amp;"','yyyymmdd'),'"&amp;AGENTES!I392&amp;"');")</f>
        <v>INSERT INTO INYCEXT.INYC_CONF_INF_AGENTES (COD_INFORME,BO_GROUP,COMPANIA,ID_TIPO_AGENTE,TABLA,F_INICIO,F_FIN,DESCRIPCION) VALUES (29,'INYC Compensation Reports User Group - CPP','01','20','INYC_CPP_RESUMEN,INYC_CPP_DETALLE',TO_DATE('20181101','yyyymmdd'),TO_DATE('22000101','yyyymmdd'),'Version 20181127');</v>
      </c>
    </row>
    <row r="392" spans="1:1" x14ac:dyDescent="0.25">
      <c r="A392" t="str">
        <f>IF(AGENTES!I393="OBSOLETO","","INSERT INTO INYCEXT.INYC_CONF_INF_AGENTES (COD_INFORME,BO_GROUP,COMPANIA,ID_TIPO_AGENTE,TABLA,F_INICIO,F_FIN,DESCRIPCION) VALUES ("&amp;AGENTES!B393&amp;",'"&amp;AGENTES!C393&amp;"','"&amp;AGENTES!D393&amp;"','"&amp;AGENTES!E393&amp;"','"&amp;AGENTES!F393&amp;"',TO_DATE('"&amp;AGENTES!G393&amp;"','yyyymmdd'),TO_DATE('"&amp;AGENTES!H393&amp;"','yyyymmdd'),'"&amp;AGENTES!I393&amp;"');")</f>
        <v>INSERT INTO INYCEXT.INYC_CONF_INF_AGENTES (COD_INFORME,BO_GROUP,COMPANIA,ID_TIPO_AGENTE,TABLA,F_INICIO,F_FIN,DESCRIPCION) VALUES (29,'INYC Compensation Reports User Group - CPP','01','22','INYC_CPP_RESUMEN,INYC_CPP_DETALLE',TO_DATE('20181101','yyyymmdd'),TO_DATE('22000101','yyyymmdd'),'Version 20181127');</v>
      </c>
    </row>
    <row r="393" spans="1:1" x14ac:dyDescent="0.25">
      <c r="A393" t="str">
        <f>IF(AGENTES!I394="OBSOLETO","","INSERT INTO INYCEXT.INYC_CONF_INF_AGENTES (COD_INFORME,BO_GROUP,COMPANIA,ID_TIPO_AGENTE,TABLA,F_INICIO,F_FIN,DESCRIPCION) VALUES ("&amp;AGENTES!B394&amp;",'"&amp;AGENTES!C394&amp;"','"&amp;AGENTES!D394&amp;"','"&amp;AGENTES!E394&amp;"','"&amp;AGENTES!F394&amp;"',TO_DATE('"&amp;AGENTES!G394&amp;"','yyyymmdd'),TO_DATE('"&amp;AGENTES!H394&amp;"','yyyymmdd'),'"&amp;AGENTES!I394&amp;"');")</f>
        <v>INSERT INTO INYCEXT.INYC_CONF_INF_AGENTES (COD_INFORME,BO_GROUP,COMPANIA,ID_TIPO_AGENTE,TABLA,F_INICIO,F_FIN,DESCRIPCION) VALUES (29,'INYC Compensation Reports User Group - CPP','01','23','INYC_CPP_RESUMEN,INYC_CPP_DETALLE',TO_DATE('20181101','yyyymmdd'),TO_DATE('22000101','yyyymmdd'),'Version 20181127');</v>
      </c>
    </row>
    <row r="394" spans="1:1" x14ac:dyDescent="0.25">
      <c r="A394" t="str">
        <f>IF(AGENTES!I395="OBSOLETO","","INSERT INTO INYCEXT.INYC_CONF_INF_AGENTES (COD_INFORME,BO_GROUP,COMPANIA,ID_TIPO_AGENTE,TABLA,F_INICIO,F_FIN,DESCRIPCION) VALUES ("&amp;AGENTES!B395&amp;",'"&amp;AGENTES!C395&amp;"','"&amp;AGENTES!D395&amp;"','"&amp;AGENTES!E395&amp;"','"&amp;AGENTES!F395&amp;"',TO_DATE('"&amp;AGENTES!G395&amp;"','yyyymmdd'),TO_DATE('"&amp;AGENTES!H395&amp;"','yyyymmdd'),'"&amp;AGENTES!I395&amp;"');")</f>
        <v>INSERT INTO INYCEXT.INYC_CONF_INF_AGENTES (COD_INFORME,BO_GROUP,COMPANIA,ID_TIPO_AGENTE,TABLA,F_INICIO,F_FIN,DESCRIPCION) VALUES (29,'INYC Compensation Reports User Group - CPP','01','25','INYC_CPP_RESUMEN,INYC_CPP_DETALLE',TO_DATE('20181101','yyyymmdd'),TO_DATE('22000101','yyyymmdd'),'Version 20181127');</v>
      </c>
    </row>
    <row r="395" spans="1:1" x14ac:dyDescent="0.25">
      <c r="A395" t="str">
        <f>IF(AGENTES!I396="OBSOLETO","","INSERT INTO INYCEXT.INYC_CONF_INF_AGENTES (COD_INFORME,BO_GROUP,COMPANIA,ID_TIPO_AGENTE,TABLA,F_INICIO,F_FIN,DESCRIPCION) VALUES ("&amp;AGENTES!B396&amp;",'"&amp;AGENTES!C396&amp;"','"&amp;AGENTES!D396&amp;"','"&amp;AGENTES!E396&amp;"','"&amp;AGENTES!F396&amp;"',TO_DATE('"&amp;AGENTES!G396&amp;"','yyyymmdd'),TO_DATE('"&amp;AGENTES!H396&amp;"','yyyymmdd'),'"&amp;AGENTES!I396&amp;"');")</f>
        <v>INSERT INTO INYCEXT.INYC_CONF_INF_AGENTES (COD_INFORME,BO_GROUP,COMPANIA,ID_TIPO_AGENTE,TABLA,F_INICIO,F_FIN,DESCRIPCION) VALUES (29,'INYC Compensation Reports User Group - CPP','01','26','INYC_CPP_RESUMEN,INYC_CPP_DETALLE',TO_DATE('20181101','yyyymmdd'),TO_DATE('22000101','yyyymmdd'),'Version 20181127');</v>
      </c>
    </row>
    <row r="396" spans="1:1" x14ac:dyDescent="0.25">
      <c r="A396" t="str">
        <f>IF(AGENTES!I397="OBSOLETO","","INSERT INTO INYCEXT.INYC_CONF_INF_AGENTES (COD_INFORME,BO_GROUP,COMPANIA,ID_TIPO_AGENTE,TABLA,F_INICIO,F_FIN,DESCRIPCION) VALUES ("&amp;AGENTES!B397&amp;",'"&amp;AGENTES!C397&amp;"','"&amp;AGENTES!D397&amp;"','"&amp;AGENTES!E397&amp;"','"&amp;AGENTES!F397&amp;"',TO_DATE('"&amp;AGENTES!G397&amp;"','yyyymmdd'),TO_DATE('"&amp;AGENTES!H397&amp;"','yyyymmdd'),'"&amp;AGENTES!I397&amp;"');")</f>
        <v>INSERT INTO INYCEXT.INYC_CONF_INF_AGENTES (COD_INFORME,BO_GROUP,COMPANIA,ID_TIPO_AGENTE,TABLA,F_INICIO,F_FIN,DESCRIPCION) VALUES (29,'INYC Compensation Reports User Group - CPP','01','27','INYC_CPP_RESUMEN,INYC_CPP_DETALLE',TO_DATE('20181101','yyyymmdd'),TO_DATE('22000101','yyyymmdd'),'Version 20181127');</v>
      </c>
    </row>
    <row r="397" spans="1:1" x14ac:dyDescent="0.25">
      <c r="A397" t="str">
        <f>IF(AGENTES!I398="OBSOLETO","","INSERT INTO INYCEXT.INYC_CONF_INF_AGENTES (COD_INFORME,BO_GROUP,COMPANIA,ID_TIPO_AGENTE,TABLA,F_INICIO,F_FIN,DESCRIPCION) VALUES ("&amp;AGENTES!B398&amp;",'"&amp;AGENTES!C398&amp;"','"&amp;AGENTES!D398&amp;"','"&amp;AGENTES!E398&amp;"','"&amp;AGENTES!F398&amp;"',TO_DATE('"&amp;AGENTES!G398&amp;"','yyyymmdd'),TO_DATE('"&amp;AGENTES!H398&amp;"','yyyymmdd'),'"&amp;AGENTES!I398&amp;"');")</f>
        <v>INSERT INTO INYCEXT.INYC_CONF_INF_AGENTES (COD_INFORME,BO_GROUP,COMPANIA,ID_TIPO_AGENTE,TABLA,F_INICIO,F_FIN,DESCRIPCION) VALUES (29,'INYC Compensation Reports User Group - CPP','01','29','INYC_CPP_RESUMEN,INYC_CPP_DETALLE',TO_DATE('20181101','yyyymmdd'),TO_DATE('22000101','yyyymmdd'),'Version 20181127');</v>
      </c>
    </row>
    <row r="398" spans="1:1" x14ac:dyDescent="0.25">
      <c r="A398" t="str">
        <f>IF(AGENTES!I399="OBSOLETO","","INSERT INTO INYCEXT.INYC_CONF_INF_AGENTES (COD_INFORME,BO_GROUP,COMPANIA,ID_TIPO_AGENTE,TABLA,F_INICIO,F_FIN,DESCRIPCION) VALUES ("&amp;AGENTES!B399&amp;",'"&amp;AGENTES!C399&amp;"','"&amp;AGENTES!D399&amp;"','"&amp;AGENTES!E399&amp;"','"&amp;AGENTES!F399&amp;"',TO_DATE('"&amp;AGENTES!G399&amp;"','yyyymmdd'),TO_DATE('"&amp;AGENTES!H399&amp;"','yyyymmdd'),'"&amp;AGENTES!I399&amp;"');")</f>
        <v>INSERT INTO INYCEXT.INYC_CONF_INF_AGENTES (COD_INFORME,BO_GROUP,COMPANIA,ID_TIPO_AGENTE,TABLA,F_INICIO,F_FIN,DESCRIPCION) VALUES (29,'INYC Compensation Reports User Group - CPP','01','30','INYC_CPP_RESUMEN,INYC_CPP_DETALLE',TO_DATE('20181101','yyyymmdd'),TO_DATE('22000101','yyyymmdd'),'Version 20181127');</v>
      </c>
    </row>
    <row r="399" spans="1:1" x14ac:dyDescent="0.25">
      <c r="A399" t="str">
        <f>IF(AGENTES!I400="OBSOLETO","","INSERT INTO INYCEXT.INYC_CONF_INF_AGENTES (COD_INFORME,BO_GROUP,COMPANIA,ID_TIPO_AGENTE,TABLA,F_INICIO,F_FIN,DESCRIPCION) VALUES ("&amp;AGENTES!B400&amp;",'"&amp;AGENTES!C400&amp;"','"&amp;AGENTES!D400&amp;"','"&amp;AGENTES!E400&amp;"','"&amp;AGENTES!F400&amp;"',TO_DATE('"&amp;AGENTES!G400&amp;"','yyyymmdd'),TO_DATE('"&amp;AGENTES!H400&amp;"','yyyymmdd'),'"&amp;AGENTES!I400&amp;"');")</f>
        <v>INSERT INTO INYCEXT.INYC_CONF_INF_AGENTES (COD_INFORME,BO_GROUP,COMPANIA,ID_TIPO_AGENTE,TABLA,F_INICIO,F_FIN,DESCRIPCION) VALUES (29,'INYC Compensation Reports User Group - CPP','01','31','INYC_CPP_RESUMEN,INYC_CPP_DETALLE',TO_DATE('20181101','yyyymmdd'),TO_DATE('22000101','yyyymmdd'),'Version 20181127');</v>
      </c>
    </row>
    <row r="400" spans="1:1" x14ac:dyDescent="0.25">
      <c r="A400" t="str">
        <f>IF(AGENTES!I401="OBSOLETO","","INSERT INTO INYCEXT.INYC_CONF_INF_AGENTES (COD_INFORME,BO_GROUP,COMPANIA,ID_TIPO_AGENTE,TABLA,F_INICIO,F_FIN,DESCRIPCION) VALUES ("&amp;AGENTES!B401&amp;",'"&amp;AGENTES!C401&amp;"','"&amp;AGENTES!D401&amp;"','"&amp;AGENTES!E401&amp;"','"&amp;AGENTES!F401&amp;"',TO_DATE('"&amp;AGENTES!G401&amp;"','yyyymmdd'),TO_DATE('"&amp;AGENTES!H401&amp;"','yyyymmdd'),'"&amp;AGENTES!I401&amp;"');")</f>
        <v>INSERT INTO INYCEXT.INYC_CONF_INF_AGENTES (COD_INFORME,BO_GROUP,COMPANIA,ID_TIPO_AGENTE,TABLA,F_INICIO,F_FIN,DESCRIPCION) VALUES (29,'INYC Compensation Reports User Group - CPP','01','32','INYC_CPP_RESUMEN,INYC_CPP_DETALLE',TO_DATE('20181101','yyyymmdd'),TO_DATE('22000101','yyyymmdd'),'Version 20181127');</v>
      </c>
    </row>
    <row r="401" spans="1:1" x14ac:dyDescent="0.25">
      <c r="A401" t="str">
        <f>IF(AGENTES!I402="OBSOLETO","","INSERT INTO INYCEXT.INYC_CONF_INF_AGENTES (COD_INFORME,BO_GROUP,COMPANIA,ID_TIPO_AGENTE,TABLA,F_INICIO,F_FIN,DESCRIPCION) VALUES ("&amp;AGENTES!B402&amp;",'"&amp;AGENTES!C402&amp;"','"&amp;AGENTES!D402&amp;"','"&amp;AGENTES!E402&amp;"','"&amp;AGENTES!F402&amp;"',TO_DATE('"&amp;AGENTES!G402&amp;"','yyyymmdd'),TO_DATE('"&amp;AGENTES!H402&amp;"','yyyymmdd'),'"&amp;AGENTES!I402&amp;"');")</f>
        <v>INSERT INTO INYCEXT.INYC_CONF_INF_AGENTES (COD_INFORME,BO_GROUP,COMPANIA,ID_TIPO_AGENTE,TABLA,F_INICIO,F_FIN,DESCRIPCION) VALUES (29,'INYC Compensation Reports User Group - CPP','01','33','INYC_CPP_RESUMEN,INYC_CPP_DETALLE',TO_DATE('20181101','yyyymmdd'),TO_DATE('22000101','yyyymmdd'),'Version 20181127');</v>
      </c>
    </row>
    <row r="402" spans="1:1" x14ac:dyDescent="0.25">
      <c r="A402" t="str">
        <f>IF(AGENTES!I403="OBSOLETO","","INSERT INTO INYCEXT.INYC_CONF_INF_AGENTES (COD_INFORME,BO_GROUP,COMPANIA,ID_TIPO_AGENTE,TABLA,F_INICIO,F_FIN,DESCRIPCION) VALUES ("&amp;AGENTES!B403&amp;",'"&amp;AGENTES!C403&amp;"','"&amp;AGENTES!D403&amp;"','"&amp;AGENTES!E403&amp;"','"&amp;AGENTES!F403&amp;"',TO_DATE('"&amp;AGENTES!G403&amp;"','yyyymmdd'),TO_DATE('"&amp;AGENTES!H403&amp;"','yyyymmdd'),'"&amp;AGENTES!I403&amp;"');")</f>
        <v>INSERT INTO INYCEXT.INYC_CONF_INF_AGENTES (COD_INFORME,BO_GROUP,COMPANIA,ID_TIPO_AGENTE,TABLA,F_INICIO,F_FIN,DESCRIPCION) VALUES (29,'INYC Compensation Reports User Group - CPP','01','34','INYC_CPP_RESUMEN,INYC_CPP_DETALLE',TO_DATE('20181101','yyyymmdd'),TO_DATE('22000101','yyyymmdd'),'Version 20181127');</v>
      </c>
    </row>
    <row r="403" spans="1:1" x14ac:dyDescent="0.25">
      <c r="A403" t="str">
        <f>IF(AGENTES!I404="OBSOLETO","","INSERT INTO INYCEXT.INYC_CONF_INF_AGENTES (COD_INFORME,BO_GROUP,COMPANIA,ID_TIPO_AGENTE,TABLA,F_INICIO,F_FIN,DESCRIPCION) VALUES ("&amp;AGENTES!B404&amp;",'"&amp;AGENTES!C404&amp;"','"&amp;AGENTES!D404&amp;"','"&amp;AGENTES!E404&amp;"','"&amp;AGENTES!F404&amp;"',TO_DATE('"&amp;AGENTES!G404&amp;"','yyyymmdd'),TO_DATE('"&amp;AGENTES!H404&amp;"','yyyymmdd'),'"&amp;AGENTES!I404&amp;"');")</f>
        <v>INSERT INTO INYCEXT.INYC_CONF_INF_AGENTES (COD_INFORME,BO_GROUP,COMPANIA,ID_TIPO_AGENTE,TABLA,F_INICIO,F_FIN,DESCRIPCION) VALUES (29,'INYC Compensation Reports User Group - CPP','01','35','INYC_CPP_RESUMEN,INYC_CPP_DETALLE',TO_DATE('20181101','yyyymmdd'),TO_DATE('22000101','yyyymmdd'),'Version 20181127');</v>
      </c>
    </row>
    <row r="404" spans="1:1" x14ac:dyDescent="0.25">
      <c r="A404" t="str">
        <f>IF(AGENTES!I405="OBSOLETO","","INSERT INTO INYCEXT.INYC_CONF_INF_AGENTES (COD_INFORME,BO_GROUP,COMPANIA,ID_TIPO_AGENTE,TABLA,F_INICIO,F_FIN,DESCRIPCION) VALUES ("&amp;AGENTES!B405&amp;",'"&amp;AGENTES!C405&amp;"','"&amp;AGENTES!D405&amp;"','"&amp;AGENTES!E405&amp;"','"&amp;AGENTES!F405&amp;"',TO_DATE('"&amp;AGENTES!G405&amp;"','yyyymmdd'),TO_DATE('"&amp;AGENTES!H405&amp;"','yyyymmdd'),'"&amp;AGENTES!I405&amp;"');")</f>
        <v>INSERT INTO INYCEXT.INYC_CONF_INF_AGENTES (COD_INFORME,BO_GROUP,COMPANIA,ID_TIPO_AGENTE,TABLA,F_INICIO,F_FIN,DESCRIPCION) VALUES (29,'INYC Compensation Reports User Group - CPP','01','36','INYC_CPP_RESUMEN,INYC_CPP_DETALLE',TO_DATE('20181101','yyyymmdd'),TO_DATE('22000101','yyyymmdd'),'Version 20181127');</v>
      </c>
    </row>
    <row r="405" spans="1:1" x14ac:dyDescent="0.25">
      <c r="A405" t="str">
        <f>IF(AGENTES!I406="OBSOLETO","","INSERT INTO INYCEXT.INYC_CONF_INF_AGENTES (COD_INFORME,BO_GROUP,COMPANIA,ID_TIPO_AGENTE,TABLA,F_INICIO,F_FIN,DESCRIPCION) VALUES ("&amp;AGENTES!B406&amp;",'"&amp;AGENTES!C406&amp;"','"&amp;AGENTES!D406&amp;"','"&amp;AGENTES!E406&amp;"','"&amp;AGENTES!F406&amp;"',TO_DATE('"&amp;AGENTES!G406&amp;"','yyyymmdd'),TO_DATE('"&amp;AGENTES!H406&amp;"','yyyymmdd'),'"&amp;AGENTES!I406&amp;"');")</f>
        <v>INSERT INTO INYCEXT.INYC_CONF_INF_AGENTES (COD_INFORME,BO_GROUP,COMPANIA,ID_TIPO_AGENTE,TABLA,F_INICIO,F_FIN,DESCRIPCION) VALUES (29,'INYC Compensation Reports User Group - CPP','01','38','INYC_CPP_RESUMEN,INYC_CPP_DETALLE',TO_DATE('20181101','yyyymmdd'),TO_DATE('22000101','yyyymmdd'),'Version 20181127');</v>
      </c>
    </row>
    <row r="406" spans="1:1" x14ac:dyDescent="0.25">
      <c r="A406" t="str">
        <f>IF(AGENTES!I407="OBSOLETO","","INSERT INTO INYCEXT.INYC_CONF_INF_AGENTES (COD_INFORME,BO_GROUP,COMPANIA,ID_TIPO_AGENTE,TABLA,F_INICIO,F_FIN,DESCRIPCION) VALUES ("&amp;AGENTES!B407&amp;",'"&amp;AGENTES!C407&amp;"','"&amp;AGENTES!D407&amp;"','"&amp;AGENTES!E407&amp;"','"&amp;AGENTES!F407&amp;"',TO_DATE('"&amp;AGENTES!G407&amp;"','yyyymmdd'),TO_DATE('"&amp;AGENTES!H407&amp;"','yyyymmdd'),'"&amp;AGENTES!I407&amp;"');")</f>
        <v>INSERT INTO INYCEXT.INYC_CONF_INF_AGENTES (COD_INFORME,BO_GROUP,COMPANIA,ID_TIPO_AGENTE,TABLA,F_INICIO,F_FIN,DESCRIPCION) VALUES (29,'INYC Compensation Reports User Group - CPP','01','39','INYC_CPP_RESUMEN,INYC_CPP_DETALLE',TO_DATE('20181101','yyyymmdd'),TO_DATE('22000101','yyyymmdd'),'Version 20181127');</v>
      </c>
    </row>
    <row r="407" spans="1:1" x14ac:dyDescent="0.25">
      <c r="A407" t="str">
        <f>IF(AGENTES!I408="OBSOLETO","","INSERT INTO INYCEXT.INYC_CONF_INF_AGENTES (COD_INFORME,BO_GROUP,COMPANIA,ID_TIPO_AGENTE,TABLA,F_INICIO,F_FIN,DESCRIPCION) VALUES ("&amp;AGENTES!B408&amp;",'"&amp;AGENTES!C408&amp;"','"&amp;AGENTES!D408&amp;"','"&amp;AGENTES!E408&amp;"','"&amp;AGENTES!F408&amp;"',TO_DATE('"&amp;AGENTES!G408&amp;"','yyyymmdd'),TO_DATE('"&amp;AGENTES!H408&amp;"','yyyymmdd'),'"&amp;AGENTES!I408&amp;"');")</f>
        <v>INSERT INTO INYCEXT.INYC_CONF_INF_AGENTES (COD_INFORME,BO_GROUP,COMPANIA,ID_TIPO_AGENTE,TABLA,F_INICIO,F_FIN,DESCRIPCION) VALUES (29,'INYC Compensation Reports User Group - CPP','01','40','INYC_CPP_RESUMEN,INYC_CPP_DETALLE',TO_DATE('20181101','yyyymmdd'),TO_DATE('22000101','yyyymmdd'),'Version 20181127');</v>
      </c>
    </row>
    <row r="408" spans="1:1" x14ac:dyDescent="0.25">
      <c r="A408" t="str">
        <f>IF(AGENTES!I409="OBSOLETO","","INSERT INTO INYCEXT.INYC_CONF_INF_AGENTES (COD_INFORME,BO_GROUP,COMPANIA,ID_TIPO_AGENTE,TABLA,F_INICIO,F_FIN,DESCRIPCION) VALUES ("&amp;AGENTES!B409&amp;",'"&amp;AGENTES!C409&amp;"','"&amp;AGENTES!D409&amp;"','"&amp;AGENTES!E409&amp;"','"&amp;AGENTES!F409&amp;"',TO_DATE('"&amp;AGENTES!G409&amp;"','yyyymmdd'),TO_DATE('"&amp;AGENTES!H409&amp;"','yyyymmdd'),'"&amp;AGENTES!I409&amp;"');")</f>
        <v>INSERT INTO INYCEXT.INYC_CONF_INF_AGENTES (COD_INFORME,BO_GROUP,COMPANIA,ID_TIPO_AGENTE,TABLA,F_INICIO,F_FIN,DESCRIPCION) VALUES (29,'INYC Compensation Reports User Group - CPP','01','41','INYC_CPP_RESUMEN,INYC_CPP_DETALLE',TO_DATE('20181101','yyyymmdd'),TO_DATE('22000101','yyyymmdd'),'Version 20181127');</v>
      </c>
    </row>
    <row r="409" spans="1:1" x14ac:dyDescent="0.25">
      <c r="A409" t="str">
        <f>IF(AGENTES!I410="OBSOLETO","","INSERT INTO INYCEXT.INYC_CONF_INF_AGENTES (COD_INFORME,BO_GROUP,COMPANIA,ID_TIPO_AGENTE,TABLA,F_INICIO,F_FIN,DESCRIPCION) VALUES ("&amp;AGENTES!B410&amp;",'"&amp;AGENTES!C410&amp;"','"&amp;AGENTES!D410&amp;"','"&amp;AGENTES!E410&amp;"','"&amp;AGENTES!F410&amp;"',TO_DATE('"&amp;AGENTES!G410&amp;"','yyyymmdd'),TO_DATE('"&amp;AGENTES!H410&amp;"','yyyymmdd'),'"&amp;AGENTES!I410&amp;"');")</f>
        <v>INSERT INTO INYCEXT.INYC_CONF_INF_AGENTES (COD_INFORME,BO_GROUP,COMPANIA,ID_TIPO_AGENTE,TABLA,F_INICIO,F_FIN,DESCRIPCION) VALUES (29,'INYC Compensation Reports User Group - CPP','01','42','INYC_CPP_RESUMEN,INYC_CPP_DETALLE',TO_DATE('20181101','yyyymmdd'),TO_DATE('22000101','yyyymmdd'),'Version 20181127');</v>
      </c>
    </row>
    <row r="410" spans="1:1" x14ac:dyDescent="0.25">
      <c r="A410" t="str">
        <f>IF(AGENTES!I411="OBSOLETO","","INSERT INTO INYCEXT.INYC_CONF_INF_AGENTES (COD_INFORME,BO_GROUP,COMPANIA,ID_TIPO_AGENTE,TABLA,F_INICIO,F_FIN,DESCRIPCION) VALUES ("&amp;AGENTES!B411&amp;",'"&amp;AGENTES!C411&amp;"','"&amp;AGENTES!D411&amp;"','"&amp;AGENTES!E411&amp;"','"&amp;AGENTES!F411&amp;"',TO_DATE('"&amp;AGENTES!G411&amp;"','yyyymmdd'),TO_DATE('"&amp;AGENTES!H411&amp;"','yyyymmdd'),'"&amp;AGENTES!I411&amp;"');")</f>
        <v>INSERT INTO INYCEXT.INYC_CONF_INF_AGENTES (COD_INFORME,BO_GROUP,COMPANIA,ID_TIPO_AGENTE,TABLA,F_INICIO,F_FIN,DESCRIPCION) VALUES (29,'INYC Compensation Reports User Group - CPP','01','44','INYC_CPP_RESUMEN,INYC_CPP_DETALLE',TO_DATE('20181101','yyyymmdd'),TO_DATE('22000101','yyyymmdd'),'Version 20181127');</v>
      </c>
    </row>
    <row r="411" spans="1:1" x14ac:dyDescent="0.25">
      <c r="A411" t="str">
        <f>IF(AGENTES!I412="OBSOLETO","","INSERT INTO INYCEXT.INYC_CONF_INF_AGENTES (COD_INFORME,BO_GROUP,COMPANIA,ID_TIPO_AGENTE,TABLA,F_INICIO,F_FIN,DESCRIPCION) VALUES ("&amp;AGENTES!B412&amp;",'"&amp;AGENTES!C412&amp;"','"&amp;AGENTES!D412&amp;"','"&amp;AGENTES!E412&amp;"','"&amp;AGENTES!F412&amp;"',TO_DATE('"&amp;AGENTES!G412&amp;"','yyyymmdd'),TO_DATE('"&amp;AGENTES!H412&amp;"','yyyymmdd'),'"&amp;AGENTES!I412&amp;"');")</f>
        <v>INSERT INTO INYCEXT.INYC_CONF_INF_AGENTES (COD_INFORME,BO_GROUP,COMPANIA,ID_TIPO_AGENTE,TABLA,F_INICIO,F_FIN,DESCRIPCION) VALUES (29,'INYC Compensation Reports User Group - CPP','01','45','INYC_CPP_RESUMEN,INYC_CPP_DETALLE',TO_DATE('20181101','yyyymmdd'),TO_DATE('22000101','yyyymmdd'),'Version 20181127');</v>
      </c>
    </row>
    <row r="412" spans="1:1" x14ac:dyDescent="0.25">
      <c r="A412" t="str">
        <f>IF(AGENTES!I413="OBSOLETO","","INSERT INTO INYCEXT.INYC_CONF_INF_AGENTES (COD_INFORME,BO_GROUP,COMPANIA,ID_TIPO_AGENTE,TABLA,F_INICIO,F_FIN,DESCRIPCION) VALUES ("&amp;AGENTES!B413&amp;",'"&amp;AGENTES!C413&amp;"','"&amp;AGENTES!D413&amp;"','"&amp;AGENTES!E413&amp;"','"&amp;AGENTES!F413&amp;"',TO_DATE('"&amp;AGENTES!G413&amp;"','yyyymmdd'),TO_DATE('"&amp;AGENTES!H413&amp;"','yyyymmdd'),'"&amp;AGENTES!I413&amp;"');")</f>
        <v>INSERT INTO INYCEXT.INYC_CONF_INF_AGENTES (COD_INFORME,BO_GROUP,COMPANIA,ID_TIPO_AGENTE,TABLA,F_INICIO,F_FIN,DESCRIPCION) VALUES (29,'INYC Compensation Reports User Group - CPP','01','46','INYC_CPP_RESUMEN,INYC_CPP_DETALLE',TO_DATE('20181101','yyyymmdd'),TO_DATE('22000101','yyyymmdd'),'Version 20181127');</v>
      </c>
    </row>
    <row r="413" spans="1:1" x14ac:dyDescent="0.25">
      <c r="A413" t="str">
        <f>IF(AGENTES!I414="OBSOLETO","","INSERT INTO INYCEXT.INYC_CONF_INF_AGENTES (COD_INFORME,BO_GROUP,COMPANIA,ID_TIPO_AGENTE,TABLA,F_INICIO,F_FIN,DESCRIPCION) VALUES ("&amp;AGENTES!B414&amp;",'"&amp;AGENTES!C414&amp;"','"&amp;AGENTES!D414&amp;"','"&amp;AGENTES!E414&amp;"','"&amp;AGENTES!F414&amp;"',TO_DATE('"&amp;AGENTES!G414&amp;"','yyyymmdd'),TO_DATE('"&amp;AGENTES!H414&amp;"','yyyymmdd'),'"&amp;AGENTES!I414&amp;"');")</f>
        <v>INSERT INTO INYCEXT.INYC_CONF_INF_AGENTES (COD_INFORME,BO_GROUP,COMPANIA,ID_TIPO_AGENTE,TABLA,F_INICIO,F_FIN,DESCRIPCION) VALUES (29,'INYC Compensation Reports User Group - CPP','01','47','INYC_CPP_RESUMEN,INYC_CPP_DETALLE',TO_DATE('20181101','yyyymmdd'),TO_DATE('22000101','yyyymmdd'),'Version 20181127');</v>
      </c>
    </row>
    <row r="414" spans="1:1" x14ac:dyDescent="0.25">
      <c r="A414" t="str">
        <f>IF(AGENTES!I415="OBSOLETO","","INSERT INTO INYCEXT.INYC_CONF_INF_AGENTES (COD_INFORME,BO_GROUP,COMPANIA,ID_TIPO_AGENTE,TABLA,F_INICIO,F_FIN,DESCRIPCION) VALUES ("&amp;AGENTES!B415&amp;",'"&amp;AGENTES!C415&amp;"','"&amp;AGENTES!D415&amp;"','"&amp;AGENTES!E415&amp;"','"&amp;AGENTES!F415&amp;"',TO_DATE('"&amp;AGENTES!G415&amp;"','yyyymmdd'),TO_DATE('"&amp;AGENTES!H415&amp;"','yyyymmdd'),'"&amp;AGENTES!I415&amp;"');")</f>
        <v>INSERT INTO INYCEXT.INYC_CONF_INF_AGENTES (COD_INFORME,BO_GROUP,COMPANIA,ID_TIPO_AGENTE,TABLA,F_INICIO,F_FIN,DESCRIPCION) VALUES (29,'INYC Compensation Reports User Group - CPP','01','48','INYC_CPP_RESUMEN,INYC_CPP_DETALLE',TO_DATE('20181101','yyyymmdd'),TO_DATE('22000101','yyyymmdd'),'Version 20181127');</v>
      </c>
    </row>
    <row r="415" spans="1:1" x14ac:dyDescent="0.25">
      <c r="A415" t="str">
        <f>IF(AGENTES!I416="OBSOLETO","","INSERT INTO INYCEXT.INYC_CONF_INF_AGENTES (COD_INFORME,BO_GROUP,COMPANIA,ID_TIPO_AGENTE,TABLA,F_INICIO,F_FIN,DESCRIPCION) VALUES ("&amp;AGENTES!B416&amp;",'"&amp;AGENTES!C416&amp;"','"&amp;AGENTES!D416&amp;"','"&amp;AGENTES!E416&amp;"','"&amp;AGENTES!F416&amp;"',TO_DATE('"&amp;AGENTES!G416&amp;"','yyyymmdd'),TO_DATE('"&amp;AGENTES!H416&amp;"','yyyymmdd'),'"&amp;AGENTES!I416&amp;"');")</f>
        <v>INSERT INTO INYCEXT.INYC_CONF_INF_AGENTES (COD_INFORME,BO_GROUP,COMPANIA,ID_TIPO_AGENTE,TABLA,F_INICIO,F_FIN,DESCRIPCION) VALUES (29,'INYC Compensation Reports User Group - CPP','01','49','INYC_CPP_RESUMEN,INYC_CPP_DETALLE',TO_DATE('20181101','yyyymmdd'),TO_DATE('22000101','yyyymmdd'),'Version 20181127');</v>
      </c>
    </row>
    <row r="416" spans="1:1" x14ac:dyDescent="0.25">
      <c r="A416" t="str">
        <f>IF(AGENTES!I417="OBSOLETO","","INSERT INTO INYCEXT.INYC_CONF_INF_AGENTES (COD_INFORME,BO_GROUP,COMPANIA,ID_TIPO_AGENTE,TABLA,F_INICIO,F_FIN,DESCRIPCION) VALUES ("&amp;AGENTES!B417&amp;",'"&amp;AGENTES!C417&amp;"','"&amp;AGENTES!D417&amp;"','"&amp;AGENTES!E417&amp;"','"&amp;AGENTES!F417&amp;"',TO_DATE('"&amp;AGENTES!G417&amp;"','yyyymmdd'),TO_DATE('"&amp;AGENTES!H417&amp;"','yyyymmdd'),'"&amp;AGENTES!I417&amp;"');")</f>
        <v>INSERT INTO INYCEXT.INYC_CONF_INF_AGENTES (COD_INFORME,BO_GROUP,COMPANIA,ID_TIPO_AGENTE,TABLA,F_INICIO,F_FIN,DESCRIPCION) VALUES (29,'INYC Compensation Reports User Group - CPP','01','52','INYC_CPP_RESUMEN,INYC_CPP_DETALLE',TO_DATE('20181101','yyyymmdd'),TO_DATE('22000101','yyyymmdd'),'Version 20181127');</v>
      </c>
    </row>
    <row r="417" spans="1:1" x14ac:dyDescent="0.25">
      <c r="A417" t="str">
        <f>IF(AGENTES!I418="OBSOLETO","","INSERT INTO INYCEXT.INYC_CONF_INF_AGENTES (COD_INFORME,BO_GROUP,COMPANIA,ID_TIPO_AGENTE,TABLA,F_INICIO,F_FIN,DESCRIPCION) VALUES ("&amp;AGENTES!B418&amp;",'"&amp;AGENTES!C418&amp;"','"&amp;AGENTES!D418&amp;"','"&amp;AGENTES!E418&amp;"','"&amp;AGENTES!F418&amp;"',TO_DATE('"&amp;AGENTES!G418&amp;"','yyyymmdd'),TO_DATE('"&amp;AGENTES!H418&amp;"','yyyymmdd'),'"&amp;AGENTES!I418&amp;"');")</f>
        <v>INSERT INTO INYCEXT.INYC_CONF_INF_AGENTES (COD_INFORME,BO_GROUP,COMPANIA,ID_TIPO_AGENTE,TABLA,F_INICIO,F_FIN,DESCRIPCION) VALUES (29,'INYC Compensation Reports User Group - CPP','01','54','INYC_CPP_RESUMEN,INYC_CPP_DETALLE',TO_DATE('20181101','yyyymmdd'),TO_DATE('22000101','yyyymmdd'),'Version 20181127');</v>
      </c>
    </row>
    <row r="418" spans="1:1" x14ac:dyDescent="0.25">
      <c r="A418" t="str">
        <f>IF(AGENTES!I419="OBSOLETO","","INSERT INTO INYCEXT.INYC_CONF_INF_AGENTES (COD_INFORME,BO_GROUP,COMPANIA,ID_TIPO_AGENTE,TABLA,F_INICIO,F_FIN,DESCRIPCION) VALUES ("&amp;AGENTES!B419&amp;",'"&amp;AGENTES!C419&amp;"','"&amp;AGENTES!D419&amp;"','"&amp;AGENTES!E419&amp;"','"&amp;AGENTES!F419&amp;"',TO_DATE('"&amp;AGENTES!G419&amp;"','yyyymmdd'),TO_DATE('"&amp;AGENTES!H419&amp;"','yyyymmdd'),'"&amp;AGENTES!I419&amp;"');")</f>
        <v>INSERT INTO INYCEXT.INYC_CONF_INF_AGENTES (COD_INFORME,BO_GROUP,COMPANIA,ID_TIPO_AGENTE,TABLA,F_INICIO,F_FIN,DESCRIPCION) VALUES (29,'INYC Compensation Reports User Group - CPP','01','56','INYC_CPP_RESUMEN,INYC_CPP_DETALLE',TO_DATE('20181101','yyyymmdd'),TO_DATE('22000101','yyyymmdd'),'Version 20181127');</v>
      </c>
    </row>
    <row r="419" spans="1:1" x14ac:dyDescent="0.25">
      <c r="A419" t="str">
        <f>IF(AGENTES!I420="OBSOLETO","","INSERT INTO INYCEXT.INYC_CONF_INF_AGENTES (COD_INFORME,BO_GROUP,COMPANIA,ID_TIPO_AGENTE,TABLA,F_INICIO,F_FIN,DESCRIPCION) VALUES ("&amp;AGENTES!B420&amp;",'"&amp;AGENTES!C420&amp;"','"&amp;AGENTES!D420&amp;"','"&amp;AGENTES!E420&amp;"','"&amp;AGENTES!F420&amp;"',TO_DATE('"&amp;AGENTES!G420&amp;"','yyyymmdd'),TO_DATE('"&amp;AGENTES!H420&amp;"','yyyymmdd'),'"&amp;AGENTES!I420&amp;"');")</f>
        <v>INSERT INTO INYCEXT.INYC_CONF_INF_AGENTES (COD_INFORME,BO_GROUP,COMPANIA,ID_TIPO_AGENTE,TABLA,F_INICIO,F_FIN,DESCRIPCION) VALUES (29,'INYC Compensation Reports User Group - CPP','01','57','INYC_CPP_RESUMEN,INYC_CPP_DETALLE',TO_DATE('20181101','yyyymmdd'),TO_DATE('22000101','yyyymmdd'),'Version 20181127');</v>
      </c>
    </row>
    <row r="420" spans="1:1" x14ac:dyDescent="0.25">
      <c r="A420" t="str">
        <f>IF(AGENTES!I421="OBSOLETO","","INSERT INTO INYCEXT.INYC_CONF_INF_AGENTES (COD_INFORME,BO_GROUP,COMPANIA,ID_TIPO_AGENTE,TABLA,F_INICIO,F_FIN,DESCRIPCION) VALUES ("&amp;AGENTES!B421&amp;",'"&amp;AGENTES!C421&amp;"','"&amp;AGENTES!D421&amp;"','"&amp;AGENTES!E421&amp;"','"&amp;AGENTES!F421&amp;"',TO_DATE('"&amp;AGENTES!G421&amp;"','yyyymmdd'),TO_DATE('"&amp;AGENTES!H421&amp;"','yyyymmdd'),'"&amp;AGENTES!I421&amp;"');")</f>
        <v>INSERT INTO INYCEXT.INYC_CONF_INF_AGENTES (COD_INFORME,BO_GROUP,COMPANIA,ID_TIPO_AGENTE,TABLA,F_INICIO,F_FIN,DESCRIPCION) VALUES (29,'INYC Compensation Reports User Group - CPP','01','58','INYC_CPP_RESUMEN,INYC_CPP_DETALLE',TO_DATE('20181101','yyyymmdd'),TO_DATE('22000101','yyyymmdd'),'Version 20181127');</v>
      </c>
    </row>
    <row r="421" spans="1:1" x14ac:dyDescent="0.25">
      <c r="A421" t="str">
        <f>IF(AGENTES!I422="OBSOLETO","","INSERT INTO INYCEXT.INYC_CONF_INF_AGENTES (COD_INFORME,BO_GROUP,COMPANIA,ID_TIPO_AGENTE,TABLA,F_INICIO,F_FIN,DESCRIPCION) VALUES ("&amp;AGENTES!B422&amp;",'"&amp;AGENTES!C422&amp;"','"&amp;AGENTES!D422&amp;"','"&amp;AGENTES!E422&amp;"','"&amp;AGENTES!F422&amp;"',TO_DATE('"&amp;AGENTES!G422&amp;"','yyyymmdd'),TO_DATE('"&amp;AGENTES!H422&amp;"','yyyymmdd'),'"&amp;AGENTES!I422&amp;"');")</f>
        <v>INSERT INTO INYCEXT.INYC_CONF_INF_AGENTES (COD_INFORME,BO_GROUP,COMPANIA,ID_TIPO_AGENTE,TABLA,F_INICIO,F_FIN,DESCRIPCION) VALUES (29,'INYC Compensation Reports User Group - CPP','01','59','INYC_CPP_RESUMEN,INYC_CPP_DETALLE',TO_DATE('20181101','yyyymmdd'),TO_DATE('22000101','yyyymmdd'),'Version 20181127');</v>
      </c>
    </row>
    <row r="422" spans="1:1" x14ac:dyDescent="0.25">
      <c r="A422" t="str">
        <f>IF(AGENTES!I423="OBSOLETO","","INSERT INTO INYCEXT.INYC_CONF_INF_AGENTES (COD_INFORME,BO_GROUP,COMPANIA,ID_TIPO_AGENTE,TABLA,F_INICIO,F_FIN,DESCRIPCION) VALUES ("&amp;AGENTES!B423&amp;",'"&amp;AGENTES!C423&amp;"','"&amp;AGENTES!D423&amp;"','"&amp;AGENTES!E423&amp;"','"&amp;AGENTES!F423&amp;"',TO_DATE('"&amp;AGENTES!G423&amp;"','yyyymmdd'),TO_DATE('"&amp;AGENTES!H423&amp;"','yyyymmdd'),'"&amp;AGENTES!I423&amp;"');")</f>
        <v>INSERT INTO INYCEXT.INYC_CONF_INF_AGENTES (COD_INFORME,BO_GROUP,COMPANIA,ID_TIPO_AGENTE,TABLA,F_INICIO,F_FIN,DESCRIPCION) VALUES (29,'INYC Compensation Reports User Group - CPP','01','60','INYC_CPP_RESUMEN,INYC_CPP_DETALLE',TO_DATE('20200101','yyyymmdd'),TO_DATE('22000101','yyyymmdd'),'Version 20200526');</v>
      </c>
    </row>
    <row r="423" spans="1:1" x14ac:dyDescent="0.25">
      <c r="A423" t="str">
        <f>IF(AGENTES!I424="OBSOLETO","","INSERT INTO INYCEXT.INYC_CONF_INF_AGENTES (COD_INFORME,BO_GROUP,COMPANIA,ID_TIPO_AGENTE,TABLA,F_INICIO,F_FIN,DESCRIPCION) VALUES ("&amp;AGENTES!B424&amp;",'"&amp;AGENTES!C424&amp;"','"&amp;AGENTES!D424&amp;"','"&amp;AGENTES!E424&amp;"','"&amp;AGENTES!F424&amp;"',TO_DATE('"&amp;AGENTES!G424&amp;"','yyyymmdd'),TO_DATE('"&amp;AGENTES!H424&amp;"','yyyymmdd'),'"&amp;AGENTES!I424&amp;"');")</f>
        <v>INSERT INTO INYCEXT.INYC_CONF_INF_AGENTES (COD_INFORME,BO_GROUP,COMPANIA,ID_TIPO_AGENTE,TABLA,F_INICIO,F_FIN,DESCRIPCION) VALUES (29,'INYC Compensation Reports User Group - CPP','01','61','INYC_CPP_RESUMEN,INYC_CPP_DETALLE',TO_DATE('20181101','yyyymmdd'),TO_DATE('22000101','yyyymmdd'),'Version 20181127');</v>
      </c>
    </row>
    <row r="424" spans="1:1" x14ac:dyDescent="0.25">
      <c r="A424" t="str">
        <f>IF(AGENTES!I425="OBSOLETO","","INSERT INTO INYCEXT.INYC_CONF_INF_AGENTES (COD_INFORME,BO_GROUP,COMPANIA,ID_TIPO_AGENTE,TABLA,F_INICIO,F_FIN,DESCRIPCION) VALUES ("&amp;AGENTES!B425&amp;",'"&amp;AGENTES!C425&amp;"','"&amp;AGENTES!D425&amp;"','"&amp;AGENTES!E425&amp;"','"&amp;AGENTES!F425&amp;"',TO_DATE('"&amp;AGENTES!G425&amp;"','yyyymmdd'),TO_DATE('"&amp;AGENTES!H425&amp;"','yyyymmdd'),'"&amp;AGENTES!I425&amp;"');")</f>
        <v>INSERT INTO INYCEXT.INYC_CONF_INF_AGENTES (COD_INFORME,BO_GROUP,COMPANIA,ID_TIPO_AGENTE,TABLA,F_INICIO,F_FIN,DESCRIPCION) VALUES (29,'INYC Compensation Reports User Group - CPP','01','62','INYC_CPP_RESUMEN,INYC_CPP_DETALLE',TO_DATE('20181101','yyyymmdd'),TO_DATE('22000101','yyyymmdd'),'Version 20181127');</v>
      </c>
    </row>
    <row r="425" spans="1:1" x14ac:dyDescent="0.25">
      <c r="A425" t="str">
        <f>IF(AGENTES!I426="OBSOLETO","","INSERT INTO INYCEXT.INYC_CONF_INF_AGENTES (COD_INFORME,BO_GROUP,COMPANIA,ID_TIPO_AGENTE,TABLA,F_INICIO,F_FIN,DESCRIPCION) VALUES ("&amp;AGENTES!B426&amp;",'"&amp;AGENTES!C426&amp;"','"&amp;AGENTES!D426&amp;"','"&amp;AGENTES!E426&amp;"','"&amp;AGENTES!F426&amp;"',TO_DATE('"&amp;AGENTES!G426&amp;"','yyyymmdd'),TO_DATE('"&amp;AGENTES!H426&amp;"','yyyymmdd'),'"&amp;AGENTES!I426&amp;"');")</f>
        <v>INSERT INTO INYCEXT.INYC_CONF_INF_AGENTES (COD_INFORME,BO_GROUP,COMPANIA,ID_TIPO_AGENTE,TABLA,F_INICIO,F_FIN,DESCRIPCION) VALUES (29,'INYC Compensation Reports User Group - CPP','01','65','INYC_CPP_RESUMEN,INYC_CPP_DETALLE',TO_DATE('20181101','yyyymmdd'),TO_DATE('22000101','yyyymmdd'),'Version 20181127');</v>
      </c>
    </row>
    <row r="426" spans="1:1" x14ac:dyDescent="0.25">
      <c r="A426" t="str">
        <f>IF(AGENTES!I427="OBSOLETO","","INSERT INTO INYCEXT.INYC_CONF_INF_AGENTES (COD_INFORME,BO_GROUP,COMPANIA,ID_TIPO_AGENTE,TABLA,F_INICIO,F_FIN,DESCRIPCION) VALUES ("&amp;AGENTES!B427&amp;",'"&amp;AGENTES!C427&amp;"','"&amp;AGENTES!D427&amp;"','"&amp;AGENTES!E427&amp;"','"&amp;AGENTES!F427&amp;"',TO_DATE('"&amp;AGENTES!G427&amp;"','yyyymmdd'),TO_DATE('"&amp;AGENTES!H427&amp;"','yyyymmdd'),'"&amp;AGENTES!I427&amp;"');")</f>
        <v>INSERT INTO INYCEXT.INYC_CONF_INF_AGENTES (COD_INFORME,BO_GROUP,COMPANIA,ID_TIPO_AGENTE,TABLA,F_INICIO,F_FIN,DESCRIPCION) VALUES (29,'INYC Compensation Reports User Group - CPP','01','70','INYC_CPP_RESUMEN,INYC_CPP_DETALLE',TO_DATE('20181101','yyyymmdd'),TO_DATE('22000101','yyyymmdd'),'Version 20181127');</v>
      </c>
    </row>
    <row r="427" spans="1:1" x14ac:dyDescent="0.25">
      <c r="A427" t="str">
        <f>IF(AGENTES!I428="OBSOLETO","","INSERT INTO INYCEXT.INYC_CONF_INF_AGENTES (COD_INFORME,BO_GROUP,COMPANIA,ID_TIPO_AGENTE,TABLA,F_INICIO,F_FIN,DESCRIPCION) VALUES ("&amp;AGENTES!B428&amp;",'"&amp;AGENTES!C428&amp;"','"&amp;AGENTES!D428&amp;"','"&amp;AGENTES!E428&amp;"','"&amp;AGENTES!F428&amp;"',TO_DATE('"&amp;AGENTES!G428&amp;"','yyyymmdd'),TO_DATE('"&amp;AGENTES!H428&amp;"','yyyymmdd'),'"&amp;AGENTES!I428&amp;"');")</f>
        <v>INSERT INTO INYCEXT.INYC_CONF_INF_AGENTES (COD_INFORME,BO_GROUP,COMPANIA,ID_TIPO_AGENTE,TABLA,F_INICIO,F_FIN,DESCRIPCION) VALUES (29,'INYC Compensation Reports User Group - CPP','01','71','INYC_CPP_RESUMEN,INYC_CPP_DETALLE',TO_DATE('20181101','yyyymmdd'),TO_DATE('22000101','yyyymmdd'),'Version 20181127');</v>
      </c>
    </row>
    <row r="428" spans="1:1" x14ac:dyDescent="0.25">
      <c r="A428" t="str">
        <f>IF(AGENTES!I429="OBSOLETO","","INSERT INTO INYCEXT.INYC_CONF_INF_AGENTES (COD_INFORME,BO_GROUP,COMPANIA,ID_TIPO_AGENTE,TABLA,F_INICIO,F_FIN,DESCRIPCION) VALUES ("&amp;AGENTES!B429&amp;",'"&amp;AGENTES!C429&amp;"','"&amp;AGENTES!D429&amp;"','"&amp;AGENTES!E429&amp;"','"&amp;AGENTES!F429&amp;"',TO_DATE('"&amp;AGENTES!G429&amp;"','yyyymmdd'),TO_DATE('"&amp;AGENTES!H429&amp;"','yyyymmdd'),'"&amp;AGENTES!I429&amp;"');")</f>
        <v>INSERT INTO INYCEXT.INYC_CONF_INF_AGENTES (COD_INFORME,BO_GROUP,COMPANIA,ID_TIPO_AGENTE,TABLA,F_INICIO,F_FIN,DESCRIPCION) VALUES (29,'INYC Compensation Reports User Group - CPP','01','72','INYC_CPP_RESUMEN,INYC_CPP_DETALLE',TO_DATE('20181101','yyyymmdd'),TO_DATE('22000101','yyyymmdd'),'Version 20181127');</v>
      </c>
    </row>
    <row r="429" spans="1:1" x14ac:dyDescent="0.25">
      <c r="A429" t="str">
        <f>IF(AGENTES!I430="OBSOLETO","","INSERT INTO INYCEXT.INYC_CONF_INF_AGENTES (COD_INFORME,BO_GROUP,COMPANIA,ID_TIPO_AGENTE,TABLA,F_INICIO,F_FIN,DESCRIPCION) VALUES ("&amp;AGENTES!B430&amp;",'"&amp;AGENTES!C430&amp;"','"&amp;AGENTES!D430&amp;"','"&amp;AGENTES!E430&amp;"','"&amp;AGENTES!F430&amp;"',TO_DATE('"&amp;AGENTES!G430&amp;"','yyyymmdd'),TO_DATE('"&amp;AGENTES!H430&amp;"','yyyymmdd'),'"&amp;AGENTES!I430&amp;"');")</f>
        <v>INSERT INTO INYCEXT.INYC_CONF_INF_AGENTES (COD_INFORME,BO_GROUP,COMPANIA,ID_TIPO_AGENTE,TABLA,F_INICIO,F_FIN,DESCRIPCION) VALUES (29,'INYC Compensation Reports User Group - CPP','01','74','INYC_CPP_RESUMEN,INYC_CPP_DETALLE',TO_DATE('20181101','yyyymmdd'),TO_DATE('22000101','yyyymmdd'),'Version 20181127');</v>
      </c>
    </row>
    <row r="430" spans="1:1" x14ac:dyDescent="0.25">
      <c r="A430" t="str">
        <f>IF(AGENTES!I431="OBSOLETO","","INSERT INTO INYCEXT.INYC_CONF_INF_AGENTES (COD_INFORME,BO_GROUP,COMPANIA,ID_TIPO_AGENTE,TABLA,F_INICIO,F_FIN,DESCRIPCION) VALUES ("&amp;AGENTES!B431&amp;",'"&amp;AGENTES!C431&amp;"','"&amp;AGENTES!D431&amp;"','"&amp;AGENTES!E431&amp;"','"&amp;AGENTES!F431&amp;"',TO_DATE('"&amp;AGENTES!G431&amp;"','yyyymmdd'),TO_DATE('"&amp;AGENTES!H431&amp;"','yyyymmdd'),'"&amp;AGENTES!I431&amp;"');")</f>
        <v>INSERT INTO INYCEXT.INYC_CONF_INF_AGENTES (COD_INFORME,BO_GROUP,COMPANIA,ID_TIPO_AGENTE,TABLA,F_INICIO,F_FIN,DESCRIPCION) VALUES (29,'INYC Compensation Reports User Group - CPP','01','100','INYC_CPP_RESUMEN,INYC_CPP_DETALLE',TO_DATE('20181101','yyyymmdd'),TO_DATE('22000101','yyyymmdd'),'Version 20181205');</v>
      </c>
    </row>
    <row r="431" spans="1:1" x14ac:dyDescent="0.25">
      <c r="A431" t="str">
        <f>IF(AGENTES!I432="OBSOLETO","","INSERT INTO INYCEXT.INYC_CONF_INF_AGENTES (COD_INFORME,BO_GROUP,COMPANIA,ID_TIPO_AGENTE,TABLA,F_INICIO,F_FIN,DESCRIPCION) VALUES ("&amp;AGENTES!B432&amp;",'"&amp;AGENTES!C432&amp;"','"&amp;AGENTES!D432&amp;"','"&amp;AGENTES!E432&amp;"','"&amp;AGENTES!F432&amp;"',TO_DATE('"&amp;AGENTES!G432&amp;"','yyyymmdd'),TO_DATE('"&amp;AGENTES!H432&amp;"','yyyymmdd'),'"&amp;AGENTES!I432&amp;"');")</f>
        <v>INSERT INTO INYCEXT.INYC_CONF_INF_AGENTES (COD_INFORME,BO_GROUP,COMPANIA,ID_TIPO_AGENTE,TABLA,F_INICIO,F_FIN,DESCRIPCION) VALUES (30,'INYC Compensation Reports User Group - CAP_E','03','350','INYC_CAP_E_RESUMEN',TO_DATE('20190101','yyyymmdd'),TO_DATE('22000101','yyyymmdd'),'Version 20190313');</v>
      </c>
    </row>
    <row r="432" spans="1:1" x14ac:dyDescent="0.25">
      <c r="A432" t="str">
        <f>IF(AGENTES!I433="OBSOLETO","","INSERT INTO INYCEXT.INYC_CONF_INF_AGENTES (COD_INFORME,BO_GROUP,COMPANIA,ID_TIPO_AGENTE,TABLA,F_INICIO,F_FIN,DESCRIPCION) VALUES ("&amp;AGENTES!B433&amp;",'"&amp;AGENTES!C433&amp;"','"&amp;AGENTES!D433&amp;"','"&amp;AGENTES!E433&amp;"','"&amp;AGENTES!F433&amp;"',TO_DATE('"&amp;AGENTES!G433&amp;"','yyyymmdd'),TO_DATE('"&amp;AGENTES!H433&amp;"','yyyymmdd'),'"&amp;AGENTES!I433&amp;"');")</f>
        <v>INSERT INTO INYCEXT.INYC_CONF_INF_AGENTES (COD_INFORME,BO_GROUP,COMPANIA,ID_TIPO_AGENTE,TABLA,F_INICIO,F_FIN,DESCRIPCION) VALUES (30,'INYC Compensation Reports User Group - CAP_E','03','351','INYC_CAP_E_RESUMEN',TO_DATE('20190101','yyyymmdd'),TO_DATE('22000101','yyyymmdd'),'Version 20190313');</v>
      </c>
    </row>
    <row r="433" spans="1:1" x14ac:dyDescent="0.25">
      <c r="A433" t="str">
        <f>IF(AGENTES!I434="OBSOLETO","","INSERT INTO INYCEXT.INYC_CONF_INF_AGENTES (COD_INFORME,BO_GROUP,COMPANIA,ID_TIPO_AGENTE,TABLA,F_INICIO,F_FIN,DESCRIPCION) VALUES ("&amp;AGENTES!B434&amp;",'"&amp;AGENTES!C434&amp;"','"&amp;AGENTES!D434&amp;"','"&amp;AGENTES!E434&amp;"','"&amp;AGENTES!F434&amp;"',TO_DATE('"&amp;AGENTES!G434&amp;"','yyyymmdd'),TO_DATE('"&amp;AGENTES!H434&amp;"','yyyymmdd'),'"&amp;AGENTES!I434&amp;"');")</f>
        <v>INSERT INTO INYCEXT.INYC_CONF_INF_AGENTES (COD_INFORME,BO_GROUP,COMPANIA,ID_TIPO_AGENTE,TABLA,F_INICIO,F_FIN,DESCRIPCION) VALUES (30,'INYC Compensation Reports User Group - CAP_E','03','352','INYC_CAP_E_RESUMEN',TO_DATE('20190101','yyyymmdd'),TO_DATE('22000101','yyyymmdd'),'Version 20190313');</v>
      </c>
    </row>
    <row r="434" spans="1:1" x14ac:dyDescent="0.25">
      <c r="A434" t="str">
        <f>IF(AGENTES!I435="OBSOLETO","","INSERT INTO INYCEXT.INYC_CONF_INF_AGENTES (COD_INFORME,BO_GROUP,COMPANIA,ID_TIPO_AGENTE,TABLA,F_INICIO,F_FIN,DESCRIPCION) VALUES ("&amp;AGENTES!B435&amp;",'"&amp;AGENTES!C435&amp;"','"&amp;AGENTES!D435&amp;"','"&amp;AGENTES!E435&amp;"','"&amp;AGENTES!F435&amp;"',TO_DATE('"&amp;AGENTES!G435&amp;"','yyyymmdd'),TO_DATE('"&amp;AGENTES!H435&amp;"','yyyymmdd'),'"&amp;AGENTES!I435&amp;"');")</f>
        <v>INSERT INTO INYCEXT.INYC_CONF_INF_AGENTES (COD_INFORME,BO_GROUP,COMPANIA,ID_TIPO_AGENTE,TABLA,F_INICIO,F_FIN,DESCRIPCION) VALUES (31,'INYC Compensation Reports User Group - OBJ_E','03','350','INYC_OBJ_E_RESUMEN',TO_DATE('20190101','yyyymmdd'),TO_DATE('22000101','yyyymmdd'),'Version 20190329');</v>
      </c>
    </row>
    <row r="435" spans="1:1" x14ac:dyDescent="0.25">
      <c r="A435" t="str">
        <f>IF(AGENTES!I436="OBSOLETO","","INSERT INTO INYCEXT.INYC_CONF_INF_AGENTES (COD_INFORME,BO_GROUP,COMPANIA,ID_TIPO_AGENTE,TABLA,F_INICIO,F_FIN,DESCRIPCION) VALUES ("&amp;AGENTES!B436&amp;",'"&amp;AGENTES!C436&amp;"','"&amp;AGENTES!D436&amp;"','"&amp;AGENTES!E436&amp;"','"&amp;AGENTES!F436&amp;"',TO_DATE('"&amp;AGENTES!G436&amp;"','yyyymmdd'),TO_DATE('"&amp;AGENTES!H436&amp;"','yyyymmdd'),'"&amp;AGENTES!I436&amp;"');")</f>
        <v>INSERT INTO INYCEXT.INYC_CONF_INF_AGENTES (COD_INFORME,BO_GROUP,COMPANIA,ID_TIPO_AGENTE,TABLA,F_INICIO,F_FIN,DESCRIPCION) VALUES (31,'INYC Compensation Reports User Group - OBJ_E','03','351','INYC_OBJ_E_RESUMEN',TO_DATE('20190101','yyyymmdd'),TO_DATE('22000101','yyyymmdd'),'Version 20190329');</v>
      </c>
    </row>
    <row r="436" spans="1:1" x14ac:dyDescent="0.25">
      <c r="A436" t="str">
        <f>IF(AGENTES!I437="OBSOLETO","","INSERT INTO INYCEXT.INYC_CONF_INF_AGENTES (COD_INFORME,BO_GROUP,COMPANIA,ID_TIPO_AGENTE,TABLA,F_INICIO,F_FIN,DESCRIPCION) VALUES ("&amp;AGENTES!B437&amp;",'"&amp;AGENTES!C437&amp;"','"&amp;AGENTES!D437&amp;"','"&amp;AGENTES!E437&amp;"','"&amp;AGENTES!F437&amp;"',TO_DATE('"&amp;AGENTES!G437&amp;"','yyyymmdd'),TO_DATE('"&amp;AGENTES!H437&amp;"','yyyymmdd'),'"&amp;AGENTES!I437&amp;"');")</f>
        <v>INSERT INTO INYCEXT.INYC_CONF_INF_AGENTES (COD_INFORME,BO_GROUP,COMPANIA,ID_TIPO_AGENTE,TABLA,F_INICIO,F_FIN,DESCRIPCION) VALUES (32,'INYC Compensation Reports User Group - CPP','01','58','INYC_RPP_RESUMEN,INYC_RPP_DETALLE',TO_DATE('20200601','yyyymmdd'),TO_DATE('22000101','yyyymmdd'),'Version 20200629');</v>
      </c>
    </row>
    <row r="437" spans="1:1" x14ac:dyDescent="0.25">
      <c r="A437" t="str">
        <f>IF(AGENTES!I438="OBSOLETO","","INSERT INTO INYCEXT.INYC_CONF_INF_AGENTES (COD_INFORME,BO_GROUP,COMPANIA,ID_TIPO_AGENTE,TABLA,F_INICIO,F_FIN,DESCRIPCION) VALUES ("&amp;AGENTES!B438&amp;",'"&amp;AGENTES!C438&amp;"','"&amp;AGENTES!D438&amp;"','"&amp;AGENTES!E438&amp;"','"&amp;AGENTES!F438&amp;"',TO_DATE('"&amp;AGENTES!G438&amp;"','yyyymmdd'),TO_DATE('"&amp;AGENTES!H438&amp;"','yyyymmdd'),'"&amp;AGENTES!I438&amp;"');")</f>
        <v>INSERT INTO INYCEXT.INYC_CONF_INF_AGENTES (COD_INFORME,BO_GROUP,COMPANIA,ID_TIPO_AGENTE,TABLA,F_INICIO,F_FIN,DESCRIPCION) VALUES (32,'INYC Compensation Reports User Group - CPP','01','60','INYC_RPP_RESUMEN,INYC_RPP_DETALLE',TO_DATE('20200601','yyyymmdd'),TO_DATE('22000101','yyyymmdd'),'Version 20200629');</v>
      </c>
    </row>
    <row r="438" spans="1:1" x14ac:dyDescent="0.25">
      <c r="A438" t="str">
        <f>IF(AGENTES!I439="OBSOLETO","","INSERT INTO INYCEXT.INYC_CONF_INF_AGENTES (COD_INFORME,BO_GROUP,COMPANIA,ID_TIPO_AGENTE,TABLA,F_INICIO,F_FIN,DESCRIPCION) VALUES ("&amp;AGENTES!B439&amp;",'"&amp;AGENTES!C439&amp;"','"&amp;AGENTES!D439&amp;"','"&amp;AGENTES!E439&amp;"','"&amp;AGENTES!F439&amp;"',TO_DATE('"&amp;AGENTES!G439&amp;"','yyyymmdd'),TO_DATE('"&amp;AGENTES!H439&amp;"','yyyymmdd'),'"&amp;AGENTES!I439&amp;"');")</f>
        <v>INSERT INTO INYCEXT.INYC_CONF_INF_AGENTES (COD_INFORME,BO_GROUP,COMPANIA,ID_TIPO_AGENTE,TABLA,F_INICIO,F_FIN,DESCRIPCION) VALUES (32,'INYC Compensation Reports User Group - CPP','01','61','INYC_RPP_RESUMEN,INYC_RPP_DETALLE',TO_DATE('20200601','yyyymmdd'),TO_DATE('22000101','yyyymmdd'),'Version 20200629');</v>
      </c>
    </row>
    <row r="439" spans="1:1" x14ac:dyDescent="0.25">
      <c r="A439" t="str">
        <f>IF(AGENTES!I440="OBSOLETO","","INSERT INTO INYCEXT.INYC_CONF_INF_AGENTES (COD_INFORME,BO_GROUP,COMPANIA,ID_TIPO_AGENTE,TABLA,F_INICIO,F_FIN,DESCRIPCION) VALUES ("&amp;AGENTES!B440&amp;",'"&amp;AGENTES!C440&amp;"','"&amp;AGENTES!D440&amp;"','"&amp;AGENTES!E440&amp;"','"&amp;AGENTES!F440&amp;"',TO_DATE('"&amp;AGENTES!G440&amp;"','yyyymmdd'),TO_DATE('"&amp;AGENTES!H440&amp;"','yyyymmdd'),'"&amp;AGENTES!I440&amp;"');")</f>
        <v>INSERT INTO INYCEXT.INYC_CONF_INF_AGENTES (COD_INFORME,BO_GROUP,COMPANIA,ID_TIPO_AGENTE,TABLA,F_INICIO,F_FIN,DESCRIPCION) VALUES (32,'INYC Compensation Reports User Group - CPP','01','62','INYC_RPP_RESUMEN,INYC_RPP_DETALLE',TO_DATE('20200601','yyyymmdd'),TO_DATE('22000101','yyyymmdd'),'Version 20200629');</v>
      </c>
    </row>
    <row r="440" spans="1:1" x14ac:dyDescent="0.25">
      <c r="A440" t="str">
        <f>IF(AGENTES!I441="OBSOLETO","","INSERT INTO INYCEXT.INYC_CONF_INF_AGENTES (COD_INFORME,BO_GROUP,COMPANIA,ID_TIPO_AGENTE,TABLA,F_INICIO,F_FIN,DESCRIPCION) VALUES ("&amp;AGENTES!B441&amp;",'"&amp;AGENTES!C441&amp;"','"&amp;AGENTES!D441&amp;"','"&amp;AGENTES!E441&amp;"','"&amp;AGENTES!F441&amp;"',TO_DATE('"&amp;AGENTES!G441&amp;"','yyyymmdd'),TO_DATE('"&amp;AGENTES!H441&amp;"','yyyymmdd'),'"&amp;AGENTES!I441&amp;"');")</f>
        <v>INSERT INTO INYCEXT.INYC_CONF_INF_AGENTES (COD_INFORME,BO_GROUP,COMPANIA,ID_TIPO_AGENTE,TABLA,F_INICIO,F_FIN,DESCRIPCION) VALUES (101,'INYC Compensation Reports User Group - S5','01','52','INYC_S5_FACTURA,INYC_S5_POLIZAS',TO_DATE('20140101','yyyymmdd'),TO_DATE('22000101','yyyymmdd'),'');</v>
      </c>
    </row>
    <row r="441" spans="1:1" x14ac:dyDescent="0.25">
      <c r="A441" t="str">
        <f>IF(AGENTES!I442="OBSOLETO","","INSERT INTO INYCEXT.INYC_CONF_INF_AGENTES (COD_INFORME,BO_GROUP,COMPANIA,ID_TIPO_AGENTE,TABLA,F_INICIO,F_FIN,DESCRIPCION) VALUES ("&amp;AGENTES!B442&amp;",'"&amp;AGENTES!C442&amp;"','"&amp;AGENTES!D442&amp;"','"&amp;AGENTES!E442&amp;"','"&amp;AGENTES!F442&amp;"',TO_DATE('"&amp;AGENTES!G442&amp;"','yyyymmdd'),TO_DATE('"&amp;AGENTES!H442&amp;"','yyyymmdd'),'"&amp;AGENTES!I442&amp;"');")</f>
        <v>INSERT INTO INYCEXT.INYC_CONF_INF_AGENTES (COD_INFORME,BO_GROUP,COMPANIA,ID_TIPO_AGENTE,TABLA,F_INICIO,F_FIN,DESCRIPCION) VALUES (101,'INYC Compensation Reports User Group - S5','01','54','INYC_S5_FACTURA,INYC_S5_POLIZAS',TO_DATE('20140101','yyyymmdd'),TO_DATE('22000101','yyyymmdd'),'');</v>
      </c>
    </row>
    <row r="442" spans="1:1" x14ac:dyDescent="0.25">
      <c r="A442" t="str">
        <f>IF(AGENTES!I443="OBSOLETO","","INSERT INTO INYCEXT.INYC_CONF_INF_AGENTES (COD_INFORME,BO_GROUP,COMPANIA,ID_TIPO_AGENTE,TABLA,F_INICIO,F_FIN,DESCRIPCION) VALUES ("&amp;AGENTES!B443&amp;",'"&amp;AGENTES!C443&amp;"','"&amp;AGENTES!D443&amp;"','"&amp;AGENTES!E443&amp;"','"&amp;AGENTES!F443&amp;"',TO_DATE('"&amp;AGENTES!G443&amp;"','yyyymmdd'),TO_DATE('"&amp;AGENTES!H443&amp;"','yyyymmdd'),'"&amp;AGENTES!I443&amp;"');")</f>
        <v>INSERT INTO INYCEXT.INYC_CONF_INF_AGENTES (COD_INFORME,BO_GROUP,COMPANIA,ID_TIPO_AGENTE,TABLA,F_INICIO,F_FIN,DESCRIPCION) VALUES (101,'INYC Compensation Reports User Group - S5','01','56','INYC_S5_FACTURA,INYC_S5_POLIZAS',TO_DATE('20140101','yyyymmdd'),TO_DATE('22000101','yyyymmdd'),'');</v>
      </c>
    </row>
    <row r="443" spans="1:1" x14ac:dyDescent="0.25">
      <c r="A443" t="str">
        <f>IF(AGENTES!I444="OBSOLETO","","INSERT INTO INYCEXT.INYC_CONF_INF_AGENTES (COD_INFORME,BO_GROUP,COMPANIA,ID_TIPO_AGENTE,TABLA,F_INICIO,F_FIN,DESCRIPCION) VALUES ("&amp;AGENTES!B444&amp;",'"&amp;AGENTES!C444&amp;"','"&amp;AGENTES!D444&amp;"','"&amp;AGENTES!E444&amp;"','"&amp;AGENTES!F444&amp;"',TO_DATE('"&amp;AGENTES!G444&amp;"','yyyymmdd'),TO_DATE('"&amp;AGENTES!H444&amp;"','yyyymmdd'),'"&amp;AGENTES!I444&amp;"');")</f>
        <v>INSERT INTO INYCEXT.INYC_CONF_INF_AGENTES (COD_INFORME,BO_GROUP,COMPANIA,ID_TIPO_AGENTE,TABLA,F_INICIO,F_FIN,DESCRIPCION) VALUES (101,'INYC Compensation Reports User Group - S5','01','57','INYC_S5_FACTURA,INYC_S5_POLIZAS',TO_DATE('20140101','yyyymmdd'),TO_DATE('22000101','yyyymmdd'),'');</v>
      </c>
    </row>
    <row r="444" spans="1:1" x14ac:dyDescent="0.25">
      <c r="A444" t="str">
        <f>IF(AGENTES!I445="OBSOLETO","","INSERT INTO INYCEXT.INYC_CONF_INF_AGENTES (COD_INFORME,BO_GROUP,COMPANIA,ID_TIPO_AGENTE,TABLA,F_INICIO,F_FIN,DESCRIPCION) VALUES ("&amp;AGENTES!B445&amp;",'"&amp;AGENTES!C445&amp;"','"&amp;AGENTES!D445&amp;"','"&amp;AGENTES!E445&amp;"','"&amp;AGENTES!F445&amp;"',TO_DATE('"&amp;AGENTES!G445&amp;"','yyyymmdd'),TO_DATE('"&amp;AGENTES!H445&amp;"','yyyymmdd'),'"&amp;AGENTES!I445&amp;"');")</f>
        <v>INSERT INTO INYCEXT.INYC_CONF_INF_AGENTES (COD_INFORME,BO_GROUP,COMPANIA,ID_TIPO_AGENTE,TABLA,F_INICIO,F_FIN,DESCRIPCION) VALUES (101,'INYC Compensation Reports User Group - S5','01','58','INYC_S5_FACTURA,INYC_S5_POLIZAS',TO_DATE('20140101','yyyymmdd'),TO_DATE('22000101','yyyymmdd'),'');</v>
      </c>
    </row>
    <row r="445" spans="1:1" x14ac:dyDescent="0.25">
      <c r="A445" t="str">
        <f>IF(AGENTES!I446="OBSOLETO","","INSERT INTO INYCEXT.INYC_CONF_INF_AGENTES (COD_INFORME,BO_GROUP,COMPANIA,ID_TIPO_AGENTE,TABLA,F_INICIO,F_FIN,DESCRIPCION) VALUES ("&amp;AGENTES!B446&amp;",'"&amp;AGENTES!C446&amp;"','"&amp;AGENTES!D446&amp;"','"&amp;AGENTES!E446&amp;"','"&amp;AGENTES!F446&amp;"',TO_DATE('"&amp;AGENTES!G446&amp;"','yyyymmdd'),TO_DATE('"&amp;AGENTES!H446&amp;"','yyyymmdd'),'"&amp;AGENTES!I446&amp;"');")</f>
        <v>INSERT INTO INYCEXT.INYC_CONF_INF_AGENTES (COD_INFORME,BO_GROUP,COMPANIA,ID_TIPO_AGENTE,TABLA,F_INICIO,F_FIN,DESCRIPCION) VALUES (101,'INYC Compensation Reports User Group - S5','01','59','INYC_S5_FACTURA,INYC_S5_POLIZAS',TO_DATE('20140101','yyyymmdd'),TO_DATE('22000101','yyyymmdd'),'');</v>
      </c>
    </row>
    <row r="446" spans="1:1" x14ac:dyDescent="0.25">
      <c r="A446" t="str">
        <f>IF(AGENTES!I447="OBSOLETO","","INSERT INTO INYCEXT.INYC_CONF_INF_AGENTES (COD_INFORME,BO_GROUP,COMPANIA,ID_TIPO_AGENTE,TABLA,F_INICIO,F_FIN,DESCRIPCION) VALUES ("&amp;AGENTES!B447&amp;",'"&amp;AGENTES!C447&amp;"','"&amp;AGENTES!D447&amp;"','"&amp;AGENTES!E447&amp;"','"&amp;AGENTES!F447&amp;"',TO_DATE('"&amp;AGENTES!G447&amp;"','yyyymmdd'),TO_DATE('"&amp;AGENTES!H447&amp;"','yyyymmdd'),'"&amp;AGENTES!I447&amp;"');")</f>
        <v>INSERT INTO INYCEXT.INYC_CONF_INF_AGENTES (COD_INFORME,BO_GROUP,COMPANIA,ID_TIPO_AGENTE,TABLA,F_INICIO,F_FIN,DESCRIPCION) VALUES (101,'INYC Compensation Reports User Group - S5','01','60','INYC_S5_FACTURA,INYC_S5_POLIZAS',TO_DATE('20200101','yyyymmdd'),TO_DATE('22000101','yyyymmdd'),'Version 20200526');</v>
      </c>
    </row>
    <row r="447" spans="1:1" x14ac:dyDescent="0.25">
      <c r="A447" t="str">
        <f>IF(AGENTES!I448="OBSOLETO","","INSERT INTO INYCEXT.INYC_CONF_INF_AGENTES (COD_INFORME,BO_GROUP,COMPANIA,ID_TIPO_AGENTE,TABLA,F_INICIO,F_FIN,DESCRIPCION) VALUES ("&amp;AGENTES!B448&amp;",'"&amp;AGENTES!C448&amp;"','"&amp;AGENTES!D448&amp;"','"&amp;AGENTES!E448&amp;"','"&amp;AGENTES!F448&amp;"',TO_DATE('"&amp;AGENTES!G448&amp;"','yyyymmdd'),TO_DATE('"&amp;AGENTES!H448&amp;"','yyyymmdd'),'"&amp;AGENTES!I448&amp;"');")</f>
        <v>INSERT INTO INYCEXT.INYC_CONF_INF_AGENTES (COD_INFORME,BO_GROUP,COMPANIA,ID_TIPO_AGENTE,TABLA,F_INICIO,F_FIN,DESCRIPCION) VALUES (101,'INYC Compensation Reports User Group - S5','01','61','INYC_S5_FACTURA,INYC_S5_POLIZAS',TO_DATE('20140101','yyyymmdd'),TO_DATE('22000101','yyyymmdd'),'');</v>
      </c>
    </row>
    <row r="448" spans="1:1" x14ac:dyDescent="0.25">
      <c r="A448" t="str">
        <f>IF(AGENTES!I449="OBSOLETO","","INSERT INTO INYCEXT.INYC_CONF_INF_AGENTES (COD_INFORME,BO_GROUP,COMPANIA,ID_TIPO_AGENTE,TABLA,F_INICIO,F_FIN,DESCRIPCION) VALUES ("&amp;AGENTES!B449&amp;",'"&amp;AGENTES!C449&amp;"','"&amp;AGENTES!D449&amp;"','"&amp;AGENTES!E449&amp;"','"&amp;AGENTES!F449&amp;"',TO_DATE('"&amp;AGENTES!G449&amp;"','yyyymmdd'),TO_DATE('"&amp;AGENTES!H449&amp;"','yyyymmdd'),'"&amp;AGENTES!I449&amp;"');")</f>
        <v>INSERT INTO INYCEXT.INYC_CONF_INF_AGENTES (COD_INFORME,BO_GROUP,COMPANIA,ID_TIPO_AGENTE,TABLA,F_INICIO,F_FIN,DESCRIPCION) VALUES (101,'INYC Compensation Reports User Group - S5','01','62','INYC_S5_FACTURA,INYC_S5_POLIZAS',TO_DATE('20140101','yyyymmdd'),TO_DATE('22000101','yyyymmdd'),'');</v>
      </c>
    </row>
    <row r="449" spans="1:1" x14ac:dyDescent="0.25">
      <c r="A449" t="str">
        <f>IF(AGENTES!I450="OBSOLETO","","INSERT INTO INYCEXT.INYC_CONF_INF_AGENTES (COD_INFORME,BO_GROUP,COMPANIA,ID_TIPO_AGENTE,TABLA,F_INICIO,F_FIN,DESCRIPCION) VALUES ("&amp;AGENTES!B450&amp;",'"&amp;AGENTES!C450&amp;"','"&amp;AGENTES!D450&amp;"','"&amp;AGENTES!E450&amp;"','"&amp;AGENTES!F450&amp;"',TO_DATE('"&amp;AGENTES!G450&amp;"','yyyymmdd'),TO_DATE('"&amp;AGENTES!H450&amp;"','yyyymmdd'),'"&amp;AGENTES!I450&amp;"');")</f>
        <v>INSERT INTO INYCEXT.INYC_CONF_INF_AGENTES (COD_INFORME,BO_GROUP,COMPANIA,ID_TIPO_AGENTE,TABLA,F_INICIO,F_FIN,DESCRIPCION) VALUES (101,'INYC Compensation Reports User Group - S5','01','65','INYC_S5_FACTURA,INYC_S5_POLIZAS',TO_DATE('20140101','yyyymmdd'),TO_DATE('22000101','yyyymmdd'),'');</v>
      </c>
    </row>
    <row r="450" spans="1:1" x14ac:dyDescent="0.25">
      <c r="A450" t="str">
        <f>IF(AGENTES!I451="OBSOLETO","","INSERT INTO INYCEXT.INYC_CONF_INF_AGENTES (COD_INFORME,BO_GROUP,COMPANIA,ID_TIPO_AGENTE,TABLA,F_INICIO,F_FIN,DESCRIPCION) VALUES ("&amp;AGENTES!B451&amp;",'"&amp;AGENTES!C451&amp;"','"&amp;AGENTES!D451&amp;"','"&amp;AGENTES!E451&amp;"','"&amp;AGENTES!F451&amp;"',TO_DATE('"&amp;AGENTES!G451&amp;"','yyyymmdd'),TO_DATE('"&amp;AGENTES!H451&amp;"','yyyymmdd'),'"&amp;AGENTES!I451&amp;"');")</f>
        <v>INSERT INTO INYCEXT.INYC_CONF_INF_AGENTES (COD_INFORME,BO_GROUP,COMPANIA,ID_TIPO_AGENTE,TABLA,F_INICIO,F_FIN,DESCRIPCION) VALUES (101,'INYC Compensation Reports User Group - S5','01','70','INYC_S5_FACTURA,INYC_S5_POLIZAS',TO_DATE('20140101','yyyymmdd'),TO_DATE('22000101','yyyymmdd'),'');</v>
      </c>
    </row>
    <row r="451" spans="1:1" x14ac:dyDescent="0.25">
      <c r="A451" t="str">
        <f>IF(AGENTES!I452="OBSOLETO","","INSERT INTO INYCEXT.INYC_CONF_INF_AGENTES (COD_INFORME,BO_GROUP,COMPANIA,ID_TIPO_AGENTE,TABLA,F_INICIO,F_FIN,DESCRIPCION) VALUES ("&amp;AGENTES!B452&amp;",'"&amp;AGENTES!C452&amp;"','"&amp;AGENTES!D452&amp;"','"&amp;AGENTES!E452&amp;"','"&amp;AGENTES!F452&amp;"',TO_DATE('"&amp;AGENTES!G452&amp;"','yyyymmdd'),TO_DATE('"&amp;AGENTES!H452&amp;"','yyyymmdd'),'"&amp;AGENTES!I452&amp;"');")</f>
        <v>INSERT INTO INYCEXT.INYC_CONF_INF_AGENTES (COD_INFORME,BO_GROUP,COMPANIA,ID_TIPO_AGENTE,TABLA,F_INICIO,F_FIN,DESCRIPCION) VALUES (101,'INYC Compensation Reports User Group - S5','01','71','INYC_S5_FACTURA,INYC_S5_POLIZAS',TO_DATE('20140101','yyyymmdd'),TO_DATE('22000101','yyyymmdd'),'');</v>
      </c>
    </row>
    <row r="452" spans="1:1" x14ac:dyDescent="0.25">
      <c r="A452" t="str">
        <f>IF(AGENTES!I453="OBSOLETO","","INSERT INTO INYCEXT.INYC_CONF_INF_AGENTES (COD_INFORME,BO_GROUP,COMPANIA,ID_TIPO_AGENTE,TABLA,F_INICIO,F_FIN,DESCRIPCION) VALUES ("&amp;AGENTES!B453&amp;",'"&amp;AGENTES!C453&amp;"','"&amp;AGENTES!D453&amp;"','"&amp;AGENTES!E453&amp;"','"&amp;AGENTES!F453&amp;"',TO_DATE('"&amp;AGENTES!G453&amp;"','yyyymmdd'),TO_DATE('"&amp;AGENTES!H453&amp;"','yyyymmdd'),'"&amp;AGENTES!I453&amp;"');")</f>
        <v>INSERT INTO INYCEXT.INYC_CONF_INF_AGENTES (COD_INFORME,BO_GROUP,COMPANIA,ID_TIPO_AGENTE,TABLA,F_INICIO,F_FIN,DESCRIPCION) VALUES (101,'INYC Compensation Reports User Group - S5','01','72','INYC_S5_FACTURA,INYC_S5_POLIZAS',TO_DATE('20140101','yyyymmdd'),TO_DATE('22000101','yyyymmdd'),'');</v>
      </c>
    </row>
    <row r="453" spans="1:1" x14ac:dyDescent="0.25">
      <c r="A453" t="str">
        <f>IF(AGENTES!I454="OBSOLETO","","INSERT INTO INYCEXT.INYC_CONF_INF_AGENTES (COD_INFORME,BO_GROUP,COMPANIA,ID_TIPO_AGENTE,TABLA,F_INICIO,F_FIN,DESCRIPCION) VALUES ("&amp;AGENTES!B454&amp;",'"&amp;AGENTES!C454&amp;"','"&amp;AGENTES!D454&amp;"','"&amp;AGENTES!E454&amp;"','"&amp;AGENTES!F454&amp;"',TO_DATE('"&amp;AGENTES!G454&amp;"','yyyymmdd'),TO_DATE('"&amp;AGENTES!H454&amp;"','yyyymmdd'),'"&amp;AGENTES!I454&amp;"');")</f>
        <v>INSERT INTO INYCEXT.INYC_CONF_INF_AGENTES (COD_INFORME,BO_GROUP,COMPANIA,ID_TIPO_AGENTE,TABLA,F_INICIO,F_FIN,DESCRIPCION) VALUES (101,'INYC Compensation Reports User Group - S5','01','74','INYC_S5_FACTURA,INYC_S5_POLIZAS',TO_DATE('20140101','yyyymmdd'),TO_DATE('22000101','yyyymmdd'),'');</v>
      </c>
    </row>
    <row r="454" spans="1:1" x14ac:dyDescent="0.25">
      <c r="A454" t="str">
        <f>IF(AGENTES!I455="OBSOLETO","","INSERT INTO INYCEXT.INYC_CONF_INF_AGENTES (COD_INFORME,BO_GROUP,COMPANIA,ID_TIPO_AGENTE,TABLA,F_INICIO,F_FIN,DESCRIPCION) VALUES ("&amp;AGENTES!B455&amp;",'"&amp;AGENTES!C455&amp;"','"&amp;AGENTES!D455&amp;"','"&amp;AGENTES!E455&amp;"','"&amp;AGENTES!F455&amp;"',TO_DATE('"&amp;AGENTES!G455&amp;"','yyyymmdd'),TO_DATE('"&amp;AGENTES!H455&amp;"','yyyymmdd'),'"&amp;AGENTES!I455&amp;"');")</f>
        <v>INSERT INTO INYCEXT.INYC_CONF_INF_AGENTES (COD_INFORME,BO_GROUP,COMPANIA,ID_TIPO_AGENTE,TABLA,F_INICIO,F_FIN,DESCRIPCION) VALUES (101,'INYC Compensation Reports User Group - S5','01','79','INYC_S5_FACTURA,INYC_S5_POLIZAS',TO_DATE('20140101','yyyymmdd'),TO_DATE('22000101','yyyymmdd'),'Version 20170228');</v>
      </c>
    </row>
    <row r="455" spans="1:1" x14ac:dyDescent="0.25">
      <c r="A455" t="str">
        <f>IF(AGENTES!I456="OBSOLETO","","INSERT INTO INYCEXT.INYC_CONF_INF_AGENTES (COD_INFORME,BO_GROUP,COMPANIA,ID_TIPO_AGENTE,TABLA,F_INICIO,F_FIN,DESCRIPCION) VALUES ("&amp;AGENTES!B456&amp;",'"&amp;AGENTES!C456&amp;"','"&amp;AGENTES!D456&amp;"','"&amp;AGENTES!E456&amp;"','"&amp;AGENTES!F456&amp;"',TO_DATE('"&amp;AGENTES!G456&amp;"','yyyymmdd'),TO_DATE('"&amp;AGENTES!H456&amp;"','yyyymmdd'),'"&amp;AGENTES!I456&amp;"');")</f>
        <v>INSERT INTO INYCEXT.INYC_CONF_INF_AGENTES (COD_INFORME,BO_GROUP,COMPANIA,ID_TIPO_AGENTE,TABLA,F_INICIO,F_FIN,DESCRIPCION) VALUES (101,'INYC Compensation Reports User Group - S5','01','82','INYC_S5_FACTURA,INYC_S5_POLIZAS',TO_DATE('20140101','yyyymmdd'),TO_DATE('22000101','yyyymmdd'),'');</v>
      </c>
    </row>
    <row r="456" spans="1:1" x14ac:dyDescent="0.25">
      <c r="A456" t="str">
        <f>IF(AGENTES!I457="OBSOLETO","","INSERT INTO INYCEXT.INYC_CONF_INF_AGENTES (COD_INFORME,BO_GROUP,COMPANIA,ID_TIPO_AGENTE,TABLA,F_INICIO,F_FIN,DESCRIPCION) VALUES ("&amp;AGENTES!B457&amp;",'"&amp;AGENTES!C457&amp;"','"&amp;AGENTES!D457&amp;"','"&amp;AGENTES!E457&amp;"','"&amp;AGENTES!F457&amp;"',TO_DATE('"&amp;AGENTES!G457&amp;"','yyyymmdd'),TO_DATE('"&amp;AGENTES!H457&amp;"','yyyymmdd'),'"&amp;AGENTES!I457&amp;"');")</f>
        <v>INSERT INTO INYCEXT.INYC_CONF_INF_AGENTES (COD_INFORME,BO_GROUP,COMPANIA,ID_TIPO_AGENTE,TABLA,F_INICIO,F_FIN,DESCRIPCION) VALUES (103,'INYC Compensation Reports User Group - S5_E','03','350','INYC_S5_E_FACTURA,INYC_S5_E_POLIZAS',TO_DATE('20140101','yyyymmdd'),TO_DATE('22000101','yyyymmdd'),'');</v>
      </c>
    </row>
    <row r="457" spans="1:1" x14ac:dyDescent="0.25">
      <c r="A457" t="str">
        <f>IF(AGENTES!I458="OBSOLETO","","INSERT INTO INYCEXT.INYC_CONF_INF_AGENTES (COD_INFORME,BO_GROUP,COMPANIA,ID_TIPO_AGENTE,TABLA,F_INICIO,F_FIN,DESCRIPCION) VALUES ("&amp;AGENTES!B458&amp;",'"&amp;AGENTES!C458&amp;"','"&amp;AGENTES!D458&amp;"','"&amp;AGENTES!E458&amp;"','"&amp;AGENTES!F458&amp;"',TO_DATE('"&amp;AGENTES!G458&amp;"','yyyymmdd'),TO_DATE('"&amp;AGENTES!H458&amp;"','yyyymmdd'),'"&amp;AGENTES!I458&amp;"');")</f>
        <v>INSERT INTO INYCEXT.INYC_CONF_INF_AGENTES (COD_INFORME,BO_GROUP,COMPANIA,ID_TIPO_AGENTE,TABLA,F_INICIO,F_FIN,DESCRIPCION) VALUES (103,'INYC Compensation Reports User Group - S5_E','03','351','INYC_S5_E_FACTURA,INYC_S5_E_POLIZAS',TO_DATE('20140101','yyyymmdd'),TO_DATE('22000101','yyyymmdd'),'');</v>
      </c>
    </row>
    <row r="458" spans="1:1" x14ac:dyDescent="0.25">
      <c r="A458" t="str">
        <f>IF(AGENTES!I459="OBSOLETO","","INSERT INTO INYCEXT.INYC_CONF_INF_AGENTES (COD_INFORME,BO_GROUP,COMPANIA,ID_TIPO_AGENTE,TABLA,F_INICIO,F_FIN,DESCRIPCION) VALUES ("&amp;AGENTES!B459&amp;",'"&amp;AGENTES!C459&amp;"','"&amp;AGENTES!D459&amp;"','"&amp;AGENTES!E459&amp;"','"&amp;AGENTES!F459&amp;"',TO_DATE('"&amp;AGENTES!G459&amp;"','yyyymmdd'),TO_DATE('"&amp;AGENTES!H459&amp;"','yyyymmdd'),'"&amp;AGENTES!I459&amp;"');")</f>
        <v>INSERT INTO INYCEXT.INYC_CONF_INF_AGENTES (COD_INFORME,BO_GROUP,COMPANIA,ID_TIPO_AGENTE,TABLA,F_INICIO,F_FIN,DESCRIPCION) VALUES (103,'INYC Compensation Reports User Group - S5_E','03','352','INYC_S5_E_FACTURA,INYC_S5_E_POLIZAS',TO_DATE('20140101','yyyymmdd'),TO_DATE('22000101','yyyymmdd'),'');</v>
      </c>
    </row>
    <row r="459" spans="1:1" x14ac:dyDescent="0.25">
      <c r="A459" t="str">
        <f>IF(AGENTES!I460="OBSOLETO","","INSERT INTO INYCEXT.INYC_CONF_INF_AGENTES (COD_INFORME,BO_GROUP,COMPANIA,ID_TIPO_AGENTE,TABLA,F_INICIO,F_FIN,DESCRIPCION) VALUES ("&amp;AGENTES!B460&amp;",'"&amp;AGENTES!C460&amp;"','"&amp;AGENTES!D460&amp;"','"&amp;AGENTES!E460&amp;"','"&amp;AGENTES!F460&amp;"',TO_DATE('"&amp;AGENTES!G460&amp;"','yyyymmdd'),TO_DATE('"&amp;AGENTES!H460&amp;"','yyyymmdd'),'"&amp;AGENTES!I460&amp;"');")</f>
        <v>INSERT INTO INYCEXT.INYC_CONF_INF_AGENTES (COD_INFORME,BO_GROUP,COMPANIA,ID_TIPO_AGENTE,TABLA,F_INICIO,F_FIN,DESCRIPCION) VALUES (103,'INYC Compensation Reports User Group - S5_E','03','52','INYC_S5_E_FACTURA,INYC_S5_E_POLIZAS',TO_DATE('20140101','yyyymmdd'),TO_DATE('22000101','yyyymmdd'),'');</v>
      </c>
    </row>
    <row r="460" spans="1:1" x14ac:dyDescent="0.25">
      <c r="A460" t="str">
        <f>IF(AGENTES!I461="OBSOLETO","","INSERT INTO INYCEXT.INYC_CONF_INF_AGENTES (COD_INFORME,BO_GROUP,COMPANIA,ID_TIPO_AGENTE,TABLA,F_INICIO,F_FIN,DESCRIPCION) VALUES ("&amp;AGENTES!B461&amp;",'"&amp;AGENTES!C461&amp;"','"&amp;AGENTES!D461&amp;"','"&amp;AGENTES!E461&amp;"','"&amp;AGENTES!F461&amp;"',TO_DATE('"&amp;AGENTES!G461&amp;"','yyyymmdd'),TO_DATE('"&amp;AGENTES!H461&amp;"','yyyymmdd'),'"&amp;AGENTES!I461&amp;"');")</f>
        <v>INSERT INTO INYCEXT.INYC_CONF_INF_AGENTES (COD_INFORME,BO_GROUP,COMPANIA,ID_TIPO_AGENTE,TABLA,F_INICIO,F_FIN,DESCRIPCION) VALUES (103,'INYC Compensation Reports User Group - S5_E','03','54','INYC_S5_E_FACTURA,INYC_S5_E_POLIZAS',TO_DATE('20140101','yyyymmdd'),TO_DATE('22000101','yyyymmdd'),'');</v>
      </c>
    </row>
    <row r="461" spans="1:1" x14ac:dyDescent="0.25">
      <c r="A461" t="str">
        <f>IF(AGENTES!I462="OBSOLETO","","INSERT INTO INYCEXT.INYC_CONF_INF_AGENTES (COD_INFORME,BO_GROUP,COMPANIA,ID_TIPO_AGENTE,TABLA,F_INICIO,F_FIN,DESCRIPCION) VALUES ("&amp;AGENTES!B462&amp;",'"&amp;AGENTES!C462&amp;"','"&amp;AGENTES!D462&amp;"','"&amp;AGENTES!E462&amp;"','"&amp;AGENTES!F462&amp;"',TO_DATE('"&amp;AGENTES!G462&amp;"','yyyymmdd'),TO_DATE('"&amp;AGENTES!H462&amp;"','yyyymmdd'),'"&amp;AGENTES!I462&amp;"');")</f>
        <v>INSERT INTO INYCEXT.INYC_CONF_INF_AGENTES (COD_INFORME,BO_GROUP,COMPANIA,ID_TIPO_AGENTE,TABLA,F_INICIO,F_FIN,DESCRIPCION) VALUES (103,'INYC Compensation Reports User Group - S5_E','03','56','INYC_S5_E_FACTURA,INYC_S5_E_POLIZAS',TO_DATE('20140101','yyyymmdd'),TO_DATE('22000101','yyyymmdd'),'');</v>
      </c>
    </row>
    <row r="462" spans="1:1" x14ac:dyDescent="0.25">
      <c r="A462" t="str">
        <f>IF(AGENTES!I463="OBSOLETO","","INSERT INTO INYCEXT.INYC_CONF_INF_AGENTES (COD_INFORME,BO_GROUP,COMPANIA,ID_TIPO_AGENTE,TABLA,F_INICIO,F_FIN,DESCRIPCION) VALUES ("&amp;AGENTES!B463&amp;",'"&amp;AGENTES!C463&amp;"','"&amp;AGENTES!D463&amp;"','"&amp;AGENTES!E463&amp;"','"&amp;AGENTES!F463&amp;"',TO_DATE('"&amp;AGENTES!G463&amp;"','yyyymmdd'),TO_DATE('"&amp;AGENTES!H463&amp;"','yyyymmdd'),'"&amp;AGENTES!I463&amp;"');")</f>
        <v>INSERT INTO INYCEXT.INYC_CONF_INF_AGENTES (COD_INFORME,BO_GROUP,COMPANIA,ID_TIPO_AGENTE,TABLA,F_INICIO,F_FIN,DESCRIPCION) VALUES (103,'INYC Compensation Reports User Group - S5_E','03','57','INYC_S5_E_FACTURA,INYC_S5_E_POLIZAS',TO_DATE('20140101','yyyymmdd'),TO_DATE('22000101','yyyymmdd'),'');</v>
      </c>
    </row>
    <row r="463" spans="1:1" x14ac:dyDescent="0.25">
      <c r="A463" t="str">
        <f>IF(AGENTES!I464="OBSOLETO","","INSERT INTO INYCEXT.INYC_CONF_INF_AGENTES (COD_INFORME,BO_GROUP,COMPANIA,ID_TIPO_AGENTE,TABLA,F_INICIO,F_FIN,DESCRIPCION) VALUES ("&amp;AGENTES!B464&amp;",'"&amp;AGENTES!C464&amp;"','"&amp;AGENTES!D464&amp;"','"&amp;AGENTES!E464&amp;"','"&amp;AGENTES!F464&amp;"',TO_DATE('"&amp;AGENTES!G464&amp;"','yyyymmdd'),TO_DATE('"&amp;AGENTES!H464&amp;"','yyyymmdd'),'"&amp;AGENTES!I464&amp;"');")</f>
        <v>INSERT INTO INYCEXT.INYC_CONF_INF_AGENTES (COD_INFORME,BO_GROUP,COMPANIA,ID_TIPO_AGENTE,TABLA,F_INICIO,F_FIN,DESCRIPCION) VALUES (103,'INYC Compensation Reports User Group - S5_E','03','58','INYC_S5_E_FACTURA,INYC_S5_E_POLIZAS',TO_DATE('20140101','yyyymmdd'),TO_DATE('22000101','yyyymmdd'),'');</v>
      </c>
    </row>
    <row r="464" spans="1:1" x14ac:dyDescent="0.25">
      <c r="A464" t="str">
        <f>IF(AGENTES!I465="OBSOLETO","","INSERT INTO INYCEXT.INYC_CONF_INF_AGENTES (COD_INFORME,BO_GROUP,COMPANIA,ID_TIPO_AGENTE,TABLA,F_INICIO,F_FIN,DESCRIPCION) VALUES ("&amp;AGENTES!B465&amp;",'"&amp;AGENTES!C465&amp;"','"&amp;AGENTES!D465&amp;"','"&amp;AGENTES!E465&amp;"','"&amp;AGENTES!F465&amp;"',TO_DATE('"&amp;AGENTES!G465&amp;"','yyyymmdd'),TO_DATE('"&amp;AGENTES!H465&amp;"','yyyymmdd'),'"&amp;AGENTES!I465&amp;"');")</f>
        <v>INSERT INTO INYCEXT.INYC_CONF_INF_AGENTES (COD_INFORME,BO_GROUP,COMPANIA,ID_TIPO_AGENTE,TABLA,F_INICIO,F_FIN,DESCRIPCION) VALUES (103,'INYC Compensation Reports User Group - S5_E','03','59','INYC_S5_E_FACTURA,INYC_S5_E_POLIZAS',TO_DATE('20140101','yyyymmdd'),TO_DATE('22000101','yyyymmdd'),'');</v>
      </c>
    </row>
    <row r="465" spans="1:1" x14ac:dyDescent="0.25">
      <c r="A465" t="str">
        <f>IF(AGENTES!I466="OBSOLETO","","INSERT INTO INYCEXT.INYC_CONF_INF_AGENTES (COD_INFORME,BO_GROUP,COMPANIA,ID_TIPO_AGENTE,TABLA,F_INICIO,F_FIN,DESCRIPCION) VALUES ("&amp;AGENTES!B466&amp;",'"&amp;AGENTES!C466&amp;"','"&amp;AGENTES!D466&amp;"','"&amp;AGENTES!E466&amp;"','"&amp;AGENTES!F466&amp;"',TO_DATE('"&amp;AGENTES!G466&amp;"','yyyymmdd'),TO_DATE('"&amp;AGENTES!H466&amp;"','yyyymmdd'),'"&amp;AGENTES!I466&amp;"');")</f>
        <v>INSERT INTO INYCEXT.INYC_CONF_INF_AGENTES (COD_INFORME,BO_GROUP,COMPANIA,ID_TIPO_AGENTE,TABLA,F_INICIO,F_FIN,DESCRIPCION) VALUES (103,'INYC Compensation Reports User Group - S5_E','03','60','INYC_S5_E_FACTURA,INYC_S5_E_POLIZAS',TO_DATE('20200101','yyyymmdd'),TO_DATE('22000101','yyyymmdd'),'Version 20200526');</v>
      </c>
    </row>
    <row r="466" spans="1:1" x14ac:dyDescent="0.25">
      <c r="A466" t="str">
        <f>IF(AGENTES!I467="OBSOLETO","","INSERT INTO INYCEXT.INYC_CONF_INF_AGENTES (COD_INFORME,BO_GROUP,COMPANIA,ID_TIPO_AGENTE,TABLA,F_INICIO,F_FIN,DESCRIPCION) VALUES ("&amp;AGENTES!B467&amp;",'"&amp;AGENTES!C467&amp;"','"&amp;AGENTES!D467&amp;"','"&amp;AGENTES!E467&amp;"','"&amp;AGENTES!F467&amp;"',TO_DATE('"&amp;AGENTES!G467&amp;"','yyyymmdd'),TO_DATE('"&amp;AGENTES!H467&amp;"','yyyymmdd'),'"&amp;AGENTES!I467&amp;"');")</f>
        <v>INSERT INTO INYCEXT.INYC_CONF_INF_AGENTES (COD_INFORME,BO_GROUP,COMPANIA,ID_TIPO_AGENTE,TABLA,F_INICIO,F_FIN,DESCRIPCION) VALUES (103,'INYC Compensation Reports User Group - S5_E','03','61','INYC_S5_E_FACTURA,INYC_S5_E_POLIZAS',TO_DATE('20140101','yyyymmdd'),TO_DATE('22000101','yyyymmdd'),'');</v>
      </c>
    </row>
    <row r="467" spans="1:1" x14ac:dyDescent="0.25">
      <c r="A467" t="str">
        <f>IF(AGENTES!I468="OBSOLETO","","INSERT INTO INYCEXT.INYC_CONF_INF_AGENTES (COD_INFORME,BO_GROUP,COMPANIA,ID_TIPO_AGENTE,TABLA,F_INICIO,F_FIN,DESCRIPCION) VALUES ("&amp;AGENTES!B468&amp;",'"&amp;AGENTES!C468&amp;"','"&amp;AGENTES!D468&amp;"','"&amp;AGENTES!E468&amp;"','"&amp;AGENTES!F468&amp;"',TO_DATE('"&amp;AGENTES!G468&amp;"','yyyymmdd'),TO_DATE('"&amp;AGENTES!H468&amp;"','yyyymmdd'),'"&amp;AGENTES!I468&amp;"');")</f>
        <v>INSERT INTO INYCEXT.INYC_CONF_INF_AGENTES (COD_INFORME,BO_GROUP,COMPANIA,ID_TIPO_AGENTE,TABLA,F_INICIO,F_FIN,DESCRIPCION) VALUES (103,'INYC Compensation Reports User Group - S5_E','03','62','INYC_S5_E_FACTURA,INYC_S5_E_POLIZAS',TO_DATE('20140101','yyyymmdd'),TO_DATE('22000101','yyyymmdd'),'');</v>
      </c>
    </row>
    <row r="468" spans="1:1" x14ac:dyDescent="0.25">
      <c r="A468" t="str">
        <f>IF(AGENTES!I469="OBSOLETO","","INSERT INTO INYCEXT.INYC_CONF_INF_AGENTES (COD_INFORME,BO_GROUP,COMPANIA,ID_TIPO_AGENTE,TABLA,F_INICIO,F_FIN,DESCRIPCION) VALUES ("&amp;AGENTES!B469&amp;",'"&amp;AGENTES!C469&amp;"','"&amp;AGENTES!D469&amp;"','"&amp;AGENTES!E469&amp;"','"&amp;AGENTES!F469&amp;"',TO_DATE('"&amp;AGENTES!G469&amp;"','yyyymmdd'),TO_DATE('"&amp;AGENTES!H469&amp;"','yyyymmdd'),'"&amp;AGENTES!I469&amp;"');")</f>
        <v>INSERT INTO INYCEXT.INYC_CONF_INF_AGENTES (COD_INFORME,BO_GROUP,COMPANIA,ID_TIPO_AGENTE,TABLA,F_INICIO,F_FIN,DESCRIPCION) VALUES (103,'INYC Compensation Reports User Group - S5_E','03','65','INYC_S5_E_FACTURA,INYC_S5_E_POLIZAS',TO_DATE('20140101','yyyymmdd'),TO_DATE('22000101','yyyymmdd'),'');</v>
      </c>
    </row>
    <row r="469" spans="1:1" x14ac:dyDescent="0.25">
      <c r="A469" t="str">
        <f>IF(AGENTES!I470="OBSOLETO","","INSERT INTO INYCEXT.INYC_CONF_INF_AGENTES (COD_INFORME,BO_GROUP,COMPANIA,ID_TIPO_AGENTE,TABLA,F_INICIO,F_FIN,DESCRIPCION) VALUES ("&amp;AGENTES!B470&amp;",'"&amp;AGENTES!C470&amp;"','"&amp;AGENTES!D470&amp;"','"&amp;AGENTES!E470&amp;"','"&amp;AGENTES!F470&amp;"',TO_DATE('"&amp;AGENTES!G470&amp;"','yyyymmdd'),TO_DATE('"&amp;AGENTES!H470&amp;"','yyyymmdd'),'"&amp;AGENTES!I470&amp;"');")</f>
        <v>INSERT INTO INYCEXT.INYC_CONF_INF_AGENTES (COD_INFORME,BO_GROUP,COMPANIA,ID_TIPO_AGENTE,TABLA,F_INICIO,F_FIN,DESCRIPCION) VALUES (103,'INYC Compensation Reports User Group - S5_E','03','70','INYC_S5_E_FACTURA,INYC_S5_E_POLIZAS',TO_DATE('20140101','yyyymmdd'),TO_DATE('22000101','yyyymmdd'),'');</v>
      </c>
    </row>
    <row r="470" spans="1:1" x14ac:dyDescent="0.25">
      <c r="A470" t="str">
        <f>IF(AGENTES!I471="OBSOLETO","","INSERT INTO INYCEXT.INYC_CONF_INF_AGENTES (COD_INFORME,BO_GROUP,COMPANIA,ID_TIPO_AGENTE,TABLA,F_INICIO,F_FIN,DESCRIPCION) VALUES ("&amp;AGENTES!B471&amp;",'"&amp;AGENTES!C471&amp;"','"&amp;AGENTES!D471&amp;"','"&amp;AGENTES!E471&amp;"','"&amp;AGENTES!F471&amp;"',TO_DATE('"&amp;AGENTES!G471&amp;"','yyyymmdd'),TO_DATE('"&amp;AGENTES!H471&amp;"','yyyymmdd'),'"&amp;AGENTES!I471&amp;"');")</f>
        <v>INSERT INTO INYCEXT.INYC_CONF_INF_AGENTES (COD_INFORME,BO_GROUP,COMPANIA,ID_TIPO_AGENTE,TABLA,F_INICIO,F_FIN,DESCRIPCION) VALUES (103,'INYC Compensation Reports User Group - S5_E','03','71','INYC_S5_E_FACTURA,INYC_S5_E_POLIZAS',TO_DATE('20140101','yyyymmdd'),TO_DATE('22000101','yyyymmdd'),'');</v>
      </c>
    </row>
    <row r="471" spans="1:1" x14ac:dyDescent="0.25">
      <c r="A471" t="str">
        <f>IF(AGENTES!I472="OBSOLETO","","INSERT INTO INYCEXT.INYC_CONF_INF_AGENTES (COD_INFORME,BO_GROUP,COMPANIA,ID_TIPO_AGENTE,TABLA,F_INICIO,F_FIN,DESCRIPCION) VALUES ("&amp;AGENTES!B472&amp;",'"&amp;AGENTES!C472&amp;"','"&amp;AGENTES!D472&amp;"','"&amp;AGENTES!E472&amp;"','"&amp;AGENTES!F472&amp;"',TO_DATE('"&amp;AGENTES!G472&amp;"','yyyymmdd'),TO_DATE('"&amp;AGENTES!H472&amp;"','yyyymmdd'),'"&amp;AGENTES!I472&amp;"');")</f>
        <v>INSERT INTO INYCEXT.INYC_CONF_INF_AGENTES (COD_INFORME,BO_GROUP,COMPANIA,ID_TIPO_AGENTE,TABLA,F_INICIO,F_FIN,DESCRIPCION) VALUES (103,'INYC Compensation Reports User Group - S5_E','03','72','INYC_S5_E_FACTURA,INYC_S5_E_POLIZAS',TO_DATE('20140101','yyyymmdd'),TO_DATE('22000101','yyyymmdd'),'');</v>
      </c>
    </row>
    <row r="472" spans="1:1" x14ac:dyDescent="0.25">
      <c r="A472" t="str">
        <f>IF(AGENTES!I473="OBSOLETO","","INSERT INTO INYCEXT.INYC_CONF_INF_AGENTES (COD_INFORME,BO_GROUP,COMPANIA,ID_TIPO_AGENTE,TABLA,F_INICIO,F_FIN,DESCRIPCION) VALUES ("&amp;AGENTES!B473&amp;",'"&amp;AGENTES!C473&amp;"','"&amp;AGENTES!D473&amp;"','"&amp;AGENTES!E473&amp;"','"&amp;AGENTES!F473&amp;"',TO_DATE('"&amp;AGENTES!G473&amp;"','yyyymmdd'),TO_DATE('"&amp;AGENTES!H473&amp;"','yyyymmdd'),'"&amp;AGENTES!I473&amp;"');")</f>
        <v>INSERT INTO INYCEXT.INYC_CONF_INF_AGENTES (COD_INFORME,BO_GROUP,COMPANIA,ID_TIPO_AGENTE,TABLA,F_INICIO,F_FIN,DESCRIPCION) VALUES (103,'INYC Compensation Reports User Group - S5_E','03','74','INYC_S5_E_FACTURA,INYC_S5_E_POLIZAS',TO_DATE('20140101','yyyymmdd'),TO_DATE('22000101','yyyymmdd'),'');</v>
      </c>
    </row>
    <row r="473" spans="1:1" x14ac:dyDescent="0.25">
      <c r="A473" t="str">
        <f>IF(AGENTES!I474="OBSOLETO","","INSERT INTO INYCEXT.INYC_CONF_INF_AGENTES (COD_INFORME,BO_GROUP,COMPANIA,ID_TIPO_AGENTE,TABLA,F_INICIO,F_FIN,DESCRIPCION) VALUES ("&amp;AGENTES!B474&amp;",'"&amp;AGENTES!C474&amp;"','"&amp;AGENTES!D474&amp;"','"&amp;AGENTES!E474&amp;"','"&amp;AGENTES!F474&amp;"',TO_DATE('"&amp;AGENTES!G474&amp;"','yyyymmdd'),TO_DATE('"&amp;AGENTES!H474&amp;"','yyyymmdd'),'"&amp;AGENTES!I474&amp;"');")</f>
        <v>INSERT INTO INYCEXT.INYC_CONF_INF_AGENTES (COD_INFORME,BO_GROUP,COMPANIA,ID_TIPO_AGENTE,TABLA,F_INICIO,F_FIN,DESCRIPCION) VALUES (103,'INYC Compensation Reports User Group - S5_E','03','79','INYC_S5_E_FACTURA,INYC_S5_E_POLIZAS',TO_DATE('20140101','yyyymmdd'),TO_DATE('22000101','yyyymmdd'),'Version 20170228');</v>
      </c>
    </row>
    <row r="474" spans="1:1" x14ac:dyDescent="0.25">
      <c r="A474" t="str">
        <f>IF(AGENTES!I475="OBSOLETO","","INSERT INTO INYCEXT.INYC_CONF_INF_AGENTES (COD_INFORME,BO_GROUP,COMPANIA,ID_TIPO_AGENTE,TABLA,F_INICIO,F_FIN,DESCRIPCION) VALUES ("&amp;AGENTES!B475&amp;",'"&amp;AGENTES!C475&amp;"','"&amp;AGENTES!D475&amp;"','"&amp;AGENTES!E475&amp;"','"&amp;AGENTES!F475&amp;"',TO_DATE('"&amp;AGENTES!G475&amp;"','yyyymmdd'),TO_DATE('"&amp;AGENTES!H475&amp;"','yyyymmdd'),'"&amp;AGENTES!I475&amp;"');")</f>
        <v>INSERT INTO INYCEXT.INYC_CONF_INF_AGENTES (COD_INFORME,BO_GROUP,COMPANIA,ID_TIPO_AGENTE,TABLA,F_INICIO,F_FIN,DESCRIPCION) VALUES (103,'INYC Compensation Reports User Group - S5_E','03','82','INYC_S5_E_FACTURA,INYC_S5_E_POLIZAS',TO_DATE('20140101','yyyymmdd'),TO_DATE('22000101','yyyymmdd'),'');</v>
      </c>
    </row>
    <row r="475" spans="1:1" x14ac:dyDescent="0.25">
      <c r="A475" t="str">
        <f>IF(AGENTES!I476="OBSOLETO","","INSERT INTO INYCEXT.INYC_CONF_INF_AGENTES (COD_INFORME,BO_GROUP,COMPANIA,ID_TIPO_AGENTE,TABLA,F_INICIO,F_FIN,DESCRIPCION) VALUES ("&amp;AGENTES!B476&amp;",'"&amp;AGENTES!C476&amp;"','"&amp;AGENTES!D476&amp;"','"&amp;AGENTES!E476&amp;"','"&amp;AGENTES!F476&amp;"',TO_DATE('"&amp;AGENTES!G476&amp;"','yyyymmdd'),TO_DATE('"&amp;AGENTES!H476&amp;"','yyyymmdd'),'"&amp;AGENTES!I476&amp;"');")</f>
        <v>INSERT INTO INYCEXT.INYC_CONF_INF_AGENTES (COD_INFORME,BO_GROUP,COMPANIA,ID_TIPO_AGENTE,TABLA,F_INICIO,F_FIN,DESCRIPCION) VALUES (104,'INYC Compensation Reports User Group - PEPA','01','1','INYC_PEPA_RESUMEN,INYC_PEPA_DETALLE',TO_DATE('20140101','yyyymmdd'),TO_DATE('22000101','yyyymmdd'),'');</v>
      </c>
    </row>
    <row r="476" spans="1:1" x14ac:dyDescent="0.25">
      <c r="A476" t="str">
        <f>IF(AGENTES!I477="OBSOLETO","","INSERT INTO INYCEXT.INYC_CONF_INF_AGENTES (COD_INFORME,BO_GROUP,COMPANIA,ID_TIPO_AGENTE,TABLA,F_INICIO,F_FIN,DESCRIPCION) VALUES ("&amp;AGENTES!B477&amp;",'"&amp;AGENTES!C477&amp;"','"&amp;AGENTES!D477&amp;"','"&amp;AGENTES!E477&amp;"','"&amp;AGENTES!F477&amp;"',TO_DATE('"&amp;AGENTES!G477&amp;"','yyyymmdd'),TO_DATE('"&amp;AGENTES!H477&amp;"','yyyymmdd'),'"&amp;AGENTES!I477&amp;"');")</f>
        <v>INSERT INTO INYCEXT.INYC_CONF_INF_AGENTES (COD_INFORME,BO_GROUP,COMPANIA,ID_TIPO_AGENTE,TABLA,F_INICIO,F_FIN,DESCRIPCION) VALUES (104,'INYC Compensation Reports User Group - PEPA','01','2','INYC_PEPA_RESUMEN,INYC_PEPA_DETALLE',TO_DATE('20140101','yyyymmdd'),TO_DATE('22000101','yyyymmdd'),'');</v>
      </c>
    </row>
    <row r="477" spans="1:1" x14ac:dyDescent="0.25">
      <c r="A477" t="str">
        <f>IF(AGENTES!I478="OBSOLETO","","INSERT INTO INYCEXT.INYC_CONF_INF_AGENTES (COD_INFORME,BO_GROUP,COMPANIA,ID_TIPO_AGENTE,TABLA,F_INICIO,F_FIN,DESCRIPCION) VALUES ("&amp;AGENTES!B478&amp;",'"&amp;AGENTES!C478&amp;"','"&amp;AGENTES!D478&amp;"','"&amp;AGENTES!E478&amp;"','"&amp;AGENTES!F478&amp;"',TO_DATE('"&amp;AGENTES!G478&amp;"','yyyymmdd'),TO_DATE('"&amp;AGENTES!H478&amp;"','yyyymmdd'),'"&amp;AGENTES!I478&amp;"');")</f>
        <v>INSERT INTO INYCEXT.INYC_CONF_INF_AGENTES (COD_INFORME,BO_GROUP,COMPANIA,ID_TIPO_AGENTE,TABLA,F_INICIO,F_FIN,DESCRIPCION) VALUES (104,'INYC Compensation Reports User Group - PEPA','01','3','INYC_PEPA_RESUMEN,INYC_PEPA_DETALLE',TO_DATE('20140101','yyyymmdd'),TO_DATE('22000101','yyyymmdd'),'');</v>
      </c>
    </row>
    <row r="478" spans="1:1" x14ac:dyDescent="0.25">
      <c r="A478" t="str">
        <f>IF(AGENTES!I479="OBSOLETO","","INSERT INTO INYCEXT.INYC_CONF_INF_AGENTES (COD_INFORME,BO_GROUP,COMPANIA,ID_TIPO_AGENTE,TABLA,F_INICIO,F_FIN,DESCRIPCION) VALUES ("&amp;AGENTES!B479&amp;",'"&amp;AGENTES!C479&amp;"','"&amp;AGENTES!D479&amp;"','"&amp;AGENTES!E479&amp;"','"&amp;AGENTES!F479&amp;"',TO_DATE('"&amp;AGENTES!G479&amp;"','yyyymmdd'),TO_DATE('"&amp;AGENTES!H479&amp;"','yyyymmdd'),'"&amp;AGENTES!I479&amp;"');")</f>
        <v>INSERT INTO INYCEXT.INYC_CONF_INF_AGENTES (COD_INFORME,BO_GROUP,COMPANIA,ID_TIPO_AGENTE,TABLA,F_INICIO,F_FIN,DESCRIPCION) VALUES (104,'INYC Compensation Reports User Group - PEPA','01','4','INYC_PEPA_RESUMEN,INYC_PEPA_DETALLE',TO_DATE('20140101','yyyymmdd'),TO_DATE('22000101','yyyymmdd'),'');</v>
      </c>
    </row>
    <row r="479" spans="1:1" x14ac:dyDescent="0.25">
      <c r="A479" t="str">
        <f>IF(AGENTES!I480="OBSOLETO","","INSERT INTO INYCEXT.INYC_CONF_INF_AGENTES (COD_INFORME,BO_GROUP,COMPANIA,ID_TIPO_AGENTE,TABLA,F_INICIO,F_FIN,DESCRIPCION) VALUES ("&amp;AGENTES!B480&amp;",'"&amp;AGENTES!C480&amp;"','"&amp;AGENTES!D480&amp;"','"&amp;AGENTES!E480&amp;"','"&amp;AGENTES!F480&amp;"',TO_DATE('"&amp;AGENTES!G480&amp;"','yyyymmdd'),TO_DATE('"&amp;AGENTES!H480&amp;"','yyyymmdd'),'"&amp;AGENTES!I480&amp;"');")</f>
        <v>INSERT INTO INYCEXT.INYC_CONF_INF_AGENTES (COD_INFORME,BO_GROUP,COMPANIA,ID_TIPO_AGENTE,TABLA,F_INICIO,F_FIN,DESCRIPCION) VALUES (104,'INYC Compensation Reports User Group - PEPA','01','5','INYC_PEPA_RESUMEN,INYC_PEPA_DETALLE',TO_DATE('20140101','yyyymmdd'),TO_DATE('22000101','yyyymmdd'),'');</v>
      </c>
    </row>
    <row r="480" spans="1:1" x14ac:dyDescent="0.25">
      <c r="A480" t="str">
        <f>IF(AGENTES!I481="OBSOLETO","","INSERT INTO INYCEXT.INYC_CONF_INF_AGENTES (COD_INFORME,BO_GROUP,COMPANIA,ID_TIPO_AGENTE,TABLA,F_INICIO,F_FIN,DESCRIPCION) VALUES ("&amp;AGENTES!B481&amp;",'"&amp;AGENTES!C481&amp;"','"&amp;AGENTES!D481&amp;"','"&amp;AGENTES!E481&amp;"','"&amp;AGENTES!F481&amp;"',TO_DATE('"&amp;AGENTES!G481&amp;"','yyyymmdd'),TO_DATE('"&amp;AGENTES!H481&amp;"','yyyymmdd'),'"&amp;AGENTES!I481&amp;"');")</f>
        <v>INSERT INTO INYCEXT.INYC_CONF_INF_AGENTES (COD_INFORME,BO_GROUP,COMPANIA,ID_TIPO_AGENTE,TABLA,F_INICIO,F_FIN,DESCRIPCION) VALUES (104,'INYC Compensation Reports User Group - PEPA','01','6','INYC_PEPA_RESUMEN,INYC_PEPA_DETALLE',TO_DATE('20140101','yyyymmdd'),TO_DATE('22000101','yyyymmdd'),'');</v>
      </c>
    </row>
    <row r="481" spans="1:1" x14ac:dyDescent="0.25">
      <c r="A481" t="str">
        <f>IF(AGENTES!I482="OBSOLETO","","INSERT INTO INYCEXT.INYC_CONF_INF_AGENTES (COD_INFORME,BO_GROUP,COMPANIA,ID_TIPO_AGENTE,TABLA,F_INICIO,F_FIN,DESCRIPCION) VALUES ("&amp;AGENTES!B482&amp;",'"&amp;AGENTES!C482&amp;"','"&amp;AGENTES!D482&amp;"','"&amp;AGENTES!E482&amp;"','"&amp;AGENTES!F482&amp;"',TO_DATE('"&amp;AGENTES!G482&amp;"','yyyymmdd'),TO_DATE('"&amp;AGENTES!H482&amp;"','yyyymmdd'),'"&amp;AGENTES!I482&amp;"');")</f>
        <v>INSERT INTO INYCEXT.INYC_CONF_INF_AGENTES (COD_INFORME,BO_GROUP,COMPANIA,ID_TIPO_AGENTE,TABLA,F_INICIO,F_FIN,DESCRIPCION) VALUES (104,'INYC Compensation Reports User Group - PEPA','01','7','INYC_PEPA_RESUMEN,INYC_PEPA_DETALLE',TO_DATE('20140101','yyyymmdd'),TO_DATE('22000101','yyyymmdd'),'');</v>
      </c>
    </row>
    <row r="482" spans="1:1" x14ac:dyDescent="0.25">
      <c r="A482" t="str">
        <f>IF(AGENTES!I483="OBSOLETO","","INSERT INTO INYCEXT.INYC_CONF_INF_AGENTES (COD_INFORME,BO_GROUP,COMPANIA,ID_TIPO_AGENTE,TABLA,F_INICIO,F_FIN,DESCRIPCION) VALUES ("&amp;AGENTES!B483&amp;",'"&amp;AGENTES!C483&amp;"','"&amp;AGENTES!D483&amp;"','"&amp;AGENTES!E483&amp;"','"&amp;AGENTES!F483&amp;"',TO_DATE('"&amp;AGENTES!G483&amp;"','yyyymmdd'),TO_DATE('"&amp;AGENTES!H483&amp;"','yyyymmdd'),'"&amp;AGENTES!I483&amp;"');")</f>
        <v>INSERT INTO INYCEXT.INYC_CONF_INF_AGENTES (COD_INFORME,BO_GROUP,COMPANIA,ID_TIPO_AGENTE,TABLA,F_INICIO,F_FIN,DESCRIPCION) VALUES (104,'INYC Compensation Reports User Group - PEPA','01','8','INYC_PEPA_RESUMEN,INYC_PEPA_DETALLE',TO_DATE('20140101','yyyymmdd'),TO_DATE('22000101','yyyymmdd'),'');</v>
      </c>
    </row>
    <row r="483" spans="1:1" x14ac:dyDescent="0.25">
      <c r="A483" t="str">
        <f>IF(AGENTES!I484="OBSOLETO","","INSERT INTO INYCEXT.INYC_CONF_INF_AGENTES (COD_INFORME,BO_GROUP,COMPANIA,ID_TIPO_AGENTE,TABLA,F_INICIO,F_FIN,DESCRIPCION) VALUES ("&amp;AGENTES!B484&amp;",'"&amp;AGENTES!C484&amp;"','"&amp;AGENTES!D484&amp;"','"&amp;AGENTES!E484&amp;"','"&amp;AGENTES!F484&amp;"',TO_DATE('"&amp;AGENTES!G484&amp;"','yyyymmdd'),TO_DATE('"&amp;AGENTES!H484&amp;"','yyyymmdd'),'"&amp;AGENTES!I484&amp;"');")</f>
        <v>INSERT INTO INYCEXT.INYC_CONF_INF_AGENTES (COD_INFORME,BO_GROUP,COMPANIA,ID_TIPO_AGENTE,TABLA,F_INICIO,F_FIN,DESCRIPCION) VALUES (104,'INYC Compensation Reports User Group - PEPA','01','9','INYC_PEPA_RESUMEN,INYC_PEPA_DETALLE',TO_DATE('20140101','yyyymmdd'),TO_DATE('22000101','yyyymmdd'),'');</v>
      </c>
    </row>
    <row r="484" spans="1:1" x14ac:dyDescent="0.25">
      <c r="A484" t="str">
        <f>IF(AGENTES!I485="OBSOLETO","","INSERT INTO INYCEXT.INYC_CONF_INF_AGENTES (COD_INFORME,BO_GROUP,COMPANIA,ID_TIPO_AGENTE,TABLA,F_INICIO,F_FIN,DESCRIPCION) VALUES ("&amp;AGENTES!B485&amp;",'"&amp;AGENTES!C485&amp;"','"&amp;AGENTES!D485&amp;"','"&amp;AGENTES!E485&amp;"','"&amp;AGENTES!F485&amp;"',TO_DATE('"&amp;AGENTES!G485&amp;"','yyyymmdd'),TO_DATE('"&amp;AGENTES!H485&amp;"','yyyymmdd'),'"&amp;AGENTES!I485&amp;"');")</f>
        <v>INSERT INTO INYCEXT.INYC_CONF_INF_AGENTES (COD_INFORME,BO_GROUP,COMPANIA,ID_TIPO_AGENTE,TABLA,F_INICIO,F_FIN,DESCRIPCION) VALUES (104,'INYC Compensation Reports User Group - PEPA','01','11','INYC_PEPA_RESUMEN,INYC_PEPA_DETALLE',TO_DATE('20140101','yyyymmdd'),TO_DATE('22000101','yyyymmdd'),'');</v>
      </c>
    </row>
    <row r="485" spans="1:1" x14ac:dyDescent="0.25">
      <c r="A485" t="str">
        <f>IF(AGENTES!I486="OBSOLETO","","INSERT INTO INYCEXT.INYC_CONF_INF_AGENTES (COD_INFORME,BO_GROUP,COMPANIA,ID_TIPO_AGENTE,TABLA,F_INICIO,F_FIN,DESCRIPCION) VALUES ("&amp;AGENTES!B486&amp;",'"&amp;AGENTES!C486&amp;"','"&amp;AGENTES!D486&amp;"','"&amp;AGENTES!E486&amp;"','"&amp;AGENTES!F486&amp;"',TO_DATE('"&amp;AGENTES!G486&amp;"','yyyymmdd'),TO_DATE('"&amp;AGENTES!H486&amp;"','yyyymmdd'),'"&amp;AGENTES!I486&amp;"');")</f>
        <v>INSERT INTO INYCEXT.INYC_CONF_INF_AGENTES (COD_INFORME,BO_GROUP,COMPANIA,ID_TIPO_AGENTE,TABLA,F_INICIO,F_FIN,DESCRIPCION) VALUES (104,'INYC Compensation Reports User Group - PEPA','01','12','INYC_PEPA_RESUMEN,INYC_PEPA_DETALLE',TO_DATE('20140101','yyyymmdd'),TO_DATE('22000101','yyyymmdd'),'');</v>
      </c>
    </row>
    <row r="486" spans="1:1" x14ac:dyDescent="0.25">
      <c r="A486" t="str">
        <f>IF(AGENTES!I487="OBSOLETO","","INSERT INTO INYCEXT.INYC_CONF_INF_AGENTES (COD_INFORME,BO_GROUP,COMPANIA,ID_TIPO_AGENTE,TABLA,F_INICIO,F_FIN,DESCRIPCION) VALUES ("&amp;AGENTES!B487&amp;",'"&amp;AGENTES!C487&amp;"','"&amp;AGENTES!D487&amp;"','"&amp;AGENTES!E487&amp;"','"&amp;AGENTES!F487&amp;"',TO_DATE('"&amp;AGENTES!G487&amp;"','yyyymmdd'),TO_DATE('"&amp;AGENTES!H487&amp;"','yyyymmdd'),'"&amp;AGENTES!I487&amp;"');")</f>
        <v>INSERT INTO INYCEXT.INYC_CONF_INF_AGENTES (COD_INFORME,BO_GROUP,COMPANIA,ID_TIPO_AGENTE,TABLA,F_INICIO,F_FIN,DESCRIPCION) VALUES (104,'INYC Compensation Reports User Group - PEPA','01','13','INYC_PEPA_RESUMEN,INYC_PEPA_DETALLE',TO_DATE('20140101','yyyymmdd'),TO_DATE('22000101','yyyymmdd'),'');</v>
      </c>
    </row>
    <row r="487" spans="1:1" x14ac:dyDescent="0.25">
      <c r="A487" t="str">
        <f>IF(AGENTES!I488="OBSOLETO","","INSERT INTO INYCEXT.INYC_CONF_INF_AGENTES (COD_INFORME,BO_GROUP,COMPANIA,ID_TIPO_AGENTE,TABLA,F_INICIO,F_FIN,DESCRIPCION) VALUES ("&amp;AGENTES!B488&amp;",'"&amp;AGENTES!C488&amp;"','"&amp;AGENTES!D488&amp;"','"&amp;AGENTES!E488&amp;"','"&amp;AGENTES!F488&amp;"',TO_DATE('"&amp;AGENTES!G488&amp;"','yyyymmdd'),TO_DATE('"&amp;AGENTES!H488&amp;"','yyyymmdd'),'"&amp;AGENTES!I488&amp;"');")</f>
        <v>INSERT INTO INYCEXT.INYC_CONF_INF_AGENTES (COD_INFORME,BO_GROUP,COMPANIA,ID_TIPO_AGENTE,TABLA,F_INICIO,F_FIN,DESCRIPCION) VALUES (104,'INYC Compensation Reports User Group - PEPA','01','14','INYC_PEPA_RESUMEN,INYC_PEPA_DETALLE',TO_DATE('20140101','yyyymmdd'),TO_DATE('22000101','yyyymmdd'),'');</v>
      </c>
    </row>
    <row r="488" spans="1:1" x14ac:dyDescent="0.25">
      <c r="A488" t="str">
        <f>IF(AGENTES!I489="OBSOLETO","","INSERT INTO INYCEXT.INYC_CONF_INF_AGENTES (COD_INFORME,BO_GROUP,COMPANIA,ID_TIPO_AGENTE,TABLA,F_INICIO,F_FIN,DESCRIPCION) VALUES ("&amp;AGENTES!B489&amp;",'"&amp;AGENTES!C489&amp;"','"&amp;AGENTES!D489&amp;"','"&amp;AGENTES!E489&amp;"','"&amp;AGENTES!F489&amp;"',TO_DATE('"&amp;AGENTES!G489&amp;"','yyyymmdd'),TO_DATE('"&amp;AGENTES!H489&amp;"','yyyymmdd'),'"&amp;AGENTES!I489&amp;"');")</f>
        <v>INSERT INTO INYCEXT.INYC_CONF_INF_AGENTES (COD_INFORME,BO_GROUP,COMPANIA,ID_TIPO_AGENTE,TABLA,F_INICIO,F_FIN,DESCRIPCION) VALUES (104,'INYC Compensation Reports User Group - PEPA','01','15','INYC_PEPA_RESUMEN,INYC_PEPA_DETALLE',TO_DATE('20140101','yyyymmdd'),TO_DATE('22000101','yyyymmdd'),'');</v>
      </c>
    </row>
    <row r="489" spans="1:1" x14ac:dyDescent="0.25">
      <c r="A489" t="str">
        <f>IF(AGENTES!I490="OBSOLETO","","INSERT INTO INYCEXT.INYC_CONF_INF_AGENTES (COD_INFORME,BO_GROUP,COMPANIA,ID_TIPO_AGENTE,TABLA,F_INICIO,F_FIN,DESCRIPCION) VALUES ("&amp;AGENTES!B490&amp;",'"&amp;AGENTES!C490&amp;"','"&amp;AGENTES!D490&amp;"','"&amp;AGENTES!E490&amp;"','"&amp;AGENTES!F490&amp;"',TO_DATE('"&amp;AGENTES!G490&amp;"','yyyymmdd'),TO_DATE('"&amp;AGENTES!H490&amp;"','yyyymmdd'),'"&amp;AGENTES!I490&amp;"');")</f>
        <v>INSERT INTO INYCEXT.INYC_CONF_INF_AGENTES (COD_INFORME,BO_GROUP,COMPANIA,ID_TIPO_AGENTE,TABLA,F_INICIO,F_FIN,DESCRIPCION) VALUES (104,'INYC Compensation Reports User Group - PEPA','01','16','INYC_PEPA_RESUMEN,INYC_PEPA_DETALLE',TO_DATE('20140101','yyyymmdd'),TO_DATE('22000101','yyyymmdd'),'');</v>
      </c>
    </row>
    <row r="490" spans="1:1" x14ac:dyDescent="0.25">
      <c r="A490" t="str">
        <f>IF(AGENTES!I491="OBSOLETO","","INSERT INTO INYCEXT.INYC_CONF_INF_AGENTES (COD_INFORME,BO_GROUP,COMPANIA,ID_TIPO_AGENTE,TABLA,F_INICIO,F_FIN,DESCRIPCION) VALUES ("&amp;AGENTES!B491&amp;",'"&amp;AGENTES!C491&amp;"','"&amp;AGENTES!D491&amp;"','"&amp;AGENTES!E491&amp;"','"&amp;AGENTES!F491&amp;"',TO_DATE('"&amp;AGENTES!G491&amp;"','yyyymmdd'),TO_DATE('"&amp;AGENTES!H491&amp;"','yyyymmdd'),'"&amp;AGENTES!I491&amp;"');")</f>
        <v>INSERT INTO INYCEXT.INYC_CONF_INF_AGENTES (COD_INFORME,BO_GROUP,COMPANIA,ID_TIPO_AGENTE,TABLA,F_INICIO,F_FIN,DESCRIPCION) VALUES (104,'INYC Compensation Reports User Group - PEPA','01','17','INYC_PEPA_RESUMEN,INYC_PEPA_DETALLE',TO_DATE('20140101','yyyymmdd'),TO_DATE('22000101','yyyymmdd'),'');</v>
      </c>
    </row>
    <row r="491" spans="1:1" x14ac:dyDescent="0.25">
      <c r="A491" t="str">
        <f>IF(AGENTES!I492="OBSOLETO","","INSERT INTO INYCEXT.INYC_CONF_INF_AGENTES (COD_INFORME,BO_GROUP,COMPANIA,ID_TIPO_AGENTE,TABLA,F_INICIO,F_FIN,DESCRIPCION) VALUES ("&amp;AGENTES!B492&amp;",'"&amp;AGENTES!C492&amp;"','"&amp;AGENTES!D492&amp;"','"&amp;AGENTES!E492&amp;"','"&amp;AGENTES!F492&amp;"',TO_DATE('"&amp;AGENTES!G492&amp;"','yyyymmdd'),TO_DATE('"&amp;AGENTES!H492&amp;"','yyyymmdd'),'"&amp;AGENTES!I492&amp;"');")</f>
        <v>INSERT INTO INYCEXT.INYC_CONF_INF_AGENTES (COD_INFORME,BO_GROUP,COMPANIA,ID_TIPO_AGENTE,TABLA,F_INICIO,F_FIN,DESCRIPCION) VALUES (104,'INYC Compensation Reports User Group - PEPA','01','19','INYC_PEPA_RESUMEN,INYC_PEPA_DETALLE',TO_DATE('20170801','yyyymmdd'),TO_DATE('22000101','yyyymmdd'),'Version 20170810');</v>
      </c>
    </row>
    <row r="492" spans="1:1" x14ac:dyDescent="0.25">
      <c r="A492" t="str">
        <f>IF(AGENTES!I493="OBSOLETO","","INSERT INTO INYCEXT.INYC_CONF_INF_AGENTES (COD_INFORME,BO_GROUP,COMPANIA,ID_TIPO_AGENTE,TABLA,F_INICIO,F_FIN,DESCRIPCION) VALUES ("&amp;AGENTES!B493&amp;",'"&amp;AGENTES!C493&amp;"','"&amp;AGENTES!D493&amp;"','"&amp;AGENTES!E493&amp;"','"&amp;AGENTES!F493&amp;"',TO_DATE('"&amp;AGENTES!G493&amp;"','yyyymmdd'),TO_DATE('"&amp;AGENTES!H493&amp;"','yyyymmdd'),'"&amp;AGENTES!I493&amp;"');")</f>
        <v>INSERT INTO INYCEXT.INYC_CONF_INF_AGENTES (COD_INFORME,BO_GROUP,COMPANIA,ID_TIPO_AGENTE,TABLA,F_INICIO,F_FIN,DESCRIPCION) VALUES (104,'INYC Compensation Reports User Group - PEPA','01','20','INYC_PEPA_RESUMEN,INYC_PEPA_DETALLE',TO_DATE('20140101','yyyymmdd'),TO_DATE('22000101','yyyymmdd'),'');</v>
      </c>
    </row>
    <row r="493" spans="1:1" x14ac:dyDescent="0.25">
      <c r="A493" t="str">
        <f>IF(AGENTES!I494="OBSOLETO","","INSERT INTO INYCEXT.INYC_CONF_INF_AGENTES (COD_INFORME,BO_GROUP,COMPANIA,ID_TIPO_AGENTE,TABLA,F_INICIO,F_FIN,DESCRIPCION) VALUES ("&amp;AGENTES!B494&amp;",'"&amp;AGENTES!C494&amp;"','"&amp;AGENTES!D494&amp;"','"&amp;AGENTES!E494&amp;"','"&amp;AGENTES!F494&amp;"',TO_DATE('"&amp;AGENTES!G494&amp;"','yyyymmdd'),TO_DATE('"&amp;AGENTES!H494&amp;"','yyyymmdd'),'"&amp;AGENTES!I494&amp;"');")</f>
        <v>INSERT INTO INYCEXT.INYC_CONF_INF_AGENTES (COD_INFORME,BO_GROUP,COMPANIA,ID_TIPO_AGENTE,TABLA,F_INICIO,F_FIN,DESCRIPCION) VALUES (104,'INYC Compensation Reports User Group - PEPA','01','22','INYC_PEPA_RESUMEN,INYC_PEPA_DETALLE',TO_DATE('20140101','yyyymmdd'),TO_DATE('22000101','yyyymmdd'),'');</v>
      </c>
    </row>
    <row r="494" spans="1:1" x14ac:dyDescent="0.25">
      <c r="A494" t="str">
        <f>IF(AGENTES!I495="OBSOLETO","","INSERT INTO INYCEXT.INYC_CONF_INF_AGENTES (COD_INFORME,BO_GROUP,COMPANIA,ID_TIPO_AGENTE,TABLA,F_INICIO,F_FIN,DESCRIPCION) VALUES ("&amp;AGENTES!B495&amp;",'"&amp;AGENTES!C495&amp;"','"&amp;AGENTES!D495&amp;"','"&amp;AGENTES!E495&amp;"','"&amp;AGENTES!F495&amp;"',TO_DATE('"&amp;AGENTES!G495&amp;"','yyyymmdd'),TO_DATE('"&amp;AGENTES!H495&amp;"','yyyymmdd'),'"&amp;AGENTES!I495&amp;"');")</f>
        <v>INSERT INTO INYCEXT.INYC_CONF_INF_AGENTES (COD_INFORME,BO_GROUP,COMPANIA,ID_TIPO_AGENTE,TABLA,F_INICIO,F_FIN,DESCRIPCION) VALUES (104,'INYC Compensation Reports User Group - PEPA','01','23','INYC_PEPA_RESUMEN,INYC_PEPA_DETALLE',TO_DATE('20140101','yyyymmdd'),TO_DATE('22000101','yyyymmdd'),'');</v>
      </c>
    </row>
    <row r="495" spans="1:1" x14ac:dyDescent="0.25">
      <c r="A495" t="str">
        <f>IF(AGENTES!I496="OBSOLETO","","INSERT INTO INYCEXT.INYC_CONF_INF_AGENTES (COD_INFORME,BO_GROUP,COMPANIA,ID_TIPO_AGENTE,TABLA,F_INICIO,F_FIN,DESCRIPCION) VALUES ("&amp;AGENTES!B496&amp;",'"&amp;AGENTES!C496&amp;"','"&amp;AGENTES!D496&amp;"','"&amp;AGENTES!E496&amp;"','"&amp;AGENTES!F496&amp;"',TO_DATE('"&amp;AGENTES!G496&amp;"','yyyymmdd'),TO_DATE('"&amp;AGENTES!H496&amp;"','yyyymmdd'),'"&amp;AGENTES!I496&amp;"');")</f>
        <v>INSERT INTO INYCEXT.INYC_CONF_INF_AGENTES (COD_INFORME,BO_GROUP,COMPANIA,ID_TIPO_AGENTE,TABLA,F_INICIO,F_FIN,DESCRIPCION) VALUES (104,'INYC Compensation Reports User Group - PEPA','01','25','INYC_PEPA_RESUMEN,INYC_PEPA_DETALLE',TO_DATE('20140101','yyyymmdd'),TO_DATE('22000101','yyyymmdd'),'');</v>
      </c>
    </row>
    <row r="496" spans="1:1" x14ac:dyDescent="0.25">
      <c r="A496" t="str">
        <f>IF(AGENTES!I497="OBSOLETO","","INSERT INTO INYCEXT.INYC_CONF_INF_AGENTES (COD_INFORME,BO_GROUP,COMPANIA,ID_TIPO_AGENTE,TABLA,F_INICIO,F_FIN,DESCRIPCION) VALUES ("&amp;AGENTES!B497&amp;",'"&amp;AGENTES!C497&amp;"','"&amp;AGENTES!D497&amp;"','"&amp;AGENTES!E497&amp;"','"&amp;AGENTES!F497&amp;"',TO_DATE('"&amp;AGENTES!G497&amp;"','yyyymmdd'),TO_DATE('"&amp;AGENTES!H497&amp;"','yyyymmdd'),'"&amp;AGENTES!I497&amp;"');")</f>
        <v>INSERT INTO INYCEXT.INYC_CONF_INF_AGENTES (COD_INFORME,BO_GROUP,COMPANIA,ID_TIPO_AGENTE,TABLA,F_INICIO,F_FIN,DESCRIPCION) VALUES (104,'INYC Compensation Reports User Group - PEPA','01','26','INYC_PEPA_RESUMEN,INYC_PEPA_DETALLE',TO_DATE('20140101','yyyymmdd'),TO_DATE('22000101','yyyymmdd'),'');</v>
      </c>
    </row>
    <row r="497" spans="1:1" x14ac:dyDescent="0.25">
      <c r="A497" t="str">
        <f>IF(AGENTES!I498="OBSOLETO","","INSERT INTO INYCEXT.INYC_CONF_INF_AGENTES (COD_INFORME,BO_GROUP,COMPANIA,ID_TIPO_AGENTE,TABLA,F_INICIO,F_FIN,DESCRIPCION) VALUES ("&amp;AGENTES!B498&amp;",'"&amp;AGENTES!C498&amp;"','"&amp;AGENTES!D498&amp;"','"&amp;AGENTES!E498&amp;"','"&amp;AGENTES!F498&amp;"',TO_DATE('"&amp;AGENTES!G498&amp;"','yyyymmdd'),TO_DATE('"&amp;AGENTES!H498&amp;"','yyyymmdd'),'"&amp;AGENTES!I498&amp;"');")</f>
        <v>INSERT INTO INYCEXT.INYC_CONF_INF_AGENTES (COD_INFORME,BO_GROUP,COMPANIA,ID_TIPO_AGENTE,TABLA,F_INICIO,F_FIN,DESCRIPCION) VALUES (104,'INYC Compensation Reports User Group - PEPA','01','27','INYC_PEPA_RESUMEN,INYC_PEPA_DETALLE',TO_DATE('20140101','yyyymmdd'),TO_DATE('22000101','yyyymmdd'),'');</v>
      </c>
    </row>
    <row r="498" spans="1:1" x14ac:dyDescent="0.25">
      <c r="A498" t="str">
        <f>IF(AGENTES!I499="OBSOLETO","","INSERT INTO INYCEXT.INYC_CONF_INF_AGENTES (COD_INFORME,BO_GROUP,COMPANIA,ID_TIPO_AGENTE,TABLA,F_INICIO,F_FIN,DESCRIPCION) VALUES ("&amp;AGENTES!B499&amp;",'"&amp;AGENTES!C499&amp;"','"&amp;AGENTES!D499&amp;"','"&amp;AGENTES!E499&amp;"','"&amp;AGENTES!F499&amp;"',TO_DATE('"&amp;AGENTES!G499&amp;"','yyyymmdd'),TO_DATE('"&amp;AGENTES!H499&amp;"','yyyymmdd'),'"&amp;AGENTES!I499&amp;"');")</f>
        <v>INSERT INTO INYCEXT.INYC_CONF_INF_AGENTES (COD_INFORME,BO_GROUP,COMPANIA,ID_TIPO_AGENTE,TABLA,F_INICIO,F_FIN,DESCRIPCION) VALUES (104,'INYC Compensation Reports User Group - PEPA','01','29','INYC_PEPA_RESUMEN,INYC_PEPA_DETALLE',TO_DATE('20140101','yyyymmdd'),TO_DATE('22000101','yyyymmdd'),'');</v>
      </c>
    </row>
    <row r="499" spans="1:1" x14ac:dyDescent="0.25">
      <c r="A499" t="str">
        <f>IF(AGENTES!I500="OBSOLETO","","INSERT INTO INYCEXT.INYC_CONF_INF_AGENTES (COD_INFORME,BO_GROUP,COMPANIA,ID_TIPO_AGENTE,TABLA,F_INICIO,F_FIN,DESCRIPCION) VALUES ("&amp;AGENTES!B500&amp;",'"&amp;AGENTES!C500&amp;"','"&amp;AGENTES!D500&amp;"','"&amp;AGENTES!E500&amp;"','"&amp;AGENTES!F500&amp;"',TO_DATE('"&amp;AGENTES!G500&amp;"','yyyymmdd'),TO_DATE('"&amp;AGENTES!H500&amp;"','yyyymmdd'),'"&amp;AGENTES!I500&amp;"');")</f>
        <v>INSERT INTO INYCEXT.INYC_CONF_INF_AGENTES (COD_INFORME,BO_GROUP,COMPANIA,ID_TIPO_AGENTE,TABLA,F_INICIO,F_FIN,DESCRIPCION) VALUES (104,'INYC Compensation Reports User Group - PEPA','01','30','INYC_PEPA_RESUMEN,INYC_PEPA_DETALLE',TO_DATE('20140101','yyyymmdd'),TO_DATE('22000101','yyyymmdd'),'');</v>
      </c>
    </row>
    <row r="500" spans="1:1" x14ac:dyDescent="0.25">
      <c r="A500" t="str">
        <f>IF(AGENTES!I501="OBSOLETO","","INSERT INTO INYCEXT.INYC_CONF_INF_AGENTES (COD_INFORME,BO_GROUP,COMPANIA,ID_TIPO_AGENTE,TABLA,F_INICIO,F_FIN,DESCRIPCION) VALUES ("&amp;AGENTES!B501&amp;",'"&amp;AGENTES!C501&amp;"','"&amp;AGENTES!D501&amp;"','"&amp;AGENTES!E501&amp;"','"&amp;AGENTES!F501&amp;"',TO_DATE('"&amp;AGENTES!G501&amp;"','yyyymmdd'),TO_DATE('"&amp;AGENTES!H501&amp;"','yyyymmdd'),'"&amp;AGENTES!I501&amp;"');")</f>
        <v>INSERT INTO INYCEXT.INYC_CONF_INF_AGENTES (COD_INFORME,BO_GROUP,COMPANIA,ID_TIPO_AGENTE,TABLA,F_INICIO,F_FIN,DESCRIPCION) VALUES (104,'INYC Compensation Reports User Group - PEPA','01','31','INYC_PEPA_RESUMEN,INYC_PEPA_DETALLE',TO_DATE('20140101','yyyymmdd'),TO_DATE('22000101','yyyymmdd'),'');</v>
      </c>
    </row>
    <row r="501" spans="1:1" x14ac:dyDescent="0.25">
      <c r="A501" t="str">
        <f>IF(AGENTES!I502="OBSOLETO","","INSERT INTO INYCEXT.INYC_CONF_INF_AGENTES (COD_INFORME,BO_GROUP,COMPANIA,ID_TIPO_AGENTE,TABLA,F_INICIO,F_FIN,DESCRIPCION) VALUES ("&amp;AGENTES!B502&amp;",'"&amp;AGENTES!C502&amp;"','"&amp;AGENTES!D502&amp;"','"&amp;AGENTES!E502&amp;"','"&amp;AGENTES!F502&amp;"',TO_DATE('"&amp;AGENTES!G502&amp;"','yyyymmdd'),TO_DATE('"&amp;AGENTES!H502&amp;"','yyyymmdd'),'"&amp;AGENTES!I502&amp;"');")</f>
        <v>INSERT INTO INYCEXT.INYC_CONF_INF_AGENTES (COD_INFORME,BO_GROUP,COMPANIA,ID_TIPO_AGENTE,TABLA,F_INICIO,F_FIN,DESCRIPCION) VALUES (104,'INYC Compensation Reports User Group - PEPA','01','32','INYC_PEPA_RESUMEN,INYC_PEPA_DETALLE',TO_DATE('20140101','yyyymmdd'),TO_DATE('22000101','yyyymmdd'),'Version 20180926');</v>
      </c>
    </row>
    <row r="502" spans="1:1" x14ac:dyDescent="0.25">
      <c r="A502" t="str">
        <f>IF(AGENTES!I503="OBSOLETO","","INSERT INTO INYCEXT.INYC_CONF_INF_AGENTES (COD_INFORME,BO_GROUP,COMPANIA,ID_TIPO_AGENTE,TABLA,F_INICIO,F_FIN,DESCRIPCION) VALUES ("&amp;AGENTES!B503&amp;",'"&amp;AGENTES!C503&amp;"','"&amp;AGENTES!D503&amp;"','"&amp;AGENTES!E503&amp;"','"&amp;AGENTES!F503&amp;"',TO_DATE('"&amp;AGENTES!G503&amp;"','yyyymmdd'),TO_DATE('"&amp;AGENTES!H503&amp;"','yyyymmdd'),'"&amp;AGENTES!I503&amp;"');")</f>
        <v>INSERT INTO INYCEXT.INYC_CONF_INF_AGENTES (COD_INFORME,BO_GROUP,COMPANIA,ID_TIPO_AGENTE,TABLA,F_INICIO,F_FIN,DESCRIPCION) VALUES (104,'INYC Compensation Reports User Group - PEPA','01','33','INYC_PEPA_RESUMEN,INYC_PEPA_DETALLE',TO_DATE('20140101','yyyymmdd'),TO_DATE('22000101','yyyymmdd'),'');</v>
      </c>
    </row>
    <row r="503" spans="1:1" x14ac:dyDescent="0.25">
      <c r="A503" t="str">
        <f>IF(AGENTES!I504="OBSOLETO","","INSERT INTO INYCEXT.INYC_CONF_INF_AGENTES (COD_INFORME,BO_GROUP,COMPANIA,ID_TIPO_AGENTE,TABLA,F_INICIO,F_FIN,DESCRIPCION) VALUES ("&amp;AGENTES!B504&amp;",'"&amp;AGENTES!C504&amp;"','"&amp;AGENTES!D504&amp;"','"&amp;AGENTES!E504&amp;"','"&amp;AGENTES!F504&amp;"',TO_DATE('"&amp;AGENTES!G504&amp;"','yyyymmdd'),TO_DATE('"&amp;AGENTES!H504&amp;"','yyyymmdd'),'"&amp;AGENTES!I504&amp;"');")</f>
        <v>INSERT INTO INYCEXT.INYC_CONF_INF_AGENTES (COD_INFORME,BO_GROUP,COMPANIA,ID_TIPO_AGENTE,TABLA,F_INICIO,F_FIN,DESCRIPCION) VALUES (104,'INYC Compensation Reports User Group - PEPA','01','34','INYC_PEPA_RESUMEN,INYC_PEPA_DETALLE',TO_DATE('20140101','yyyymmdd'),TO_DATE('22000101','yyyymmdd'),'');</v>
      </c>
    </row>
    <row r="504" spans="1:1" x14ac:dyDescent="0.25">
      <c r="A504" t="str">
        <f>IF(AGENTES!I505="OBSOLETO","","INSERT INTO INYCEXT.INYC_CONF_INF_AGENTES (COD_INFORME,BO_GROUP,COMPANIA,ID_TIPO_AGENTE,TABLA,F_INICIO,F_FIN,DESCRIPCION) VALUES ("&amp;AGENTES!B505&amp;",'"&amp;AGENTES!C505&amp;"','"&amp;AGENTES!D505&amp;"','"&amp;AGENTES!E505&amp;"','"&amp;AGENTES!F505&amp;"',TO_DATE('"&amp;AGENTES!G505&amp;"','yyyymmdd'),TO_DATE('"&amp;AGENTES!H505&amp;"','yyyymmdd'),'"&amp;AGENTES!I505&amp;"');")</f>
        <v>INSERT INTO INYCEXT.INYC_CONF_INF_AGENTES (COD_INFORME,BO_GROUP,COMPANIA,ID_TIPO_AGENTE,TABLA,F_INICIO,F_FIN,DESCRIPCION) VALUES (104,'INYC Compensation Reports User Group - PEPA','01','35','INYC_PEPA_RESUMEN,INYC_PEPA_DETALLE',TO_DATE('20140101','yyyymmdd'),TO_DATE('22000101','yyyymmdd'),'');</v>
      </c>
    </row>
    <row r="505" spans="1:1" x14ac:dyDescent="0.25">
      <c r="A505" t="str">
        <f>IF(AGENTES!I506="OBSOLETO","","INSERT INTO INYCEXT.INYC_CONF_INF_AGENTES (COD_INFORME,BO_GROUP,COMPANIA,ID_TIPO_AGENTE,TABLA,F_INICIO,F_FIN,DESCRIPCION) VALUES ("&amp;AGENTES!B506&amp;",'"&amp;AGENTES!C506&amp;"','"&amp;AGENTES!D506&amp;"','"&amp;AGENTES!E506&amp;"','"&amp;AGENTES!F506&amp;"',TO_DATE('"&amp;AGENTES!G506&amp;"','yyyymmdd'),TO_DATE('"&amp;AGENTES!H506&amp;"','yyyymmdd'),'"&amp;AGENTES!I506&amp;"');")</f>
        <v>INSERT INTO INYCEXT.INYC_CONF_INF_AGENTES (COD_INFORME,BO_GROUP,COMPANIA,ID_TIPO_AGENTE,TABLA,F_INICIO,F_FIN,DESCRIPCION) VALUES (104,'INYC Compensation Reports User Group - PEPA','01','36','INYC_PEPA_RESUMEN,INYC_PEPA_DETALLE',TO_DATE('20140101','yyyymmdd'),TO_DATE('22000101','yyyymmdd'),'');</v>
      </c>
    </row>
    <row r="506" spans="1:1" x14ac:dyDescent="0.25">
      <c r="A506" t="str">
        <f>IF(AGENTES!I507="OBSOLETO","","INSERT INTO INYCEXT.INYC_CONF_INF_AGENTES (COD_INFORME,BO_GROUP,COMPANIA,ID_TIPO_AGENTE,TABLA,F_INICIO,F_FIN,DESCRIPCION) VALUES ("&amp;AGENTES!B507&amp;",'"&amp;AGENTES!C507&amp;"','"&amp;AGENTES!D507&amp;"','"&amp;AGENTES!E507&amp;"','"&amp;AGENTES!F507&amp;"',TO_DATE('"&amp;AGENTES!G507&amp;"','yyyymmdd'),TO_DATE('"&amp;AGENTES!H507&amp;"','yyyymmdd'),'"&amp;AGENTES!I507&amp;"');")</f>
        <v>INSERT INTO INYCEXT.INYC_CONF_INF_AGENTES (COD_INFORME,BO_GROUP,COMPANIA,ID_TIPO_AGENTE,TABLA,F_INICIO,F_FIN,DESCRIPCION) VALUES (104,'INYC Compensation Reports User Group - PEPA','01','38','INYC_PEPA_RESUMEN,INYC_PEPA_DETALLE',TO_DATE('20140101','yyyymmdd'),TO_DATE('22000101','yyyymmdd'),'');</v>
      </c>
    </row>
    <row r="507" spans="1:1" x14ac:dyDescent="0.25">
      <c r="A507" t="str">
        <f>IF(AGENTES!I508="OBSOLETO","","INSERT INTO INYCEXT.INYC_CONF_INF_AGENTES (COD_INFORME,BO_GROUP,COMPANIA,ID_TIPO_AGENTE,TABLA,F_INICIO,F_FIN,DESCRIPCION) VALUES ("&amp;AGENTES!B508&amp;",'"&amp;AGENTES!C508&amp;"','"&amp;AGENTES!D508&amp;"','"&amp;AGENTES!E508&amp;"','"&amp;AGENTES!F508&amp;"',TO_DATE('"&amp;AGENTES!G508&amp;"','yyyymmdd'),TO_DATE('"&amp;AGENTES!H508&amp;"','yyyymmdd'),'"&amp;AGENTES!I508&amp;"');")</f>
        <v>INSERT INTO INYCEXT.INYC_CONF_INF_AGENTES (COD_INFORME,BO_GROUP,COMPANIA,ID_TIPO_AGENTE,TABLA,F_INICIO,F_FIN,DESCRIPCION) VALUES (104,'INYC Compensation Reports User Group - PEPA','01','39','INYC_PEPA_RESUMEN,INYC_PEPA_DETALLE',TO_DATE('20140101','yyyymmdd'),TO_DATE('22000101','yyyymmdd'),'');</v>
      </c>
    </row>
    <row r="508" spans="1:1" x14ac:dyDescent="0.25">
      <c r="A508" t="str">
        <f>IF(AGENTES!I509="OBSOLETO","","INSERT INTO INYCEXT.INYC_CONF_INF_AGENTES (COD_INFORME,BO_GROUP,COMPANIA,ID_TIPO_AGENTE,TABLA,F_INICIO,F_FIN,DESCRIPCION) VALUES ("&amp;AGENTES!B509&amp;",'"&amp;AGENTES!C509&amp;"','"&amp;AGENTES!D509&amp;"','"&amp;AGENTES!E509&amp;"','"&amp;AGENTES!F509&amp;"',TO_DATE('"&amp;AGENTES!G509&amp;"','yyyymmdd'),TO_DATE('"&amp;AGENTES!H509&amp;"','yyyymmdd'),'"&amp;AGENTES!I509&amp;"');")</f>
        <v>INSERT INTO INYCEXT.INYC_CONF_INF_AGENTES (COD_INFORME,BO_GROUP,COMPANIA,ID_TIPO_AGENTE,TABLA,F_INICIO,F_FIN,DESCRIPCION) VALUES (104,'INYC Compensation Reports User Group - PEPA','01','40','INYC_PEPA_RESUMEN,INYC_PEPA_DETALLE',TO_DATE('20140101','yyyymmdd'),TO_DATE('22000101','yyyymmdd'),'');</v>
      </c>
    </row>
    <row r="509" spans="1:1" x14ac:dyDescent="0.25">
      <c r="A509" t="str">
        <f>IF(AGENTES!I510="OBSOLETO","","INSERT INTO INYCEXT.INYC_CONF_INF_AGENTES (COD_INFORME,BO_GROUP,COMPANIA,ID_TIPO_AGENTE,TABLA,F_INICIO,F_FIN,DESCRIPCION) VALUES ("&amp;AGENTES!B510&amp;",'"&amp;AGENTES!C510&amp;"','"&amp;AGENTES!D510&amp;"','"&amp;AGENTES!E510&amp;"','"&amp;AGENTES!F510&amp;"',TO_DATE('"&amp;AGENTES!G510&amp;"','yyyymmdd'),TO_DATE('"&amp;AGENTES!H510&amp;"','yyyymmdd'),'"&amp;AGENTES!I510&amp;"');")</f>
        <v>INSERT INTO INYCEXT.INYC_CONF_INF_AGENTES (COD_INFORME,BO_GROUP,COMPANIA,ID_TIPO_AGENTE,TABLA,F_INICIO,F_FIN,DESCRIPCION) VALUES (104,'INYC Compensation Reports User Group - PEPA','01','41','INYC_PEPA_RESUMEN,INYC_PEPA_DETALLE',TO_DATE('20140101','yyyymmdd'),TO_DATE('22000101','yyyymmdd'),'');</v>
      </c>
    </row>
    <row r="510" spans="1:1" x14ac:dyDescent="0.25">
      <c r="A510" t="str">
        <f>IF(AGENTES!I511="OBSOLETO","","INSERT INTO INYCEXT.INYC_CONF_INF_AGENTES (COD_INFORME,BO_GROUP,COMPANIA,ID_TIPO_AGENTE,TABLA,F_INICIO,F_FIN,DESCRIPCION) VALUES ("&amp;AGENTES!B511&amp;",'"&amp;AGENTES!C511&amp;"','"&amp;AGENTES!D511&amp;"','"&amp;AGENTES!E511&amp;"','"&amp;AGENTES!F511&amp;"',TO_DATE('"&amp;AGENTES!G511&amp;"','yyyymmdd'),TO_DATE('"&amp;AGENTES!H511&amp;"','yyyymmdd'),'"&amp;AGENTES!I511&amp;"');")</f>
        <v>INSERT INTO INYCEXT.INYC_CONF_INF_AGENTES (COD_INFORME,BO_GROUP,COMPANIA,ID_TIPO_AGENTE,TABLA,F_INICIO,F_FIN,DESCRIPCION) VALUES (104,'INYC Compensation Reports User Group - PEPA','01','42','INYC_PEPA_RESUMEN,INYC_PEPA_DETALLE',TO_DATE('20140101','yyyymmdd'),TO_DATE('22000101','yyyymmdd'),'');</v>
      </c>
    </row>
    <row r="511" spans="1:1" x14ac:dyDescent="0.25">
      <c r="A511" t="str">
        <f>IF(AGENTES!I512="OBSOLETO","","INSERT INTO INYCEXT.INYC_CONF_INF_AGENTES (COD_INFORME,BO_GROUP,COMPANIA,ID_TIPO_AGENTE,TABLA,F_INICIO,F_FIN,DESCRIPCION) VALUES ("&amp;AGENTES!B512&amp;",'"&amp;AGENTES!C512&amp;"','"&amp;AGENTES!D512&amp;"','"&amp;AGENTES!E512&amp;"','"&amp;AGENTES!F512&amp;"',TO_DATE('"&amp;AGENTES!G512&amp;"','yyyymmdd'),TO_DATE('"&amp;AGENTES!H512&amp;"','yyyymmdd'),'"&amp;AGENTES!I512&amp;"');")</f>
        <v>INSERT INTO INYCEXT.INYC_CONF_INF_AGENTES (COD_INFORME,BO_GROUP,COMPANIA,ID_TIPO_AGENTE,TABLA,F_INICIO,F_FIN,DESCRIPCION) VALUES (104,'INYC Compensation Reports User Group - PEPA','01','44','INYC_PEPA_RESUMEN,INYC_PEPA_DETALLE',TO_DATE('20140101','yyyymmdd'),TO_DATE('22000101','yyyymmdd'),'');</v>
      </c>
    </row>
    <row r="512" spans="1:1" x14ac:dyDescent="0.25">
      <c r="A512" t="str">
        <f>IF(AGENTES!I513="OBSOLETO","","INSERT INTO INYCEXT.INYC_CONF_INF_AGENTES (COD_INFORME,BO_GROUP,COMPANIA,ID_TIPO_AGENTE,TABLA,F_INICIO,F_FIN,DESCRIPCION) VALUES ("&amp;AGENTES!B513&amp;",'"&amp;AGENTES!C513&amp;"','"&amp;AGENTES!D513&amp;"','"&amp;AGENTES!E513&amp;"','"&amp;AGENTES!F513&amp;"',TO_DATE('"&amp;AGENTES!G513&amp;"','yyyymmdd'),TO_DATE('"&amp;AGENTES!H513&amp;"','yyyymmdd'),'"&amp;AGENTES!I513&amp;"');")</f>
        <v>INSERT INTO INYCEXT.INYC_CONF_INF_AGENTES (COD_INFORME,BO_GROUP,COMPANIA,ID_TIPO_AGENTE,TABLA,F_INICIO,F_FIN,DESCRIPCION) VALUES (104,'INYC Compensation Reports User Group - PEPA','01','45','INYC_PEPA_RESUMEN,INYC_PEPA_DETALLE',TO_DATE('20140101','yyyymmdd'),TO_DATE('22000101','yyyymmdd'),'');</v>
      </c>
    </row>
    <row r="513" spans="1:1" x14ac:dyDescent="0.25">
      <c r="A513" t="str">
        <f>IF(AGENTES!I514="OBSOLETO","","INSERT INTO INYCEXT.INYC_CONF_INF_AGENTES (COD_INFORME,BO_GROUP,COMPANIA,ID_TIPO_AGENTE,TABLA,F_INICIO,F_FIN,DESCRIPCION) VALUES ("&amp;AGENTES!B514&amp;",'"&amp;AGENTES!C514&amp;"','"&amp;AGENTES!D514&amp;"','"&amp;AGENTES!E514&amp;"','"&amp;AGENTES!F514&amp;"',TO_DATE('"&amp;AGENTES!G514&amp;"','yyyymmdd'),TO_DATE('"&amp;AGENTES!H514&amp;"','yyyymmdd'),'"&amp;AGENTES!I514&amp;"');")</f>
        <v>INSERT INTO INYCEXT.INYC_CONF_INF_AGENTES (COD_INFORME,BO_GROUP,COMPANIA,ID_TIPO_AGENTE,TABLA,F_INICIO,F_FIN,DESCRIPCION) VALUES (104,'INYC Compensation Reports User Group - PEPA','01','46','INYC_PEPA_RESUMEN,INYC_PEPA_DETALLE',TO_DATE('20140101','yyyymmdd'),TO_DATE('22000101','yyyymmdd'),'');</v>
      </c>
    </row>
    <row r="514" spans="1:1" x14ac:dyDescent="0.25">
      <c r="A514" t="str">
        <f>IF(AGENTES!I515="OBSOLETO","","INSERT INTO INYCEXT.INYC_CONF_INF_AGENTES (COD_INFORME,BO_GROUP,COMPANIA,ID_TIPO_AGENTE,TABLA,F_INICIO,F_FIN,DESCRIPCION) VALUES ("&amp;AGENTES!B515&amp;",'"&amp;AGENTES!C515&amp;"','"&amp;AGENTES!D515&amp;"','"&amp;AGENTES!E515&amp;"','"&amp;AGENTES!F515&amp;"',TO_DATE('"&amp;AGENTES!G515&amp;"','yyyymmdd'),TO_DATE('"&amp;AGENTES!H515&amp;"','yyyymmdd'),'"&amp;AGENTES!I515&amp;"');")</f>
        <v>INSERT INTO INYCEXT.INYC_CONF_INF_AGENTES (COD_INFORME,BO_GROUP,COMPANIA,ID_TIPO_AGENTE,TABLA,F_INICIO,F_FIN,DESCRIPCION) VALUES (104,'INYC Compensation Reports User Group - PEPA','01','47','INYC_PEPA_RESUMEN,INYC_PEPA_DETALLE',TO_DATE('20140101','yyyymmdd'),TO_DATE('22000101','yyyymmdd'),'');</v>
      </c>
    </row>
    <row r="515" spans="1:1" x14ac:dyDescent="0.25">
      <c r="A515" t="str">
        <f>IF(AGENTES!I516="OBSOLETO","","INSERT INTO INYCEXT.INYC_CONF_INF_AGENTES (COD_INFORME,BO_GROUP,COMPANIA,ID_TIPO_AGENTE,TABLA,F_INICIO,F_FIN,DESCRIPCION) VALUES ("&amp;AGENTES!B516&amp;",'"&amp;AGENTES!C516&amp;"','"&amp;AGENTES!D516&amp;"','"&amp;AGENTES!E516&amp;"','"&amp;AGENTES!F516&amp;"',TO_DATE('"&amp;AGENTES!G516&amp;"','yyyymmdd'),TO_DATE('"&amp;AGENTES!H516&amp;"','yyyymmdd'),'"&amp;AGENTES!I516&amp;"');")</f>
        <v>INSERT INTO INYCEXT.INYC_CONF_INF_AGENTES (COD_INFORME,BO_GROUP,COMPANIA,ID_TIPO_AGENTE,TABLA,F_INICIO,F_FIN,DESCRIPCION) VALUES (104,'INYC Compensation Reports User Group - PEPA','01','48','INYC_PEPA_RESUMEN,INYC_PEPA_DETALLE',TO_DATE('20140101','yyyymmdd'),TO_DATE('22000101','yyyymmdd'),'');</v>
      </c>
    </row>
    <row r="516" spans="1:1" x14ac:dyDescent="0.25">
      <c r="A516" t="str">
        <f>IF(AGENTES!I517="OBSOLETO","","INSERT INTO INYCEXT.INYC_CONF_INF_AGENTES (COD_INFORME,BO_GROUP,COMPANIA,ID_TIPO_AGENTE,TABLA,F_INICIO,F_FIN,DESCRIPCION) VALUES ("&amp;AGENTES!B517&amp;",'"&amp;AGENTES!C517&amp;"','"&amp;AGENTES!D517&amp;"','"&amp;AGENTES!E517&amp;"','"&amp;AGENTES!F517&amp;"',TO_DATE('"&amp;AGENTES!G517&amp;"','yyyymmdd'),TO_DATE('"&amp;AGENTES!H517&amp;"','yyyymmdd'),'"&amp;AGENTES!I517&amp;"');")</f>
        <v>INSERT INTO INYCEXT.INYC_CONF_INF_AGENTES (COD_INFORME,BO_GROUP,COMPANIA,ID_TIPO_AGENTE,TABLA,F_INICIO,F_FIN,DESCRIPCION) VALUES (104,'INYC Compensation Reports User Group - PEPA','01','49','INYC_PEPA_RESUMEN,INYC_PEPA_DETALLE',TO_DATE('20140101','yyyymmdd'),TO_DATE('22000101','yyyymmdd'),'');</v>
      </c>
    </row>
    <row r="517" spans="1:1" x14ac:dyDescent="0.25">
      <c r="A517" t="str">
        <f>IF(AGENTES!I518="OBSOLETO","","INSERT INTO INYCEXT.INYC_CONF_INF_AGENTES (COD_INFORME,BO_GROUP,COMPANIA,ID_TIPO_AGENTE,TABLA,F_INICIO,F_FIN,DESCRIPCION) VALUES ("&amp;AGENTES!B518&amp;",'"&amp;AGENTES!C518&amp;"','"&amp;AGENTES!D518&amp;"','"&amp;AGENTES!E518&amp;"','"&amp;AGENTES!F518&amp;"',TO_DATE('"&amp;AGENTES!G518&amp;"','yyyymmdd'),TO_DATE('"&amp;AGENTES!H518&amp;"','yyyymmdd'),'"&amp;AGENTES!I518&amp;"');")</f>
        <v>INSERT INTO INYCEXT.INYC_CONF_INF_AGENTES (COD_INFORME,BO_GROUP,COMPANIA,ID_TIPO_AGENTE,TABLA,F_INICIO,F_FIN,DESCRIPCION) VALUES (104,'INYC Compensation Reports User Group - PEPA','01','52','INYC_PEPI_RESUMEN,INYC_PEPI_DETALLE',TO_DATE('20140101','yyyymmdd'),TO_DATE('22000101','yyyymmdd'),'');</v>
      </c>
    </row>
    <row r="518" spans="1:1" x14ac:dyDescent="0.25">
      <c r="A518" t="str">
        <f>IF(AGENTES!I519="OBSOLETO","","INSERT INTO INYCEXT.INYC_CONF_INF_AGENTES (COD_INFORME,BO_GROUP,COMPANIA,ID_TIPO_AGENTE,TABLA,F_INICIO,F_FIN,DESCRIPCION) VALUES ("&amp;AGENTES!B519&amp;",'"&amp;AGENTES!C519&amp;"','"&amp;AGENTES!D519&amp;"','"&amp;AGENTES!E519&amp;"','"&amp;AGENTES!F519&amp;"',TO_DATE('"&amp;AGENTES!G519&amp;"','yyyymmdd'),TO_DATE('"&amp;AGENTES!H519&amp;"','yyyymmdd'),'"&amp;AGENTES!I519&amp;"');")</f>
        <v>INSERT INTO INYCEXT.INYC_CONF_INF_AGENTES (COD_INFORME,BO_GROUP,COMPANIA,ID_TIPO_AGENTE,TABLA,F_INICIO,F_FIN,DESCRIPCION) VALUES (104,'INYC Compensation Reports User Group - PEPA','01','54','INYC_PEPI_RESUMEN,INYC_PEPI_DETALLE',TO_DATE('20140101','yyyymmdd'),TO_DATE('22000101','yyyymmdd'),'');</v>
      </c>
    </row>
    <row r="519" spans="1:1" x14ac:dyDescent="0.25">
      <c r="A519" t="str">
        <f>IF(AGENTES!I520="OBSOLETO","","INSERT INTO INYCEXT.INYC_CONF_INF_AGENTES (COD_INFORME,BO_GROUP,COMPANIA,ID_TIPO_AGENTE,TABLA,F_INICIO,F_FIN,DESCRIPCION) VALUES ("&amp;AGENTES!B520&amp;",'"&amp;AGENTES!C520&amp;"','"&amp;AGENTES!D520&amp;"','"&amp;AGENTES!E520&amp;"','"&amp;AGENTES!F520&amp;"',TO_DATE('"&amp;AGENTES!G520&amp;"','yyyymmdd'),TO_DATE('"&amp;AGENTES!H520&amp;"','yyyymmdd'),'"&amp;AGENTES!I520&amp;"');")</f>
        <v>INSERT INTO INYCEXT.INYC_CONF_INF_AGENTES (COD_INFORME,BO_GROUP,COMPANIA,ID_TIPO_AGENTE,TABLA,F_INICIO,F_FIN,DESCRIPCION) VALUES (104,'INYC Compensation Reports User Group - PEPA','01','56','INYC_PEPI_RESUMEN,INYC_PEPI_DETALLE',TO_DATE('20140101','yyyymmdd'),TO_DATE('22000101','yyyymmdd'),'');</v>
      </c>
    </row>
    <row r="520" spans="1:1" x14ac:dyDescent="0.25">
      <c r="A520" t="str">
        <f>IF(AGENTES!I521="OBSOLETO","","INSERT INTO INYCEXT.INYC_CONF_INF_AGENTES (COD_INFORME,BO_GROUP,COMPANIA,ID_TIPO_AGENTE,TABLA,F_INICIO,F_FIN,DESCRIPCION) VALUES ("&amp;AGENTES!B521&amp;",'"&amp;AGENTES!C521&amp;"','"&amp;AGENTES!D521&amp;"','"&amp;AGENTES!E521&amp;"','"&amp;AGENTES!F521&amp;"',TO_DATE('"&amp;AGENTES!G521&amp;"','yyyymmdd'),TO_DATE('"&amp;AGENTES!H521&amp;"','yyyymmdd'),'"&amp;AGENTES!I521&amp;"');")</f>
        <v>INSERT INTO INYCEXT.INYC_CONF_INF_AGENTES (COD_INFORME,BO_GROUP,COMPANIA,ID_TIPO_AGENTE,TABLA,F_INICIO,F_FIN,DESCRIPCION) VALUES (104,'INYC Compensation Reports User Group - PEPA','01','57','INYC_PEPI_RESUMEN,INYC_PEPI_DETALLE',TO_DATE('20140101','yyyymmdd'),TO_DATE('22000101','yyyymmdd'),'');</v>
      </c>
    </row>
    <row r="521" spans="1:1" x14ac:dyDescent="0.25">
      <c r="A521" t="str">
        <f>IF(AGENTES!I522="OBSOLETO","","INSERT INTO INYCEXT.INYC_CONF_INF_AGENTES (COD_INFORME,BO_GROUP,COMPANIA,ID_TIPO_AGENTE,TABLA,F_INICIO,F_FIN,DESCRIPCION) VALUES ("&amp;AGENTES!B522&amp;",'"&amp;AGENTES!C522&amp;"','"&amp;AGENTES!D522&amp;"','"&amp;AGENTES!E522&amp;"','"&amp;AGENTES!F522&amp;"',TO_DATE('"&amp;AGENTES!G522&amp;"','yyyymmdd'),TO_DATE('"&amp;AGENTES!H522&amp;"','yyyymmdd'),'"&amp;AGENTES!I522&amp;"');")</f>
        <v>INSERT INTO INYCEXT.INYC_CONF_INF_AGENTES (COD_INFORME,BO_GROUP,COMPANIA,ID_TIPO_AGENTE,TABLA,F_INICIO,F_FIN,DESCRIPCION) VALUES (104,'INYC Compensation Reports User Group - PEPA','01','58','INYC_PEPI_RESUMEN,INYC_PEPI_DETALLE',TO_DATE('20140101','yyyymmdd'),TO_DATE('22000101','yyyymmdd'),'');</v>
      </c>
    </row>
    <row r="522" spans="1:1" x14ac:dyDescent="0.25">
      <c r="A522" t="str">
        <f>IF(AGENTES!I523="OBSOLETO","","INSERT INTO INYCEXT.INYC_CONF_INF_AGENTES (COD_INFORME,BO_GROUP,COMPANIA,ID_TIPO_AGENTE,TABLA,F_INICIO,F_FIN,DESCRIPCION) VALUES ("&amp;AGENTES!B523&amp;",'"&amp;AGENTES!C523&amp;"','"&amp;AGENTES!D523&amp;"','"&amp;AGENTES!E523&amp;"','"&amp;AGENTES!F523&amp;"',TO_DATE('"&amp;AGENTES!G523&amp;"','yyyymmdd'),TO_DATE('"&amp;AGENTES!H523&amp;"','yyyymmdd'),'"&amp;AGENTES!I523&amp;"');")</f>
        <v>INSERT INTO INYCEXT.INYC_CONF_INF_AGENTES (COD_INFORME,BO_GROUP,COMPANIA,ID_TIPO_AGENTE,TABLA,F_INICIO,F_FIN,DESCRIPCION) VALUES (104,'INYC Compensation Reports User Group - PEPA','01','59','INYC_PEPI_RESUMEN,INYC_PEPI_DETALLE',TO_DATE('20140101','yyyymmdd'),TO_DATE('22000101','yyyymmdd'),'');</v>
      </c>
    </row>
    <row r="523" spans="1:1" x14ac:dyDescent="0.25">
      <c r="A523" t="str">
        <f>IF(AGENTES!I524="OBSOLETO","","INSERT INTO INYCEXT.INYC_CONF_INF_AGENTES (COD_INFORME,BO_GROUP,COMPANIA,ID_TIPO_AGENTE,TABLA,F_INICIO,F_FIN,DESCRIPCION) VALUES ("&amp;AGENTES!B524&amp;",'"&amp;AGENTES!C524&amp;"','"&amp;AGENTES!D524&amp;"','"&amp;AGENTES!E524&amp;"','"&amp;AGENTES!F524&amp;"',TO_DATE('"&amp;AGENTES!G524&amp;"','yyyymmdd'),TO_DATE('"&amp;AGENTES!H524&amp;"','yyyymmdd'),'"&amp;AGENTES!I524&amp;"');")</f>
        <v>INSERT INTO INYCEXT.INYC_CONF_INF_AGENTES (COD_INFORME,BO_GROUP,COMPANIA,ID_TIPO_AGENTE,TABLA,F_INICIO,F_FIN,DESCRIPCION) VALUES (104,'INYC Compensation Reports User Group - PEPA','01','60','INYC_PEPI_RESUMEN,INYC_PEPI_DETALLE',TO_DATE('20200101','yyyymmdd'),TO_DATE('22000101','yyyymmdd'),'Version 20200526');</v>
      </c>
    </row>
    <row r="524" spans="1:1" x14ac:dyDescent="0.25">
      <c r="A524" t="str">
        <f>IF(AGENTES!I525="OBSOLETO","","INSERT INTO INYCEXT.INYC_CONF_INF_AGENTES (COD_INFORME,BO_GROUP,COMPANIA,ID_TIPO_AGENTE,TABLA,F_INICIO,F_FIN,DESCRIPCION) VALUES ("&amp;AGENTES!B525&amp;",'"&amp;AGENTES!C525&amp;"','"&amp;AGENTES!D525&amp;"','"&amp;AGENTES!E525&amp;"','"&amp;AGENTES!F525&amp;"',TO_DATE('"&amp;AGENTES!G525&amp;"','yyyymmdd'),TO_DATE('"&amp;AGENTES!H525&amp;"','yyyymmdd'),'"&amp;AGENTES!I525&amp;"');")</f>
        <v>INSERT INTO INYCEXT.INYC_CONF_INF_AGENTES (COD_INFORME,BO_GROUP,COMPANIA,ID_TIPO_AGENTE,TABLA,F_INICIO,F_FIN,DESCRIPCION) VALUES (104,'INYC Compensation Reports User Group - PEPA','01','61','INYC_PEPI_RESUMEN,INYC_PEPI_DETALLE',TO_DATE('20140101','yyyymmdd'),TO_DATE('22000101','yyyymmdd'),'');</v>
      </c>
    </row>
    <row r="525" spans="1:1" x14ac:dyDescent="0.25">
      <c r="A525" t="str">
        <f>IF(AGENTES!I526="OBSOLETO","","INSERT INTO INYCEXT.INYC_CONF_INF_AGENTES (COD_INFORME,BO_GROUP,COMPANIA,ID_TIPO_AGENTE,TABLA,F_INICIO,F_FIN,DESCRIPCION) VALUES ("&amp;AGENTES!B526&amp;",'"&amp;AGENTES!C526&amp;"','"&amp;AGENTES!D526&amp;"','"&amp;AGENTES!E526&amp;"','"&amp;AGENTES!F526&amp;"',TO_DATE('"&amp;AGENTES!G526&amp;"','yyyymmdd'),TO_DATE('"&amp;AGENTES!H526&amp;"','yyyymmdd'),'"&amp;AGENTES!I526&amp;"');")</f>
        <v>INSERT INTO INYCEXT.INYC_CONF_INF_AGENTES (COD_INFORME,BO_GROUP,COMPANIA,ID_TIPO_AGENTE,TABLA,F_INICIO,F_FIN,DESCRIPCION) VALUES (104,'INYC Compensation Reports User Group - PEPA','01','62','INYC_PEPI_RESUMEN,INYC_PEPI_DETALLE',TO_DATE('20140101','yyyymmdd'),TO_DATE('22000101','yyyymmdd'),'');</v>
      </c>
    </row>
    <row r="526" spans="1:1" x14ac:dyDescent="0.25">
      <c r="A526" t="str">
        <f>IF(AGENTES!I527="OBSOLETO","","INSERT INTO INYCEXT.INYC_CONF_INF_AGENTES (COD_INFORME,BO_GROUP,COMPANIA,ID_TIPO_AGENTE,TABLA,F_INICIO,F_FIN,DESCRIPCION) VALUES ("&amp;AGENTES!B527&amp;",'"&amp;AGENTES!C527&amp;"','"&amp;AGENTES!D527&amp;"','"&amp;AGENTES!E527&amp;"','"&amp;AGENTES!F527&amp;"',TO_DATE('"&amp;AGENTES!G527&amp;"','yyyymmdd'),TO_DATE('"&amp;AGENTES!H527&amp;"','yyyymmdd'),'"&amp;AGENTES!I527&amp;"');")</f>
        <v>INSERT INTO INYCEXT.INYC_CONF_INF_AGENTES (COD_INFORME,BO_GROUP,COMPANIA,ID_TIPO_AGENTE,TABLA,F_INICIO,F_FIN,DESCRIPCION) VALUES (104,'INYC Compensation Reports User Group - PEPA','01','65','INYC_PEPI_RESUMEN,INYC_PEPI_DETALLE',TO_DATE('20140101','yyyymmdd'),TO_DATE('22000101','yyyymmdd'),'');</v>
      </c>
    </row>
    <row r="527" spans="1:1" x14ac:dyDescent="0.25">
      <c r="A527" t="str">
        <f>IF(AGENTES!I528="OBSOLETO","","INSERT INTO INYCEXT.INYC_CONF_INF_AGENTES (COD_INFORME,BO_GROUP,COMPANIA,ID_TIPO_AGENTE,TABLA,F_INICIO,F_FIN,DESCRIPCION) VALUES ("&amp;AGENTES!B528&amp;",'"&amp;AGENTES!C528&amp;"','"&amp;AGENTES!D528&amp;"','"&amp;AGENTES!E528&amp;"','"&amp;AGENTES!F528&amp;"',TO_DATE('"&amp;AGENTES!G528&amp;"','yyyymmdd'),TO_DATE('"&amp;AGENTES!H528&amp;"','yyyymmdd'),'"&amp;AGENTES!I528&amp;"');")</f>
        <v>INSERT INTO INYCEXT.INYC_CONF_INF_AGENTES (COD_INFORME,BO_GROUP,COMPANIA,ID_TIPO_AGENTE,TABLA,F_INICIO,F_FIN,DESCRIPCION) VALUES (105,'INYC Compensation Reports User Group - PEPI','01','54','INYC_PEPI_RESUMEN,INYC_PEPI_DETALLE',TO_DATE('20140101','yyyymmdd'),TO_DATE('22000101','yyyymmdd'),'');</v>
      </c>
    </row>
    <row r="528" spans="1:1" x14ac:dyDescent="0.25">
      <c r="A528" t="str">
        <f>IF(AGENTES!I529="OBSOLETO","","INSERT INTO INYCEXT.INYC_CONF_INF_AGENTES (COD_INFORME,BO_GROUP,COMPANIA,ID_TIPO_AGENTE,TABLA,F_INICIO,F_FIN,DESCRIPCION) VALUES ("&amp;AGENTES!B529&amp;",'"&amp;AGENTES!C529&amp;"','"&amp;AGENTES!D529&amp;"','"&amp;AGENTES!E529&amp;"','"&amp;AGENTES!F529&amp;"',TO_DATE('"&amp;AGENTES!G529&amp;"','yyyymmdd'),TO_DATE('"&amp;AGENTES!H529&amp;"','yyyymmdd'),'"&amp;AGENTES!I529&amp;"');")</f>
        <v>INSERT INTO INYCEXT.INYC_CONF_INF_AGENTES (COD_INFORME,BO_GROUP,COMPANIA,ID_TIPO_AGENTE,TABLA,F_INICIO,F_FIN,DESCRIPCION) VALUES (105,'INYC Compensation Reports User Group - PEPI','01','56','INYC_PEPI_RESUMEN,INYC_PEPI_DETALLE',TO_DATE('20140101','yyyymmdd'),TO_DATE('22000101','yyyymmdd'),'');</v>
      </c>
    </row>
    <row r="529" spans="1:1" x14ac:dyDescent="0.25">
      <c r="A529" t="str">
        <f>IF(AGENTES!I530="OBSOLETO","","INSERT INTO INYCEXT.INYC_CONF_INF_AGENTES (COD_INFORME,BO_GROUP,COMPANIA,ID_TIPO_AGENTE,TABLA,F_INICIO,F_FIN,DESCRIPCION) VALUES ("&amp;AGENTES!B530&amp;",'"&amp;AGENTES!C530&amp;"','"&amp;AGENTES!D530&amp;"','"&amp;AGENTES!E530&amp;"','"&amp;AGENTES!F530&amp;"',TO_DATE('"&amp;AGENTES!G530&amp;"','yyyymmdd'),TO_DATE('"&amp;AGENTES!H530&amp;"','yyyymmdd'),'"&amp;AGENTES!I530&amp;"');")</f>
        <v>INSERT INTO INYCEXT.INYC_CONF_INF_AGENTES (COD_INFORME,BO_GROUP,COMPANIA,ID_TIPO_AGENTE,TABLA,F_INICIO,F_FIN,DESCRIPCION) VALUES (105,'INYC Compensation Reports User Group - PEPI','01','57','INYC_PEPI_RESUMEN,INYC_PEPI_DETALLE',TO_DATE('20140101','yyyymmdd'),TO_DATE('22000101','yyyymmdd'),'');</v>
      </c>
    </row>
    <row r="530" spans="1:1" x14ac:dyDescent="0.25">
      <c r="A530" t="str">
        <f>IF(AGENTES!I531="OBSOLETO","","INSERT INTO INYCEXT.INYC_CONF_INF_AGENTES (COD_INFORME,BO_GROUP,COMPANIA,ID_TIPO_AGENTE,TABLA,F_INICIO,F_FIN,DESCRIPCION) VALUES ("&amp;AGENTES!B531&amp;",'"&amp;AGENTES!C531&amp;"','"&amp;AGENTES!D531&amp;"','"&amp;AGENTES!E531&amp;"','"&amp;AGENTES!F531&amp;"',TO_DATE('"&amp;AGENTES!G531&amp;"','yyyymmdd'),TO_DATE('"&amp;AGENTES!H531&amp;"','yyyymmdd'),'"&amp;AGENTES!I531&amp;"');")</f>
        <v>INSERT INTO INYCEXT.INYC_CONF_INF_AGENTES (COD_INFORME,BO_GROUP,COMPANIA,ID_TIPO_AGENTE,TABLA,F_INICIO,F_FIN,DESCRIPCION) VALUES (105,'INYC Compensation Reports User Group - PEPI','01','58','INYC_PEPI_RESUMEN,INYC_PEPI_DETALLE',TO_DATE('20140101','yyyymmdd'),TO_DATE('22000101','yyyymmdd'),'');</v>
      </c>
    </row>
    <row r="531" spans="1:1" x14ac:dyDescent="0.25">
      <c r="A531" t="str">
        <f>IF(AGENTES!I532="OBSOLETO","","INSERT INTO INYCEXT.INYC_CONF_INF_AGENTES (COD_INFORME,BO_GROUP,COMPANIA,ID_TIPO_AGENTE,TABLA,F_INICIO,F_FIN,DESCRIPCION) VALUES ("&amp;AGENTES!B532&amp;",'"&amp;AGENTES!C532&amp;"','"&amp;AGENTES!D532&amp;"','"&amp;AGENTES!E532&amp;"','"&amp;AGENTES!F532&amp;"',TO_DATE('"&amp;AGENTES!G532&amp;"','yyyymmdd'),TO_DATE('"&amp;AGENTES!H532&amp;"','yyyymmdd'),'"&amp;AGENTES!I532&amp;"');")</f>
        <v>INSERT INTO INYCEXT.INYC_CONF_INF_AGENTES (COD_INFORME,BO_GROUP,COMPANIA,ID_TIPO_AGENTE,TABLA,F_INICIO,F_FIN,DESCRIPCION) VALUES (105,'INYC Compensation Reports User Group - PEPI','01','59','INYC_PEPI_RESUMEN,INYC_PEPI_DETALLE',TO_DATE('20140101','yyyymmdd'),TO_DATE('22000101','yyyymmdd'),'');</v>
      </c>
    </row>
    <row r="532" spans="1:1" x14ac:dyDescent="0.25">
      <c r="A532" t="str">
        <f>IF(AGENTES!I533="OBSOLETO","","INSERT INTO INYCEXT.INYC_CONF_INF_AGENTES (COD_INFORME,BO_GROUP,COMPANIA,ID_TIPO_AGENTE,TABLA,F_INICIO,F_FIN,DESCRIPCION) VALUES ("&amp;AGENTES!B533&amp;",'"&amp;AGENTES!C533&amp;"','"&amp;AGENTES!D533&amp;"','"&amp;AGENTES!E533&amp;"','"&amp;AGENTES!F533&amp;"',TO_DATE('"&amp;AGENTES!G533&amp;"','yyyymmdd'),TO_DATE('"&amp;AGENTES!H533&amp;"','yyyymmdd'),'"&amp;AGENTES!I533&amp;"');")</f>
        <v>INSERT INTO INYCEXT.INYC_CONF_INF_AGENTES (COD_INFORME,BO_GROUP,COMPANIA,ID_TIPO_AGENTE,TABLA,F_INICIO,F_FIN,DESCRIPCION) VALUES (105,'INYC Compensation Reports User Group - PEPI','01','60','INYC_PEPI_RESUMEN,INYC_PEPI_DETALLE',TO_DATE('20200101','yyyymmdd'),TO_DATE('22000101','yyyymmdd'),'Version 20200526');</v>
      </c>
    </row>
    <row r="533" spans="1:1" x14ac:dyDescent="0.25">
      <c r="A533" t="str">
        <f>IF(AGENTES!I534="OBSOLETO","","INSERT INTO INYCEXT.INYC_CONF_INF_AGENTES (COD_INFORME,BO_GROUP,COMPANIA,ID_TIPO_AGENTE,TABLA,F_INICIO,F_FIN,DESCRIPCION) VALUES ("&amp;AGENTES!B534&amp;",'"&amp;AGENTES!C534&amp;"','"&amp;AGENTES!D534&amp;"','"&amp;AGENTES!E534&amp;"','"&amp;AGENTES!F534&amp;"',TO_DATE('"&amp;AGENTES!G534&amp;"','yyyymmdd'),TO_DATE('"&amp;AGENTES!H534&amp;"','yyyymmdd'),'"&amp;AGENTES!I534&amp;"');")</f>
        <v>INSERT INTO INYCEXT.INYC_CONF_INF_AGENTES (COD_INFORME,BO_GROUP,COMPANIA,ID_TIPO_AGENTE,TABLA,F_INICIO,F_FIN,DESCRIPCION) VALUES (105,'INYC Compensation Reports User Group - PEPI','01','61','INYC_PEPI_RESUMEN,INYC_PEPI_DETALLE',TO_DATE('20140101','yyyymmdd'),TO_DATE('22000101','yyyymmdd'),'');</v>
      </c>
    </row>
    <row r="534" spans="1:1" x14ac:dyDescent="0.25">
      <c r="A534" t="str">
        <f>IF(AGENTES!I535="OBSOLETO","","INSERT INTO INYCEXT.INYC_CONF_INF_AGENTES (COD_INFORME,BO_GROUP,COMPANIA,ID_TIPO_AGENTE,TABLA,F_INICIO,F_FIN,DESCRIPCION) VALUES ("&amp;AGENTES!B535&amp;",'"&amp;AGENTES!C535&amp;"','"&amp;AGENTES!D535&amp;"','"&amp;AGENTES!E535&amp;"','"&amp;AGENTES!F535&amp;"',TO_DATE('"&amp;AGENTES!G535&amp;"','yyyymmdd'),TO_DATE('"&amp;AGENTES!H535&amp;"','yyyymmdd'),'"&amp;AGENTES!I535&amp;"');")</f>
        <v>INSERT INTO INYCEXT.INYC_CONF_INF_AGENTES (COD_INFORME,BO_GROUP,COMPANIA,ID_TIPO_AGENTE,TABLA,F_INICIO,F_FIN,DESCRIPCION) VALUES (105,'INYC Compensation Reports User Group - PEPI','01','62','INYC_PEPI_RESUMEN,INYC_PEPI_DETALLE',TO_DATE('20140101','yyyymmdd'),TO_DATE('22000101','yyyymmdd'),'');</v>
      </c>
    </row>
    <row r="535" spans="1:1" x14ac:dyDescent="0.25">
      <c r="A535" t="str">
        <f>IF(AGENTES!I536="OBSOLETO","","INSERT INTO INYCEXT.INYC_CONF_INF_AGENTES (COD_INFORME,BO_GROUP,COMPANIA,ID_TIPO_AGENTE,TABLA,F_INICIO,F_FIN,DESCRIPCION) VALUES ("&amp;AGENTES!B536&amp;",'"&amp;AGENTES!C536&amp;"','"&amp;AGENTES!D536&amp;"','"&amp;AGENTES!E536&amp;"','"&amp;AGENTES!F536&amp;"',TO_DATE('"&amp;AGENTES!G536&amp;"','yyyymmdd'),TO_DATE('"&amp;AGENTES!H536&amp;"','yyyymmdd'),'"&amp;AGENTES!I536&amp;"');")</f>
        <v>INSERT INTO INYCEXT.INYC_CONF_INF_AGENTES (COD_INFORME,BO_GROUP,COMPANIA,ID_TIPO_AGENTE,TABLA,F_INICIO,F_FIN,DESCRIPCION) VALUES (105,'INYC Compensation Reports User Group - PEPI','01','65','INYC_PEPI_RESUMEN,INYC_PEPI_DETALLE',TO_DATE('20140101','yyyymmdd'),TO_DATE('22000101','yyyymmdd'),'');</v>
      </c>
    </row>
    <row r="536" spans="1:1" x14ac:dyDescent="0.25">
      <c r="A536" t="str">
        <f>IF(AGENTES!I537="OBSOLETO","","INSERT INTO INYCEXT.INYC_CONF_INF_AGENTES (COD_INFORME,BO_GROUP,COMPANIA,ID_TIPO_AGENTE,TABLA,F_INICIO,F_FIN,DESCRIPCION) VALUES ("&amp;AGENTES!B537&amp;",'"&amp;AGENTES!C537&amp;"','"&amp;AGENTES!D537&amp;"','"&amp;AGENTES!E537&amp;"','"&amp;AGENTES!F537&amp;"',TO_DATE('"&amp;AGENTES!G537&amp;"','yyyymmdd'),TO_DATE('"&amp;AGENTES!H537&amp;"','yyyymmdd'),'"&amp;AGENTES!I537&amp;"');")</f>
        <v>INSERT INTO INYCEXT.INYC_CONF_INF_AGENTES (COD_INFORME,BO_GROUP,COMPANIA,ID_TIPO_AGENTE,TABLA,F_INICIO,F_FIN,DESCRIPCION) VALUES (105,'INYC Compensation Reports User Group - PEPI','01','70','INYC_PEPI_RESUMEN,INYC_PEPI_DETALLE',TO_DATE('20140101','yyyymmdd'),TO_DATE('22000101','yyyymmdd'),'');</v>
      </c>
    </row>
    <row r="537" spans="1:1" x14ac:dyDescent="0.25">
      <c r="A537" t="str">
        <f>IF(AGENTES!I538="OBSOLETO","","INSERT INTO INYCEXT.INYC_CONF_INF_AGENTES (COD_INFORME,BO_GROUP,COMPANIA,ID_TIPO_AGENTE,TABLA,F_INICIO,F_FIN,DESCRIPCION) VALUES ("&amp;AGENTES!B538&amp;",'"&amp;AGENTES!C538&amp;"','"&amp;AGENTES!D538&amp;"','"&amp;AGENTES!E538&amp;"','"&amp;AGENTES!F538&amp;"',TO_DATE('"&amp;AGENTES!G538&amp;"','yyyymmdd'),TO_DATE('"&amp;AGENTES!H538&amp;"','yyyymmdd'),'"&amp;AGENTES!I538&amp;"');")</f>
        <v>INSERT INTO INYCEXT.INYC_CONF_INF_AGENTES (COD_INFORME,BO_GROUP,COMPANIA,ID_TIPO_AGENTE,TABLA,F_INICIO,F_FIN,DESCRIPCION) VALUES (105,'INYC Compensation Reports User Group - PEPI','01','71','INYC_PEPI_RESUMEN,INYC_PEPI_DETALLE',TO_DATE('20140101','yyyymmdd'),TO_DATE('22000101','yyyymmdd'),'');</v>
      </c>
    </row>
    <row r="538" spans="1:1" x14ac:dyDescent="0.25">
      <c r="A538" t="str">
        <f>IF(AGENTES!I539="OBSOLETO","","INSERT INTO INYCEXT.INYC_CONF_INF_AGENTES (COD_INFORME,BO_GROUP,COMPANIA,ID_TIPO_AGENTE,TABLA,F_INICIO,F_FIN,DESCRIPCION) VALUES ("&amp;AGENTES!B539&amp;",'"&amp;AGENTES!C539&amp;"','"&amp;AGENTES!D539&amp;"','"&amp;AGENTES!E539&amp;"','"&amp;AGENTES!F539&amp;"',TO_DATE('"&amp;AGENTES!G539&amp;"','yyyymmdd'),TO_DATE('"&amp;AGENTES!H539&amp;"','yyyymmdd'),'"&amp;AGENTES!I539&amp;"');")</f>
        <v>INSERT INTO INYCEXT.INYC_CONF_INF_AGENTES (COD_INFORME,BO_GROUP,COMPANIA,ID_TIPO_AGENTE,TABLA,F_INICIO,F_FIN,DESCRIPCION) VALUES (105,'INYC Compensation Reports User Group - PEPI','01','72','INYC_PEPI_RESUMEN,INYC_PEPI_DETALLE',TO_DATE('20140101','yyyymmdd'),TO_DATE('22000101','yyyymmdd'),'');</v>
      </c>
    </row>
    <row r="539" spans="1:1" x14ac:dyDescent="0.25">
      <c r="A539" t="str">
        <f>IF(AGENTES!I540="OBSOLETO","","INSERT INTO INYCEXT.INYC_CONF_INF_AGENTES (COD_INFORME,BO_GROUP,COMPANIA,ID_TIPO_AGENTE,TABLA,F_INICIO,F_FIN,DESCRIPCION) VALUES ("&amp;AGENTES!B540&amp;",'"&amp;AGENTES!C540&amp;"','"&amp;AGENTES!D540&amp;"','"&amp;AGENTES!E540&amp;"','"&amp;AGENTES!F540&amp;"',TO_DATE('"&amp;AGENTES!G540&amp;"','yyyymmdd'),TO_DATE('"&amp;AGENTES!H540&amp;"','yyyymmdd'),'"&amp;AGENTES!I540&amp;"');")</f>
        <v>INSERT INTO INYCEXT.INYC_CONF_INF_AGENTES (COD_INFORME,BO_GROUP,COMPANIA,ID_TIPO_AGENTE,TABLA,F_INICIO,F_FIN,DESCRIPCION) VALUES (105,'INYC Compensation Reports User Group - PEPI','01','74','INYC_PEPI_RESUMEN,INYC_PEPI_DETALLE',TO_DATE('20140101','yyyymmdd'),TO_DATE('22000101','yyyymmdd'),'');</v>
      </c>
    </row>
    <row r="540" spans="1:1" x14ac:dyDescent="0.25">
      <c r="A540" t="str">
        <f>IF(AGENTES!I541="OBSOLETO","","INSERT INTO INYCEXT.INYC_CONF_INF_AGENTES (COD_INFORME,BO_GROUP,COMPANIA,ID_TIPO_AGENTE,TABLA,F_INICIO,F_FIN,DESCRIPCION) VALUES ("&amp;AGENTES!B541&amp;",'"&amp;AGENTES!C541&amp;"','"&amp;AGENTES!D541&amp;"','"&amp;AGENTES!E541&amp;"','"&amp;AGENTES!F541&amp;"',TO_DATE('"&amp;AGENTES!G541&amp;"','yyyymmdd'),TO_DATE('"&amp;AGENTES!H541&amp;"','yyyymmdd'),'"&amp;AGENTES!I541&amp;"');")</f>
        <v>INSERT INTO INYCEXT.INYC_CONF_INF_AGENTES (COD_INFORME,BO_GROUP,COMPANIA,ID_TIPO_AGENTE,TABLA,F_INICIO,F_FIN,DESCRIPCION) VALUES (105,'INYC Compensation Reports User Group - PEPI','01','82','INYC_PEPI_RESUMEN,INYC_PEPI_DETALLE',TO_DATE('20140101','yyyymmdd'),TO_DATE('22000101','yyyymmdd'),'');</v>
      </c>
    </row>
    <row r="541" spans="1:1" x14ac:dyDescent="0.25">
      <c r="A541" t="str">
        <f>IF(AGENTES!I542="OBSOLETO","","INSERT INTO INYCEXT.INYC_CONF_INF_AGENTES (COD_INFORME,BO_GROUP,COMPANIA,ID_TIPO_AGENTE,TABLA,F_INICIO,F_FIN,DESCRIPCION) VALUES ("&amp;AGENTES!B542&amp;",'"&amp;AGENTES!C542&amp;"','"&amp;AGENTES!D542&amp;"','"&amp;AGENTES!E542&amp;"','"&amp;AGENTES!F542&amp;"',TO_DATE('"&amp;AGENTES!G542&amp;"','yyyymmdd'),TO_DATE('"&amp;AGENTES!H542&amp;"','yyyymmdd'),'"&amp;AGENTES!I542&amp;"');")</f>
        <v>INSERT INTO INYCEXT.INYC_CONF_INF_AGENTES (COD_INFORME,BO_GROUP,COMPANIA,ID_TIPO_AGENTE,TABLA,F_INICIO,F_FIN,DESCRIPCION) VALUES (106,'INYC Compensation Reports User Group - PEPA_E','03','1','INYC_PEPA_E_RESUMEN,INYC_PEPA_E_DETALLE',TO_DATE('20140101','yyyymmdd'),TO_DATE('22000101','yyyymmdd'),'');</v>
      </c>
    </row>
    <row r="542" spans="1:1" x14ac:dyDescent="0.25">
      <c r="A542" t="str">
        <f>IF(AGENTES!I543="OBSOLETO","","INSERT INTO INYCEXT.INYC_CONF_INF_AGENTES (COD_INFORME,BO_GROUP,COMPANIA,ID_TIPO_AGENTE,TABLA,F_INICIO,F_FIN,DESCRIPCION) VALUES ("&amp;AGENTES!B543&amp;",'"&amp;AGENTES!C543&amp;"','"&amp;AGENTES!D543&amp;"','"&amp;AGENTES!E543&amp;"','"&amp;AGENTES!F543&amp;"',TO_DATE('"&amp;AGENTES!G543&amp;"','yyyymmdd'),TO_DATE('"&amp;AGENTES!H543&amp;"','yyyymmdd'),'"&amp;AGENTES!I543&amp;"');")</f>
        <v>INSERT INTO INYCEXT.INYC_CONF_INF_AGENTES (COD_INFORME,BO_GROUP,COMPANIA,ID_TIPO_AGENTE,TABLA,F_INICIO,F_FIN,DESCRIPCION) VALUES (106,'INYC Compensation Reports User Group - PEPA_E','03','2','INYC_PEPA_E_RESUMEN,INYC_PEPA_E_DETALLE',TO_DATE('20140101','yyyymmdd'),TO_DATE('22000101','yyyymmdd'),'');</v>
      </c>
    </row>
    <row r="543" spans="1:1" x14ac:dyDescent="0.25">
      <c r="A543" t="str">
        <f>IF(AGENTES!I544="OBSOLETO","","INSERT INTO INYCEXT.INYC_CONF_INF_AGENTES (COD_INFORME,BO_GROUP,COMPANIA,ID_TIPO_AGENTE,TABLA,F_INICIO,F_FIN,DESCRIPCION) VALUES ("&amp;AGENTES!B544&amp;",'"&amp;AGENTES!C544&amp;"','"&amp;AGENTES!D544&amp;"','"&amp;AGENTES!E544&amp;"','"&amp;AGENTES!F544&amp;"',TO_DATE('"&amp;AGENTES!G544&amp;"','yyyymmdd'),TO_DATE('"&amp;AGENTES!H544&amp;"','yyyymmdd'),'"&amp;AGENTES!I544&amp;"');")</f>
        <v>INSERT INTO INYCEXT.INYC_CONF_INF_AGENTES (COD_INFORME,BO_GROUP,COMPANIA,ID_TIPO_AGENTE,TABLA,F_INICIO,F_FIN,DESCRIPCION) VALUES (106,'INYC Compensation Reports User Group - PEPA_E','03','3','INYC_PEPA_E_RESUMEN,INYC_PEPA_E_DETALLE',TO_DATE('20140101','yyyymmdd'),TO_DATE('22000101','yyyymmdd'),'');</v>
      </c>
    </row>
    <row r="544" spans="1:1" x14ac:dyDescent="0.25">
      <c r="A544" t="str">
        <f>IF(AGENTES!I545="OBSOLETO","","INSERT INTO INYCEXT.INYC_CONF_INF_AGENTES (COD_INFORME,BO_GROUP,COMPANIA,ID_TIPO_AGENTE,TABLA,F_INICIO,F_FIN,DESCRIPCION) VALUES ("&amp;AGENTES!B545&amp;",'"&amp;AGENTES!C545&amp;"','"&amp;AGENTES!D545&amp;"','"&amp;AGENTES!E545&amp;"','"&amp;AGENTES!F545&amp;"',TO_DATE('"&amp;AGENTES!G545&amp;"','yyyymmdd'),TO_DATE('"&amp;AGENTES!H545&amp;"','yyyymmdd'),'"&amp;AGENTES!I545&amp;"');")</f>
        <v>INSERT INTO INYCEXT.INYC_CONF_INF_AGENTES (COD_INFORME,BO_GROUP,COMPANIA,ID_TIPO_AGENTE,TABLA,F_INICIO,F_FIN,DESCRIPCION) VALUES (106,'INYC Compensation Reports User Group - PEPA_E','03','4','INYC_PEPA_E_RESUMEN,INYC_PEPA_E_DETALLE',TO_DATE('20140101','yyyymmdd'),TO_DATE('22000101','yyyymmdd'),'');</v>
      </c>
    </row>
    <row r="545" spans="1:1" x14ac:dyDescent="0.25">
      <c r="A545" t="str">
        <f>IF(AGENTES!I546="OBSOLETO","","INSERT INTO INYCEXT.INYC_CONF_INF_AGENTES (COD_INFORME,BO_GROUP,COMPANIA,ID_TIPO_AGENTE,TABLA,F_INICIO,F_FIN,DESCRIPCION) VALUES ("&amp;AGENTES!B546&amp;",'"&amp;AGENTES!C546&amp;"','"&amp;AGENTES!D546&amp;"','"&amp;AGENTES!E546&amp;"','"&amp;AGENTES!F546&amp;"',TO_DATE('"&amp;AGENTES!G546&amp;"','yyyymmdd'),TO_DATE('"&amp;AGENTES!H546&amp;"','yyyymmdd'),'"&amp;AGENTES!I546&amp;"');")</f>
        <v>INSERT INTO INYCEXT.INYC_CONF_INF_AGENTES (COD_INFORME,BO_GROUP,COMPANIA,ID_TIPO_AGENTE,TABLA,F_INICIO,F_FIN,DESCRIPCION) VALUES (106,'INYC Compensation Reports User Group - PEPA_E','03','5','INYC_PEPA_E_RESUMEN,INYC_PEPA_E_DETALLE',TO_DATE('20140101','yyyymmdd'),TO_DATE('22000101','yyyymmdd'),'');</v>
      </c>
    </row>
    <row r="546" spans="1:1" x14ac:dyDescent="0.25">
      <c r="A546" t="str">
        <f>IF(AGENTES!I547="OBSOLETO","","INSERT INTO INYCEXT.INYC_CONF_INF_AGENTES (COD_INFORME,BO_GROUP,COMPANIA,ID_TIPO_AGENTE,TABLA,F_INICIO,F_FIN,DESCRIPCION) VALUES ("&amp;AGENTES!B547&amp;",'"&amp;AGENTES!C547&amp;"','"&amp;AGENTES!D547&amp;"','"&amp;AGENTES!E547&amp;"','"&amp;AGENTES!F547&amp;"',TO_DATE('"&amp;AGENTES!G547&amp;"','yyyymmdd'),TO_DATE('"&amp;AGENTES!H547&amp;"','yyyymmdd'),'"&amp;AGENTES!I547&amp;"');")</f>
        <v>INSERT INTO INYCEXT.INYC_CONF_INF_AGENTES (COD_INFORME,BO_GROUP,COMPANIA,ID_TIPO_AGENTE,TABLA,F_INICIO,F_FIN,DESCRIPCION) VALUES (106,'INYC Compensation Reports User Group - PEPA_E','03','6','INYC_PEPA_E_RESUMEN,INYC_PEPA_E_DETALLE',TO_DATE('20140101','yyyymmdd'),TO_DATE('22000101','yyyymmdd'),'');</v>
      </c>
    </row>
    <row r="547" spans="1:1" x14ac:dyDescent="0.25">
      <c r="A547" t="str">
        <f>IF(AGENTES!I548="OBSOLETO","","INSERT INTO INYCEXT.INYC_CONF_INF_AGENTES (COD_INFORME,BO_GROUP,COMPANIA,ID_TIPO_AGENTE,TABLA,F_INICIO,F_FIN,DESCRIPCION) VALUES ("&amp;AGENTES!B548&amp;",'"&amp;AGENTES!C548&amp;"','"&amp;AGENTES!D548&amp;"','"&amp;AGENTES!E548&amp;"','"&amp;AGENTES!F548&amp;"',TO_DATE('"&amp;AGENTES!G548&amp;"','yyyymmdd'),TO_DATE('"&amp;AGENTES!H548&amp;"','yyyymmdd'),'"&amp;AGENTES!I548&amp;"');")</f>
        <v>INSERT INTO INYCEXT.INYC_CONF_INF_AGENTES (COD_INFORME,BO_GROUP,COMPANIA,ID_TIPO_AGENTE,TABLA,F_INICIO,F_FIN,DESCRIPCION) VALUES (106,'INYC Compensation Reports User Group - PEPA_E','03','7','INYC_PEPA_E_RESUMEN,INYC_PEPA_E_DETALLE',TO_DATE('20140101','yyyymmdd'),TO_DATE('22000101','yyyymmdd'),'');</v>
      </c>
    </row>
    <row r="548" spans="1:1" x14ac:dyDescent="0.25">
      <c r="A548" t="str">
        <f>IF(AGENTES!I549="OBSOLETO","","INSERT INTO INYCEXT.INYC_CONF_INF_AGENTES (COD_INFORME,BO_GROUP,COMPANIA,ID_TIPO_AGENTE,TABLA,F_INICIO,F_FIN,DESCRIPCION) VALUES ("&amp;AGENTES!B549&amp;",'"&amp;AGENTES!C549&amp;"','"&amp;AGENTES!D549&amp;"','"&amp;AGENTES!E549&amp;"','"&amp;AGENTES!F549&amp;"',TO_DATE('"&amp;AGENTES!G549&amp;"','yyyymmdd'),TO_DATE('"&amp;AGENTES!H549&amp;"','yyyymmdd'),'"&amp;AGENTES!I549&amp;"');")</f>
        <v>INSERT INTO INYCEXT.INYC_CONF_INF_AGENTES (COD_INFORME,BO_GROUP,COMPANIA,ID_TIPO_AGENTE,TABLA,F_INICIO,F_FIN,DESCRIPCION) VALUES (106,'INYC Compensation Reports User Group - PEPA_E','03','8','INYC_PEPA_E_RESUMEN,INYC_PEPA_E_DETALLE',TO_DATE('20140101','yyyymmdd'),TO_DATE('22000101','yyyymmdd'),'');</v>
      </c>
    </row>
    <row r="549" spans="1:1" x14ac:dyDescent="0.25">
      <c r="A549" t="str">
        <f>IF(AGENTES!I550="OBSOLETO","","INSERT INTO INYCEXT.INYC_CONF_INF_AGENTES (COD_INFORME,BO_GROUP,COMPANIA,ID_TIPO_AGENTE,TABLA,F_INICIO,F_FIN,DESCRIPCION) VALUES ("&amp;AGENTES!B550&amp;",'"&amp;AGENTES!C550&amp;"','"&amp;AGENTES!D550&amp;"','"&amp;AGENTES!E550&amp;"','"&amp;AGENTES!F550&amp;"',TO_DATE('"&amp;AGENTES!G550&amp;"','yyyymmdd'),TO_DATE('"&amp;AGENTES!H550&amp;"','yyyymmdd'),'"&amp;AGENTES!I550&amp;"');")</f>
        <v>INSERT INTO INYCEXT.INYC_CONF_INF_AGENTES (COD_INFORME,BO_GROUP,COMPANIA,ID_TIPO_AGENTE,TABLA,F_INICIO,F_FIN,DESCRIPCION) VALUES (106,'INYC Compensation Reports User Group - PEPA_E','03','9','INYC_PEPA_E_RESUMEN,INYC_PEPA_E_DETALLE',TO_DATE('20140101','yyyymmdd'),TO_DATE('22000101','yyyymmdd'),'');</v>
      </c>
    </row>
    <row r="550" spans="1:1" x14ac:dyDescent="0.25">
      <c r="A550" t="str">
        <f>IF(AGENTES!I551="OBSOLETO","","INSERT INTO INYCEXT.INYC_CONF_INF_AGENTES (COD_INFORME,BO_GROUP,COMPANIA,ID_TIPO_AGENTE,TABLA,F_INICIO,F_FIN,DESCRIPCION) VALUES ("&amp;AGENTES!B551&amp;",'"&amp;AGENTES!C551&amp;"','"&amp;AGENTES!D551&amp;"','"&amp;AGENTES!E551&amp;"','"&amp;AGENTES!F551&amp;"',TO_DATE('"&amp;AGENTES!G551&amp;"','yyyymmdd'),TO_DATE('"&amp;AGENTES!H551&amp;"','yyyymmdd'),'"&amp;AGENTES!I551&amp;"');")</f>
        <v>INSERT INTO INYCEXT.INYC_CONF_INF_AGENTES (COD_INFORME,BO_GROUP,COMPANIA,ID_TIPO_AGENTE,TABLA,F_INICIO,F_FIN,DESCRIPCION) VALUES (106,'INYC Compensation Reports User Group - PEPA_E','03','11','INYC_PEPA_E_RESUMEN,INYC_PEPA_E_DETALLE',TO_DATE('20140101','yyyymmdd'),TO_DATE('22000101','yyyymmdd'),'');</v>
      </c>
    </row>
    <row r="551" spans="1:1" x14ac:dyDescent="0.25">
      <c r="A551" t="str">
        <f>IF(AGENTES!I552="OBSOLETO","","INSERT INTO INYCEXT.INYC_CONF_INF_AGENTES (COD_INFORME,BO_GROUP,COMPANIA,ID_TIPO_AGENTE,TABLA,F_INICIO,F_FIN,DESCRIPCION) VALUES ("&amp;AGENTES!B552&amp;",'"&amp;AGENTES!C552&amp;"','"&amp;AGENTES!D552&amp;"','"&amp;AGENTES!E552&amp;"','"&amp;AGENTES!F552&amp;"',TO_DATE('"&amp;AGENTES!G552&amp;"','yyyymmdd'),TO_DATE('"&amp;AGENTES!H552&amp;"','yyyymmdd'),'"&amp;AGENTES!I552&amp;"');")</f>
        <v>INSERT INTO INYCEXT.INYC_CONF_INF_AGENTES (COD_INFORME,BO_GROUP,COMPANIA,ID_TIPO_AGENTE,TABLA,F_INICIO,F_FIN,DESCRIPCION) VALUES (106,'INYC Compensation Reports User Group - PEPA_E','03','12','INYC_PEPA_E_RESUMEN,INYC_PEPA_E_DETALLE',TO_DATE('20140101','yyyymmdd'),TO_DATE('22000101','yyyymmdd'),'');</v>
      </c>
    </row>
    <row r="552" spans="1:1" x14ac:dyDescent="0.25">
      <c r="A552" t="str">
        <f>IF(AGENTES!I553="OBSOLETO","","INSERT INTO INYCEXT.INYC_CONF_INF_AGENTES (COD_INFORME,BO_GROUP,COMPANIA,ID_TIPO_AGENTE,TABLA,F_INICIO,F_FIN,DESCRIPCION) VALUES ("&amp;AGENTES!B553&amp;",'"&amp;AGENTES!C553&amp;"','"&amp;AGENTES!D553&amp;"','"&amp;AGENTES!E553&amp;"','"&amp;AGENTES!F553&amp;"',TO_DATE('"&amp;AGENTES!G553&amp;"','yyyymmdd'),TO_DATE('"&amp;AGENTES!H553&amp;"','yyyymmdd'),'"&amp;AGENTES!I553&amp;"');")</f>
        <v>INSERT INTO INYCEXT.INYC_CONF_INF_AGENTES (COD_INFORME,BO_GROUP,COMPANIA,ID_TIPO_AGENTE,TABLA,F_INICIO,F_FIN,DESCRIPCION) VALUES (106,'INYC Compensation Reports User Group - PEPA_E','03','13','INYC_PEPA_E_RESUMEN,INYC_PEPA_E_DETALLE',TO_DATE('20140101','yyyymmdd'),TO_DATE('22000101','yyyymmdd'),'');</v>
      </c>
    </row>
    <row r="553" spans="1:1" x14ac:dyDescent="0.25">
      <c r="A553" t="str">
        <f>IF(AGENTES!I554="OBSOLETO","","INSERT INTO INYCEXT.INYC_CONF_INF_AGENTES (COD_INFORME,BO_GROUP,COMPANIA,ID_TIPO_AGENTE,TABLA,F_INICIO,F_FIN,DESCRIPCION) VALUES ("&amp;AGENTES!B554&amp;",'"&amp;AGENTES!C554&amp;"','"&amp;AGENTES!D554&amp;"','"&amp;AGENTES!E554&amp;"','"&amp;AGENTES!F554&amp;"',TO_DATE('"&amp;AGENTES!G554&amp;"','yyyymmdd'),TO_DATE('"&amp;AGENTES!H554&amp;"','yyyymmdd'),'"&amp;AGENTES!I554&amp;"');")</f>
        <v>INSERT INTO INYCEXT.INYC_CONF_INF_AGENTES (COD_INFORME,BO_GROUP,COMPANIA,ID_TIPO_AGENTE,TABLA,F_INICIO,F_FIN,DESCRIPCION) VALUES (106,'INYC Compensation Reports User Group - PEPA_E','03','14','INYC_PEPA_E_RESUMEN,INYC_PEPA_E_DETALLE',TO_DATE('20140101','yyyymmdd'),TO_DATE('22000101','yyyymmdd'),'');</v>
      </c>
    </row>
    <row r="554" spans="1:1" x14ac:dyDescent="0.25">
      <c r="A554" t="str">
        <f>IF(AGENTES!I555="OBSOLETO","","INSERT INTO INYCEXT.INYC_CONF_INF_AGENTES (COD_INFORME,BO_GROUP,COMPANIA,ID_TIPO_AGENTE,TABLA,F_INICIO,F_FIN,DESCRIPCION) VALUES ("&amp;AGENTES!B555&amp;",'"&amp;AGENTES!C555&amp;"','"&amp;AGENTES!D555&amp;"','"&amp;AGENTES!E555&amp;"','"&amp;AGENTES!F555&amp;"',TO_DATE('"&amp;AGENTES!G555&amp;"','yyyymmdd'),TO_DATE('"&amp;AGENTES!H555&amp;"','yyyymmdd'),'"&amp;AGENTES!I555&amp;"');")</f>
        <v>INSERT INTO INYCEXT.INYC_CONF_INF_AGENTES (COD_INFORME,BO_GROUP,COMPANIA,ID_TIPO_AGENTE,TABLA,F_INICIO,F_FIN,DESCRIPCION) VALUES (106,'INYC Compensation Reports User Group - PEPA_E','03','15','INYC_PEPA_E_RESUMEN,INYC_PEPA_E_DETALLE',TO_DATE('20140101','yyyymmdd'),TO_DATE('22000101','yyyymmdd'),'');</v>
      </c>
    </row>
    <row r="555" spans="1:1" x14ac:dyDescent="0.25">
      <c r="A555" t="str">
        <f>IF(AGENTES!I556="OBSOLETO","","INSERT INTO INYCEXT.INYC_CONF_INF_AGENTES (COD_INFORME,BO_GROUP,COMPANIA,ID_TIPO_AGENTE,TABLA,F_INICIO,F_FIN,DESCRIPCION) VALUES ("&amp;AGENTES!B556&amp;",'"&amp;AGENTES!C556&amp;"','"&amp;AGENTES!D556&amp;"','"&amp;AGENTES!E556&amp;"','"&amp;AGENTES!F556&amp;"',TO_DATE('"&amp;AGENTES!G556&amp;"','yyyymmdd'),TO_DATE('"&amp;AGENTES!H556&amp;"','yyyymmdd'),'"&amp;AGENTES!I556&amp;"');")</f>
        <v>INSERT INTO INYCEXT.INYC_CONF_INF_AGENTES (COD_INFORME,BO_GROUP,COMPANIA,ID_TIPO_AGENTE,TABLA,F_INICIO,F_FIN,DESCRIPCION) VALUES (106,'INYC Compensation Reports User Group - PEPA_E','03','16','INYC_PEPA_E_RESUMEN,INYC_PEPA_E_DETALLE',TO_DATE('20140101','yyyymmdd'),TO_DATE('22000101','yyyymmdd'),'');</v>
      </c>
    </row>
    <row r="556" spans="1:1" x14ac:dyDescent="0.25">
      <c r="A556" t="str">
        <f>IF(AGENTES!I557="OBSOLETO","","INSERT INTO INYCEXT.INYC_CONF_INF_AGENTES (COD_INFORME,BO_GROUP,COMPANIA,ID_TIPO_AGENTE,TABLA,F_INICIO,F_FIN,DESCRIPCION) VALUES ("&amp;AGENTES!B557&amp;",'"&amp;AGENTES!C557&amp;"','"&amp;AGENTES!D557&amp;"','"&amp;AGENTES!E557&amp;"','"&amp;AGENTES!F557&amp;"',TO_DATE('"&amp;AGENTES!G557&amp;"','yyyymmdd'),TO_DATE('"&amp;AGENTES!H557&amp;"','yyyymmdd'),'"&amp;AGENTES!I557&amp;"');")</f>
        <v>INSERT INTO INYCEXT.INYC_CONF_INF_AGENTES (COD_INFORME,BO_GROUP,COMPANIA,ID_TIPO_AGENTE,TABLA,F_INICIO,F_FIN,DESCRIPCION) VALUES (106,'INYC Compensation Reports User Group - PEPA_E','03','17','INYC_PEPA_E_RESUMEN,INYC_PEPA_E_DETALLE',TO_DATE('20140101','yyyymmdd'),TO_DATE('22000101','yyyymmdd'),'');</v>
      </c>
    </row>
    <row r="557" spans="1:1" x14ac:dyDescent="0.25">
      <c r="A557" t="str">
        <f>IF(AGENTES!I558="OBSOLETO","","INSERT INTO INYCEXT.INYC_CONF_INF_AGENTES (COD_INFORME,BO_GROUP,COMPANIA,ID_TIPO_AGENTE,TABLA,F_INICIO,F_FIN,DESCRIPCION) VALUES ("&amp;AGENTES!B558&amp;",'"&amp;AGENTES!C558&amp;"','"&amp;AGENTES!D558&amp;"','"&amp;AGENTES!E558&amp;"','"&amp;AGENTES!F558&amp;"',TO_DATE('"&amp;AGENTES!G558&amp;"','yyyymmdd'),TO_DATE('"&amp;AGENTES!H558&amp;"','yyyymmdd'),'"&amp;AGENTES!I558&amp;"');")</f>
        <v>INSERT INTO INYCEXT.INYC_CONF_INF_AGENTES (COD_INFORME,BO_GROUP,COMPANIA,ID_TIPO_AGENTE,TABLA,F_INICIO,F_FIN,DESCRIPCION) VALUES (106,'INYC Compensation Reports User Group - PEPA_E','03','20','INYC_PEPA_E_RESUMEN,INYC_PEPA_E_DETALLE',TO_DATE('20140101','yyyymmdd'),TO_DATE('22000101','yyyymmdd'),'');</v>
      </c>
    </row>
    <row r="558" spans="1:1" x14ac:dyDescent="0.25">
      <c r="A558" t="str">
        <f>IF(AGENTES!I559="OBSOLETO","","INSERT INTO INYCEXT.INYC_CONF_INF_AGENTES (COD_INFORME,BO_GROUP,COMPANIA,ID_TIPO_AGENTE,TABLA,F_INICIO,F_FIN,DESCRIPCION) VALUES ("&amp;AGENTES!B559&amp;",'"&amp;AGENTES!C559&amp;"','"&amp;AGENTES!D559&amp;"','"&amp;AGENTES!E559&amp;"','"&amp;AGENTES!F559&amp;"',TO_DATE('"&amp;AGENTES!G559&amp;"','yyyymmdd'),TO_DATE('"&amp;AGENTES!H559&amp;"','yyyymmdd'),'"&amp;AGENTES!I559&amp;"');")</f>
        <v>INSERT INTO INYCEXT.INYC_CONF_INF_AGENTES (COD_INFORME,BO_GROUP,COMPANIA,ID_TIPO_AGENTE,TABLA,F_INICIO,F_FIN,DESCRIPCION) VALUES (106,'INYC Compensation Reports User Group - PEPA_E','03','22','INYC_PEPA_E_RESUMEN,INYC_PEPA_E_DETALLE',TO_DATE('20140101','yyyymmdd'),TO_DATE('22000101','yyyymmdd'),'');</v>
      </c>
    </row>
    <row r="559" spans="1:1" x14ac:dyDescent="0.25">
      <c r="A559" t="str">
        <f>IF(AGENTES!I560="OBSOLETO","","INSERT INTO INYCEXT.INYC_CONF_INF_AGENTES (COD_INFORME,BO_GROUP,COMPANIA,ID_TIPO_AGENTE,TABLA,F_INICIO,F_FIN,DESCRIPCION) VALUES ("&amp;AGENTES!B560&amp;",'"&amp;AGENTES!C560&amp;"','"&amp;AGENTES!D560&amp;"','"&amp;AGENTES!E560&amp;"','"&amp;AGENTES!F560&amp;"',TO_DATE('"&amp;AGENTES!G560&amp;"','yyyymmdd'),TO_DATE('"&amp;AGENTES!H560&amp;"','yyyymmdd'),'"&amp;AGENTES!I560&amp;"');")</f>
        <v>INSERT INTO INYCEXT.INYC_CONF_INF_AGENTES (COD_INFORME,BO_GROUP,COMPANIA,ID_TIPO_AGENTE,TABLA,F_INICIO,F_FIN,DESCRIPCION) VALUES (106,'INYC Compensation Reports User Group - PEPA_E','03','23','INYC_PEPA_E_RESUMEN,INYC_PEPA_E_DETALLE',TO_DATE('20140101','yyyymmdd'),TO_DATE('22000101','yyyymmdd'),'');</v>
      </c>
    </row>
    <row r="560" spans="1:1" x14ac:dyDescent="0.25">
      <c r="A560" t="str">
        <f>IF(AGENTES!I561="OBSOLETO","","INSERT INTO INYCEXT.INYC_CONF_INF_AGENTES (COD_INFORME,BO_GROUP,COMPANIA,ID_TIPO_AGENTE,TABLA,F_INICIO,F_FIN,DESCRIPCION) VALUES ("&amp;AGENTES!B561&amp;",'"&amp;AGENTES!C561&amp;"','"&amp;AGENTES!D561&amp;"','"&amp;AGENTES!E561&amp;"','"&amp;AGENTES!F561&amp;"',TO_DATE('"&amp;AGENTES!G561&amp;"','yyyymmdd'),TO_DATE('"&amp;AGENTES!H561&amp;"','yyyymmdd'),'"&amp;AGENTES!I561&amp;"');")</f>
        <v>INSERT INTO INYCEXT.INYC_CONF_INF_AGENTES (COD_INFORME,BO_GROUP,COMPANIA,ID_TIPO_AGENTE,TABLA,F_INICIO,F_FIN,DESCRIPCION) VALUES (106,'INYC Compensation Reports User Group - PEPA_E','03','25','INYC_PEPA_E_RESUMEN,INYC_PEPA_E_DETALLE',TO_DATE('20140101','yyyymmdd'),TO_DATE('22000101','yyyymmdd'),'');</v>
      </c>
    </row>
    <row r="561" spans="1:1" x14ac:dyDescent="0.25">
      <c r="A561" t="str">
        <f>IF(AGENTES!I562="OBSOLETO","","INSERT INTO INYCEXT.INYC_CONF_INF_AGENTES (COD_INFORME,BO_GROUP,COMPANIA,ID_TIPO_AGENTE,TABLA,F_INICIO,F_FIN,DESCRIPCION) VALUES ("&amp;AGENTES!B562&amp;",'"&amp;AGENTES!C562&amp;"','"&amp;AGENTES!D562&amp;"','"&amp;AGENTES!E562&amp;"','"&amp;AGENTES!F562&amp;"',TO_DATE('"&amp;AGENTES!G562&amp;"','yyyymmdd'),TO_DATE('"&amp;AGENTES!H562&amp;"','yyyymmdd'),'"&amp;AGENTES!I562&amp;"');")</f>
        <v>INSERT INTO INYCEXT.INYC_CONF_INF_AGENTES (COD_INFORME,BO_GROUP,COMPANIA,ID_TIPO_AGENTE,TABLA,F_INICIO,F_FIN,DESCRIPCION) VALUES (106,'INYC Compensation Reports User Group - PEPA_E','03','26','INYC_PEPA_E_RESUMEN,INYC_PEPA_E_DETALLE',TO_DATE('20140101','yyyymmdd'),TO_DATE('22000101','yyyymmdd'),'');</v>
      </c>
    </row>
    <row r="562" spans="1:1" x14ac:dyDescent="0.25">
      <c r="A562" t="str">
        <f>IF(AGENTES!I563="OBSOLETO","","INSERT INTO INYCEXT.INYC_CONF_INF_AGENTES (COD_INFORME,BO_GROUP,COMPANIA,ID_TIPO_AGENTE,TABLA,F_INICIO,F_FIN,DESCRIPCION) VALUES ("&amp;AGENTES!B563&amp;",'"&amp;AGENTES!C563&amp;"','"&amp;AGENTES!D563&amp;"','"&amp;AGENTES!E563&amp;"','"&amp;AGENTES!F563&amp;"',TO_DATE('"&amp;AGENTES!G563&amp;"','yyyymmdd'),TO_DATE('"&amp;AGENTES!H563&amp;"','yyyymmdd'),'"&amp;AGENTES!I563&amp;"');")</f>
        <v>INSERT INTO INYCEXT.INYC_CONF_INF_AGENTES (COD_INFORME,BO_GROUP,COMPANIA,ID_TIPO_AGENTE,TABLA,F_INICIO,F_FIN,DESCRIPCION) VALUES (106,'INYC Compensation Reports User Group - PEPA_E','03','27','INYC_PEPA_E_RESUMEN,INYC_PEPA_E_DETALLE',TO_DATE('20140101','yyyymmdd'),TO_DATE('22000101','yyyymmdd'),'');</v>
      </c>
    </row>
    <row r="563" spans="1:1" x14ac:dyDescent="0.25">
      <c r="A563" t="str">
        <f>IF(AGENTES!I564="OBSOLETO","","INSERT INTO INYCEXT.INYC_CONF_INF_AGENTES (COD_INFORME,BO_GROUP,COMPANIA,ID_TIPO_AGENTE,TABLA,F_INICIO,F_FIN,DESCRIPCION) VALUES ("&amp;AGENTES!B564&amp;",'"&amp;AGENTES!C564&amp;"','"&amp;AGENTES!D564&amp;"','"&amp;AGENTES!E564&amp;"','"&amp;AGENTES!F564&amp;"',TO_DATE('"&amp;AGENTES!G564&amp;"','yyyymmdd'),TO_DATE('"&amp;AGENTES!H564&amp;"','yyyymmdd'),'"&amp;AGENTES!I564&amp;"');")</f>
        <v>INSERT INTO INYCEXT.INYC_CONF_INF_AGENTES (COD_INFORME,BO_GROUP,COMPANIA,ID_TIPO_AGENTE,TABLA,F_INICIO,F_FIN,DESCRIPCION) VALUES (106,'INYC Compensation Reports User Group - PEPA_E','03','29','INYC_PEPA_E_RESUMEN,INYC_PEPA_E_DETALLE',TO_DATE('20140101','yyyymmdd'),TO_DATE('22000101','yyyymmdd'),'');</v>
      </c>
    </row>
    <row r="564" spans="1:1" x14ac:dyDescent="0.25">
      <c r="A564" t="str">
        <f>IF(AGENTES!I565="OBSOLETO","","INSERT INTO INYCEXT.INYC_CONF_INF_AGENTES (COD_INFORME,BO_GROUP,COMPANIA,ID_TIPO_AGENTE,TABLA,F_INICIO,F_FIN,DESCRIPCION) VALUES ("&amp;AGENTES!B565&amp;",'"&amp;AGENTES!C565&amp;"','"&amp;AGENTES!D565&amp;"','"&amp;AGENTES!E565&amp;"','"&amp;AGENTES!F565&amp;"',TO_DATE('"&amp;AGENTES!G565&amp;"','yyyymmdd'),TO_DATE('"&amp;AGENTES!H565&amp;"','yyyymmdd'),'"&amp;AGENTES!I565&amp;"');")</f>
        <v>INSERT INTO INYCEXT.INYC_CONF_INF_AGENTES (COD_INFORME,BO_GROUP,COMPANIA,ID_TIPO_AGENTE,TABLA,F_INICIO,F_FIN,DESCRIPCION) VALUES (106,'INYC Compensation Reports User Group - PEPA_E','03','30','INYC_PEPA_E_RESUMEN,INYC_PEPA_E_DETALLE',TO_DATE('20140101','yyyymmdd'),TO_DATE('22000101','yyyymmdd'),'');</v>
      </c>
    </row>
    <row r="565" spans="1:1" x14ac:dyDescent="0.25">
      <c r="A565" t="str">
        <f>IF(AGENTES!I566="OBSOLETO","","INSERT INTO INYCEXT.INYC_CONF_INF_AGENTES (COD_INFORME,BO_GROUP,COMPANIA,ID_TIPO_AGENTE,TABLA,F_INICIO,F_FIN,DESCRIPCION) VALUES ("&amp;AGENTES!B566&amp;",'"&amp;AGENTES!C566&amp;"','"&amp;AGENTES!D566&amp;"','"&amp;AGENTES!E566&amp;"','"&amp;AGENTES!F566&amp;"',TO_DATE('"&amp;AGENTES!G566&amp;"','yyyymmdd'),TO_DATE('"&amp;AGENTES!H566&amp;"','yyyymmdd'),'"&amp;AGENTES!I566&amp;"');")</f>
        <v>INSERT INTO INYCEXT.INYC_CONF_INF_AGENTES (COD_INFORME,BO_GROUP,COMPANIA,ID_TIPO_AGENTE,TABLA,F_INICIO,F_FIN,DESCRIPCION) VALUES (106,'INYC Compensation Reports User Group - PEPA_E','03','31','INYC_PEPA_E_RESUMEN,INYC_PEPA_E_DETALLE',TO_DATE('20140101','yyyymmdd'),TO_DATE('22000101','yyyymmdd'),'');</v>
      </c>
    </row>
    <row r="566" spans="1:1" x14ac:dyDescent="0.25">
      <c r="A566" t="str">
        <f>IF(AGENTES!I567="OBSOLETO","","INSERT INTO INYCEXT.INYC_CONF_INF_AGENTES (COD_INFORME,BO_GROUP,COMPANIA,ID_TIPO_AGENTE,TABLA,F_INICIO,F_FIN,DESCRIPCION) VALUES ("&amp;AGENTES!B567&amp;",'"&amp;AGENTES!C567&amp;"','"&amp;AGENTES!D567&amp;"','"&amp;AGENTES!E567&amp;"','"&amp;AGENTES!F567&amp;"',TO_DATE('"&amp;AGENTES!G567&amp;"','yyyymmdd'),TO_DATE('"&amp;AGENTES!H567&amp;"','yyyymmdd'),'"&amp;AGENTES!I567&amp;"');")</f>
        <v>INSERT INTO INYCEXT.INYC_CONF_INF_AGENTES (COD_INFORME,BO_GROUP,COMPANIA,ID_TIPO_AGENTE,TABLA,F_INICIO,F_FIN,DESCRIPCION) VALUES (106,'INYC Compensation Reports User Group - PEPA_E','03','32','INYC_PEPA_E_RESUMEN,INYC_PEPA_E_DETALLE',TO_DATE('20140101','yyyymmdd'),TO_DATE('22000101','yyyymmdd'),'Version 20180926');</v>
      </c>
    </row>
    <row r="567" spans="1:1" x14ac:dyDescent="0.25">
      <c r="A567" t="str">
        <f>IF(AGENTES!I568="OBSOLETO","","INSERT INTO INYCEXT.INYC_CONF_INF_AGENTES (COD_INFORME,BO_GROUP,COMPANIA,ID_TIPO_AGENTE,TABLA,F_INICIO,F_FIN,DESCRIPCION) VALUES ("&amp;AGENTES!B568&amp;",'"&amp;AGENTES!C568&amp;"','"&amp;AGENTES!D568&amp;"','"&amp;AGENTES!E568&amp;"','"&amp;AGENTES!F568&amp;"',TO_DATE('"&amp;AGENTES!G568&amp;"','yyyymmdd'),TO_DATE('"&amp;AGENTES!H568&amp;"','yyyymmdd'),'"&amp;AGENTES!I568&amp;"');")</f>
        <v>INSERT INTO INYCEXT.INYC_CONF_INF_AGENTES (COD_INFORME,BO_GROUP,COMPANIA,ID_TIPO_AGENTE,TABLA,F_INICIO,F_FIN,DESCRIPCION) VALUES (106,'INYC Compensation Reports User Group - PEPA_E','03','33','INYC_PEPA_E_RESUMEN,INYC_PEPA_E_DETALLE',TO_DATE('20140101','yyyymmdd'),TO_DATE('22000101','yyyymmdd'),'');</v>
      </c>
    </row>
    <row r="568" spans="1:1" x14ac:dyDescent="0.25">
      <c r="A568" t="str">
        <f>IF(AGENTES!I569="OBSOLETO","","INSERT INTO INYCEXT.INYC_CONF_INF_AGENTES (COD_INFORME,BO_GROUP,COMPANIA,ID_TIPO_AGENTE,TABLA,F_INICIO,F_FIN,DESCRIPCION) VALUES ("&amp;AGENTES!B569&amp;",'"&amp;AGENTES!C569&amp;"','"&amp;AGENTES!D569&amp;"','"&amp;AGENTES!E569&amp;"','"&amp;AGENTES!F569&amp;"',TO_DATE('"&amp;AGENTES!G569&amp;"','yyyymmdd'),TO_DATE('"&amp;AGENTES!H569&amp;"','yyyymmdd'),'"&amp;AGENTES!I569&amp;"');")</f>
        <v>INSERT INTO INYCEXT.INYC_CONF_INF_AGENTES (COD_INFORME,BO_GROUP,COMPANIA,ID_TIPO_AGENTE,TABLA,F_INICIO,F_FIN,DESCRIPCION) VALUES (106,'INYC Compensation Reports User Group - PEPA_E','03','34','INYC_PEPA_E_RESUMEN,INYC_PEPA_E_DETALLE',TO_DATE('20140101','yyyymmdd'),TO_DATE('22000101','yyyymmdd'),'');</v>
      </c>
    </row>
    <row r="569" spans="1:1" x14ac:dyDescent="0.25">
      <c r="A569" t="str">
        <f>IF(AGENTES!I570="OBSOLETO","","INSERT INTO INYCEXT.INYC_CONF_INF_AGENTES (COD_INFORME,BO_GROUP,COMPANIA,ID_TIPO_AGENTE,TABLA,F_INICIO,F_FIN,DESCRIPCION) VALUES ("&amp;AGENTES!B570&amp;",'"&amp;AGENTES!C570&amp;"','"&amp;AGENTES!D570&amp;"','"&amp;AGENTES!E570&amp;"','"&amp;AGENTES!F570&amp;"',TO_DATE('"&amp;AGENTES!G570&amp;"','yyyymmdd'),TO_DATE('"&amp;AGENTES!H570&amp;"','yyyymmdd'),'"&amp;AGENTES!I570&amp;"');")</f>
        <v>INSERT INTO INYCEXT.INYC_CONF_INF_AGENTES (COD_INFORME,BO_GROUP,COMPANIA,ID_TIPO_AGENTE,TABLA,F_INICIO,F_FIN,DESCRIPCION) VALUES (106,'INYC Compensation Reports User Group - PEPA_E','03','35','INYC_PEPA_E_RESUMEN,INYC_PEPA_E_DETALLE',TO_DATE('20140101','yyyymmdd'),TO_DATE('22000101','yyyymmdd'),'');</v>
      </c>
    </row>
    <row r="570" spans="1:1" x14ac:dyDescent="0.25">
      <c r="A570" t="str">
        <f>IF(AGENTES!I571="OBSOLETO","","INSERT INTO INYCEXT.INYC_CONF_INF_AGENTES (COD_INFORME,BO_GROUP,COMPANIA,ID_TIPO_AGENTE,TABLA,F_INICIO,F_FIN,DESCRIPCION) VALUES ("&amp;AGENTES!B571&amp;",'"&amp;AGENTES!C571&amp;"','"&amp;AGENTES!D571&amp;"','"&amp;AGENTES!E571&amp;"','"&amp;AGENTES!F571&amp;"',TO_DATE('"&amp;AGENTES!G571&amp;"','yyyymmdd'),TO_DATE('"&amp;AGENTES!H571&amp;"','yyyymmdd'),'"&amp;AGENTES!I571&amp;"');")</f>
        <v>INSERT INTO INYCEXT.INYC_CONF_INF_AGENTES (COD_INFORME,BO_GROUP,COMPANIA,ID_TIPO_AGENTE,TABLA,F_INICIO,F_FIN,DESCRIPCION) VALUES (106,'INYC Compensation Reports User Group - PEPA_E','03','36','INYC_PEPA_E_RESUMEN,INYC_PEPA_E_DETALLE',TO_DATE('20140101','yyyymmdd'),TO_DATE('22000101','yyyymmdd'),'');</v>
      </c>
    </row>
    <row r="571" spans="1:1" x14ac:dyDescent="0.25">
      <c r="A571" t="str">
        <f>IF(AGENTES!I572="OBSOLETO","","INSERT INTO INYCEXT.INYC_CONF_INF_AGENTES (COD_INFORME,BO_GROUP,COMPANIA,ID_TIPO_AGENTE,TABLA,F_INICIO,F_FIN,DESCRIPCION) VALUES ("&amp;AGENTES!B572&amp;",'"&amp;AGENTES!C572&amp;"','"&amp;AGENTES!D572&amp;"','"&amp;AGENTES!E572&amp;"','"&amp;AGENTES!F572&amp;"',TO_DATE('"&amp;AGENTES!G572&amp;"','yyyymmdd'),TO_DATE('"&amp;AGENTES!H572&amp;"','yyyymmdd'),'"&amp;AGENTES!I572&amp;"');")</f>
        <v>INSERT INTO INYCEXT.INYC_CONF_INF_AGENTES (COD_INFORME,BO_GROUP,COMPANIA,ID_TIPO_AGENTE,TABLA,F_INICIO,F_FIN,DESCRIPCION) VALUES (106,'INYC Compensation Reports User Group - PEPA_E','03','38','INYC_PEPA_E_RESUMEN,INYC_PEPA_E_DETALLE',TO_DATE('20140101','yyyymmdd'),TO_DATE('22000101','yyyymmdd'),'');</v>
      </c>
    </row>
    <row r="572" spans="1:1" x14ac:dyDescent="0.25">
      <c r="A572" t="str">
        <f>IF(AGENTES!I573="OBSOLETO","","INSERT INTO INYCEXT.INYC_CONF_INF_AGENTES (COD_INFORME,BO_GROUP,COMPANIA,ID_TIPO_AGENTE,TABLA,F_INICIO,F_FIN,DESCRIPCION) VALUES ("&amp;AGENTES!B573&amp;",'"&amp;AGENTES!C573&amp;"','"&amp;AGENTES!D573&amp;"','"&amp;AGENTES!E573&amp;"','"&amp;AGENTES!F573&amp;"',TO_DATE('"&amp;AGENTES!G573&amp;"','yyyymmdd'),TO_DATE('"&amp;AGENTES!H573&amp;"','yyyymmdd'),'"&amp;AGENTES!I573&amp;"');")</f>
        <v>INSERT INTO INYCEXT.INYC_CONF_INF_AGENTES (COD_INFORME,BO_GROUP,COMPANIA,ID_TIPO_AGENTE,TABLA,F_INICIO,F_FIN,DESCRIPCION) VALUES (106,'INYC Compensation Reports User Group - PEPA_E','03','39','INYC_PEPA_E_RESUMEN,INYC_PEPA_E_DETALLE',TO_DATE('20140101','yyyymmdd'),TO_DATE('22000101','yyyymmdd'),'');</v>
      </c>
    </row>
    <row r="573" spans="1:1" x14ac:dyDescent="0.25">
      <c r="A573" t="str">
        <f>IF(AGENTES!I574="OBSOLETO","","INSERT INTO INYCEXT.INYC_CONF_INF_AGENTES (COD_INFORME,BO_GROUP,COMPANIA,ID_TIPO_AGENTE,TABLA,F_INICIO,F_FIN,DESCRIPCION) VALUES ("&amp;AGENTES!B574&amp;",'"&amp;AGENTES!C574&amp;"','"&amp;AGENTES!D574&amp;"','"&amp;AGENTES!E574&amp;"','"&amp;AGENTES!F574&amp;"',TO_DATE('"&amp;AGENTES!G574&amp;"','yyyymmdd'),TO_DATE('"&amp;AGENTES!H574&amp;"','yyyymmdd'),'"&amp;AGENTES!I574&amp;"');")</f>
        <v>INSERT INTO INYCEXT.INYC_CONF_INF_AGENTES (COD_INFORME,BO_GROUP,COMPANIA,ID_TIPO_AGENTE,TABLA,F_INICIO,F_FIN,DESCRIPCION) VALUES (106,'INYC Compensation Reports User Group - PEPA_E','03','40','INYC_PEPA_E_RESUMEN,INYC_PEPA_E_DETALLE',TO_DATE('20140101','yyyymmdd'),TO_DATE('22000101','yyyymmdd'),'');</v>
      </c>
    </row>
    <row r="574" spans="1:1" x14ac:dyDescent="0.25">
      <c r="A574" t="str">
        <f>IF(AGENTES!I575="OBSOLETO","","INSERT INTO INYCEXT.INYC_CONF_INF_AGENTES (COD_INFORME,BO_GROUP,COMPANIA,ID_TIPO_AGENTE,TABLA,F_INICIO,F_FIN,DESCRIPCION) VALUES ("&amp;AGENTES!B575&amp;",'"&amp;AGENTES!C575&amp;"','"&amp;AGENTES!D575&amp;"','"&amp;AGENTES!E575&amp;"','"&amp;AGENTES!F575&amp;"',TO_DATE('"&amp;AGENTES!G575&amp;"','yyyymmdd'),TO_DATE('"&amp;AGENTES!H575&amp;"','yyyymmdd'),'"&amp;AGENTES!I575&amp;"');")</f>
        <v>INSERT INTO INYCEXT.INYC_CONF_INF_AGENTES (COD_INFORME,BO_GROUP,COMPANIA,ID_TIPO_AGENTE,TABLA,F_INICIO,F_FIN,DESCRIPCION) VALUES (106,'INYC Compensation Reports User Group - PEPA_E','03','41','INYC_PEPA_E_RESUMEN,INYC_PEPA_E_DETALLE',TO_DATE('20140101','yyyymmdd'),TO_DATE('22000101','yyyymmdd'),'');</v>
      </c>
    </row>
    <row r="575" spans="1:1" x14ac:dyDescent="0.25">
      <c r="A575" t="str">
        <f>IF(AGENTES!I576="OBSOLETO","","INSERT INTO INYCEXT.INYC_CONF_INF_AGENTES (COD_INFORME,BO_GROUP,COMPANIA,ID_TIPO_AGENTE,TABLA,F_INICIO,F_FIN,DESCRIPCION) VALUES ("&amp;AGENTES!B576&amp;",'"&amp;AGENTES!C576&amp;"','"&amp;AGENTES!D576&amp;"','"&amp;AGENTES!E576&amp;"','"&amp;AGENTES!F576&amp;"',TO_DATE('"&amp;AGENTES!G576&amp;"','yyyymmdd'),TO_DATE('"&amp;AGENTES!H576&amp;"','yyyymmdd'),'"&amp;AGENTES!I576&amp;"');")</f>
        <v>INSERT INTO INYCEXT.INYC_CONF_INF_AGENTES (COD_INFORME,BO_GROUP,COMPANIA,ID_TIPO_AGENTE,TABLA,F_INICIO,F_FIN,DESCRIPCION) VALUES (106,'INYC Compensation Reports User Group - PEPA_E','03','42','INYC_PEPA_E_RESUMEN,INYC_PEPA_E_DETALLE',TO_DATE('20140101','yyyymmdd'),TO_DATE('22000101','yyyymmdd'),'');</v>
      </c>
    </row>
    <row r="576" spans="1:1" x14ac:dyDescent="0.25">
      <c r="A576" t="str">
        <f>IF(AGENTES!I577="OBSOLETO","","INSERT INTO INYCEXT.INYC_CONF_INF_AGENTES (COD_INFORME,BO_GROUP,COMPANIA,ID_TIPO_AGENTE,TABLA,F_INICIO,F_FIN,DESCRIPCION) VALUES ("&amp;AGENTES!B577&amp;",'"&amp;AGENTES!C577&amp;"','"&amp;AGENTES!D577&amp;"','"&amp;AGENTES!E577&amp;"','"&amp;AGENTES!F577&amp;"',TO_DATE('"&amp;AGENTES!G577&amp;"','yyyymmdd'),TO_DATE('"&amp;AGENTES!H577&amp;"','yyyymmdd'),'"&amp;AGENTES!I577&amp;"');")</f>
        <v>INSERT INTO INYCEXT.INYC_CONF_INF_AGENTES (COD_INFORME,BO_GROUP,COMPANIA,ID_TIPO_AGENTE,TABLA,F_INICIO,F_FIN,DESCRIPCION) VALUES (106,'INYC Compensation Reports User Group - PEPA_E','03','44','INYC_PEPA_E_RESUMEN,INYC_PEPA_E_DETALLE',TO_DATE('20140101','yyyymmdd'),TO_DATE('22000101','yyyymmdd'),'');</v>
      </c>
    </row>
    <row r="577" spans="1:1" x14ac:dyDescent="0.25">
      <c r="A577" t="str">
        <f>IF(AGENTES!I578="OBSOLETO","","INSERT INTO INYCEXT.INYC_CONF_INF_AGENTES (COD_INFORME,BO_GROUP,COMPANIA,ID_TIPO_AGENTE,TABLA,F_INICIO,F_FIN,DESCRIPCION) VALUES ("&amp;AGENTES!B578&amp;",'"&amp;AGENTES!C578&amp;"','"&amp;AGENTES!D578&amp;"','"&amp;AGENTES!E578&amp;"','"&amp;AGENTES!F578&amp;"',TO_DATE('"&amp;AGENTES!G578&amp;"','yyyymmdd'),TO_DATE('"&amp;AGENTES!H578&amp;"','yyyymmdd'),'"&amp;AGENTES!I578&amp;"');")</f>
        <v>INSERT INTO INYCEXT.INYC_CONF_INF_AGENTES (COD_INFORME,BO_GROUP,COMPANIA,ID_TIPO_AGENTE,TABLA,F_INICIO,F_FIN,DESCRIPCION) VALUES (106,'INYC Compensation Reports User Group - PEPA_E','03','45','INYC_PEPA_E_RESUMEN,INYC_PEPA_E_DETALLE',TO_DATE('20140101','yyyymmdd'),TO_DATE('22000101','yyyymmdd'),'');</v>
      </c>
    </row>
    <row r="578" spans="1:1" x14ac:dyDescent="0.25">
      <c r="A578" t="str">
        <f>IF(AGENTES!I579="OBSOLETO","","INSERT INTO INYCEXT.INYC_CONF_INF_AGENTES (COD_INFORME,BO_GROUP,COMPANIA,ID_TIPO_AGENTE,TABLA,F_INICIO,F_FIN,DESCRIPCION) VALUES ("&amp;AGENTES!B579&amp;",'"&amp;AGENTES!C579&amp;"','"&amp;AGENTES!D579&amp;"','"&amp;AGENTES!E579&amp;"','"&amp;AGENTES!F579&amp;"',TO_DATE('"&amp;AGENTES!G579&amp;"','yyyymmdd'),TO_DATE('"&amp;AGENTES!H579&amp;"','yyyymmdd'),'"&amp;AGENTES!I579&amp;"');")</f>
        <v>INSERT INTO INYCEXT.INYC_CONF_INF_AGENTES (COD_INFORME,BO_GROUP,COMPANIA,ID_TIPO_AGENTE,TABLA,F_INICIO,F_FIN,DESCRIPCION) VALUES (106,'INYC Compensation Reports User Group - PEPA_E','03','46','INYC_PEPA_E_RESUMEN,INYC_PEPA_E_DETALLE',TO_DATE('20140101','yyyymmdd'),TO_DATE('22000101','yyyymmdd'),'');</v>
      </c>
    </row>
    <row r="579" spans="1:1" x14ac:dyDescent="0.25">
      <c r="A579" t="str">
        <f>IF(AGENTES!I580="OBSOLETO","","INSERT INTO INYCEXT.INYC_CONF_INF_AGENTES (COD_INFORME,BO_GROUP,COMPANIA,ID_TIPO_AGENTE,TABLA,F_INICIO,F_FIN,DESCRIPCION) VALUES ("&amp;AGENTES!B580&amp;",'"&amp;AGENTES!C580&amp;"','"&amp;AGENTES!D580&amp;"','"&amp;AGENTES!E580&amp;"','"&amp;AGENTES!F580&amp;"',TO_DATE('"&amp;AGENTES!G580&amp;"','yyyymmdd'),TO_DATE('"&amp;AGENTES!H580&amp;"','yyyymmdd'),'"&amp;AGENTES!I580&amp;"');")</f>
        <v>INSERT INTO INYCEXT.INYC_CONF_INF_AGENTES (COD_INFORME,BO_GROUP,COMPANIA,ID_TIPO_AGENTE,TABLA,F_INICIO,F_FIN,DESCRIPCION) VALUES (106,'INYC Compensation Reports User Group - PEPA_E','03','47','INYC_PEPA_E_RESUMEN,INYC_PEPA_E_DETALLE',TO_DATE('20140101','yyyymmdd'),TO_DATE('22000101','yyyymmdd'),'');</v>
      </c>
    </row>
    <row r="580" spans="1:1" x14ac:dyDescent="0.25">
      <c r="A580" t="str">
        <f>IF(AGENTES!I581="OBSOLETO","","INSERT INTO INYCEXT.INYC_CONF_INF_AGENTES (COD_INFORME,BO_GROUP,COMPANIA,ID_TIPO_AGENTE,TABLA,F_INICIO,F_FIN,DESCRIPCION) VALUES ("&amp;AGENTES!B581&amp;",'"&amp;AGENTES!C581&amp;"','"&amp;AGENTES!D581&amp;"','"&amp;AGENTES!E581&amp;"','"&amp;AGENTES!F581&amp;"',TO_DATE('"&amp;AGENTES!G581&amp;"','yyyymmdd'),TO_DATE('"&amp;AGENTES!H581&amp;"','yyyymmdd'),'"&amp;AGENTES!I581&amp;"');")</f>
        <v>INSERT INTO INYCEXT.INYC_CONF_INF_AGENTES (COD_INFORME,BO_GROUP,COMPANIA,ID_TIPO_AGENTE,TABLA,F_INICIO,F_FIN,DESCRIPCION) VALUES (106,'INYC Compensation Reports User Group - PEPA_E','03','48','INYC_PEPA_E_RESUMEN,INYC_PEPA_E_DETALLE',TO_DATE('20140101','yyyymmdd'),TO_DATE('22000101','yyyymmdd'),'');</v>
      </c>
    </row>
    <row r="581" spans="1:1" x14ac:dyDescent="0.25">
      <c r="A581" t="str">
        <f>IF(AGENTES!I582="OBSOLETO","","INSERT INTO INYCEXT.INYC_CONF_INF_AGENTES (COD_INFORME,BO_GROUP,COMPANIA,ID_TIPO_AGENTE,TABLA,F_INICIO,F_FIN,DESCRIPCION) VALUES ("&amp;AGENTES!B582&amp;",'"&amp;AGENTES!C582&amp;"','"&amp;AGENTES!D582&amp;"','"&amp;AGENTES!E582&amp;"','"&amp;AGENTES!F582&amp;"',TO_DATE('"&amp;AGENTES!G582&amp;"','yyyymmdd'),TO_DATE('"&amp;AGENTES!H582&amp;"','yyyymmdd'),'"&amp;AGENTES!I582&amp;"');")</f>
        <v>INSERT INTO INYCEXT.INYC_CONF_INF_AGENTES (COD_INFORME,BO_GROUP,COMPANIA,ID_TIPO_AGENTE,TABLA,F_INICIO,F_FIN,DESCRIPCION) VALUES (106,'INYC Compensation Reports User Group - PEPA_E','03','49','INYC_PEPA_E_RESUMEN,INYC_PEPA_E_DETALLE',TO_DATE('20140101','yyyymmdd'),TO_DATE('22000101','yyyymmdd'),'');</v>
      </c>
    </row>
    <row r="582" spans="1:1" x14ac:dyDescent="0.25">
      <c r="A582" t="str">
        <f>IF(AGENTES!I583="OBSOLETO","","INSERT INTO INYCEXT.INYC_CONF_INF_AGENTES (COD_INFORME,BO_GROUP,COMPANIA,ID_TIPO_AGENTE,TABLA,F_INICIO,F_FIN,DESCRIPCION) VALUES ("&amp;AGENTES!B583&amp;",'"&amp;AGENTES!C583&amp;"','"&amp;AGENTES!D583&amp;"','"&amp;AGENTES!E583&amp;"','"&amp;AGENTES!F583&amp;"',TO_DATE('"&amp;AGENTES!G583&amp;"','yyyymmdd'),TO_DATE('"&amp;AGENTES!H583&amp;"','yyyymmdd'),'"&amp;AGENTES!I583&amp;"');")</f>
        <v>INSERT INTO INYCEXT.INYC_CONF_INF_AGENTES (COD_INFORME,BO_GROUP,COMPANIA,ID_TIPO_AGENTE,TABLA,F_INICIO,F_FIN,DESCRIPCION) VALUES (106,'INYC Compensation Reports User Group - PEPA_E','03','52','INYC_PEPI_E_RESUMEN,INYC_PEPI_E_DETALLE',TO_DATE('20140101','yyyymmdd'),TO_DATE('22000101','yyyymmdd'),'');</v>
      </c>
    </row>
    <row r="583" spans="1:1" x14ac:dyDescent="0.25">
      <c r="A583" t="str">
        <f>IF(AGENTES!I584="OBSOLETO","","INSERT INTO INYCEXT.INYC_CONF_INF_AGENTES (COD_INFORME,BO_GROUP,COMPANIA,ID_TIPO_AGENTE,TABLA,F_INICIO,F_FIN,DESCRIPCION) VALUES ("&amp;AGENTES!B584&amp;",'"&amp;AGENTES!C584&amp;"','"&amp;AGENTES!D584&amp;"','"&amp;AGENTES!E584&amp;"','"&amp;AGENTES!F584&amp;"',TO_DATE('"&amp;AGENTES!G584&amp;"','yyyymmdd'),TO_DATE('"&amp;AGENTES!H584&amp;"','yyyymmdd'),'"&amp;AGENTES!I584&amp;"');")</f>
        <v>INSERT INTO INYCEXT.INYC_CONF_INF_AGENTES (COD_INFORME,BO_GROUP,COMPANIA,ID_TIPO_AGENTE,TABLA,F_INICIO,F_FIN,DESCRIPCION) VALUES (106,'INYC Compensation Reports User Group - PEPA_E','03','54','INYC_PEPI_E_RESUMEN,INYC_PEPI_E_DETALLE',TO_DATE('20140101','yyyymmdd'),TO_DATE('22000101','yyyymmdd'),'');</v>
      </c>
    </row>
    <row r="584" spans="1:1" x14ac:dyDescent="0.25">
      <c r="A584" t="str">
        <f>IF(AGENTES!I585="OBSOLETO","","INSERT INTO INYCEXT.INYC_CONF_INF_AGENTES (COD_INFORME,BO_GROUP,COMPANIA,ID_TIPO_AGENTE,TABLA,F_INICIO,F_FIN,DESCRIPCION) VALUES ("&amp;AGENTES!B585&amp;",'"&amp;AGENTES!C585&amp;"','"&amp;AGENTES!D585&amp;"','"&amp;AGENTES!E585&amp;"','"&amp;AGENTES!F585&amp;"',TO_DATE('"&amp;AGENTES!G585&amp;"','yyyymmdd'),TO_DATE('"&amp;AGENTES!H585&amp;"','yyyymmdd'),'"&amp;AGENTES!I585&amp;"');")</f>
        <v>INSERT INTO INYCEXT.INYC_CONF_INF_AGENTES (COD_INFORME,BO_GROUP,COMPANIA,ID_TIPO_AGENTE,TABLA,F_INICIO,F_FIN,DESCRIPCION) VALUES (106,'INYC Compensation Reports User Group - PEPA_E','03','56','INYC_PEPI_E_RESUMEN,INYC_PEPI_E_DETALLE',TO_DATE('20140101','yyyymmdd'),TO_DATE('22000101','yyyymmdd'),'');</v>
      </c>
    </row>
    <row r="585" spans="1:1" x14ac:dyDescent="0.25">
      <c r="A585" t="str">
        <f>IF(AGENTES!I586="OBSOLETO","","INSERT INTO INYCEXT.INYC_CONF_INF_AGENTES (COD_INFORME,BO_GROUP,COMPANIA,ID_TIPO_AGENTE,TABLA,F_INICIO,F_FIN,DESCRIPCION) VALUES ("&amp;AGENTES!B586&amp;",'"&amp;AGENTES!C586&amp;"','"&amp;AGENTES!D586&amp;"','"&amp;AGENTES!E586&amp;"','"&amp;AGENTES!F586&amp;"',TO_DATE('"&amp;AGENTES!G586&amp;"','yyyymmdd'),TO_DATE('"&amp;AGENTES!H586&amp;"','yyyymmdd'),'"&amp;AGENTES!I586&amp;"');")</f>
        <v>INSERT INTO INYCEXT.INYC_CONF_INF_AGENTES (COD_INFORME,BO_GROUP,COMPANIA,ID_TIPO_AGENTE,TABLA,F_INICIO,F_FIN,DESCRIPCION) VALUES (106,'INYC Compensation Reports User Group - PEPA_E','03','57','INYC_PEPI_E_RESUMEN,INYC_PEPI_E_DETALLE',TO_DATE('20140101','yyyymmdd'),TO_DATE('22000101','yyyymmdd'),'');</v>
      </c>
    </row>
    <row r="586" spans="1:1" x14ac:dyDescent="0.25">
      <c r="A586" t="str">
        <f>IF(AGENTES!I587="OBSOLETO","","INSERT INTO INYCEXT.INYC_CONF_INF_AGENTES (COD_INFORME,BO_GROUP,COMPANIA,ID_TIPO_AGENTE,TABLA,F_INICIO,F_FIN,DESCRIPCION) VALUES ("&amp;AGENTES!B587&amp;",'"&amp;AGENTES!C587&amp;"','"&amp;AGENTES!D587&amp;"','"&amp;AGENTES!E587&amp;"','"&amp;AGENTES!F587&amp;"',TO_DATE('"&amp;AGENTES!G587&amp;"','yyyymmdd'),TO_DATE('"&amp;AGENTES!H587&amp;"','yyyymmdd'),'"&amp;AGENTES!I587&amp;"');")</f>
        <v>INSERT INTO INYCEXT.INYC_CONF_INF_AGENTES (COD_INFORME,BO_GROUP,COMPANIA,ID_TIPO_AGENTE,TABLA,F_INICIO,F_FIN,DESCRIPCION) VALUES (106,'INYC Compensation Reports User Group - PEPA_E','03','58','INYC_PEPI_E_RESUMEN,INYC_PEPI_E_DETALLE',TO_DATE('20140101','yyyymmdd'),TO_DATE('22000101','yyyymmdd'),'');</v>
      </c>
    </row>
    <row r="587" spans="1:1" x14ac:dyDescent="0.25">
      <c r="A587" t="str">
        <f>IF(AGENTES!I588="OBSOLETO","","INSERT INTO INYCEXT.INYC_CONF_INF_AGENTES (COD_INFORME,BO_GROUP,COMPANIA,ID_TIPO_AGENTE,TABLA,F_INICIO,F_FIN,DESCRIPCION) VALUES ("&amp;AGENTES!B588&amp;",'"&amp;AGENTES!C588&amp;"','"&amp;AGENTES!D588&amp;"','"&amp;AGENTES!E588&amp;"','"&amp;AGENTES!F588&amp;"',TO_DATE('"&amp;AGENTES!G588&amp;"','yyyymmdd'),TO_DATE('"&amp;AGENTES!H588&amp;"','yyyymmdd'),'"&amp;AGENTES!I588&amp;"');")</f>
        <v>INSERT INTO INYCEXT.INYC_CONF_INF_AGENTES (COD_INFORME,BO_GROUP,COMPANIA,ID_TIPO_AGENTE,TABLA,F_INICIO,F_FIN,DESCRIPCION) VALUES (106,'INYC Compensation Reports User Group - PEPA_E','03','59','INYC_PEPI_E_RESUMEN,INYC_PEPI_E_DETALLE',TO_DATE('20140101','yyyymmdd'),TO_DATE('22000101','yyyymmdd'),'');</v>
      </c>
    </row>
    <row r="588" spans="1:1" x14ac:dyDescent="0.25">
      <c r="A588" t="str">
        <f>IF(AGENTES!I589="OBSOLETO","","INSERT INTO INYCEXT.INYC_CONF_INF_AGENTES (COD_INFORME,BO_GROUP,COMPANIA,ID_TIPO_AGENTE,TABLA,F_INICIO,F_FIN,DESCRIPCION) VALUES ("&amp;AGENTES!B589&amp;",'"&amp;AGENTES!C589&amp;"','"&amp;AGENTES!D589&amp;"','"&amp;AGENTES!E589&amp;"','"&amp;AGENTES!F589&amp;"',TO_DATE('"&amp;AGENTES!G589&amp;"','yyyymmdd'),TO_DATE('"&amp;AGENTES!H589&amp;"','yyyymmdd'),'"&amp;AGENTES!I589&amp;"');")</f>
        <v>INSERT INTO INYCEXT.INYC_CONF_INF_AGENTES (COD_INFORME,BO_GROUP,COMPANIA,ID_TIPO_AGENTE,TABLA,F_INICIO,F_FIN,DESCRIPCION) VALUES (106,'INYC Compensation Reports User Group - PEPA_E','03','60','INYC_PEPI_E_RESUMEN,INYC_PEPI_E_DETALLE',TO_DATE('20200101','yyyymmdd'),TO_DATE('22000101','yyyymmdd'),'Version 20200526');</v>
      </c>
    </row>
    <row r="589" spans="1:1" x14ac:dyDescent="0.25">
      <c r="A589" t="str">
        <f>IF(AGENTES!I590="OBSOLETO","","INSERT INTO INYCEXT.INYC_CONF_INF_AGENTES (COD_INFORME,BO_GROUP,COMPANIA,ID_TIPO_AGENTE,TABLA,F_INICIO,F_FIN,DESCRIPCION) VALUES ("&amp;AGENTES!B590&amp;",'"&amp;AGENTES!C590&amp;"','"&amp;AGENTES!D590&amp;"','"&amp;AGENTES!E590&amp;"','"&amp;AGENTES!F590&amp;"',TO_DATE('"&amp;AGENTES!G590&amp;"','yyyymmdd'),TO_DATE('"&amp;AGENTES!H590&amp;"','yyyymmdd'),'"&amp;AGENTES!I590&amp;"');")</f>
        <v>INSERT INTO INYCEXT.INYC_CONF_INF_AGENTES (COD_INFORME,BO_GROUP,COMPANIA,ID_TIPO_AGENTE,TABLA,F_INICIO,F_FIN,DESCRIPCION) VALUES (106,'INYC Compensation Reports User Group - PEPA_E','03','61','INYC_PEPI_E_RESUMEN,INYC_PEPI_E_DETALLE',TO_DATE('20140101','yyyymmdd'),TO_DATE('22000101','yyyymmdd'),'');</v>
      </c>
    </row>
    <row r="590" spans="1:1" x14ac:dyDescent="0.25">
      <c r="A590" t="str">
        <f>IF(AGENTES!I591="OBSOLETO","","INSERT INTO INYCEXT.INYC_CONF_INF_AGENTES (COD_INFORME,BO_GROUP,COMPANIA,ID_TIPO_AGENTE,TABLA,F_INICIO,F_FIN,DESCRIPCION) VALUES ("&amp;AGENTES!B591&amp;",'"&amp;AGENTES!C591&amp;"','"&amp;AGENTES!D591&amp;"','"&amp;AGENTES!E591&amp;"','"&amp;AGENTES!F591&amp;"',TO_DATE('"&amp;AGENTES!G591&amp;"','yyyymmdd'),TO_DATE('"&amp;AGENTES!H591&amp;"','yyyymmdd'),'"&amp;AGENTES!I591&amp;"');")</f>
        <v>INSERT INTO INYCEXT.INYC_CONF_INF_AGENTES (COD_INFORME,BO_GROUP,COMPANIA,ID_TIPO_AGENTE,TABLA,F_INICIO,F_FIN,DESCRIPCION) VALUES (106,'INYC Compensation Reports User Group - PEPA_E','03','62','INYC_PEPI_E_RESUMEN,INYC_PEPI_E_DETALLE',TO_DATE('20140101','yyyymmdd'),TO_DATE('22000101','yyyymmdd'),'');</v>
      </c>
    </row>
    <row r="591" spans="1:1" x14ac:dyDescent="0.25">
      <c r="A591" t="str">
        <f>IF(AGENTES!I592="OBSOLETO","","INSERT INTO INYCEXT.INYC_CONF_INF_AGENTES (COD_INFORME,BO_GROUP,COMPANIA,ID_TIPO_AGENTE,TABLA,F_INICIO,F_FIN,DESCRIPCION) VALUES ("&amp;AGENTES!B592&amp;",'"&amp;AGENTES!C592&amp;"','"&amp;AGENTES!D592&amp;"','"&amp;AGENTES!E592&amp;"','"&amp;AGENTES!F592&amp;"',TO_DATE('"&amp;AGENTES!G592&amp;"','yyyymmdd'),TO_DATE('"&amp;AGENTES!H592&amp;"','yyyymmdd'),'"&amp;AGENTES!I592&amp;"');")</f>
        <v>INSERT INTO INYCEXT.INYC_CONF_INF_AGENTES (COD_INFORME,BO_GROUP,COMPANIA,ID_TIPO_AGENTE,TABLA,F_INICIO,F_FIN,DESCRIPCION) VALUES (106,'INYC Compensation Reports User Group - PEPA_E','03','65','INYC_PEPI_E_RESUMEN,INYC_PEPI_E_DETALLE',TO_DATE('20140101','yyyymmdd'),TO_DATE('22000101','yyyymmdd'),'');</v>
      </c>
    </row>
    <row r="592" spans="1:1" x14ac:dyDescent="0.25">
      <c r="A592" t="str">
        <f>IF(AGENTES!I593="OBSOLETO","","INSERT INTO INYCEXT.INYC_CONF_INF_AGENTES (COD_INFORME,BO_GROUP,COMPANIA,ID_TIPO_AGENTE,TABLA,F_INICIO,F_FIN,DESCRIPCION) VALUES ("&amp;AGENTES!B593&amp;",'"&amp;AGENTES!C593&amp;"','"&amp;AGENTES!D593&amp;"','"&amp;AGENTES!E593&amp;"','"&amp;AGENTES!F593&amp;"',TO_DATE('"&amp;AGENTES!G593&amp;"','yyyymmdd'),TO_DATE('"&amp;AGENTES!H593&amp;"','yyyymmdd'),'"&amp;AGENTES!I593&amp;"');")</f>
        <v>INSERT INTO INYCEXT.INYC_CONF_INF_AGENTES (COD_INFORME,BO_GROUP,COMPANIA,ID_TIPO_AGENTE,TABLA,F_INICIO,F_FIN,DESCRIPCION) VALUES (106,'INYC Compensation Reports User Group - PEPA_E','03','301','INYC_PEPA_E_RESUMEN,INYC_PEPA_E_DETALLE',TO_DATE('20170101','yyyymmdd'),TO_DATE('22000101','yyyymmdd'),'Version 20170721');</v>
      </c>
    </row>
    <row r="593" spans="1:1" x14ac:dyDescent="0.25">
      <c r="A593" t="str">
        <f>IF(AGENTES!I594="OBSOLETO","","INSERT INTO INYCEXT.INYC_CONF_INF_AGENTES (COD_INFORME,BO_GROUP,COMPANIA,ID_TIPO_AGENTE,TABLA,F_INICIO,F_FIN,DESCRIPCION) VALUES ("&amp;AGENTES!B594&amp;",'"&amp;AGENTES!C594&amp;"','"&amp;AGENTES!D594&amp;"','"&amp;AGENTES!E594&amp;"','"&amp;AGENTES!F594&amp;"',TO_DATE('"&amp;AGENTES!G594&amp;"','yyyymmdd'),TO_DATE('"&amp;AGENTES!H594&amp;"','yyyymmdd'),'"&amp;AGENTES!I594&amp;"');")</f>
        <v>INSERT INTO INYCEXT.INYC_CONF_INF_AGENTES (COD_INFORME,BO_GROUP,COMPANIA,ID_TIPO_AGENTE,TABLA,F_INICIO,F_FIN,DESCRIPCION) VALUES (106,'INYC Compensation Reports User Group - PEPA_E','03','302','INYC_PEPA_E_RESUMEN,INYC_PEPA_E_DETALLE',TO_DATE('20170101','yyyymmdd'),TO_DATE('22000101','yyyymmdd'),'Version 20170721');</v>
      </c>
    </row>
    <row r="594" spans="1:1" x14ac:dyDescent="0.25">
      <c r="A594" t="str">
        <f>IF(AGENTES!I595="OBSOLETO","","INSERT INTO INYCEXT.INYC_CONF_INF_AGENTES (COD_INFORME,BO_GROUP,COMPANIA,ID_TIPO_AGENTE,TABLA,F_INICIO,F_FIN,DESCRIPCION) VALUES ("&amp;AGENTES!B595&amp;",'"&amp;AGENTES!C595&amp;"','"&amp;AGENTES!D595&amp;"','"&amp;AGENTES!E595&amp;"','"&amp;AGENTES!F595&amp;"',TO_DATE('"&amp;AGENTES!G595&amp;"','yyyymmdd'),TO_DATE('"&amp;AGENTES!H595&amp;"','yyyymmdd'),'"&amp;AGENTES!I595&amp;"');")</f>
        <v>INSERT INTO INYCEXT.INYC_CONF_INF_AGENTES (COD_INFORME,BO_GROUP,COMPANIA,ID_TIPO_AGENTE,TABLA,F_INICIO,F_FIN,DESCRIPCION) VALUES (106,'INYC Compensation Reports User Group - PEPA_E','03','303','INYC_PEPA_E_RESUMEN,INYC_PEPA_E_DETALLE',TO_DATE('20170101','yyyymmdd'),TO_DATE('22000101','yyyymmdd'),'Version 20170721');</v>
      </c>
    </row>
    <row r="595" spans="1:1" x14ac:dyDescent="0.25">
      <c r="A595" t="str">
        <f>IF(AGENTES!I596="OBSOLETO","","INSERT INTO INYCEXT.INYC_CONF_INF_AGENTES (COD_INFORME,BO_GROUP,COMPANIA,ID_TIPO_AGENTE,TABLA,F_INICIO,F_FIN,DESCRIPCION) VALUES ("&amp;AGENTES!B596&amp;",'"&amp;AGENTES!C596&amp;"','"&amp;AGENTES!D596&amp;"','"&amp;AGENTES!E596&amp;"','"&amp;AGENTES!F596&amp;"',TO_DATE('"&amp;AGENTES!G596&amp;"','yyyymmdd'),TO_DATE('"&amp;AGENTES!H596&amp;"','yyyymmdd'),'"&amp;AGENTES!I596&amp;"');")</f>
        <v>INSERT INTO INYCEXT.INYC_CONF_INF_AGENTES (COD_INFORME,BO_GROUP,COMPANIA,ID_TIPO_AGENTE,TABLA,F_INICIO,F_FIN,DESCRIPCION) VALUES (106,'INYC Compensation Reports User Group - PEPA_E','03','316','INYC_PEPA_E_RESUMEN,INYC_PEPA_E_DETALLE',TO_DATE('20170101','yyyymmdd'),TO_DATE('22000101','yyyymmdd'),'Version 20170602');</v>
      </c>
    </row>
    <row r="596" spans="1:1" x14ac:dyDescent="0.25">
      <c r="A596" t="str">
        <f>IF(AGENTES!I597="OBSOLETO","","INSERT INTO INYCEXT.INYC_CONF_INF_AGENTES (COD_INFORME,BO_GROUP,COMPANIA,ID_TIPO_AGENTE,TABLA,F_INICIO,F_FIN,DESCRIPCION) VALUES ("&amp;AGENTES!B597&amp;",'"&amp;AGENTES!C597&amp;"','"&amp;AGENTES!D597&amp;"','"&amp;AGENTES!E597&amp;"','"&amp;AGENTES!F597&amp;"',TO_DATE('"&amp;AGENTES!G597&amp;"','yyyymmdd'),TO_DATE('"&amp;AGENTES!H597&amp;"','yyyymmdd'),'"&amp;AGENTES!I597&amp;"');")</f>
        <v>INSERT INTO INYCEXT.INYC_CONF_INF_AGENTES (COD_INFORME,BO_GROUP,COMPANIA,ID_TIPO_AGENTE,TABLA,F_INICIO,F_FIN,DESCRIPCION) VALUES (106,'INYC Compensation Reports User Group - PEPA_E','03','317','INYC_PEPA_E_RESUMEN,INYC_PEPA_E_DETALLE',TO_DATE('20190201','yyyymmdd'),TO_DATE('22000101','yyyymmdd'),'Version 20190214');</v>
      </c>
    </row>
    <row r="597" spans="1:1" x14ac:dyDescent="0.25">
      <c r="A597" t="str">
        <f>IF(AGENTES!I598="OBSOLETO","","INSERT INTO INYCEXT.INYC_CONF_INF_AGENTES (COD_INFORME,BO_GROUP,COMPANIA,ID_TIPO_AGENTE,TABLA,F_INICIO,F_FIN,DESCRIPCION) VALUES ("&amp;AGENTES!B598&amp;",'"&amp;AGENTES!C598&amp;"','"&amp;AGENTES!D598&amp;"','"&amp;AGENTES!E598&amp;"','"&amp;AGENTES!F598&amp;"',TO_DATE('"&amp;AGENTES!G598&amp;"','yyyymmdd'),TO_DATE('"&amp;AGENTES!H598&amp;"','yyyymmdd'),'"&amp;AGENTES!I598&amp;"');")</f>
        <v>INSERT INTO INYCEXT.INYC_CONF_INF_AGENTES (COD_INFORME,BO_GROUP,COMPANIA,ID_TIPO_AGENTE,TABLA,F_INICIO,F_FIN,DESCRIPCION) VALUES (106,'INYC Compensation Reports User Group - PEPA_E','03','331','INYC_PEPA_E_RESUMEN,INYC_PEPA_E_DETALLE',TO_DATE('20170101','yyyymmdd'),TO_DATE('22000101','yyyymmdd'),'Version 20170721');</v>
      </c>
    </row>
    <row r="598" spans="1:1" x14ac:dyDescent="0.25">
      <c r="A598" t="str">
        <f>IF(AGENTES!I599="OBSOLETO","","INSERT INTO INYCEXT.INYC_CONF_INF_AGENTES (COD_INFORME,BO_GROUP,COMPANIA,ID_TIPO_AGENTE,TABLA,F_INICIO,F_FIN,DESCRIPCION) VALUES ("&amp;AGENTES!B599&amp;",'"&amp;AGENTES!C599&amp;"','"&amp;AGENTES!D599&amp;"','"&amp;AGENTES!E599&amp;"','"&amp;AGENTES!F599&amp;"',TO_DATE('"&amp;AGENTES!G599&amp;"','yyyymmdd'),TO_DATE('"&amp;AGENTES!H599&amp;"','yyyymmdd'),'"&amp;AGENTES!I599&amp;"');")</f>
        <v>INSERT INTO INYCEXT.INYC_CONF_INF_AGENTES (COD_INFORME,BO_GROUP,COMPANIA,ID_TIPO_AGENTE,TABLA,F_INICIO,F_FIN,DESCRIPCION) VALUES (106,'INYC Compensation Reports User Group - PEPA_E','03','332','INYC_PEPA_E_RESUMEN,INYC_PEPA_E_DETALLE',TO_DATE('20190101','yyyymmdd'),TO_DATE('22000101','yyyymmdd'),'Version 20190116');</v>
      </c>
    </row>
    <row r="599" spans="1:1" x14ac:dyDescent="0.25">
      <c r="A599" t="str">
        <f>IF(AGENTES!I600="OBSOLETO","","INSERT INTO INYCEXT.INYC_CONF_INF_AGENTES (COD_INFORME,BO_GROUP,COMPANIA,ID_TIPO_AGENTE,TABLA,F_INICIO,F_FIN,DESCRIPCION) VALUES ("&amp;AGENTES!B600&amp;",'"&amp;AGENTES!C600&amp;"','"&amp;AGENTES!D600&amp;"','"&amp;AGENTES!E600&amp;"','"&amp;AGENTES!F600&amp;"',TO_DATE('"&amp;AGENTES!G600&amp;"','yyyymmdd'),TO_DATE('"&amp;AGENTES!H600&amp;"','yyyymmdd'),'"&amp;AGENTES!I600&amp;"');")</f>
        <v>INSERT INTO INYCEXT.INYC_CONF_INF_AGENTES (COD_INFORME,BO_GROUP,COMPANIA,ID_TIPO_AGENTE,TABLA,F_INICIO,F_FIN,DESCRIPCION) VALUES (106,'INYC Compensation Reports User Group - PEPA_E','03','333','INYC_PEPA_E_RESUMEN,INYC_PEPA_E_DETALLE',TO_DATE('20190101','yyyymmdd'),TO_DATE('22000101','yyyymmdd'),'Version 20190116');</v>
      </c>
    </row>
    <row r="600" spans="1:1" x14ac:dyDescent="0.25">
      <c r="A600" t="str">
        <f>IF(AGENTES!I601="OBSOLETO","","INSERT INTO INYCEXT.INYC_CONF_INF_AGENTES (COD_INFORME,BO_GROUP,COMPANIA,ID_TIPO_AGENTE,TABLA,F_INICIO,F_FIN,DESCRIPCION) VALUES ("&amp;AGENTES!B601&amp;",'"&amp;AGENTES!C601&amp;"','"&amp;AGENTES!D601&amp;"','"&amp;AGENTES!E601&amp;"','"&amp;AGENTES!F601&amp;"',TO_DATE('"&amp;AGENTES!G601&amp;"','yyyymmdd'),TO_DATE('"&amp;AGENTES!H601&amp;"','yyyymmdd'),'"&amp;AGENTES!I601&amp;"');")</f>
        <v>INSERT INTO INYCEXT.INYC_CONF_INF_AGENTES (COD_INFORME,BO_GROUP,COMPANIA,ID_TIPO_AGENTE,TABLA,F_INICIO,F_FIN,DESCRIPCION) VALUES (106,'INYC Compensation Reports User Group - PEPA_E','03','334','INYC_PEPA_E_RESUMEN,INYC_PEPA_E_DETALLE',TO_DATE('20140101','yyyymmdd'),TO_DATE('20170101','yyyymmdd'),'Version 20170721');</v>
      </c>
    </row>
    <row r="601" spans="1:1" x14ac:dyDescent="0.25">
      <c r="A601" t="str">
        <f>IF(AGENTES!I602="OBSOLETO","","INSERT INTO INYCEXT.INYC_CONF_INF_AGENTES (COD_INFORME,BO_GROUP,COMPANIA,ID_TIPO_AGENTE,TABLA,F_INICIO,F_FIN,DESCRIPCION) VALUES ("&amp;AGENTES!B602&amp;",'"&amp;AGENTES!C602&amp;"','"&amp;AGENTES!D602&amp;"','"&amp;AGENTES!E602&amp;"','"&amp;AGENTES!F602&amp;"',TO_DATE('"&amp;AGENTES!G602&amp;"','yyyymmdd'),TO_DATE('"&amp;AGENTES!H602&amp;"','yyyymmdd'),'"&amp;AGENTES!I602&amp;"');")</f>
        <v>INSERT INTO INYCEXT.INYC_CONF_INF_AGENTES (COD_INFORME,BO_GROUP,COMPANIA,ID_TIPO_AGENTE,TABLA,F_INICIO,F_FIN,DESCRIPCION) VALUES (106,'INYC Compensation Reports User Group - PEPA_E','03','335','INYC_PEPA_E_RESUMEN,INYC_PEPA_E_DETALLE',TO_DATE('20140101','yyyymmdd'),TO_DATE('22000101','yyyymmdd'),'');</v>
      </c>
    </row>
    <row r="602" spans="1:1" x14ac:dyDescent="0.25">
      <c r="A602" t="str">
        <f>IF(AGENTES!I603="OBSOLETO","","INSERT INTO INYCEXT.INYC_CONF_INF_AGENTES (COD_INFORME,BO_GROUP,COMPANIA,ID_TIPO_AGENTE,TABLA,F_INICIO,F_FIN,DESCRIPCION) VALUES ("&amp;AGENTES!B603&amp;",'"&amp;AGENTES!C603&amp;"','"&amp;AGENTES!D603&amp;"','"&amp;AGENTES!E603&amp;"','"&amp;AGENTES!F603&amp;"',TO_DATE('"&amp;AGENTES!G603&amp;"','yyyymmdd'),TO_DATE('"&amp;AGENTES!H603&amp;"','yyyymmdd'),'"&amp;AGENTES!I603&amp;"');")</f>
        <v>INSERT INTO INYCEXT.INYC_CONF_INF_AGENTES (COD_INFORME,BO_GROUP,COMPANIA,ID_TIPO_AGENTE,TABLA,F_INICIO,F_FIN,DESCRIPCION) VALUES (106,'INYC Compensation Reports User Group - PEPA_E','03','338','INYC_PEPA_E_RESUMEN,INYC_PEPA_E_DETALLE',TO_DATE('20140101','yyyymmdd'),TO_DATE('22000101','yyyymmdd'),'');</v>
      </c>
    </row>
    <row r="603" spans="1:1" x14ac:dyDescent="0.25">
      <c r="A603" t="str">
        <f>IF(AGENTES!I604="OBSOLETO","","INSERT INTO INYCEXT.INYC_CONF_INF_AGENTES (COD_INFORME,BO_GROUP,COMPANIA,ID_TIPO_AGENTE,TABLA,F_INICIO,F_FIN,DESCRIPCION) VALUES ("&amp;AGENTES!B604&amp;",'"&amp;AGENTES!C604&amp;"','"&amp;AGENTES!D604&amp;"','"&amp;AGENTES!E604&amp;"','"&amp;AGENTES!F604&amp;"',TO_DATE('"&amp;AGENTES!G604&amp;"','yyyymmdd'),TO_DATE('"&amp;AGENTES!H604&amp;"','yyyymmdd'),'"&amp;AGENTES!I604&amp;"');")</f>
        <v>INSERT INTO INYCEXT.INYC_CONF_INF_AGENTES (COD_INFORME,BO_GROUP,COMPANIA,ID_TIPO_AGENTE,TABLA,F_INICIO,F_FIN,DESCRIPCION) VALUES (106,'INYC Compensation Reports User Group - PEPA_E','03','340','INYC_PEPA_E_RESUMEN,INYC_PEPA_E_DETALLE',TO_DATE('20140101','yyyymmdd'),TO_DATE('22000101','yyyymmdd'),'');</v>
      </c>
    </row>
    <row r="604" spans="1:1" x14ac:dyDescent="0.25">
      <c r="A604" t="str">
        <f>IF(AGENTES!I605="OBSOLETO","","INSERT INTO INYCEXT.INYC_CONF_INF_AGENTES (COD_INFORME,BO_GROUP,COMPANIA,ID_TIPO_AGENTE,TABLA,F_INICIO,F_FIN,DESCRIPCION) VALUES ("&amp;AGENTES!B605&amp;",'"&amp;AGENTES!C605&amp;"','"&amp;AGENTES!D605&amp;"','"&amp;AGENTES!E605&amp;"','"&amp;AGENTES!F605&amp;"',TO_DATE('"&amp;AGENTES!G605&amp;"','yyyymmdd'),TO_DATE('"&amp;AGENTES!H605&amp;"','yyyymmdd'),'"&amp;AGENTES!I605&amp;"');")</f>
        <v>INSERT INTO INYCEXT.INYC_CONF_INF_AGENTES (COD_INFORME,BO_GROUP,COMPANIA,ID_TIPO_AGENTE,TABLA,F_INICIO,F_FIN,DESCRIPCION) VALUES (106,'INYC Compensation Reports User Group - PEPA_E','03','341','INYC_PEPA_E_RESUMEN,INYC_PEPA_E_DETALLE',TO_DATE('20200101','yyyymmdd'),TO_DATE('22000101','yyyymmdd'),'Version 20200506');</v>
      </c>
    </row>
    <row r="605" spans="1:1" x14ac:dyDescent="0.25">
      <c r="A605" t="str">
        <f>IF(AGENTES!I606="OBSOLETO","","INSERT INTO INYCEXT.INYC_CONF_INF_AGENTES (COD_INFORME,BO_GROUP,COMPANIA,ID_TIPO_AGENTE,TABLA,F_INICIO,F_FIN,DESCRIPCION) VALUES ("&amp;AGENTES!B606&amp;",'"&amp;AGENTES!C606&amp;"','"&amp;AGENTES!D606&amp;"','"&amp;AGENTES!E606&amp;"','"&amp;AGENTES!F606&amp;"',TO_DATE('"&amp;AGENTES!G606&amp;"','yyyymmdd'),TO_DATE('"&amp;AGENTES!H606&amp;"','yyyymmdd'),'"&amp;AGENTES!I606&amp;"');")</f>
        <v>INSERT INTO INYCEXT.INYC_CONF_INF_AGENTES (COD_INFORME,BO_GROUP,COMPANIA,ID_TIPO_AGENTE,TABLA,F_INICIO,F_FIN,DESCRIPCION) VALUES (106,'INYC Compensation Reports User Group - PEPA_E','03','350','INYC_PEPI_E_RESUMEN,INYC_PEPI_E_DETALLE',TO_DATE('20140101','yyyymmdd'),TO_DATE('22000101','yyyymmdd'),'');</v>
      </c>
    </row>
    <row r="606" spans="1:1" x14ac:dyDescent="0.25">
      <c r="A606" t="str">
        <f>IF(AGENTES!I607="OBSOLETO","","INSERT INTO INYCEXT.INYC_CONF_INF_AGENTES (COD_INFORME,BO_GROUP,COMPANIA,ID_TIPO_AGENTE,TABLA,F_INICIO,F_FIN,DESCRIPCION) VALUES ("&amp;AGENTES!B607&amp;",'"&amp;AGENTES!C607&amp;"','"&amp;AGENTES!D607&amp;"','"&amp;AGENTES!E607&amp;"','"&amp;AGENTES!F607&amp;"',TO_DATE('"&amp;AGENTES!G607&amp;"','yyyymmdd'),TO_DATE('"&amp;AGENTES!H607&amp;"','yyyymmdd'),'"&amp;AGENTES!I607&amp;"');")</f>
        <v>INSERT INTO INYCEXT.INYC_CONF_INF_AGENTES (COD_INFORME,BO_GROUP,COMPANIA,ID_TIPO_AGENTE,TABLA,F_INICIO,F_FIN,DESCRIPCION) VALUES (106,'INYC Compensation Reports User Group - PEPA_E','03','351','INYC_PEPI_E_RESUMEN,INYC_PEPI_E_DETALLE',TO_DATE('20140101','yyyymmdd'),TO_DATE('22000101','yyyymmdd'),'');</v>
      </c>
    </row>
    <row r="607" spans="1:1" x14ac:dyDescent="0.25">
      <c r="A607" t="str">
        <f>IF(AGENTES!I608="OBSOLETO","","INSERT INTO INYCEXT.INYC_CONF_INF_AGENTES (COD_INFORME,BO_GROUP,COMPANIA,ID_TIPO_AGENTE,TABLA,F_INICIO,F_FIN,DESCRIPCION) VALUES ("&amp;AGENTES!B608&amp;",'"&amp;AGENTES!C608&amp;"','"&amp;AGENTES!D608&amp;"','"&amp;AGENTES!E608&amp;"','"&amp;AGENTES!F608&amp;"',TO_DATE('"&amp;AGENTES!G608&amp;"','yyyymmdd'),TO_DATE('"&amp;AGENTES!H608&amp;"','yyyymmdd'),'"&amp;AGENTES!I608&amp;"');")</f>
        <v>INSERT INTO INYCEXT.INYC_CONF_INF_AGENTES (COD_INFORME,BO_GROUP,COMPANIA,ID_TIPO_AGENTE,TABLA,F_INICIO,F_FIN,DESCRIPCION) VALUES (106,'INYC Compensation Reports User Group - PEPA_E','03','352','INYC_PEPI_E_RESUMEN,INYC_PEPI_E_DETALLE',TO_DATE('20140101','yyyymmdd'),TO_DATE('22000101','yyyymmdd'),'');</v>
      </c>
    </row>
    <row r="608" spans="1:1" x14ac:dyDescent="0.25">
      <c r="A608" t="str">
        <f>IF(AGENTES!I609="OBSOLETO","","INSERT INTO INYCEXT.INYC_CONF_INF_AGENTES (COD_INFORME,BO_GROUP,COMPANIA,ID_TIPO_AGENTE,TABLA,F_INICIO,F_FIN,DESCRIPCION) VALUES ("&amp;AGENTES!B609&amp;",'"&amp;AGENTES!C609&amp;"','"&amp;AGENTES!D609&amp;"','"&amp;AGENTES!E609&amp;"','"&amp;AGENTES!F609&amp;"',TO_DATE('"&amp;AGENTES!G609&amp;"','yyyymmdd'),TO_DATE('"&amp;AGENTES!H609&amp;"','yyyymmdd'),'"&amp;AGENTES!I609&amp;"');")</f>
        <v>INSERT INTO INYCEXT.INYC_CONF_INF_AGENTES (COD_INFORME,BO_GROUP,COMPANIA,ID_TIPO_AGENTE,TABLA,F_INICIO,F_FIN,DESCRIPCION) VALUES (107,'INYC Compensation Reports User Group - PEPI_E','03','54','INYC_PEPI_E_RESUMEN,INYC_PEPI_E_DETALLE',TO_DATE('20140101','yyyymmdd'),TO_DATE('22000101','yyyymmdd'),'');</v>
      </c>
    </row>
    <row r="609" spans="1:1" x14ac:dyDescent="0.25">
      <c r="A609" t="str">
        <f>IF(AGENTES!I610="OBSOLETO","","INSERT INTO INYCEXT.INYC_CONF_INF_AGENTES (COD_INFORME,BO_GROUP,COMPANIA,ID_TIPO_AGENTE,TABLA,F_INICIO,F_FIN,DESCRIPCION) VALUES ("&amp;AGENTES!B610&amp;",'"&amp;AGENTES!C610&amp;"','"&amp;AGENTES!D610&amp;"','"&amp;AGENTES!E610&amp;"','"&amp;AGENTES!F610&amp;"',TO_DATE('"&amp;AGENTES!G610&amp;"','yyyymmdd'),TO_DATE('"&amp;AGENTES!H610&amp;"','yyyymmdd'),'"&amp;AGENTES!I610&amp;"');")</f>
        <v>INSERT INTO INYCEXT.INYC_CONF_INF_AGENTES (COD_INFORME,BO_GROUP,COMPANIA,ID_TIPO_AGENTE,TABLA,F_INICIO,F_FIN,DESCRIPCION) VALUES (107,'INYC Compensation Reports User Group - PEPI_E','03','56','INYC_PEPI_E_RESUMEN,INYC_PEPI_E_DETALLE',TO_DATE('20140101','yyyymmdd'),TO_DATE('22000101','yyyymmdd'),'');</v>
      </c>
    </row>
    <row r="610" spans="1:1" x14ac:dyDescent="0.25">
      <c r="A610" t="str">
        <f>IF(AGENTES!I611="OBSOLETO","","INSERT INTO INYCEXT.INYC_CONF_INF_AGENTES (COD_INFORME,BO_GROUP,COMPANIA,ID_TIPO_AGENTE,TABLA,F_INICIO,F_FIN,DESCRIPCION) VALUES ("&amp;AGENTES!B611&amp;",'"&amp;AGENTES!C611&amp;"','"&amp;AGENTES!D611&amp;"','"&amp;AGENTES!E611&amp;"','"&amp;AGENTES!F611&amp;"',TO_DATE('"&amp;AGENTES!G611&amp;"','yyyymmdd'),TO_DATE('"&amp;AGENTES!H611&amp;"','yyyymmdd'),'"&amp;AGENTES!I611&amp;"');")</f>
        <v>INSERT INTO INYCEXT.INYC_CONF_INF_AGENTES (COD_INFORME,BO_GROUP,COMPANIA,ID_TIPO_AGENTE,TABLA,F_INICIO,F_FIN,DESCRIPCION) VALUES (107,'INYC Compensation Reports User Group - PEPI_E','03','57','INYC_PEPI_E_RESUMEN,INYC_PEPI_E_DETALLE',TO_DATE('20140101','yyyymmdd'),TO_DATE('22000101','yyyymmdd'),'');</v>
      </c>
    </row>
    <row r="611" spans="1:1" x14ac:dyDescent="0.25">
      <c r="A611" t="str">
        <f>IF(AGENTES!I612="OBSOLETO","","INSERT INTO INYCEXT.INYC_CONF_INF_AGENTES (COD_INFORME,BO_GROUP,COMPANIA,ID_TIPO_AGENTE,TABLA,F_INICIO,F_FIN,DESCRIPCION) VALUES ("&amp;AGENTES!B612&amp;",'"&amp;AGENTES!C612&amp;"','"&amp;AGENTES!D612&amp;"','"&amp;AGENTES!E612&amp;"','"&amp;AGENTES!F612&amp;"',TO_DATE('"&amp;AGENTES!G612&amp;"','yyyymmdd'),TO_DATE('"&amp;AGENTES!H612&amp;"','yyyymmdd'),'"&amp;AGENTES!I612&amp;"');")</f>
        <v>INSERT INTO INYCEXT.INYC_CONF_INF_AGENTES (COD_INFORME,BO_GROUP,COMPANIA,ID_TIPO_AGENTE,TABLA,F_INICIO,F_FIN,DESCRIPCION) VALUES (107,'INYC Compensation Reports User Group - PEPI_E','03','58','INYC_PEPI_E_RESUMEN,INYC_PEPI_E_DETALLE',TO_DATE('20140101','yyyymmdd'),TO_DATE('22000101','yyyymmdd'),'');</v>
      </c>
    </row>
    <row r="612" spans="1:1" x14ac:dyDescent="0.25">
      <c r="A612" t="str">
        <f>IF(AGENTES!I613="OBSOLETO","","INSERT INTO INYCEXT.INYC_CONF_INF_AGENTES (COD_INFORME,BO_GROUP,COMPANIA,ID_TIPO_AGENTE,TABLA,F_INICIO,F_FIN,DESCRIPCION) VALUES ("&amp;AGENTES!B613&amp;",'"&amp;AGENTES!C613&amp;"','"&amp;AGENTES!D613&amp;"','"&amp;AGENTES!E613&amp;"','"&amp;AGENTES!F613&amp;"',TO_DATE('"&amp;AGENTES!G613&amp;"','yyyymmdd'),TO_DATE('"&amp;AGENTES!H613&amp;"','yyyymmdd'),'"&amp;AGENTES!I613&amp;"');")</f>
        <v>INSERT INTO INYCEXT.INYC_CONF_INF_AGENTES (COD_INFORME,BO_GROUP,COMPANIA,ID_TIPO_AGENTE,TABLA,F_INICIO,F_FIN,DESCRIPCION) VALUES (107,'INYC Compensation Reports User Group - PEPI_E','03','59','INYC_PEPI_E_RESUMEN,INYC_PEPI_E_DETALLE',TO_DATE('20140101','yyyymmdd'),TO_DATE('22000101','yyyymmdd'),'');</v>
      </c>
    </row>
    <row r="613" spans="1:1" x14ac:dyDescent="0.25">
      <c r="A613" t="str">
        <f>IF(AGENTES!I614="OBSOLETO","","INSERT INTO INYCEXT.INYC_CONF_INF_AGENTES (COD_INFORME,BO_GROUP,COMPANIA,ID_TIPO_AGENTE,TABLA,F_INICIO,F_FIN,DESCRIPCION) VALUES ("&amp;AGENTES!B614&amp;",'"&amp;AGENTES!C614&amp;"','"&amp;AGENTES!D614&amp;"','"&amp;AGENTES!E614&amp;"','"&amp;AGENTES!F614&amp;"',TO_DATE('"&amp;AGENTES!G614&amp;"','yyyymmdd'),TO_DATE('"&amp;AGENTES!H614&amp;"','yyyymmdd'),'"&amp;AGENTES!I614&amp;"');")</f>
        <v>INSERT INTO INYCEXT.INYC_CONF_INF_AGENTES (COD_INFORME,BO_GROUP,COMPANIA,ID_TIPO_AGENTE,TABLA,F_INICIO,F_FIN,DESCRIPCION) VALUES (107,'INYC Compensation Reports User Group - PEPI_E','03','60','INYC_PEPI_E_RESUMEN,INYC_PEPI_E_DETALLE',TO_DATE('20200101','yyyymmdd'),TO_DATE('22000101','yyyymmdd'),'Version 20200526');</v>
      </c>
    </row>
    <row r="614" spans="1:1" x14ac:dyDescent="0.25">
      <c r="A614" t="str">
        <f>IF(AGENTES!I615="OBSOLETO","","INSERT INTO INYCEXT.INYC_CONF_INF_AGENTES (COD_INFORME,BO_GROUP,COMPANIA,ID_TIPO_AGENTE,TABLA,F_INICIO,F_FIN,DESCRIPCION) VALUES ("&amp;AGENTES!B615&amp;",'"&amp;AGENTES!C615&amp;"','"&amp;AGENTES!D615&amp;"','"&amp;AGENTES!E615&amp;"','"&amp;AGENTES!F615&amp;"',TO_DATE('"&amp;AGENTES!G615&amp;"','yyyymmdd'),TO_DATE('"&amp;AGENTES!H615&amp;"','yyyymmdd'),'"&amp;AGENTES!I615&amp;"');")</f>
        <v>INSERT INTO INYCEXT.INYC_CONF_INF_AGENTES (COD_INFORME,BO_GROUP,COMPANIA,ID_TIPO_AGENTE,TABLA,F_INICIO,F_FIN,DESCRIPCION) VALUES (107,'INYC Compensation Reports User Group - PEPI_E','03','61','INYC_PEPI_E_RESUMEN,INYC_PEPI_E_DETALLE',TO_DATE('20140101','yyyymmdd'),TO_DATE('22000101','yyyymmdd'),'');</v>
      </c>
    </row>
    <row r="615" spans="1:1" x14ac:dyDescent="0.25">
      <c r="A615" t="str">
        <f>IF(AGENTES!I616="OBSOLETO","","INSERT INTO INYCEXT.INYC_CONF_INF_AGENTES (COD_INFORME,BO_GROUP,COMPANIA,ID_TIPO_AGENTE,TABLA,F_INICIO,F_FIN,DESCRIPCION) VALUES ("&amp;AGENTES!B616&amp;",'"&amp;AGENTES!C616&amp;"','"&amp;AGENTES!D616&amp;"','"&amp;AGENTES!E616&amp;"','"&amp;AGENTES!F616&amp;"',TO_DATE('"&amp;AGENTES!G616&amp;"','yyyymmdd'),TO_DATE('"&amp;AGENTES!H616&amp;"','yyyymmdd'),'"&amp;AGENTES!I616&amp;"');")</f>
        <v>INSERT INTO INYCEXT.INYC_CONF_INF_AGENTES (COD_INFORME,BO_GROUP,COMPANIA,ID_TIPO_AGENTE,TABLA,F_INICIO,F_FIN,DESCRIPCION) VALUES (107,'INYC Compensation Reports User Group - PEPI_E','03','62','INYC_PEPI_E_RESUMEN,INYC_PEPI_E_DETALLE',TO_DATE('20140101','yyyymmdd'),TO_DATE('22000101','yyyymmdd'),'');</v>
      </c>
    </row>
    <row r="616" spans="1:1" x14ac:dyDescent="0.25">
      <c r="A616" t="str">
        <f>IF(AGENTES!I617="OBSOLETO","","INSERT INTO INYCEXT.INYC_CONF_INF_AGENTES (COD_INFORME,BO_GROUP,COMPANIA,ID_TIPO_AGENTE,TABLA,F_INICIO,F_FIN,DESCRIPCION) VALUES ("&amp;AGENTES!B617&amp;",'"&amp;AGENTES!C617&amp;"','"&amp;AGENTES!D617&amp;"','"&amp;AGENTES!E617&amp;"','"&amp;AGENTES!F617&amp;"',TO_DATE('"&amp;AGENTES!G617&amp;"','yyyymmdd'),TO_DATE('"&amp;AGENTES!H617&amp;"','yyyymmdd'),'"&amp;AGENTES!I617&amp;"');")</f>
        <v>INSERT INTO INYCEXT.INYC_CONF_INF_AGENTES (COD_INFORME,BO_GROUP,COMPANIA,ID_TIPO_AGENTE,TABLA,F_INICIO,F_FIN,DESCRIPCION) VALUES (107,'INYC Compensation Reports User Group - PEPI_E','03','65','INYC_PEPI_E_RESUMEN,INYC_PEPI_E_DETALLE',TO_DATE('20140101','yyyymmdd'),TO_DATE('22000101','yyyymmdd'),'');</v>
      </c>
    </row>
    <row r="617" spans="1:1" x14ac:dyDescent="0.25">
      <c r="A617" t="str">
        <f>IF(AGENTES!I618="OBSOLETO","","INSERT INTO INYCEXT.INYC_CONF_INF_AGENTES (COD_INFORME,BO_GROUP,COMPANIA,ID_TIPO_AGENTE,TABLA,F_INICIO,F_FIN,DESCRIPCION) VALUES ("&amp;AGENTES!B618&amp;",'"&amp;AGENTES!C618&amp;"','"&amp;AGENTES!D618&amp;"','"&amp;AGENTES!E618&amp;"','"&amp;AGENTES!F618&amp;"',TO_DATE('"&amp;AGENTES!G618&amp;"','yyyymmdd'),TO_DATE('"&amp;AGENTES!H618&amp;"','yyyymmdd'),'"&amp;AGENTES!I618&amp;"');")</f>
        <v>INSERT INTO INYCEXT.INYC_CONF_INF_AGENTES (COD_INFORME,BO_GROUP,COMPANIA,ID_TIPO_AGENTE,TABLA,F_INICIO,F_FIN,DESCRIPCION) VALUES (107,'INYC Compensation Reports User Group - PEPI_E','03','70','INYC_PEPI_E_RESUMEN,INYC_PEPI_E_DETALLE',TO_DATE('20140101','yyyymmdd'),TO_DATE('22000101','yyyymmdd'),'');</v>
      </c>
    </row>
    <row r="618" spans="1:1" x14ac:dyDescent="0.25">
      <c r="A618" t="str">
        <f>IF(AGENTES!I619="OBSOLETO","","INSERT INTO INYCEXT.INYC_CONF_INF_AGENTES (COD_INFORME,BO_GROUP,COMPANIA,ID_TIPO_AGENTE,TABLA,F_INICIO,F_FIN,DESCRIPCION) VALUES ("&amp;AGENTES!B619&amp;",'"&amp;AGENTES!C619&amp;"','"&amp;AGENTES!D619&amp;"','"&amp;AGENTES!E619&amp;"','"&amp;AGENTES!F619&amp;"',TO_DATE('"&amp;AGENTES!G619&amp;"','yyyymmdd'),TO_DATE('"&amp;AGENTES!H619&amp;"','yyyymmdd'),'"&amp;AGENTES!I619&amp;"');")</f>
        <v>INSERT INTO INYCEXT.INYC_CONF_INF_AGENTES (COD_INFORME,BO_GROUP,COMPANIA,ID_TIPO_AGENTE,TABLA,F_INICIO,F_FIN,DESCRIPCION) VALUES (107,'INYC Compensation Reports User Group - PEPI_E','03','71','INYC_PEPI_E_RESUMEN,INYC_PEPI_E_DETALLE',TO_DATE('20140101','yyyymmdd'),TO_DATE('22000101','yyyymmdd'),'');</v>
      </c>
    </row>
    <row r="619" spans="1:1" x14ac:dyDescent="0.25">
      <c r="A619" t="str">
        <f>IF(AGENTES!I620="OBSOLETO","","INSERT INTO INYCEXT.INYC_CONF_INF_AGENTES (COD_INFORME,BO_GROUP,COMPANIA,ID_TIPO_AGENTE,TABLA,F_INICIO,F_FIN,DESCRIPCION) VALUES ("&amp;AGENTES!B620&amp;",'"&amp;AGENTES!C620&amp;"','"&amp;AGENTES!D620&amp;"','"&amp;AGENTES!E620&amp;"','"&amp;AGENTES!F620&amp;"',TO_DATE('"&amp;AGENTES!G620&amp;"','yyyymmdd'),TO_DATE('"&amp;AGENTES!H620&amp;"','yyyymmdd'),'"&amp;AGENTES!I620&amp;"');")</f>
        <v>INSERT INTO INYCEXT.INYC_CONF_INF_AGENTES (COD_INFORME,BO_GROUP,COMPANIA,ID_TIPO_AGENTE,TABLA,F_INICIO,F_FIN,DESCRIPCION) VALUES (107,'INYC Compensation Reports User Group - PEPI_E','03','72','INYC_PEPI_E_RESUMEN,INYC_PEPI_E_DETALLE',TO_DATE('20140101','yyyymmdd'),TO_DATE('22000101','yyyymmdd'),'');</v>
      </c>
    </row>
    <row r="620" spans="1:1" x14ac:dyDescent="0.25">
      <c r="A620" t="str">
        <f>IF(AGENTES!I621="OBSOLETO","","INSERT INTO INYCEXT.INYC_CONF_INF_AGENTES (COD_INFORME,BO_GROUP,COMPANIA,ID_TIPO_AGENTE,TABLA,F_INICIO,F_FIN,DESCRIPCION) VALUES ("&amp;AGENTES!B621&amp;",'"&amp;AGENTES!C621&amp;"','"&amp;AGENTES!D621&amp;"','"&amp;AGENTES!E621&amp;"','"&amp;AGENTES!F621&amp;"',TO_DATE('"&amp;AGENTES!G621&amp;"','yyyymmdd'),TO_DATE('"&amp;AGENTES!H621&amp;"','yyyymmdd'),'"&amp;AGENTES!I621&amp;"');")</f>
        <v>INSERT INTO INYCEXT.INYC_CONF_INF_AGENTES (COD_INFORME,BO_GROUP,COMPANIA,ID_TIPO_AGENTE,TABLA,F_INICIO,F_FIN,DESCRIPCION) VALUES (107,'INYC Compensation Reports User Group - PEPI_E','03','74','INYC_PEPI_E_RESUMEN,INYC_PEPI_E_DETALLE',TO_DATE('20140101','yyyymmdd'),TO_DATE('22000101','yyyymmdd'),'');</v>
      </c>
    </row>
    <row r="621" spans="1:1" x14ac:dyDescent="0.25">
      <c r="A621" t="str">
        <f>IF(AGENTES!I622="OBSOLETO","","INSERT INTO INYCEXT.INYC_CONF_INF_AGENTES (COD_INFORME,BO_GROUP,COMPANIA,ID_TIPO_AGENTE,TABLA,F_INICIO,F_FIN,DESCRIPCION) VALUES ("&amp;AGENTES!B622&amp;",'"&amp;AGENTES!C622&amp;"','"&amp;AGENTES!D622&amp;"','"&amp;AGENTES!E622&amp;"','"&amp;AGENTES!F622&amp;"',TO_DATE('"&amp;AGENTES!G622&amp;"','yyyymmdd'),TO_DATE('"&amp;AGENTES!H622&amp;"','yyyymmdd'),'"&amp;AGENTES!I622&amp;"');")</f>
        <v>INSERT INTO INYCEXT.INYC_CONF_INF_AGENTES (COD_INFORME,BO_GROUP,COMPANIA,ID_TIPO_AGENTE,TABLA,F_INICIO,F_FIN,DESCRIPCION) VALUES (107,'INYC Compensation Reports User Group - PEPI_E','03','82','INYC_PEPI_E_RESUMEN,INYC_PEPI_E_DETALLE',TO_DATE('20140101','yyyymmdd'),TO_DATE('22000101','yyyymmdd'),'');</v>
      </c>
    </row>
    <row r="622" spans="1:1" x14ac:dyDescent="0.25">
      <c r="A622" t="str">
        <f>IF(AGENTES!I623="OBSOLETO","","INSERT INTO INYCEXT.INYC_CONF_INF_AGENTES (COD_INFORME,BO_GROUP,COMPANIA,ID_TIPO_AGENTE,TABLA,F_INICIO,F_FIN,DESCRIPCION) VALUES ("&amp;AGENTES!B623&amp;",'"&amp;AGENTES!C623&amp;"','"&amp;AGENTES!D623&amp;"','"&amp;AGENTES!E623&amp;"','"&amp;AGENTES!F623&amp;"',TO_DATE('"&amp;AGENTES!G623&amp;"','yyyymmdd'),TO_DATE('"&amp;AGENTES!H623&amp;"','yyyymmdd'),'"&amp;AGENTES!I623&amp;"');")</f>
        <v>INSERT INTO INYCEXT.INYC_CONF_INF_AGENTES (COD_INFORME,BO_GROUP,COMPANIA,ID_TIPO_AGENTE,TABLA,F_INICIO,F_FIN,DESCRIPCION) VALUES (107,'INYC Compensation Reports User Group - PEPI_E','03','350','INYC_PEPI_E_RESUMEN,INYC_PEPI_E_DETALLE',TO_DATE('20140101','yyyymmdd'),TO_DATE('22000101','yyyymmdd'),'');</v>
      </c>
    </row>
    <row r="623" spans="1:1" x14ac:dyDescent="0.25">
      <c r="A623" t="str">
        <f>IF(AGENTES!I624="OBSOLETO","","INSERT INTO INYCEXT.INYC_CONF_INF_AGENTES (COD_INFORME,BO_GROUP,COMPANIA,ID_TIPO_AGENTE,TABLA,F_INICIO,F_FIN,DESCRIPCION) VALUES ("&amp;AGENTES!B624&amp;",'"&amp;AGENTES!C624&amp;"','"&amp;AGENTES!D624&amp;"','"&amp;AGENTES!E624&amp;"','"&amp;AGENTES!F624&amp;"',TO_DATE('"&amp;AGENTES!G624&amp;"','yyyymmdd'),TO_DATE('"&amp;AGENTES!H624&amp;"','yyyymmdd'),'"&amp;AGENTES!I624&amp;"');")</f>
        <v>INSERT INTO INYCEXT.INYC_CONF_INF_AGENTES (COD_INFORME,BO_GROUP,COMPANIA,ID_TIPO_AGENTE,TABLA,F_INICIO,F_FIN,DESCRIPCION) VALUES (107,'INYC Compensation Reports User Group - PEPI_E','03','351','INYC_PEPI_E_RESUMEN,INYC_PEPI_E_DETALLE',TO_DATE('20140101','yyyymmdd'),TO_DATE('22000101','yyyymmdd'),'');</v>
      </c>
    </row>
    <row r="624" spans="1:1" x14ac:dyDescent="0.25">
      <c r="A624" t="str">
        <f>IF(AGENTES!I625="OBSOLETO","","INSERT INTO INYCEXT.INYC_CONF_INF_AGENTES (COD_INFORME,BO_GROUP,COMPANIA,ID_TIPO_AGENTE,TABLA,F_INICIO,F_FIN,DESCRIPCION) VALUES ("&amp;AGENTES!B625&amp;",'"&amp;AGENTES!C625&amp;"','"&amp;AGENTES!D625&amp;"','"&amp;AGENTES!E625&amp;"','"&amp;AGENTES!F625&amp;"',TO_DATE('"&amp;AGENTES!G625&amp;"','yyyymmdd'),TO_DATE('"&amp;AGENTES!H625&amp;"','yyyymmdd'),'"&amp;AGENTES!I625&amp;"');")</f>
        <v>INSERT INTO INYCEXT.INYC_CONF_INF_AGENTES (COD_INFORME,BO_GROUP,COMPANIA,ID_TIPO_AGENTE,TABLA,F_INICIO,F_FIN,DESCRIPCION) VALUES (107,'INYC Compensation Reports User Group - PEPI_E','03','352','INYC_PEPI_E_RESUMEN,INYC_PEPI_E_DETALLE',TO_DATE('20140101','yyyymmdd'),TO_DATE('22000101','yyyymmdd'),'');</v>
      </c>
    </row>
    <row r="625" spans="1:1" x14ac:dyDescent="0.25">
      <c r="A625" t="str">
        <f>IF(AGENTES!I626="OBSOLETO","","INSERT INTO INYCEXT.INYC_CONF_INF_AGENTES (COD_INFORME,BO_GROUP,COMPANIA,ID_TIPO_AGENTE,TABLA,F_INICIO,F_FIN,DESCRIPCION) VALUES ("&amp;AGENTES!B626&amp;",'"&amp;AGENTES!C626&amp;"','"&amp;AGENTES!D626&amp;"','"&amp;AGENTES!E626&amp;"','"&amp;AGENTES!F626&amp;"',TO_DATE('"&amp;AGENTES!G626&amp;"','yyyymmdd'),TO_DATE('"&amp;AGENTES!H626&amp;"','yyyymmdd'),'"&amp;AGENTES!I626&amp;"');")</f>
        <v>INSERT INTO INYCEXT.INYC_CONF_INF_AGENTES (COD_INFORME,BO_GROUP,COMPANIA,ID_TIPO_AGENTE,TABLA,F_INICIO,F_FIN,DESCRIPCION) VALUES (112,'INYC Compensation Reports User Group - PRAG','01','1','INYC_PERC_AGENTES,INYC_PROD_AGENTES,INYC_CARTERA_AGENTES',TO_DATE('20170101','yyyymmdd'),TO_DATE('22000101','yyyymmdd'),'Version 20180118');</v>
      </c>
    </row>
    <row r="626" spans="1:1" x14ac:dyDescent="0.25">
      <c r="A626" t="str">
        <f>IF(AGENTES!I627="OBSOLETO","","INSERT INTO INYCEXT.INYC_CONF_INF_AGENTES (COD_INFORME,BO_GROUP,COMPANIA,ID_TIPO_AGENTE,TABLA,F_INICIO,F_FIN,DESCRIPCION) VALUES ("&amp;AGENTES!B627&amp;",'"&amp;AGENTES!C627&amp;"','"&amp;AGENTES!D627&amp;"','"&amp;AGENTES!E627&amp;"','"&amp;AGENTES!F627&amp;"',TO_DATE('"&amp;AGENTES!G627&amp;"','yyyymmdd'),TO_DATE('"&amp;AGENTES!H627&amp;"','yyyymmdd'),'"&amp;AGENTES!I627&amp;"');")</f>
        <v>INSERT INTO INYCEXT.INYC_CONF_INF_AGENTES (COD_INFORME,BO_GROUP,COMPANIA,ID_TIPO_AGENTE,TABLA,F_INICIO,F_FIN,DESCRIPCION) VALUES (112,'INYC Compensation Reports User Group - PRAG','01','2','INYC_PERC_AGENTES,INYC_PROD_AGENTES,INYC_CARTERA_AGENTES',TO_DATE('20170101','yyyymmdd'),TO_DATE('22000101','yyyymmdd'),'Version 20180118');</v>
      </c>
    </row>
    <row r="627" spans="1:1" x14ac:dyDescent="0.25">
      <c r="A627" t="str">
        <f>IF(AGENTES!I628="OBSOLETO","","INSERT INTO INYCEXT.INYC_CONF_INF_AGENTES (COD_INFORME,BO_GROUP,COMPANIA,ID_TIPO_AGENTE,TABLA,F_INICIO,F_FIN,DESCRIPCION) VALUES ("&amp;AGENTES!B628&amp;",'"&amp;AGENTES!C628&amp;"','"&amp;AGENTES!D628&amp;"','"&amp;AGENTES!E628&amp;"','"&amp;AGENTES!F628&amp;"',TO_DATE('"&amp;AGENTES!G628&amp;"','yyyymmdd'),TO_DATE('"&amp;AGENTES!H628&amp;"','yyyymmdd'),'"&amp;AGENTES!I628&amp;"');")</f>
        <v>INSERT INTO INYCEXT.INYC_CONF_INF_AGENTES (COD_INFORME,BO_GROUP,COMPANIA,ID_TIPO_AGENTE,TABLA,F_INICIO,F_FIN,DESCRIPCION) VALUES (112,'INYC Compensation Reports User Group - PRAG','01','3','INYC_PERC_AGENTES,INYC_PROD_AGENTES,INYC_CARTERA_AGENTES',TO_DATE('20170101','yyyymmdd'),TO_DATE('22000101','yyyymmdd'),'Version 20180118');</v>
      </c>
    </row>
    <row r="628" spans="1:1" x14ac:dyDescent="0.25">
      <c r="A628" t="str">
        <f>IF(AGENTES!I629="OBSOLETO","","INSERT INTO INYCEXT.INYC_CONF_INF_AGENTES (COD_INFORME,BO_GROUP,COMPANIA,ID_TIPO_AGENTE,TABLA,F_INICIO,F_FIN,DESCRIPCION) VALUES ("&amp;AGENTES!B629&amp;",'"&amp;AGENTES!C629&amp;"','"&amp;AGENTES!D629&amp;"','"&amp;AGENTES!E629&amp;"','"&amp;AGENTES!F629&amp;"',TO_DATE('"&amp;AGENTES!G629&amp;"','yyyymmdd'),TO_DATE('"&amp;AGENTES!H629&amp;"','yyyymmdd'),'"&amp;AGENTES!I629&amp;"');")</f>
        <v>INSERT INTO INYCEXT.INYC_CONF_INF_AGENTES (COD_INFORME,BO_GROUP,COMPANIA,ID_TIPO_AGENTE,TABLA,F_INICIO,F_FIN,DESCRIPCION) VALUES (112,'INYC Compensation Reports User Group - PRAG','01','4','INYC_PERC_AGENTES,INYC_PROD_AGENTES,INYC_CARTERA_AGENTES',TO_DATE('20170101','yyyymmdd'),TO_DATE('22000101','yyyymmdd'),'Version 20180118');</v>
      </c>
    </row>
    <row r="629" spans="1:1" x14ac:dyDescent="0.25">
      <c r="A629" t="str">
        <f>IF(AGENTES!I630="OBSOLETO","","INSERT INTO INYCEXT.INYC_CONF_INF_AGENTES (COD_INFORME,BO_GROUP,COMPANIA,ID_TIPO_AGENTE,TABLA,F_INICIO,F_FIN,DESCRIPCION) VALUES ("&amp;AGENTES!B630&amp;",'"&amp;AGENTES!C630&amp;"','"&amp;AGENTES!D630&amp;"','"&amp;AGENTES!E630&amp;"','"&amp;AGENTES!F630&amp;"',TO_DATE('"&amp;AGENTES!G630&amp;"','yyyymmdd'),TO_DATE('"&amp;AGENTES!H630&amp;"','yyyymmdd'),'"&amp;AGENTES!I630&amp;"');")</f>
        <v>INSERT INTO INYCEXT.INYC_CONF_INF_AGENTES (COD_INFORME,BO_GROUP,COMPANIA,ID_TIPO_AGENTE,TABLA,F_INICIO,F_FIN,DESCRIPCION) VALUES (112,'INYC Compensation Reports User Group - PRAG','01','5','INYC_PERC_AGENTES,INYC_PROD_AGENTES,INYC_CARTERA_AGENTES',TO_DATE('20170101','yyyymmdd'),TO_DATE('22000101','yyyymmdd'),'Version 20180118');</v>
      </c>
    </row>
    <row r="630" spans="1:1" x14ac:dyDescent="0.25">
      <c r="A630" t="str">
        <f>IF(AGENTES!I631="OBSOLETO","","INSERT INTO INYCEXT.INYC_CONF_INF_AGENTES (COD_INFORME,BO_GROUP,COMPANIA,ID_TIPO_AGENTE,TABLA,F_INICIO,F_FIN,DESCRIPCION) VALUES ("&amp;AGENTES!B631&amp;",'"&amp;AGENTES!C631&amp;"','"&amp;AGENTES!D631&amp;"','"&amp;AGENTES!E631&amp;"','"&amp;AGENTES!F631&amp;"',TO_DATE('"&amp;AGENTES!G631&amp;"','yyyymmdd'),TO_DATE('"&amp;AGENTES!H631&amp;"','yyyymmdd'),'"&amp;AGENTES!I631&amp;"');")</f>
        <v>INSERT INTO INYCEXT.INYC_CONF_INF_AGENTES (COD_INFORME,BO_GROUP,COMPANIA,ID_TIPO_AGENTE,TABLA,F_INICIO,F_FIN,DESCRIPCION) VALUES (112,'INYC Compensation Reports User Group - PRAG','01','6','INYC_PERC_AGENTES,INYC_PROD_AGENTES,INYC_CARTERA_AGENTES',TO_DATE('20170101','yyyymmdd'),TO_DATE('22000101','yyyymmdd'),'Version 20180118');</v>
      </c>
    </row>
    <row r="631" spans="1:1" x14ac:dyDescent="0.25">
      <c r="A631" t="str">
        <f>IF(AGENTES!I632="OBSOLETO","","INSERT INTO INYCEXT.INYC_CONF_INF_AGENTES (COD_INFORME,BO_GROUP,COMPANIA,ID_TIPO_AGENTE,TABLA,F_INICIO,F_FIN,DESCRIPCION) VALUES ("&amp;AGENTES!B632&amp;",'"&amp;AGENTES!C632&amp;"','"&amp;AGENTES!D632&amp;"','"&amp;AGENTES!E632&amp;"','"&amp;AGENTES!F632&amp;"',TO_DATE('"&amp;AGENTES!G632&amp;"','yyyymmdd'),TO_DATE('"&amp;AGENTES!H632&amp;"','yyyymmdd'),'"&amp;AGENTES!I632&amp;"');")</f>
        <v>INSERT INTO INYCEXT.INYC_CONF_INF_AGENTES (COD_INFORME,BO_GROUP,COMPANIA,ID_TIPO_AGENTE,TABLA,F_INICIO,F_FIN,DESCRIPCION) VALUES (112,'INYC Compensation Reports User Group - PRAG','01','7','INYC_PERC_AGENTES,INYC_PROD_AGENTES,INYC_CARTERA_AGENTES',TO_DATE('20170101','yyyymmdd'),TO_DATE('22000101','yyyymmdd'),'Version 20180118');</v>
      </c>
    </row>
    <row r="632" spans="1:1" x14ac:dyDescent="0.25">
      <c r="A632" t="str">
        <f>IF(AGENTES!I633="OBSOLETO","","INSERT INTO INYCEXT.INYC_CONF_INF_AGENTES (COD_INFORME,BO_GROUP,COMPANIA,ID_TIPO_AGENTE,TABLA,F_INICIO,F_FIN,DESCRIPCION) VALUES ("&amp;AGENTES!B633&amp;",'"&amp;AGENTES!C633&amp;"','"&amp;AGENTES!D633&amp;"','"&amp;AGENTES!E633&amp;"','"&amp;AGENTES!F633&amp;"',TO_DATE('"&amp;AGENTES!G633&amp;"','yyyymmdd'),TO_DATE('"&amp;AGENTES!H633&amp;"','yyyymmdd'),'"&amp;AGENTES!I633&amp;"');")</f>
        <v>INSERT INTO INYCEXT.INYC_CONF_INF_AGENTES (COD_INFORME,BO_GROUP,COMPANIA,ID_TIPO_AGENTE,TABLA,F_INICIO,F_FIN,DESCRIPCION) VALUES (112,'INYC Compensation Reports User Group - PRAG','01','8','INYC_PERC_AGENTES,INYC_PROD_AGENTES,INYC_CARTERA_AGENTES',TO_DATE('20170101','yyyymmdd'),TO_DATE('22000101','yyyymmdd'),'Version 20180118');</v>
      </c>
    </row>
    <row r="633" spans="1:1" x14ac:dyDescent="0.25">
      <c r="A633" t="str">
        <f>IF(AGENTES!I634="OBSOLETO","","INSERT INTO INYCEXT.INYC_CONF_INF_AGENTES (COD_INFORME,BO_GROUP,COMPANIA,ID_TIPO_AGENTE,TABLA,F_INICIO,F_FIN,DESCRIPCION) VALUES ("&amp;AGENTES!B634&amp;",'"&amp;AGENTES!C634&amp;"','"&amp;AGENTES!D634&amp;"','"&amp;AGENTES!E634&amp;"','"&amp;AGENTES!F634&amp;"',TO_DATE('"&amp;AGENTES!G634&amp;"','yyyymmdd'),TO_DATE('"&amp;AGENTES!H634&amp;"','yyyymmdd'),'"&amp;AGENTES!I634&amp;"');")</f>
        <v>INSERT INTO INYCEXT.INYC_CONF_INF_AGENTES (COD_INFORME,BO_GROUP,COMPANIA,ID_TIPO_AGENTE,TABLA,F_INICIO,F_FIN,DESCRIPCION) VALUES (112,'INYC Compensation Reports User Group - PRAG','01','9','INYC_PERC_AGENTES,INYC_PROD_AGENTES,INYC_CARTERA_AGENTES',TO_DATE('20170101','yyyymmdd'),TO_DATE('22000101','yyyymmdd'),'Version 20180118');</v>
      </c>
    </row>
    <row r="634" spans="1:1" x14ac:dyDescent="0.25">
      <c r="A634" t="str">
        <f>IF(AGENTES!I635="OBSOLETO","","INSERT INTO INYCEXT.INYC_CONF_INF_AGENTES (COD_INFORME,BO_GROUP,COMPANIA,ID_TIPO_AGENTE,TABLA,F_INICIO,F_FIN,DESCRIPCION) VALUES ("&amp;AGENTES!B635&amp;",'"&amp;AGENTES!C635&amp;"','"&amp;AGENTES!D635&amp;"','"&amp;AGENTES!E635&amp;"','"&amp;AGENTES!F635&amp;"',TO_DATE('"&amp;AGENTES!G635&amp;"','yyyymmdd'),TO_DATE('"&amp;AGENTES!H635&amp;"','yyyymmdd'),'"&amp;AGENTES!I635&amp;"');")</f>
        <v>INSERT INTO INYCEXT.INYC_CONF_INF_AGENTES (COD_INFORME,BO_GROUP,COMPANIA,ID_TIPO_AGENTE,TABLA,F_INICIO,F_FIN,DESCRIPCION) VALUES (112,'INYC Compensation Reports User Group - PRAG','01','11','INYC_PERC_AGENTES,INYC_PROD_AGENTES,INYC_CARTERA_AGENTES',TO_DATE('20170101','yyyymmdd'),TO_DATE('22000101','yyyymmdd'),'Version 20180118');</v>
      </c>
    </row>
    <row r="635" spans="1:1" x14ac:dyDescent="0.25">
      <c r="A635" t="str">
        <f>IF(AGENTES!I636="OBSOLETO","","INSERT INTO INYCEXT.INYC_CONF_INF_AGENTES (COD_INFORME,BO_GROUP,COMPANIA,ID_TIPO_AGENTE,TABLA,F_INICIO,F_FIN,DESCRIPCION) VALUES ("&amp;AGENTES!B636&amp;",'"&amp;AGENTES!C636&amp;"','"&amp;AGENTES!D636&amp;"','"&amp;AGENTES!E636&amp;"','"&amp;AGENTES!F636&amp;"',TO_DATE('"&amp;AGENTES!G636&amp;"','yyyymmdd'),TO_DATE('"&amp;AGENTES!H636&amp;"','yyyymmdd'),'"&amp;AGENTES!I636&amp;"');")</f>
        <v>INSERT INTO INYCEXT.INYC_CONF_INF_AGENTES (COD_INFORME,BO_GROUP,COMPANIA,ID_TIPO_AGENTE,TABLA,F_INICIO,F_FIN,DESCRIPCION) VALUES (112,'INYC Compensation Reports User Group - PRAG','01','12','INYC_PERC_AGENTES,INYC_PROD_AGENTES,INYC_CARTERA_AGENTES',TO_DATE('20170101','yyyymmdd'),TO_DATE('22000101','yyyymmdd'),'Version 20180118');</v>
      </c>
    </row>
    <row r="636" spans="1:1" x14ac:dyDescent="0.25">
      <c r="A636" t="str">
        <f>IF(AGENTES!I637="OBSOLETO","","INSERT INTO INYCEXT.INYC_CONF_INF_AGENTES (COD_INFORME,BO_GROUP,COMPANIA,ID_TIPO_AGENTE,TABLA,F_INICIO,F_FIN,DESCRIPCION) VALUES ("&amp;AGENTES!B637&amp;",'"&amp;AGENTES!C637&amp;"','"&amp;AGENTES!D637&amp;"','"&amp;AGENTES!E637&amp;"','"&amp;AGENTES!F637&amp;"',TO_DATE('"&amp;AGENTES!G637&amp;"','yyyymmdd'),TO_DATE('"&amp;AGENTES!H637&amp;"','yyyymmdd'),'"&amp;AGENTES!I637&amp;"');")</f>
        <v>INSERT INTO INYCEXT.INYC_CONF_INF_AGENTES (COD_INFORME,BO_GROUP,COMPANIA,ID_TIPO_AGENTE,TABLA,F_INICIO,F_FIN,DESCRIPCION) VALUES (112,'INYC Compensation Reports User Group - PRAG','01','13','INYC_PERC_AGENTES,INYC_PROD_AGENTES,INYC_CARTERA_AGENTES',TO_DATE('20170101','yyyymmdd'),TO_DATE('22000101','yyyymmdd'),'Version 20180118');</v>
      </c>
    </row>
    <row r="637" spans="1:1" x14ac:dyDescent="0.25">
      <c r="A637" t="str">
        <f>IF(AGENTES!I638="OBSOLETO","","INSERT INTO INYCEXT.INYC_CONF_INF_AGENTES (COD_INFORME,BO_GROUP,COMPANIA,ID_TIPO_AGENTE,TABLA,F_INICIO,F_FIN,DESCRIPCION) VALUES ("&amp;AGENTES!B638&amp;",'"&amp;AGENTES!C638&amp;"','"&amp;AGENTES!D638&amp;"','"&amp;AGENTES!E638&amp;"','"&amp;AGENTES!F638&amp;"',TO_DATE('"&amp;AGENTES!G638&amp;"','yyyymmdd'),TO_DATE('"&amp;AGENTES!H638&amp;"','yyyymmdd'),'"&amp;AGENTES!I638&amp;"');")</f>
        <v>INSERT INTO INYCEXT.INYC_CONF_INF_AGENTES (COD_INFORME,BO_GROUP,COMPANIA,ID_TIPO_AGENTE,TABLA,F_INICIO,F_FIN,DESCRIPCION) VALUES (112,'INYC Compensation Reports User Group - PRAG','01','14','INYC_PERC_AGENTES,INYC_PROD_AGENTES,INYC_CARTERA_AGENTES',TO_DATE('20170101','yyyymmdd'),TO_DATE('22000101','yyyymmdd'),'Version 20180118');</v>
      </c>
    </row>
    <row r="638" spans="1:1" x14ac:dyDescent="0.25">
      <c r="A638" t="str">
        <f>IF(AGENTES!I639="OBSOLETO","","INSERT INTO INYCEXT.INYC_CONF_INF_AGENTES (COD_INFORME,BO_GROUP,COMPANIA,ID_TIPO_AGENTE,TABLA,F_INICIO,F_FIN,DESCRIPCION) VALUES ("&amp;AGENTES!B639&amp;",'"&amp;AGENTES!C639&amp;"','"&amp;AGENTES!D639&amp;"','"&amp;AGENTES!E639&amp;"','"&amp;AGENTES!F639&amp;"',TO_DATE('"&amp;AGENTES!G639&amp;"','yyyymmdd'),TO_DATE('"&amp;AGENTES!H639&amp;"','yyyymmdd'),'"&amp;AGENTES!I639&amp;"');")</f>
        <v>INSERT INTO INYCEXT.INYC_CONF_INF_AGENTES (COD_INFORME,BO_GROUP,COMPANIA,ID_TIPO_AGENTE,TABLA,F_INICIO,F_FIN,DESCRIPCION) VALUES (112,'INYC Compensation Reports User Group - PRAG','01','15','INYC_PERC_AGENTES,INYC_PROD_AGENTES,INYC_CARTERA_AGENTES',TO_DATE('20170101','yyyymmdd'),TO_DATE('22000101','yyyymmdd'),'Version 20180118');</v>
      </c>
    </row>
    <row r="639" spans="1:1" x14ac:dyDescent="0.25">
      <c r="A639" t="str">
        <f>IF(AGENTES!I640="OBSOLETO","","INSERT INTO INYCEXT.INYC_CONF_INF_AGENTES (COD_INFORME,BO_GROUP,COMPANIA,ID_TIPO_AGENTE,TABLA,F_INICIO,F_FIN,DESCRIPCION) VALUES ("&amp;AGENTES!B640&amp;",'"&amp;AGENTES!C640&amp;"','"&amp;AGENTES!D640&amp;"','"&amp;AGENTES!E640&amp;"','"&amp;AGENTES!F640&amp;"',TO_DATE('"&amp;AGENTES!G640&amp;"','yyyymmdd'),TO_DATE('"&amp;AGENTES!H640&amp;"','yyyymmdd'),'"&amp;AGENTES!I640&amp;"');")</f>
        <v>INSERT INTO INYCEXT.INYC_CONF_INF_AGENTES (COD_INFORME,BO_GROUP,COMPANIA,ID_TIPO_AGENTE,TABLA,F_INICIO,F_FIN,DESCRIPCION) VALUES (112,'INYC Compensation Reports User Group - PRAG','01','16','INYC_PERC_AGENTES,INYC_PROD_AGENTES,INYC_CARTERA_AGENTES',TO_DATE('20170101','yyyymmdd'),TO_DATE('22000101','yyyymmdd'),'Version 20180118');</v>
      </c>
    </row>
    <row r="640" spans="1:1" x14ac:dyDescent="0.25">
      <c r="A640" t="str">
        <f>IF(AGENTES!I641="OBSOLETO","","INSERT INTO INYCEXT.INYC_CONF_INF_AGENTES (COD_INFORME,BO_GROUP,COMPANIA,ID_TIPO_AGENTE,TABLA,F_INICIO,F_FIN,DESCRIPCION) VALUES ("&amp;AGENTES!B641&amp;",'"&amp;AGENTES!C641&amp;"','"&amp;AGENTES!D641&amp;"','"&amp;AGENTES!E641&amp;"','"&amp;AGENTES!F641&amp;"',TO_DATE('"&amp;AGENTES!G641&amp;"','yyyymmdd'),TO_DATE('"&amp;AGENTES!H641&amp;"','yyyymmdd'),'"&amp;AGENTES!I641&amp;"');")</f>
        <v>INSERT INTO INYCEXT.INYC_CONF_INF_AGENTES (COD_INFORME,BO_GROUP,COMPANIA,ID_TIPO_AGENTE,TABLA,F_INICIO,F_FIN,DESCRIPCION) VALUES (112,'INYC Compensation Reports User Group - PRAG','01','17','INYC_PERC_AGENTES,INYC_PROD_AGENTES,INYC_CARTERA_AGENTES',TO_DATE('20170101','yyyymmdd'),TO_DATE('22000101','yyyymmdd'),'Version 20180118');</v>
      </c>
    </row>
    <row r="641" spans="1:1" x14ac:dyDescent="0.25">
      <c r="A641" t="str">
        <f>IF(AGENTES!I642="OBSOLETO","","INSERT INTO INYCEXT.INYC_CONF_INF_AGENTES (COD_INFORME,BO_GROUP,COMPANIA,ID_TIPO_AGENTE,TABLA,F_INICIO,F_FIN,DESCRIPCION) VALUES ("&amp;AGENTES!B642&amp;",'"&amp;AGENTES!C642&amp;"','"&amp;AGENTES!D642&amp;"','"&amp;AGENTES!E642&amp;"','"&amp;AGENTES!F642&amp;"',TO_DATE('"&amp;AGENTES!G642&amp;"','yyyymmdd'),TO_DATE('"&amp;AGENTES!H642&amp;"','yyyymmdd'),'"&amp;AGENTES!I642&amp;"');")</f>
        <v>INSERT INTO INYCEXT.INYC_CONF_INF_AGENTES (COD_INFORME,BO_GROUP,COMPANIA,ID_TIPO_AGENTE,TABLA,F_INICIO,F_FIN,DESCRIPCION) VALUES (112,'INYC Compensation Reports User Group - PRAG','01','19','INYC_PERC_AGENTES,INYC_PROD_AGENTES,INYC_CARTERA_AGENTES',TO_DATE('20170101','yyyymmdd'),TO_DATE('22000101','yyyymmdd'),'Version 20180118');</v>
      </c>
    </row>
    <row r="642" spans="1:1" x14ac:dyDescent="0.25">
      <c r="A642" t="str">
        <f>IF(AGENTES!I643="OBSOLETO","","INSERT INTO INYCEXT.INYC_CONF_INF_AGENTES (COD_INFORME,BO_GROUP,COMPANIA,ID_TIPO_AGENTE,TABLA,F_INICIO,F_FIN,DESCRIPCION) VALUES ("&amp;AGENTES!B643&amp;",'"&amp;AGENTES!C643&amp;"','"&amp;AGENTES!D643&amp;"','"&amp;AGENTES!E643&amp;"','"&amp;AGENTES!F643&amp;"',TO_DATE('"&amp;AGENTES!G643&amp;"','yyyymmdd'),TO_DATE('"&amp;AGENTES!H643&amp;"','yyyymmdd'),'"&amp;AGENTES!I643&amp;"');")</f>
        <v>INSERT INTO INYCEXT.INYC_CONF_INF_AGENTES (COD_INFORME,BO_GROUP,COMPANIA,ID_TIPO_AGENTE,TABLA,F_INICIO,F_FIN,DESCRIPCION) VALUES (112,'INYC Compensation Reports User Group - PRAG','01','20','INYC_PERC_AGENTES,INYC_PROD_AGENTES,INYC_CARTERA_AGENTES',TO_DATE('20170101','yyyymmdd'),TO_DATE('22000101','yyyymmdd'),'Version 20180118');</v>
      </c>
    </row>
    <row r="643" spans="1:1" x14ac:dyDescent="0.25">
      <c r="A643" t="str">
        <f>IF(AGENTES!I644="OBSOLETO","","INSERT INTO INYCEXT.INYC_CONF_INF_AGENTES (COD_INFORME,BO_GROUP,COMPANIA,ID_TIPO_AGENTE,TABLA,F_INICIO,F_FIN,DESCRIPCION) VALUES ("&amp;AGENTES!B644&amp;",'"&amp;AGENTES!C644&amp;"','"&amp;AGENTES!D644&amp;"','"&amp;AGENTES!E644&amp;"','"&amp;AGENTES!F644&amp;"',TO_DATE('"&amp;AGENTES!G644&amp;"','yyyymmdd'),TO_DATE('"&amp;AGENTES!H644&amp;"','yyyymmdd'),'"&amp;AGENTES!I644&amp;"');")</f>
        <v>INSERT INTO INYCEXT.INYC_CONF_INF_AGENTES (COD_INFORME,BO_GROUP,COMPANIA,ID_TIPO_AGENTE,TABLA,F_INICIO,F_FIN,DESCRIPCION) VALUES (112,'INYC Compensation Reports User Group - PRAG','01','21','INYC_PERC_AGENTES,INYC_PROD_AGENTES,INYC_CARTERA_AGENTES',TO_DATE('20200101','yyyymmdd'),TO_DATE('22000101','yyyymmdd'),'Version 20210330');</v>
      </c>
    </row>
    <row r="644" spans="1:1" x14ac:dyDescent="0.25">
      <c r="A644" t="str">
        <f>IF(AGENTES!I645="OBSOLETO","","INSERT INTO INYCEXT.INYC_CONF_INF_AGENTES (COD_INFORME,BO_GROUP,COMPANIA,ID_TIPO_AGENTE,TABLA,F_INICIO,F_FIN,DESCRIPCION) VALUES ("&amp;AGENTES!B645&amp;",'"&amp;AGENTES!C645&amp;"','"&amp;AGENTES!D645&amp;"','"&amp;AGENTES!E645&amp;"','"&amp;AGENTES!F645&amp;"',TO_DATE('"&amp;AGENTES!G645&amp;"','yyyymmdd'),TO_DATE('"&amp;AGENTES!H645&amp;"','yyyymmdd'),'"&amp;AGENTES!I645&amp;"');")</f>
        <v>INSERT INTO INYCEXT.INYC_CONF_INF_AGENTES (COD_INFORME,BO_GROUP,COMPANIA,ID_TIPO_AGENTE,TABLA,F_INICIO,F_FIN,DESCRIPCION) VALUES (112,'INYC Compensation Reports User Group - PRAG','01','22','INYC_PERC_AGENTES,INYC_PROD_AGENTES,INYC_CARTERA_AGENTES',TO_DATE('20170101','yyyymmdd'),TO_DATE('22000101','yyyymmdd'),'Version 20180118');</v>
      </c>
    </row>
    <row r="645" spans="1:1" x14ac:dyDescent="0.25">
      <c r="A645" t="str">
        <f>IF(AGENTES!I646="OBSOLETO","","INSERT INTO INYCEXT.INYC_CONF_INF_AGENTES (COD_INFORME,BO_GROUP,COMPANIA,ID_TIPO_AGENTE,TABLA,F_INICIO,F_FIN,DESCRIPCION) VALUES ("&amp;AGENTES!B646&amp;",'"&amp;AGENTES!C646&amp;"','"&amp;AGENTES!D646&amp;"','"&amp;AGENTES!E646&amp;"','"&amp;AGENTES!F646&amp;"',TO_DATE('"&amp;AGENTES!G646&amp;"','yyyymmdd'),TO_DATE('"&amp;AGENTES!H646&amp;"','yyyymmdd'),'"&amp;AGENTES!I646&amp;"');")</f>
        <v>INSERT INTO INYCEXT.INYC_CONF_INF_AGENTES (COD_INFORME,BO_GROUP,COMPANIA,ID_TIPO_AGENTE,TABLA,F_INICIO,F_FIN,DESCRIPCION) VALUES (112,'INYC Compensation Reports User Group - PRAG','01','23','INYC_PERC_AGENTES,INYC_PROD_AGENTES,INYC_CARTERA_AGENTES',TO_DATE('20170101','yyyymmdd'),TO_DATE('22000101','yyyymmdd'),'Version 20180118');</v>
      </c>
    </row>
    <row r="646" spans="1:1" x14ac:dyDescent="0.25">
      <c r="A646" t="str">
        <f>IF(AGENTES!I647="OBSOLETO","","INSERT INTO INYCEXT.INYC_CONF_INF_AGENTES (COD_INFORME,BO_GROUP,COMPANIA,ID_TIPO_AGENTE,TABLA,F_INICIO,F_FIN,DESCRIPCION) VALUES ("&amp;AGENTES!B647&amp;",'"&amp;AGENTES!C647&amp;"','"&amp;AGENTES!D647&amp;"','"&amp;AGENTES!E647&amp;"','"&amp;AGENTES!F647&amp;"',TO_DATE('"&amp;AGENTES!G647&amp;"','yyyymmdd'),TO_DATE('"&amp;AGENTES!H647&amp;"','yyyymmdd'),'"&amp;AGENTES!I647&amp;"');")</f>
        <v>INSERT INTO INYCEXT.INYC_CONF_INF_AGENTES (COD_INFORME,BO_GROUP,COMPANIA,ID_TIPO_AGENTE,TABLA,F_INICIO,F_FIN,DESCRIPCION) VALUES (112,'INYC Compensation Reports User Group - PRAG','01','25','INYC_PERC_AGENTES,INYC_PROD_AGENTES,INYC_CARTERA_AGENTES',TO_DATE('20170101','yyyymmdd'),TO_DATE('22000101','yyyymmdd'),'Version 20180118');</v>
      </c>
    </row>
    <row r="647" spans="1:1" x14ac:dyDescent="0.25">
      <c r="A647" t="str">
        <f>IF(AGENTES!I648="OBSOLETO","","INSERT INTO INYCEXT.INYC_CONF_INF_AGENTES (COD_INFORME,BO_GROUP,COMPANIA,ID_TIPO_AGENTE,TABLA,F_INICIO,F_FIN,DESCRIPCION) VALUES ("&amp;AGENTES!B648&amp;",'"&amp;AGENTES!C648&amp;"','"&amp;AGENTES!D648&amp;"','"&amp;AGENTES!E648&amp;"','"&amp;AGENTES!F648&amp;"',TO_DATE('"&amp;AGENTES!G648&amp;"','yyyymmdd'),TO_DATE('"&amp;AGENTES!H648&amp;"','yyyymmdd'),'"&amp;AGENTES!I648&amp;"');")</f>
        <v>INSERT INTO INYCEXT.INYC_CONF_INF_AGENTES (COD_INFORME,BO_GROUP,COMPANIA,ID_TIPO_AGENTE,TABLA,F_INICIO,F_FIN,DESCRIPCION) VALUES (112,'INYC Compensation Reports User Group - PRAG','01','26','INYC_PERC_AGENTES,INYC_PROD_AGENTES,INYC_CARTERA_AGENTES',TO_DATE('20170101','yyyymmdd'),TO_DATE('22000101','yyyymmdd'),'Version 20180118');</v>
      </c>
    </row>
    <row r="648" spans="1:1" x14ac:dyDescent="0.25">
      <c r="A648" t="str">
        <f>IF(AGENTES!I649="OBSOLETO","","INSERT INTO INYCEXT.INYC_CONF_INF_AGENTES (COD_INFORME,BO_GROUP,COMPANIA,ID_TIPO_AGENTE,TABLA,F_INICIO,F_FIN,DESCRIPCION) VALUES ("&amp;AGENTES!B649&amp;",'"&amp;AGENTES!C649&amp;"','"&amp;AGENTES!D649&amp;"','"&amp;AGENTES!E649&amp;"','"&amp;AGENTES!F649&amp;"',TO_DATE('"&amp;AGENTES!G649&amp;"','yyyymmdd'),TO_DATE('"&amp;AGENTES!H649&amp;"','yyyymmdd'),'"&amp;AGENTES!I649&amp;"');")</f>
        <v>INSERT INTO INYCEXT.INYC_CONF_INF_AGENTES (COD_INFORME,BO_GROUP,COMPANIA,ID_TIPO_AGENTE,TABLA,F_INICIO,F_FIN,DESCRIPCION) VALUES (112,'INYC Compensation Reports User Group - PRAG','01','27','INYC_PERC_AGENTES,INYC_PROD_AGENTES,INYC_CARTERA_AGENTES',TO_DATE('20170101','yyyymmdd'),TO_DATE('22000101','yyyymmdd'),'Version 20180118');</v>
      </c>
    </row>
    <row r="649" spans="1:1" x14ac:dyDescent="0.25">
      <c r="A649" t="str">
        <f>IF(AGENTES!I650="OBSOLETO","","INSERT INTO INYCEXT.INYC_CONF_INF_AGENTES (COD_INFORME,BO_GROUP,COMPANIA,ID_TIPO_AGENTE,TABLA,F_INICIO,F_FIN,DESCRIPCION) VALUES ("&amp;AGENTES!B650&amp;",'"&amp;AGENTES!C650&amp;"','"&amp;AGENTES!D650&amp;"','"&amp;AGENTES!E650&amp;"','"&amp;AGENTES!F650&amp;"',TO_DATE('"&amp;AGENTES!G650&amp;"','yyyymmdd'),TO_DATE('"&amp;AGENTES!H650&amp;"','yyyymmdd'),'"&amp;AGENTES!I650&amp;"');")</f>
        <v>INSERT INTO INYCEXT.INYC_CONF_INF_AGENTES (COD_INFORME,BO_GROUP,COMPANIA,ID_TIPO_AGENTE,TABLA,F_INICIO,F_FIN,DESCRIPCION) VALUES (112,'INYC Compensation Reports User Group - PRAG','01','29','INYC_PERC_AGENTES,INYC_PROD_AGENTES,INYC_CARTERA_AGENTES',TO_DATE('20170101','yyyymmdd'),TO_DATE('22000101','yyyymmdd'),'Version 20180118');</v>
      </c>
    </row>
    <row r="650" spans="1:1" x14ac:dyDescent="0.25">
      <c r="A650" t="str">
        <f>IF(AGENTES!I651="OBSOLETO","","INSERT INTO INYCEXT.INYC_CONF_INF_AGENTES (COD_INFORME,BO_GROUP,COMPANIA,ID_TIPO_AGENTE,TABLA,F_INICIO,F_FIN,DESCRIPCION) VALUES ("&amp;AGENTES!B651&amp;",'"&amp;AGENTES!C651&amp;"','"&amp;AGENTES!D651&amp;"','"&amp;AGENTES!E651&amp;"','"&amp;AGENTES!F651&amp;"',TO_DATE('"&amp;AGENTES!G651&amp;"','yyyymmdd'),TO_DATE('"&amp;AGENTES!H651&amp;"','yyyymmdd'),'"&amp;AGENTES!I651&amp;"');")</f>
        <v>INSERT INTO INYCEXT.INYC_CONF_INF_AGENTES (COD_INFORME,BO_GROUP,COMPANIA,ID_TIPO_AGENTE,TABLA,F_INICIO,F_FIN,DESCRIPCION) VALUES (112,'INYC Compensation Reports User Group - PRAG','01','30','INYC_PERC_AGENTES,INYC_PROD_AGENTES,INYC_CARTERA_AGENTES',TO_DATE('20170101','yyyymmdd'),TO_DATE('22000101','yyyymmdd'),'Version 20180118');</v>
      </c>
    </row>
    <row r="651" spans="1:1" x14ac:dyDescent="0.25">
      <c r="A651" t="str">
        <f>IF(AGENTES!I652="OBSOLETO","","INSERT INTO INYCEXT.INYC_CONF_INF_AGENTES (COD_INFORME,BO_GROUP,COMPANIA,ID_TIPO_AGENTE,TABLA,F_INICIO,F_FIN,DESCRIPCION) VALUES ("&amp;AGENTES!B652&amp;",'"&amp;AGENTES!C652&amp;"','"&amp;AGENTES!D652&amp;"','"&amp;AGENTES!E652&amp;"','"&amp;AGENTES!F652&amp;"',TO_DATE('"&amp;AGENTES!G652&amp;"','yyyymmdd'),TO_DATE('"&amp;AGENTES!H652&amp;"','yyyymmdd'),'"&amp;AGENTES!I652&amp;"');")</f>
        <v>INSERT INTO INYCEXT.INYC_CONF_INF_AGENTES (COD_INFORME,BO_GROUP,COMPANIA,ID_TIPO_AGENTE,TABLA,F_INICIO,F_FIN,DESCRIPCION) VALUES (112,'INYC Compensation Reports User Group - PRAG','01','31','INYC_PERC_AGENTES,INYC_PROD_AGENTES,INYC_CARTERA_AGENTES',TO_DATE('20170101','yyyymmdd'),TO_DATE('22000101','yyyymmdd'),'Version 20180118');</v>
      </c>
    </row>
    <row r="652" spans="1:1" x14ac:dyDescent="0.25">
      <c r="A652" t="str">
        <f>IF(AGENTES!I653="OBSOLETO","","INSERT INTO INYCEXT.INYC_CONF_INF_AGENTES (COD_INFORME,BO_GROUP,COMPANIA,ID_TIPO_AGENTE,TABLA,F_INICIO,F_FIN,DESCRIPCION) VALUES ("&amp;AGENTES!B653&amp;",'"&amp;AGENTES!C653&amp;"','"&amp;AGENTES!D653&amp;"','"&amp;AGENTES!E653&amp;"','"&amp;AGENTES!F653&amp;"',TO_DATE('"&amp;AGENTES!G653&amp;"','yyyymmdd'),TO_DATE('"&amp;AGENTES!H653&amp;"','yyyymmdd'),'"&amp;AGENTES!I653&amp;"');")</f>
        <v>INSERT INTO INYCEXT.INYC_CONF_INF_AGENTES (COD_INFORME,BO_GROUP,COMPANIA,ID_TIPO_AGENTE,TABLA,F_INICIO,F_FIN,DESCRIPCION) VALUES (112,'INYC Compensation Reports User Group - PRAG','01','32','INYC_PERC_AGENTES,INYC_PROD_AGENTES,INYC_CARTERA_AGENTES',TO_DATE('20170101','yyyymmdd'),TO_DATE('22000101','yyyymmdd'),'Version 20180926');</v>
      </c>
    </row>
    <row r="653" spans="1:1" x14ac:dyDescent="0.25">
      <c r="A653" t="str">
        <f>IF(AGENTES!I654="OBSOLETO","","INSERT INTO INYCEXT.INYC_CONF_INF_AGENTES (COD_INFORME,BO_GROUP,COMPANIA,ID_TIPO_AGENTE,TABLA,F_INICIO,F_FIN,DESCRIPCION) VALUES ("&amp;AGENTES!B654&amp;",'"&amp;AGENTES!C654&amp;"','"&amp;AGENTES!D654&amp;"','"&amp;AGENTES!E654&amp;"','"&amp;AGENTES!F654&amp;"',TO_DATE('"&amp;AGENTES!G654&amp;"','yyyymmdd'),TO_DATE('"&amp;AGENTES!H654&amp;"','yyyymmdd'),'"&amp;AGENTES!I654&amp;"');")</f>
        <v>INSERT INTO INYCEXT.INYC_CONF_INF_AGENTES (COD_INFORME,BO_GROUP,COMPANIA,ID_TIPO_AGENTE,TABLA,F_INICIO,F_FIN,DESCRIPCION) VALUES (112,'INYC Compensation Reports User Group - PRAG','01','33','INYC_PERC_AGENTES,INYC_PROD_AGENTES,INYC_CARTERA_AGENTES',TO_DATE('20170101','yyyymmdd'),TO_DATE('22000101','yyyymmdd'),'Version 20180118');</v>
      </c>
    </row>
    <row r="654" spans="1:1" x14ac:dyDescent="0.25">
      <c r="A654" t="str">
        <f>IF(AGENTES!I655="OBSOLETO","","INSERT INTO INYCEXT.INYC_CONF_INF_AGENTES (COD_INFORME,BO_GROUP,COMPANIA,ID_TIPO_AGENTE,TABLA,F_INICIO,F_FIN,DESCRIPCION) VALUES ("&amp;AGENTES!B655&amp;",'"&amp;AGENTES!C655&amp;"','"&amp;AGENTES!D655&amp;"','"&amp;AGENTES!E655&amp;"','"&amp;AGENTES!F655&amp;"',TO_DATE('"&amp;AGENTES!G655&amp;"','yyyymmdd'),TO_DATE('"&amp;AGENTES!H655&amp;"','yyyymmdd'),'"&amp;AGENTES!I655&amp;"');")</f>
        <v>INSERT INTO INYCEXT.INYC_CONF_INF_AGENTES (COD_INFORME,BO_GROUP,COMPANIA,ID_TIPO_AGENTE,TABLA,F_INICIO,F_FIN,DESCRIPCION) VALUES (112,'INYC Compensation Reports User Group - PRAG','01','34','INYC_PERC_AGENTES,INYC_PROD_AGENTES,INYC_CARTERA_AGENTES',TO_DATE('20170101','yyyymmdd'),TO_DATE('22000101','yyyymmdd'),'Version 20180118');</v>
      </c>
    </row>
    <row r="655" spans="1:1" x14ac:dyDescent="0.25">
      <c r="A655" t="str">
        <f>IF(AGENTES!I656="OBSOLETO","","INSERT INTO INYCEXT.INYC_CONF_INF_AGENTES (COD_INFORME,BO_GROUP,COMPANIA,ID_TIPO_AGENTE,TABLA,F_INICIO,F_FIN,DESCRIPCION) VALUES ("&amp;AGENTES!B656&amp;",'"&amp;AGENTES!C656&amp;"','"&amp;AGENTES!D656&amp;"','"&amp;AGENTES!E656&amp;"','"&amp;AGENTES!F656&amp;"',TO_DATE('"&amp;AGENTES!G656&amp;"','yyyymmdd'),TO_DATE('"&amp;AGENTES!H656&amp;"','yyyymmdd'),'"&amp;AGENTES!I656&amp;"');")</f>
        <v>INSERT INTO INYCEXT.INYC_CONF_INF_AGENTES (COD_INFORME,BO_GROUP,COMPANIA,ID_TIPO_AGENTE,TABLA,F_INICIO,F_FIN,DESCRIPCION) VALUES (112,'INYC Compensation Reports User Group - PRAG','01','35','INYC_PERC_AGENTES,INYC_PROD_AGENTES,INYC_CARTERA_AGENTES',TO_DATE('20170101','yyyymmdd'),TO_DATE('22000101','yyyymmdd'),'Version 20180118');</v>
      </c>
    </row>
    <row r="656" spans="1:1" x14ac:dyDescent="0.25">
      <c r="A656" t="str">
        <f>IF(AGENTES!I657="OBSOLETO","","INSERT INTO INYCEXT.INYC_CONF_INF_AGENTES (COD_INFORME,BO_GROUP,COMPANIA,ID_TIPO_AGENTE,TABLA,F_INICIO,F_FIN,DESCRIPCION) VALUES ("&amp;AGENTES!B657&amp;",'"&amp;AGENTES!C657&amp;"','"&amp;AGENTES!D657&amp;"','"&amp;AGENTES!E657&amp;"','"&amp;AGENTES!F657&amp;"',TO_DATE('"&amp;AGENTES!G657&amp;"','yyyymmdd'),TO_DATE('"&amp;AGENTES!H657&amp;"','yyyymmdd'),'"&amp;AGENTES!I657&amp;"');")</f>
        <v>INSERT INTO INYCEXT.INYC_CONF_INF_AGENTES (COD_INFORME,BO_GROUP,COMPANIA,ID_TIPO_AGENTE,TABLA,F_INICIO,F_FIN,DESCRIPCION) VALUES (112,'INYC Compensation Reports User Group - PRAG','01','36','INYC_PERC_AGENTES,INYC_PROD_AGENTES,INYC_CARTERA_AGENTES',TO_DATE('20170101','yyyymmdd'),TO_DATE('22000101','yyyymmdd'),'Version 20180118');</v>
      </c>
    </row>
    <row r="657" spans="1:1" x14ac:dyDescent="0.25">
      <c r="A657" t="str">
        <f>IF(AGENTES!I658="OBSOLETO","","INSERT INTO INYCEXT.INYC_CONF_INF_AGENTES (COD_INFORME,BO_GROUP,COMPANIA,ID_TIPO_AGENTE,TABLA,F_INICIO,F_FIN,DESCRIPCION) VALUES ("&amp;AGENTES!B658&amp;",'"&amp;AGENTES!C658&amp;"','"&amp;AGENTES!D658&amp;"','"&amp;AGENTES!E658&amp;"','"&amp;AGENTES!F658&amp;"',TO_DATE('"&amp;AGENTES!G658&amp;"','yyyymmdd'),TO_DATE('"&amp;AGENTES!H658&amp;"','yyyymmdd'),'"&amp;AGENTES!I658&amp;"');")</f>
        <v>INSERT INTO INYCEXT.INYC_CONF_INF_AGENTES (COD_INFORME,BO_GROUP,COMPANIA,ID_TIPO_AGENTE,TABLA,F_INICIO,F_FIN,DESCRIPCION) VALUES (112,'INYC Compensation Reports User Group - PRAG','01','38','INYC_PERC_AGENTES,INYC_PROD_AGENTES,INYC_CARTERA_AGENTES',TO_DATE('20170101','yyyymmdd'),TO_DATE('22000101','yyyymmdd'),'Version 20180118');</v>
      </c>
    </row>
    <row r="658" spans="1:1" x14ac:dyDescent="0.25">
      <c r="A658" t="str">
        <f>IF(AGENTES!I659="OBSOLETO","","INSERT INTO INYCEXT.INYC_CONF_INF_AGENTES (COD_INFORME,BO_GROUP,COMPANIA,ID_TIPO_AGENTE,TABLA,F_INICIO,F_FIN,DESCRIPCION) VALUES ("&amp;AGENTES!B659&amp;",'"&amp;AGENTES!C659&amp;"','"&amp;AGENTES!D659&amp;"','"&amp;AGENTES!E659&amp;"','"&amp;AGENTES!F659&amp;"',TO_DATE('"&amp;AGENTES!G659&amp;"','yyyymmdd'),TO_DATE('"&amp;AGENTES!H659&amp;"','yyyymmdd'),'"&amp;AGENTES!I659&amp;"');")</f>
        <v>INSERT INTO INYCEXT.INYC_CONF_INF_AGENTES (COD_INFORME,BO_GROUP,COMPANIA,ID_TIPO_AGENTE,TABLA,F_INICIO,F_FIN,DESCRIPCION) VALUES (112,'INYC Compensation Reports User Group - PRAG','01','39','INYC_PERC_AGENTES,INYC_PROD_AGENTES,INYC_CARTERA_AGENTES',TO_DATE('20170101','yyyymmdd'),TO_DATE('22000101','yyyymmdd'),'Version 20180118');</v>
      </c>
    </row>
    <row r="659" spans="1:1" x14ac:dyDescent="0.25">
      <c r="A659" t="str">
        <f>IF(AGENTES!I660="OBSOLETO","","INSERT INTO INYCEXT.INYC_CONF_INF_AGENTES (COD_INFORME,BO_GROUP,COMPANIA,ID_TIPO_AGENTE,TABLA,F_INICIO,F_FIN,DESCRIPCION) VALUES ("&amp;AGENTES!B660&amp;",'"&amp;AGENTES!C660&amp;"','"&amp;AGENTES!D660&amp;"','"&amp;AGENTES!E660&amp;"','"&amp;AGENTES!F660&amp;"',TO_DATE('"&amp;AGENTES!G660&amp;"','yyyymmdd'),TO_DATE('"&amp;AGENTES!H660&amp;"','yyyymmdd'),'"&amp;AGENTES!I660&amp;"');")</f>
        <v>INSERT INTO INYCEXT.INYC_CONF_INF_AGENTES (COD_INFORME,BO_GROUP,COMPANIA,ID_TIPO_AGENTE,TABLA,F_INICIO,F_FIN,DESCRIPCION) VALUES (112,'INYC Compensation Reports User Group - PRAG','01','40','INYC_PERC_AGENTES,INYC_PROD_AGENTES,INYC_CARTERA_AGENTES',TO_DATE('20170101','yyyymmdd'),TO_DATE('22000101','yyyymmdd'),'Version 20180118');</v>
      </c>
    </row>
    <row r="660" spans="1:1" x14ac:dyDescent="0.25">
      <c r="A660" t="str">
        <f>IF(AGENTES!I661="OBSOLETO","","INSERT INTO INYCEXT.INYC_CONF_INF_AGENTES (COD_INFORME,BO_GROUP,COMPANIA,ID_TIPO_AGENTE,TABLA,F_INICIO,F_FIN,DESCRIPCION) VALUES ("&amp;AGENTES!B661&amp;",'"&amp;AGENTES!C661&amp;"','"&amp;AGENTES!D661&amp;"','"&amp;AGENTES!E661&amp;"','"&amp;AGENTES!F661&amp;"',TO_DATE('"&amp;AGENTES!G661&amp;"','yyyymmdd'),TO_DATE('"&amp;AGENTES!H661&amp;"','yyyymmdd'),'"&amp;AGENTES!I661&amp;"');")</f>
        <v>INSERT INTO INYCEXT.INYC_CONF_INF_AGENTES (COD_INFORME,BO_GROUP,COMPANIA,ID_TIPO_AGENTE,TABLA,F_INICIO,F_FIN,DESCRIPCION) VALUES (112,'INYC Compensation Reports User Group - PRAG','01','41','INYC_PERC_AGENTES,INYC_PROD_AGENTES,INYC_CARTERA_AGENTES',TO_DATE('20170101','yyyymmdd'),TO_DATE('22000101','yyyymmdd'),'Version 20180118');</v>
      </c>
    </row>
    <row r="661" spans="1:1" x14ac:dyDescent="0.25">
      <c r="A661" t="str">
        <f>IF(AGENTES!I662="OBSOLETO","","INSERT INTO INYCEXT.INYC_CONF_INF_AGENTES (COD_INFORME,BO_GROUP,COMPANIA,ID_TIPO_AGENTE,TABLA,F_INICIO,F_FIN,DESCRIPCION) VALUES ("&amp;AGENTES!B662&amp;",'"&amp;AGENTES!C662&amp;"','"&amp;AGENTES!D662&amp;"','"&amp;AGENTES!E662&amp;"','"&amp;AGENTES!F662&amp;"',TO_DATE('"&amp;AGENTES!G662&amp;"','yyyymmdd'),TO_DATE('"&amp;AGENTES!H662&amp;"','yyyymmdd'),'"&amp;AGENTES!I662&amp;"');")</f>
        <v>INSERT INTO INYCEXT.INYC_CONF_INF_AGENTES (COD_INFORME,BO_GROUP,COMPANIA,ID_TIPO_AGENTE,TABLA,F_INICIO,F_FIN,DESCRIPCION) VALUES (112,'INYC Compensation Reports User Group - PRAG','01','42','INYC_PERC_AGENTES,INYC_PROD_AGENTES,INYC_CARTERA_AGENTES',TO_DATE('20170101','yyyymmdd'),TO_DATE('22000101','yyyymmdd'),'Version 20180118');</v>
      </c>
    </row>
    <row r="662" spans="1:1" x14ac:dyDescent="0.25">
      <c r="A662" t="str">
        <f>IF(AGENTES!I663="OBSOLETO","","INSERT INTO INYCEXT.INYC_CONF_INF_AGENTES (COD_INFORME,BO_GROUP,COMPANIA,ID_TIPO_AGENTE,TABLA,F_INICIO,F_FIN,DESCRIPCION) VALUES ("&amp;AGENTES!B663&amp;",'"&amp;AGENTES!C663&amp;"','"&amp;AGENTES!D663&amp;"','"&amp;AGENTES!E663&amp;"','"&amp;AGENTES!F663&amp;"',TO_DATE('"&amp;AGENTES!G663&amp;"','yyyymmdd'),TO_DATE('"&amp;AGENTES!H663&amp;"','yyyymmdd'),'"&amp;AGENTES!I663&amp;"');")</f>
        <v>INSERT INTO INYCEXT.INYC_CONF_INF_AGENTES (COD_INFORME,BO_GROUP,COMPANIA,ID_TIPO_AGENTE,TABLA,F_INICIO,F_FIN,DESCRIPCION) VALUES (112,'INYC Compensation Reports User Group - PRAG','01','44','INYC_PERC_AGENTES,INYC_PROD_AGENTES,INYC_CARTERA_AGENTES',TO_DATE('20170101','yyyymmdd'),TO_DATE('22000101','yyyymmdd'),'Version 20180118');</v>
      </c>
    </row>
    <row r="663" spans="1:1" x14ac:dyDescent="0.25">
      <c r="A663" t="str">
        <f>IF(AGENTES!I664="OBSOLETO","","INSERT INTO INYCEXT.INYC_CONF_INF_AGENTES (COD_INFORME,BO_GROUP,COMPANIA,ID_TIPO_AGENTE,TABLA,F_INICIO,F_FIN,DESCRIPCION) VALUES ("&amp;AGENTES!B664&amp;",'"&amp;AGENTES!C664&amp;"','"&amp;AGENTES!D664&amp;"','"&amp;AGENTES!E664&amp;"','"&amp;AGENTES!F664&amp;"',TO_DATE('"&amp;AGENTES!G664&amp;"','yyyymmdd'),TO_DATE('"&amp;AGENTES!H664&amp;"','yyyymmdd'),'"&amp;AGENTES!I664&amp;"');")</f>
        <v>INSERT INTO INYCEXT.INYC_CONF_INF_AGENTES (COD_INFORME,BO_GROUP,COMPANIA,ID_TIPO_AGENTE,TABLA,F_INICIO,F_FIN,DESCRIPCION) VALUES (112,'INYC Compensation Reports User Group - PRAG','01','45','INYC_PERC_AGENTES,INYC_PROD_AGENTES,INYC_CARTERA_AGENTES',TO_DATE('20170101','yyyymmdd'),TO_DATE('22000101','yyyymmdd'),'Version 20180118');</v>
      </c>
    </row>
    <row r="664" spans="1:1" x14ac:dyDescent="0.25">
      <c r="A664" t="str">
        <f>IF(AGENTES!I665="OBSOLETO","","INSERT INTO INYCEXT.INYC_CONF_INF_AGENTES (COD_INFORME,BO_GROUP,COMPANIA,ID_TIPO_AGENTE,TABLA,F_INICIO,F_FIN,DESCRIPCION) VALUES ("&amp;AGENTES!B665&amp;",'"&amp;AGENTES!C665&amp;"','"&amp;AGENTES!D665&amp;"','"&amp;AGENTES!E665&amp;"','"&amp;AGENTES!F665&amp;"',TO_DATE('"&amp;AGENTES!G665&amp;"','yyyymmdd'),TO_DATE('"&amp;AGENTES!H665&amp;"','yyyymmdd'),'"&amp;AGENTES!I665&amp;"');")</f>
        <v>INSERT INTO INYCEXT.INYC_CONF_INF_AGENTES (COD_INFORME,BO_GROUP,COMPANIA,ID_TIPO_AGENTE,TABLA,F_INICIO,F_FIN,DESCRIPCION) VALUES (112,'INYC Compensation Reports User Group - PRAG','01','46','INYC_PERC_AGENTES,INYC_PROD_AGENTES,INYC_CARTERA_AGENTES',TO_DATE('20170101','yyyymmdd'),TO_DATE('22000101','yyyymmdd'),'Version 20180118');</v>
      </c>
    </row>
    <row r="665" spans="1:1" x14ac:dyDescent="0.25">
      <c r="A665" t="str">
        <f>IF(AGENTES!I666="OBSOLETO","","INSERT INTO INYCEXT.INYC_CONF_INF_AGENTES (COD_INFORME,BO_GROUP,COMPANIA,ID_TIPO_AGENTE,TABLA,F_INICIO,F_FIN,DESCRIPCION) VALUES ("&amp;AGENTES!B666&amp;",'"&amp;AGENTES!C666&amp;"','"&amp;AGENTES!D666&amp;"','"&amp;AGENTES!E666&amp;"','"&amp;AGENTES!F666&amp;"',TO_DATE('"&amp;AGENTES!G666&amp;"','yyyymmdd'),TO_DATE('"&amp;AGENTES!H666&amp;"','yyyymmdd'),'"&amp;AGENTES!I666&amp;"');")</f>
        <v>INSERT INTO INYCEXT.INYC_CONF_INF_AGENTES (COD_INFORME,BO_GROUP,COMPANIA,ID_TIPO_AGENTE,TABLA,F_INICIO,F_FIN,DESCRIPCION) VALUES (112,'INYC Compensation Reports User Group - PRAG','01','47','INYC_PERC_AGENTES,INYC_PROD_AGENTES,INYC_CARTERA_AGENTES',TO_DATE('20170101','yyyymmdd'),TO_DATE('22000101','yyyymmdd'),'Version 20180118');</v>
      </c>
    </row>
    <row r="666" spans="1:1" x14ac:dyDescent="0.25">
      <c r="A666" t="str">
        <f>IF(AGENTES!I667="OBSOLETO","","INSERT INTO INYCEXT.INYC_CONF_INF_AGENTES (COD_INFORME,BO_GROUP,COMPANIA,ID_TIPO_AGENTE,TABLA,F_INICIO,F_FIN,DESCRIPCION) VALUES ("&amp;AGENTES!B667&amp;",'"&amp;AGENTES!C667&amp;"','"&amp;AGENTES!D667&amp;"','"&amp;AGENTES!E667&amp;"','"&amp;AGENTES!F667&amp;"',TO_DATE('"&amp;AGENTES!G667&amp;"','yyyymmdd'),TO_DATE('"&amp;AGENTES!H667&amp;"','yyyymmdd'),'"&amp;AGENTES!I667&amp;"');")</f>
        <v>INSERT INTO INYCEXT.INYC_CONF_INF_AGENTES (COD_INFORME,BO_GROUP,COMPANIA,ID_TIPO_AGENTE,TABLA,F_INICIO,F_FIN,DESCRIPCION) VALUES (112,'INYC Compensation Reports User Group - PRAG','01','48','INYC_PERC_AGENTES,INYC_PROD_AGENTES,INYC_CARTERA_AGENTES',TO_DATE('20170101','yyyymmdd'),TO_DATE('22000101','yyyymmdd'),'Version 20180118');</v>
      </c>
    </row>
    <row r="667" spans="1:1" x14ac:dyDescent="0.25">
      <c r="A667" t="str">
        <f>IF(AGENTES!I668="OBSOLETO","","INSERT INTO INYCEXT.INYC_CONF_INF_AGENTES (COD_INFORME,BO_GROUP,COMPANIA,ID_TIPO_AGENTE,TABLA,F_INICIO,F_FIN,DESCRIPCION) VALUES ("&amp;AGENTES!B668&amp;",'"&amp;AGENTES!C668&amp;"','"&amp;AGENTES!D668&amp;"','"&amp;AGENTES!E668&amp;"','"&amp;AGENTES!F668&amp;"',TO_DATE('"&amp;AGENTES!G668&amp;"','yyyymmdd'),TO_DATE('"&amp;AGENTES!H668&amp;"','yyyymmdd'),'"&amp;AGENTES!I668&amp;"');")</f>
        <v>INSERT INTO INYCEXT.INYC_CONF_INF_AGENTES (COD_INFORME,BO_GROUP,COMPANIA,ID_TIPO_AGENTE,TABLA,F_INICIO,F_FIN,DESCRIPCION) VALUES (112,'INYC Compensation Reports User Group - PRAG','01','49','INYC_PERC_AGENTES,INYC_PROD_AGENTES,INYC_CARTERA_AGENTES',TO_DATE('20170101','yyyymmdd'),TO_DATE('22000101','yyyymmdd'),'Version 20180118');</v>
      </c>
    </row>
    <row r="668" spans="1:1" x14ac:dyDescent="0.25">
      <c r="A668" t="str">
        <f>IF(AGENTES!I669="OBSOLETO","","INSERT INTO INYCEXT.INYC_CONF_INF_AGENTES (COD_INFORME,BO_GROUP,COMPANIA,ID_TIPO_AGENTE,TABLA,F_INICIO,F_FIN,DESCRIPCION) VALUES ("&amp;AGENTES!B669&amp;",'"&amp;AGENTES!C669&amp;"','"&amp;AGENTES!D669&amp;"','"&amp;AGENTES!E669&amp;"','"&amp;AGENTES!F669&amp;"',TO_DATE('"&amp;AGENTES!G669&amp;"','yyyymmdd'),TO_DATE('"&amp;AGENTES!H669&amp;"','yyyymmdd'),'"&amp;AGENTES!I669&amp;"');")</f>
        <v>INSERT INTO INYCEXT.INYC_CONF_INF_AGENTES (COD_INFORME,BO_GROUP,COMPANIA,ID_TIPO_AGENTE,TABLA,F_INICIO,F_FIN,DESCRIPCION) VALUES (112,'INYC Compensation Reports User Group - PRAG','01','52','INYC_PERC_AGENTES,INYC_PROD_AGENTES,INYC_CARTERA_AGENTES',TO_DATE('20170101','yyyymmdd'),TO_DATE('22000101','yyyymmdd'),'Version 20180118');</v>
      </c>
    </row>
    <row r="669" spans="1:1" x14ac:dyDescent="0.25">
      <c r="A669" t="str">
        <f>IF(AGENTES!I670="OBSOLETO","","INSERT INTO INYCEXT.INYC_CONF_INF_AGENTES (COD_INFORME,BO_GROUP,COMPANIA,ID_TIPO_AGENTE,TABLA,F_INICIO,F_FIN,DESCRIPCION) VALUES ("&amp;AGENTES!B670&amp;",'"&amp;AGENTES!C670&amp;"','"&amp;AGENTES!D670&amp;"','"&amp;AGENTES!E670&amp;"','"&amp;AGENTES!F670&amp;"',TO_DATE('"&amp;AGENTES!G670&amp;"','yyyymmdd'),TO_DATE('"&amp;AGENTES!H670&amp;"','yyyymmdd'),'"&amp;AGENTES!I670&amp;"');")</f>
        <v>INSERT INTO INYCEXT.INYC_CONF_INF_AGENTES (COD_INFORME,BO_GROUP,COMPANIA,ID_TIPO_AGENTE,TABLA,F_INICIO,F_FIN,DESCRIPCION) VALUES (112,'INYC Compensation Reports User Group - PRAG','01','54','INYC_PERC_AGENTES,INYC_PROD_AGENTES,INYC_CARTERA_AGENTES',TO_DATE('20170101','yyyymmdd'),TO_DATE('22000101','yyyymmdd'),'Version 20180118');</v>
      </c>
    </row>
    <row r="670" spans="1:1" x14ac:dyDescent="0.25">
      <c r="A670" t="str">
        <f>IF(AGENTES!I671="OBSOLETO","","INSERT INTO INYCEXT.INYC_CONF_INF_AGENTES (COD_INFORME,BO_GROUP,COMPANIA,ID_TIPO_AGENTE,TABLA,F_INICIO,F_FIN,DESCRIPCION) VALUES ("&amp;AGENTES!B671&amp;",'"&amp;AGENTES!C671&amp;"','"&amp;AGENTES!D671&amp;"','"&amp;AGENTES!E671&amp;"','"&amp;AGENTES!F671&amp;"',TO_DATE('"&amp;AGENTES!G671&amp;"','yyyymmdd'),TO_DATE('"&amp;AGENTES!H671&amp;"','yyyymmdd'),'"&amp;AGENTES!I671&amp;"');")</f>
        <v>INSERT INTO INYCEXT.INYC_CONF_INF_AGENTES (COD_INFORME,BO_GROUP,COMPANIA,ID_TIPO_AGENTE,TABLA,F_INICIO,F_FIN,DESCRIPCION) VALUES (112,'INYC Compensation Reports User Group - PRAG','01','56','INYC_PERC_AGENTES,INYC_PROD_AGENTES,INYC_CARTERA_AGENTES',TO_DATE('20170101','yyyymmdd'),TO_DATE('22000101','yyyymmdd'),'Version 20180118');</v>
      </c>
    </row>
    <row r="671" spans="1:1" x14ac:dyDescent="0.25">
      <c r="A671" t="str">
        <f>IF(AGENTES!I672="OBSOLETO","","INSERT INTO INYCEXT.INYC_CONF_INF_AGENTES (COD_INFORME,BO_GROUP,COMPANIA,ID_TIPO_AGENTE,TABLA,F_INICIO,F_FIN,DESCRIPCION) VALUES ("&amp;AGENTES!B672&amp;",'"&amp;AGENTES!C672&amp;"','"&amp;AGENTES!D672&amp;"','"&amp;AGENTES!E672&amp;"','"&amp;AGENTES!F672&amp;"',TO_DATE('"&amp;AGENTES!G672&amp;"','yyyymmdd'),TO_DATE('"&amp;AGENTES!H672&amp;"','yyyymmdd'),'"&amp;AGENTES!I672&amp;"');")</f>
        <v>INSERT INTO INYCEXT.INYC_CONF_INF_AGENTES (COD_INFORME,BO_GROUP,COMPANIA,ID_TIPO_AGENTE,TABLA,F_INICIO,F_FIN,DESCRIPCION) VALUES (112,'INYC Compensation Reports User Group - PRAG','01','57','INYC_PERC_AGENTES,INYC_PROD_AGENTES,INYC_CARTERA_AGENTES',TO_DATE('20170101','yyyymmdd'),TO_DATE('22000101','yyyymmdd'),'Version 20180118');</v>
      </c>
    </row>
    <row r="672" spans="1:1" x14ac:dyDescent="0.25">
      <c r="A672" t="str">
        <f>IF(AGENTES!I673="OBSOLETO","","INSERT INTO INYCEXT.INYC_CONF_INF_AGENTES (COD_INFORME,BO_GROUP,COMPANIA,ID_TIPO_AGENTE,TABLA,F_INICIO,F_FIN,DESCRIPCION) VALUES ("&amp;AGENTES!B673&amp;",'"&amp;AGENTES!C673&amp;"','"&amp;AGENTES!D673&amp;"','"&amp;AGENTES!E673&amp;"','"&amp;AGENTES!F673&amp;"',TO_DATE('"&amp;AGENTES!G673&amp;"','yyyymmdd'),TO_DATE('"&amp;AGENTES!H673&amp;"','yyyymmdd'),'"&amp;AGENTES!I673&amp;"');")</f>
        <v>INSERT INTO INYCEXT.INYC_CONF_INF_AGENTES (COD_INFORME,BO_GROUP,COMPANIA,ID_TIPO_AGENTE,TABLA,F_INICIO,F_FIN,DESCRIPCION) VALUES (112,'INYC Compensation Reports User Group - PRAG','01','58','INYC_PERC_AGENTES,INYC_PROD_AGENTES,INYC_CARTERA_AGENTES',TO_DATE('20170101','yyyymmdd'),TO_DATE('22000101','yyyymmdd'),'Version 20180118');</v>
      </c>
    </row>
    <row r="673" spans="1:1" x14ac:dyDescent="0.25">
      <c r="A673" t="str">
        <f>IF(AGENTES!I674="OBSOLETO","","INSERT INTO INYCEXT.INYC_CONF_INF_AGENTES (COD_INFORME,BO_GROUP,COMPANIA,ID_TIPO_AGENTE,TABLA,F_INICIO,F_FIN,DESCRIPCION) VALUES ("&amp;AGENTES!B674&amp;",'"&amp;AGENTES!C674&amp;"','"&amp;AGENTES!D674&amp;"','"&amp;AGENTES!E674&amp;"','"&amp;AGENTES!F674&amp;"',TO_DATE('"&amp;AGENTES!G674&amp;"','yyyymmdd'),TO_DATE('"&amp;AGENTES!H674&amp;"','yyyymmdd'),'"&amp;AGENTES!I674&amp;"');")</f>
        <v>INSERT INTO INYCEXT.INYC_CONF_INF_AGENTES (COD_INFORME,BO_GROUP,COMPANIA,ID_TIPO_AGENTE,TABLA,F_INICIO,F_FIN,DESCRIPCION) VALUES (112,'INYC Compensation Reports User Group - PRAG','01','59','INYC_PERC_AGENTES,INYC_PROD_AGENTES,INYC_CARTERA_AGENTES',TO_DATE('20170101','yyyymmdd'),TO_DATE('22000101','yyyymmdd'),'Version 20180118');</v>
      </c>
    </row>
    <row r="674" spans="1:1" x14ac:dyDescent="0.25">
      <c r="A674" t="str">
        <f>IF(AGENTES!I675="OBSOLETO","","INSERT INTO INYCEXT.INYC_CONF_INF_AGENTES (COD_INFORME,BO_GROUP,COMPANIA,ID_TIPO_AGENTE,TABLA,F_INICIO,F_FIN,DESCRIPCION) VALUES ("&amp;AGENTES!B675&amp;",'"&amp;AGENTES!C675&amp;"','"&amp;AGENTES!D675&amp;"','"&amp;AGENTES!E675&amp;"','"&amp;AGENTES!F675&amp;"',TO_DATE('"&amp;AGENTES!G675&amp;"','yyyymmdd'),TO_DATE('"&amp;AGENTES!H675&amp;"','yyyymmdd'),'"&amp;AGENTES!I675&amp;"');")</f>
        <v>INSERT INTO INYCEXT.INYC_CONF_INF_AGENTES (COD_INFORME,BO_GROUP,COMPANIA,ID_TIPO_AGENTE,TABLA,F_INICIO,F_FIN,DESCRIPCION) VALUES (112,'INYC Compensation Reports User Group - PRAG','01','60','INYC_PERC_AGENTES,INYC_PROD_AGENTES,INYC_CARTERA_AGENTES',TO_DATE('20200101','yyyymmdd'),TO_DATE('22000101','yyyymmdd'),'Version 20200526');</v>
      </c>
    </row>
    <row r="675" spans="1:1" x14ac:dyDescent="0.25">
      <c r="A675" t="str">
        <f>IF(AGENTES!I676="OBSOLETO","","INSERT INTO INYCEXT.INYC_CONF_INF_AGENTES (COD_INFORME,BO_GROUP,COMPANIA,ID_TIPO_AGENTE,TABLA,F_INICIO,F_FIN,DESCRIPCION) VALUES ("&amp;AGENTES!B676&amp;",'"&amp;AGENTES!C676&amp;"','"&amp;AGENTES!D676&amp;"','"&amp;AGENTES!E676&amp;"','"&amp;AGENTES!F676&amp;"',TO_DATE('"&amp;AGENTES!G676&amp;"','yyyymmdd'),TO_DATE('"&amp;AGENTES!H676&amp;"','yyyymmdd'),'"&amp;AGENTES!I676&amp;"');")</f>
        <v>INSERT INTO INYCEXT.INYC_CONF_INF_AGENTES (COD_INFORME,BO_GROUP,COMPANIA,ID_TIPO_AGENTE,TABLA,F_INICIO,F_FIN,DESCRIPCION) VALUES (112,'INYC Compensation Reports User Group - PRAG','01','61','INYC_PERC_AGENTES,INYC_PROD_AGENTES,INYC_CARTERA_AGENTES',TO_DATE('20170101','yyyymmdd'),TO_DATE('22000101','yyyymmdd'),'Version 20180118');</v>
      </c>
    </row>
    <row r="676" spans="1:1" x14ac:dyDescent="0.25">
      <c r="A676" t="str">
        <f>IF(AGENTES!I677="OBSOLETO","","INSERT INTO INYCEXT.INYC_CONF_INF_AGENTES (COD_INFORME,BO_GROUP,COMPANIA,ID_TIPO_AGENTE,TABLA,F_INICIO,F_FIN,DESCRIPCION) VALUES ("&amp;AGENTES!B677&amp;",'"&amp;AGENTES!C677&amp;"','"&amp;AGENTES!D677&amp;"','"&amp;AGENTES!E677&amp;"','"&amp;AGENTES!F677&amp;"',TO_DATE('"&amp;AGENTES!G677&amp;"','yyyymmdd'),TO_DATE('"&amp;AGENTES!H677&amp;"','yyyymmdd'),'"&amp;AGENTES!I677&amp;"');")</f>
        <v>INSERT INTO INYCEXT.INYC_CONF_INF_AGENTES (COD_INFORME,BO_GROUP,COMPANIA,ID_TIPO_AGENTE,TABLA,F_INICIO,F_FIN,DESCRIPCION) VALUES (112,'INYC Compensation Reports User Group - PRAG','01','62','INYC_PERC_AGENTES,INYC_PROD_AGENTES,INYC_CARTERA_AGENTES',TO_DATE('20170101','yyyymmdd'),TO_DATE('22000101','yyyymmdd'),'Version 20180118');</v>
      </c>
    </row>
    <row r="677" spans="1:1" x14ac:dyDescent="0.25">
      <c r="A677" t="str">
        <f>IF(AGENTES!I678="OBSOLETO","","INSERT INTO INYCEXT.INYC_CONF_INF_AGENTES (COD_INFORME,BO_GROUP,COMPANIA,ID_TIPO_AGENTE,TABLA,F_INICIO,F_FIN,DESCRIPCION) VALUES ("&amp;AGENTES!B678&amp;",'"&amp;AGENTES!C678&amp;"','"&amp;AGENTES!D678&amp;"','"&amp;AGENTES!E678&amp;"','"&amp;AGENTES!F678&amp;"',TO_DATE('"&amp;AGENTES!G678&amp;"','yyyymmdd'),TO_DATE('"&amp;AGENTES!H678&amp;"','yyyymmdd'),'"&amp;AGENTES!I678&amp;"');")</f>
        <v>INSERT INTO INYCEXT.INYC_CONF_INF_AGENTES (COD_INFORME,BO_GROUP,COMPANIA,ID_TIPO_AGENTE,TABLA,F_INICIO,F_FIN,DESCRIPCION) VALUES (112,'INYC Compensation Reports User Group - PRAG','01','65','INYC_PERC_AGENTES,INYC_PROD_AGENTES,INYC_CARTERA_AGENTES',TO_DATE('20170101','yyyymmdd'),TO_DATE('22000101','yyyymmdd'),'Version 20180118');</v>
      </c>
    </row>
    <row r="678" spans="1:1" x14ac:dyDescent="0.25">
      <c r="A678" t="str">
        <f>IF(AGENTES!I679="OBSOLETO","","INSERT INTO INYCEXT.INYC_CONF_INF_AGENTES (COD_INFORME,BO_GROUP,COMPANIA,ID_TIPO_AGENTE,TABLA,F_INICIO,F_FIN,DESCRIPCION) VALUES ("&amp;AGENTES!B679&amp;",'"&amp;AGENTES!C679&amp;"','"&amp;AGENTES!D679&amp;"','"&amp;AGENTES!E679&amp;"','"&amp;AGENTES!F679&amp;"',TO_DATE('"&amp;AGENTES!G679&amp;"','yyyymmdd'),TO_DATE('"&amp;AGENTES!H679&amp;"','yyyymmdd'),'"&amp;AGENTES!I679&amp;"');")</f>
        <v>INSERT INTO INYCEXT.INYC_CONF_INF_AGENTES (COD_INFORME,BO_GROUP,COMPANIA,ID_TIPO_AGENTE,TABLA,F_INICIO,F_FIN,DESCRIPCION) VALUES (114,'INYC Compensation Reports User Group - PRIN','01','52','INYC_PERC_INSPECTORES,INYC_PROD_INSPECTORES',TO_DATE('20170101','yyyymmdd'),TO_DATE('22000101','yyyymmdd'),'Version 20180118');</v>
      </c>
    </row>
    <row r="679" spans="1:1" x14ac:dyDescent="0.25">
      <c r="A679" t="str">
        <f>IF(AGENTES!I680="OBSOLETO","","INSERT INTO INYCEXT.INYC_CONF_INF_AGENTES (COD_INFORME,BO_GROUP,COMPANIA,ID_TIPO_AGENTE,TABLA,F_INICIO,F_FIN,DESCRIPCION) VALUES ("&amp;AGENTES!B680&amp;",'"&amp;AGENTES!C680&amp;"','"&amp;AGENTES!D680&amp;"','"&amp;AGENTES!E680&amp;"','"&amp;AGENTES!F680&amp;"',TO_DATE('"&amp;AGENTES!G680&amp;"','yyyymmdd'),TO_DATE('"&amp;AGENTES!H680&amp;"','yyyymmdd'),'"&amp;AGENTES!I680&amp;"');")</f>
        <v>INSERT INTO INYCEXT.INYC_CONF_INF_AGENTES (COD_INFORME,BO_GROUP,COMPANIA,ID_TIPO_AGENTE,TABLA,F_INICIO,F_FIN,DESCRIPCION) VALUES (114,'INYC Compensation Reports User Group - PRIN','01','54','INYC_PERC_INSPECTORES,INYC_PROD_INSPECTORES',TO_DATE('20170101','yyyymmdd'),TO_DATE('22000101','yyyymmdd'),'Version 20180118');</v>
      </c>
    </row>
    <row r="680" spans="1:1" x14ac:dyDescent="0.25">
      <c r="A680" t="str">
        <f>IF(AGENTES!I681="OBSOLETO","","INSERT INTO INYCEXT.INYC_CONF_INF_AGENTES (COD_INFORME,BO_GROUP,COMPANIA,ID_TIPO_AGENTE,TABLA,F_INICIO,F_FIN,DESCRIPCION) VALUES ("&amp;AGENTES!B681&amp;",'"&amp;AGENTES!C681&amp;"','"&amp;AGENTES!D681&amp;"','"&amp;AGENTES!E681&amp;"','"&amp;AGENTES!F681&amp;"',TO_DATE('"&amp;AGENTES!G681&amp;"','yyyymmdd'),TO_DATE('"&amp;AGENTES!H681&amp;"','yyyymmdd'),'"&amp;AGENTES!I681&amp;"');")</f>
        <v>INSERT INTO INYCEXT.INYC_CONF_INF_AGENTES (COD_INFORME,BO_GROUP,COMPANIA,ID_TIPO_AGENTE,TABLA,F_INICIO,F_FIN,DESCRIPCION) VALUES (114,'INYC Compensation Reports User Group - PRIN','01','56','INYC_PERC_INSPECTORES,INYC_PROD_INSPECTORES',TO_DATE('20170101','yyyymmdd'),TO_DATE('22000101','yyyymmdd'),'Version 20180118');</v>
      </c>
    </row>
    <row r="681" spans="1:1" x14ac:dyDescent="0.25">
      <c r="A681" t="str">
        <f>IF(AGENTES!I682="OBSOLETO","","INSERT INTO INYCEXT.INYC_CONF_INF_AGENTES (COD_INFORME,BO_GROUP,COMPANIA,ID_TIPO_AGENTE,TABLA,F_INICIO,F_FIN,DESCRIPCION) VALUES ("&amp;AGENTES!B682&amp;",'"&amp;AGENTES!C682&amp;"','"&amp;AGENTES!D682&amp;"','"&amp;AGENTES!E682&amp;"','"&amp;AGENTES!F682&amp;"',TO_DATE('"&amp;AGENTES!G682&amp;"','yyyymmdd'),TO_DATE('"&amp;AGENTES!H682&amp;"','yyyymmdd'),'"&amp;AGENTES!I682&amp;"');")</f>
        <v>INSERT INTO INYCEXT.INYC_CONF_INF_AGENTES (COD_INFORME,BO_GROUP,COMPANIA,ID_TIPO_AGENTE,TABLA,F_INICIO,F_FIN,DESCRIPCION) VALUES (114,'INYC Compensation Reports User Group - PRIN','01','57','INYC_PERC_INSPECTORES,INYC_PROD_INSPECTORES',TO_DATE('20170101','yyyymmdd'),TO_DATE('22000101','yyyymmdd'),'Version 20180118');</v>
      </c>
    </row>
    <row r="682" spans="1:1" x14ac:dyDescent="0.25">
      <c r="A682" t="str">
        <f>IF(AGENTES!I683="OBSOLETO","","INSERT INTO INYCEXT.INYC_CONF_INF_AGENTES (COD_INFORME,BO_GROUP,COMPANIA,ID_TIPO_AGENTE,TABLA,F_INICIO,F_FIN,DESCRIPCION) VALUES ("&amp;AGENTES!B683&amp;",'"&amp;AGENTES!C683&amp;"','"&amp;AGENTES!D683&amp;"','"&amp;AGENTES!E683&amp;"','"&amp;AGENTES!F683&amp;"',TO_DATE('"&amp;AGENTES!G683&amp;"','yyyymmdd'),TO_DATE('"&amp;AGENTES!H683&amp;"','yyyymmdd'),'"&amp;AGENTES!I683&amp;"');")</f>
        <v>INSERT INTO INYCEXT.INYC_CONF_INF_AGENTES (COD_INFORME,BO_GROUP,COMPANIA,ID_TIPO_AGENTE,TABLA,F_INICIO,F_FIN,DESCRIPCION) VALUES (114,'INYC Compensation Reports User Group - PRIN','01','58','INYC_PERC_INSPECTORES,INYC_PROD_INSPECTORES',TO_DATE('20170101','yyyymmdd'),TO_DATE('22000101','yyyymmdd'),'Version 20180118');</v>
      </c>
    </row>
    <row r="683" spans="1:1" x14ac:dyDescent="0.25">
      <c r="A683" t="str">
        <f>IF(AGENTES!I684="OBSOLETO","","INSERT INTO INYCEXT.INYC_CONF_INF_AGENTES (COD_INFORME,BO_GROUP,COMPANIA,ID_TIPO_AGENTE,TABLA,F_INICIO,F_FIN,DESCRIPCION) VALUES ("&amp;AGENTES!B684&amp;",'"&amp;AGENTES!C684&amp;"','"&amp;AGENTES!D684&amp;"','"&amp;AGENTES!E684&amp;"','"&amp;AGENTES!F684&amp;"',TO_DATE('"&amp;AGENTES!G684&amp;"','yyyymmdd'),TO_DATE('"&amp;AGENTES!H684&amp;"','yyyymmdd'),'"&amp;AGENTES!I684&amp;"');")</f>
        <v>INSERT INTO INYCEXT.INYC_CONF_INF_AGENTES (COD_INFORME,BO_GROUP,COMPANIA,ID_TIPO_AGENTE,TABLA,F_INICIO,F_FIN,DESCRIPCION) VALUES (114,'INYC Compensation Reports User Group - PRIN','01','59','INYC_PERC_INSPECTORES,INYC_PROD_INSPECTORES',TO_DATE('20170101','yyyymmdd'),TO_DATE('22000101','yyyymmdd'),'Version 20180118');</v>
      </c>
    </row>
    <row r="684" spans="1:1" x14ac:dyDescent="0.25">
      <c r="A684" t="str">
        <f>IF(AGENTES!I685="OBSOLETO","","INSERT INTO INYCEXT.INYC_CONF_INF_AGENTES (COD_INFORME,BO_GROUP,COMPANIA,ID_TIPO_AGENTE,TABLA,F_INICIO,F_FIN,DESCRIPCION) VALUES ("&amp;AGENTES!B685&amp;",'"&amp;AGENTES!C685&amp;"','"&amp;AGENTES!D685&amp;"','"&amp;AGENTES!E685&amp;"','"&amp;AGENTES!F685&amp;"',TO_DATE('"&amp;AGENTES!G685&amp;"','yyyymmdd'),TO_DATE('"&amp;AGENTES!H685&amp;"','yyyymmdd'),'"&amp;AGENTES!I685&amp;"');")</f>
        <v>INSERT INTO INYCEXT.INYC_CONF_INF_AGENTES (COD_INFORME,BO_GROUP,COMPANIA,ID_TIPO_AGENTE,TABLA,F_INICIO,F_FIN,DESCRIPCION) VALUES (114,'INYC Compensation Reports User Group - PRIN','01','60','INYC_PERC_INSPECTORES,INYC_PROD_INSPECTORES',TO_DATE('20200101','yyyymmdd'),TO_DATE('22000101','yyyymmdd'),'Version 20200526');</v>
      </c>
    </row>
    <row r="685" spans="1:1" x14ac:dyDescent="0.25">
      <c r="A685" t="str">
        <f>IF(AGENTES!I686="OBSOLETO","","INSERT INTO INYCEXT.INYC_CONF_INF_AGENTES (COD_INFORME,BO_GROUP,COMPANIA,ID_TIPO_AGENTE,TABLA,F_INICIO,F_FIN,DESCRIPCION) VALUES ("&amp;AGENTES!B686&amp;",'"&amp;AGENTES!C686&amp;"','"&amp;AGENTES!D686&amp;"','"&amp;AGENTES!E686&amp;"','"&amp;AGENTES!F686&amp;"',TO_DATE('"&amp;AGENTES!G686&amp;"','yyyymmdd'),TO_DATE('"&amp;AGENTES!H686&amp;"','yyyymmdd'),'"&amp;AGENTES!I686&amp;"');")</f>
        <v>INSERT INTO INYCEXT.INYC_CONF_INF_AGENTES (COD_INFORME,BO_GROUP,COMPANIA,ID_TIPO_AGENTE,TABLA,F_INICIO,F_FIN,DESCRIPCION) VALUES (114,'INYC Compensation Reports User Group - PRIN','01','61','INYC_PERC_INSPECTORES,INYC_PROD_INSPECTORES',TO_DATE('20170101','yyyymmdd'),TO_DATE('22000101','yyyymmdd'),'Version 20180118');</v>
      </c>
    </row>
    <row r="686" spans="1:1" x14ac:dyDescent="0.25">
      <c r="A686" t="str">
        <f>IF(AGENTES!I687="OBSOLETO","","INSERT INTO INYCEXT.INYC_CONF_INF_AGENTES (COD_INFORME,BO_GROUP,COMPANIA,ID_TIPO_AGENTE,TABLA,F_INICIO,F_FIN,DESCRIPCION) VALUES ("&amp;AGENTES!B687&amp;",'"&amp;AGENTES!C687&amp;"','"&amp;AGENTES!D687&amp;"','"&amp;AGENTES!E687&amp;"','"&amp;AGENTES!F687&amp;"',TO_DATE('"&amp;AGENTES!G687&amp;"','yyyymmdd'),TO_DATE('"&amp;AGENTES!H687&amp;"','yyyymmdd'),'"&amp;AGENTES!I687&amp;"');")</f>
        <v>INSERT INTO INYCEXT.INYC_CONF_INF_AGENTES (COD_INFORME,BO_GROUP,COMPANIA,ID_TIPO_AGENTE,TABLA,F_INICIO,F_FIN,DESCRIPCION) VALUES (114,'INYC Compensation Reports User Group - PRIN','01','62','INYC_PERC_INSPECTORES,INYC_PROD_INSPECTORES',TO_DATE('20170101','yyyymmdd'),TO_DATE('22000101','yyyymmdd'),'Version 20180118');</v>
      </c>
    </row>
    <row r="687" spans="1:1" x14ac:dyDescent="0.25">
      <c r="A687" t="str">
        <f>IF(AGENTES!I688="OBSOLETO","","INSERT INTO INYCEXT.INYC_CONF_INF_AGENTES (COD_INFORME,BO_GROUP,COMPANIA,ID_TIPO_AGENTE,TABLA,F_INICIO,F_FIN,DESCRIPCION) VALUES ("&amp;AGENTES!B688&amp;",'"&amp;AGENTES!C688&amp;"','"&amp;AGENTES!D688&amp;"','"&amp;AGENTES!E688&amp;"','"&amp;AGENTES!F688&amp;"',TO_DATE('"&amp;AGENTES!G688&amp;"','yyyymmdd'),TO_DATE('"&amp;AGENTES!H688&amp;"','yyyymmdd'),'"&amp;AGENTES!I688&amp;"');")</f>
        <v>INSERT INTO INYCEXT.INYC_CONF_INF_AGENTES (COD_INFORME,BO_GROUP,COMPANIA,ID_TIPO_AGENTE,TABLA,F_INICIO,F_FIN,DESCRIPCION) VALUES (114,'INYC Compensation Reports User Group - PRIN','01','65','INYC_PERC_INSPECTORES,INYC_PROD_INSPECTORES',TO_DATE('20170101','yyyymmdd'),TO_DATE('22000101','yyyymmdd'),'Version 20180118');</v>
      </c>
    </row>
    <row r="688" spans="1:1" x14ac:dyDescent="0.25">
      <c r="A688" t="str">
        <f>IF(AGENTES!I689="OBSOLETO","","INSERT INTO INYCEXT.INYC_CONF_INF_AGENTES (COD_INFORME,BO_GROUP,COMPANIA,ID_TIPO_AGENTE,TABLA,F_INICIO,F_FIN,DESCRIPCION) VALUES ("&amp;AGENTES!B689&amp;",'"&amp;AGENTES!C689&amp;"','"&amp;AGENTES!D689&amp;"','"&amp;AGENTES!E689&amp;"','"&amp;AGENTES!F689&amp;"',TO_DATE('"&amp;AGENTES!G689&amp;"','yyyymmdd'),TO_DATE('"&amp;AGENTES!H689&amp;"','yyyymmdd'),'"&amp;AGENTES!I689&amp;"');")</f>
        <v>INSERT INTO INYCEXT.INYC_CONF_INF_AGENTES (COD_INFORME,BO_GROUP,COMPANIA,ID_TIPO_AGENTE,TABLA,F_INICIO,F_FIN,DESCRIPCION) VALUES (114,'INYC Compensation Reports User Group - PRIN','01','70','INYC_PERC_INSPECTORES,INYC_PROD_INSPECTORES',TO_DATE('20170101','yyyymmdd'),TO_DATE('22000101','yyyymmdd'),'Version 20180118');</v>
      </c>
    </row>
    <row r="689" spans="1:1" x14ac:dyDescent="0.25">
      <c r="A689" t="str">
        <f>IF(AGENTES!I690="OBSOLETO","","INSERT INTO INYCEXT.INYC_CONF_INF_AGENTES (COD_INFORME,BO_GROUP,COMPANIA,ID_TIPO_AGENTE,TABLA,F_INICIO,F_FIN,DESCRIPCION) VALUES ("&amp;AGENTES!B690&amp;",'"&amp;AGENTES!C690&amp;"','"&amp;AGENTES!D690&amp;"','"&amp;AGENTES!E690&amp;"','"&amp;AGENTES!F690&amp;"',TO_DATE('"&amp;AGENTES!G690&amp;"','yyyymmdd'),TO_DATE('"&amp;AGENTES!H690&amp;"','yyyymmdd'),'"&amp;AGENTES!I690&amp;"');")</f>
        <v>INSERT INTO INYCEXT.INYC_CONF_INF_AGENTES (COD_INFORME,BO_GROUP,COMPANIA,ID_TIPO_AGENTE,TABLA,F_INICIO,F_FIN,DESCRIPCION) VALUES (114,'INYC Compensation Reports User Group - PRIN','01','71','INYC_PERC_INSPECTORES,INYC_PROD_INSPECTORES',TO_DATE('20170101','yyyymmdd'),TO_DATE('22000101','yyyymmdd'),'Version 20180118');</v>
      </c>
    </row>
    <row r="690" spans="1:1" x14ac:dyDescent="0.25">
      <c r="A690" t="str">
        <f>IF(AGENTES!I691="OBSOLETO","","INSERT INTO INYCEXT.INYC_CONF_INF_AGENTES (COD_INFORME,BO_GROUP,COMPANIA,ID_TIPO_AGENTE,TABLA,F_INICIO,F_FIN,DESCRIPCION) VALUES ("&amp;AGENTES!B691&amp;",'"&amp;AGENTES!C691&amp;"','"&amp;AGENTES!D691&amp;"','"&amp;AGENTES!E691&amp;"','"&amp;AGENTES!F691&amp;"',TO_DATE('"&amp;AGENTES!G691&amp;"','yyyymmdd'),TO_DATE('"&amp;AGENTES!H691&amp;"','yyyymmdd'),'"&amp;AGENTES!I691&amp;"');")</f>
        <v>INSERT INTO INYCEXT.INYC_CONF_INF_AGENTES (COD_INFORME,BO_GROUP,COMPANIA,ID_TIPO_AGENTE,TABLA,F_INICIO,F_FIN,DESCRIPCION) VALUES (114,'INYC Compensation Reports User Group - PRIN','01','72','INYC_PERC_INSPECTORES,INYC_PROD_INSPECTORES',TO_DATE('20170101','yyyymmdd'),TO_DATE('22000101','yyyymmdd'),'Version 20180118');</v>
      </c>
    </row>
    <row r="691" spans="1:1" x14ac:dyDescent="0.25">
      <c r="A691" t="str">
        <f>IF(AGENTES!I692="OBSOLETO","","INSERT INTO INYCEXT.INYC_CONF_INF_AGENTES (COD_INFORME,BO_GROUP,COMPANIA,ID_TIPO_AGENTE,TABLA,F_INICIO,F_FIN,DESCRIPCION) VALUES ("&amp;AGENTES!B692&amp;",'"&amp;AGENTES!C692&amp;"','"&amp;AGENTES!D692&amp;"','"&amp;AGENTES!E692&amp;"','"&amp;AGENTES!F692&amp;"',TO_DATE('"&amp;AGENTES!G692&amp;"','yyyymmdd'),TO_DATE('"&amp;AGENTES!H692&amp;"','yyyymmdd'),'"&amp;AGENTES!I692&amp;"');")</f>
        <v>INSERT INTO INYCEXT.INYC_CONF_INF_AGENTES (COD_INFORME,BO_GROUP,COMPANIA,ID_TIPO_AGENTE,TABLA,F_INICIO,F_FIN,DESCRIPCION) VALUES (114,'INYC Compensation Reports User Group - PRIN','01','74','INYC_PERC_INSPECTORES,INYC_PROD_INSPECTORES',TO_DATE('20170101','yyyymmdd'),TO_DATE('22000101','yyyymmdd'),'Version 20180118');</v>
      </c>
    </row>
    <row r="692" spans="1:1" x14ac:dyDescent="0.25">
      <c r="A692" t="str">
        <f>IF(AGENTES!I693="OBSOLETO","","INSERT INTO INYCEXT.INYC_CONF_INF_AGENTES (COD_INFORME,BO_GROUP,COMPANIA,ID_TIPO_AGENTE,TABLA,F_INICIO,F_FIN,DESCRIPCION) VALUES ("&amp;AGENTES!B693&amp;",'"&amp;AGENTES!C693&amp;"','"&amp;AGENTES!D693&amp;"','"&amp;AGENTES!E693&amp;"','"&amp;AGENTES!F693&amp;"',TO_DATE('"&amp;AGENTES!G693&amp;"','yyyymmdd'),TO_DATE('"&amp;AGENTES!H693&amp;"','yyyymmdd'),'"&amp;AGENTES!I693&amp;"');")</f>
        <v>INSERT INTO INYCEXT.INYC_CONF_INF_AGENTES (COD_INFORME,BO_GROUP,COMPANIA,ID_TIPO_AGENTE,TABLA,F_INICIO,F_FIN,DESCRIPCION) VALUES (114,'INYC Compensation Reports User Group - PRIN','01','82','INYC_PERC_INSPECTORES,INYC_PROD_INSPECTORES',TO_DATE('20170101','yyyymmdd'),TO_DATE('22000101','yyyymmdd'),'Version 20180118');</v>
      </c>
    </row>
    <row r="693" spans="1:1" x14ac:dyDescent="0.25">
      <c r="A693" t="str">
        <f>IF(AGENTES!I694="OBSOLETO","","INSERT INTO INYCEXT.INYC_CONF_INF_AGENTES (COD_INFORME,BO_GROUP,COMPANIA,ID_TIPO_AGENTE,TABLA,F_INICIO,F_FIN,DESCRIPCION) VALUES ("&amp;AGENTES!B694&amp;",'"&amp;AGENTES!C694&amp;"','"&amp;AGENTES!D694&amp;"','"&amp;AGENTES!E694&amp;"','"&amp;AGENTES!F694&amp;"',TO_DATE('"&amp;AGENTES!G694&amp;"','yyyymmdd'),TO_DATE('"&amp;AGENTES!H694&amp;"','yyyymmdd'),'"&amp;AGENTES!I694&amp;"');")</f>
        <v>INSERT INTO INYCEXT.INYC_CONF_INF_AGENTES (COD_INFORME,BO_GROUP,COMPANIA,ID_TIPO_AGENTE,TABLA,F_INICIO,F_FIN,DESCRIPCION) VALUES (116,'INYC Compensation Reports User Group - INSP_ACTIVOS','01','52','INYC_INSP_ACTIVOS',TO_DATE('20170101','yyyymmdd'),TO_DATE('22000101','yyyymmdd'),'Version 20170316');</v>
      </c>
    </row>
    <row r="694" spans="1:1" x14ac:dyDescent="0.25">
      <c r="A694" t="str">
        <f>IF(AGENTES!I695="OBSOLETO","","INSERT INTO INYCEXT.INYC_CONF_INF_AGENTES (COD_INFORME,BO_GROUP,COMPANIA,ID_TIPO_AGENTE,TABLA,F_INICIO,F_FIN,DESCRIPCION) VALUES ("&amp;AGENTES!B695&amp;",'"&amp;AGENTES!C695&amp;"','"&amp;AGENTES!D695&amp;"','"&amp;AGENTES!E695&amp;"','"&amp;AGENTES!F695&amp;"',TO_DATE('"&amp;AGENTES!G695&amp;"','yyyymmdd'),TO_DATE('"&amp;AGENTES!H695&amp;"','yyyymmdd'),'"&amp;AGENTES!I695&amp;"');")</f>
        <v>INSERT INTO INYCEXT.INYC_CONF_INF_AGENTES (COD_INFORME,BO_GROUP,COMPANIA,ID_TIPO_AGENTE,TABLA,F_INICIO,F_FIN,DESCRIPCION) VALUES (116,'INYC Compensation Reports User Group - INSP_ACTIVOS','01','54','INYC_INSP_ACTIVOS',TO_DATE('20170101','yyyymmdd'),TO_DATE('22000101','yyyymmdd'),'Version 20170316');</v>
      </c>
    </row>
    <row r="695" spans="1:1" x14ac:dyDescent="0.25">
      <c r="A695" t="str">
        <f>IF(AGENTES!I696="OBSOLETO","","INSERT INTO INYCEXT.INYC_CONF_INF_AGENTES (COD_INFORME,BO_GROUP,COMPANIA,ID_TIPO_AGENTE,TABLA,F_INICIO,F_FIN,DESCRIPCION) VALUES ("&amp;AGENTES!B696&amp;",'"&amp;AGENTES!C696&amp;"','"&amp;AGENTES!D696&amp;"','"&amp;AGENTES!E696&amp;"','"&amp;AGENTES!F696&amp;"',TO_DATE('"&amp;AGENTES!G696&amp;"','yyyymmdd'),TO_DATE('"&amp;AGENTES!H696&amp;"','yyyymmdd'),'"&amp;AGENTES!I696&amp;"');")</f>
        <v>INSERT INTO INYCEXT.INYC_CONF_INF_AGENTES (COD_INFORME,BO_GROUP,COMPANIA,ID_TIPO_AGENTE,TABLA,F_INICIO,F_FIN,DESCRIPCION) VALUES (116,'INYC Compensation Reports User Group - INSP_ACTIVOS','01','56','INYC_INSP_ACTIVOS',TO_DATE('20170101','yyyymmdd'),TO_DATE('22000101','yyyymmdd'),'Version 20170316');</v>
      </c>
    </row>
    <row r="696" spans="1:1" x14ac:dyDescent="0.25">
      <c r="A696" t="str">
        <f>IF(AGENTES!I697="OBSOLETO","","INSERT INTO INYCEXT.INYC_CONF_INF_AGENTES (COD_INFORME,BO_GROUP,COMPANIA,ID_TIPO_AGENTE,TABLA,F_INICIO,F_FIN,DESCRIPCION) VALUES ("&amp;AGENTES!B697&amp;",'"&amp;AGENTES!C697&amp;"','"&amp;AGENTES!D697&amp;"','"&amp;AGENTES!E697&amp;"','"&amp;AGENTES!F697&amp;"',TO_DATE('"&amp;AGENTES!G697&amp;"','yyyymmdd'),TO_DATE('"&amp;AGENTES!H697&amp;"','yyyymmdd'),'"&amp;AGENTES!I697&amp;"');")</f>
        <v>INSERT INTO INYCEXT.INYC_CONF_INF_AGENTES (COD_INFORME,BO_GROUP,COMPANIA,ID_TIPO_AGENTE,TABLA,F_INICIO,F_FIN,DESCRIPCION) VALUES (116,'INYC Compensation Reports User Group - INSP_ACTIVOS','01','57','INYC_INSP_ACTIVOS',TO_DATE('20170101','yyyymmdd'),TO_DATE('22000101','yyyymmdd'),'Version 20170316');</v>
      </c>
    </row>
    <row r="697" spans="1:1" x14ac:dyDescent="0.25">
      <c r="A697" t="str">
        <f>IF(AGENTES!I698="OBSOLETO","","INSERT INTO INYCEXT.INYC_CONF_INF_AGENTES (COD_INFORME,BO_GROUP,COMPANIA,ID_TIPO_AGENTE,TABLA,F_INICIO,F_FIN,DESCRIPCION) VALUES ("&amp;AGENTES!B698&amp;",'"&amp;AGENTES!C698&amp;"','"&amp;AGENTES!D698&amp;"','"&amp;AGENTES!E698&amp;"','"&amp;AGENTES!F698&amp;"',TO_DATE('"&amp;AGENTES!G698&amp;"','yyyymmdd'),TO_DATE('"&amp;AGENTES!H698&amp;"','yyyymmdd'),'"&amp;AGENTES!I698&amp;"');")</f>
        <v>INSERT INTO INYCEXT.INYC_CONF_INF_AGENTES (COD_INFORME,BO_GROUP,COMPANIA,ID_TIPO_AGENTE,TABLA,F_INICIO,F_FIN,DESCRIPCION) VALUES (116,'INYC Compensation Reports User Group - INSP_ACTIVOS','01','58','INYC_INSP_ACTIVOS',TO_DATE('20170101','yyyymmdd'),TO_DATE('22000101','yyyymmdd'),'Version 20170316');</v>
      </c>
    </row>
    <row r="698" spans="1:1" x14ac:dyDescent="0.25">
      <c r="A698" t="str">
        <f>IF(AGENTES!I699="OBSOLETO","","INSERT INTO INYCEXT.INYC_CONF_INF_AGENTES (COD_INFORME,BO_GROUP,COMPANIA,ID_TIPO_AGENTE,TABLA,F_INICIO,F_FIN,DESCRIPCION) VALUES ("&amp;AGENTES!B699&amp;",'"&amp;AGENTES!C699&amp;"','"&amp;AGENTES!D699&amp;"','"&amp;AGENTES!E699&amp;"','"&amp;AGENTES!F699&amp;"',TO_DATE('"&amp;AGENTES!G699&amp;"','yyyymmdd'),TO_DATE('"&amp;AGENTES!H699&amp;"','yyyymmdd'),'"&amp;AGENTES!I699&amp;"');")</f>
        <v>INSERT INTO INYCEXT.INYC_CONF_INF_AGENTES (COD_INFORME,BO_GROUP,COMPANIA,ID_TIPO_AGENTE,TABLA,F_INICIO,F_FIN,DESCRIPCION) VALUES (116,'INYC Compensation Reports User Group - INSP_ACTIVOS','01','59','INYC_INSP_ACTIVOS',TO_DATE('20170101','yyyymmdd'),TO_DATE('22000101','yyyymmdd'),'Version 20170316');</v>
      </c>
    </row>
    <row r="699" spans="1:1" x14ac:dyDescent="0.25">
      <c r="A699" t="str">
        <f>IF(AGENTES!I700="OBSOLETO","","INSERT INTO INYCEXT.INYC_CONF_INF_AGENTES (COD_INFORME,BO_GROUP,COMPANIA,ID_TIPO_AGENTE,TABLA,F_INICIO,F_FIN,DESCRIPCION) VALUES ("&amp;AGENTES!B700&amp;",'"&amp;AGENTES!C700&amp;"','"&amp;AGENTES!D700&amp;"','"&amp;AGENTES!E700&amp;"','"&amp;AGENTES!F700&amp;"',TO_DATE('"&amp;AGENTES!G700&amp;"','yyyymmdd'),TO_DATE('"&amp;AGENTES!H700&amp;"','yyyymmdd'),'"&amp;AGENTES!I700&amp;"');")</f>
        <v>INSERT INTO INYCEXT.INYC_CONF_INF_AGENTES (COD_INFORME,BO_GROUP,COMPANIA,ID_TIPO_AGENTE,TABLA,F_INICIO,F_FIN,DESCRIPCION) VALUES (116,'INYC Compensation Reports User Group - INSP_ACTIVOS','01','60','INYC_INSP_ACTIVOS',TO_DATE('20200101','yyyymmdd'),TO_DATE('22000101','yyyymmdd'),'Version 20200526');</v>
      </c>
    </row>
    <row r="700" spans="1:1" x14ac:dyDescent="0.25">
      <c r="A700" t="str">
        <f>IF(AGENTES!I701="OBSOLETO","","INSERT INTO INYCEXT.INYC_CONF_INF_AGENTES (COD_INFORME,BO_GROUP,COMPANIA,ID_TIPO_AGENTE,TABLA,F_INICIO,F_FIN,DESCRIPCION) VALUES ("&amp;AGENTES!B701&amp;",'"&amp;AGENTES!C701&amp;"','"&amp;AGENTES!D701&amp;"','"&amp;AGENTES!E701&amp;"','"&amp;AGENTES!F701&amp;"',TO_DATE('"&amp;AGENTES!G701&amp;"','yyyymmdd'),TO_DATE('"&amp;AGENTES!H701&amp;"','yyyymmdd'),'"&amp;AGENTES!I701&amp;"');")</f>
        <v>INSERT INTO INYCEXT.INYC_CONF_INF_AGENTES (COD_INFORME,BO_GROUP,COMPANIA,ID_TIPO_AGENTE,TABLA,F_INICIO,F_FIN,DESCRIPCION) VALUES (116,'INYC Compensation Reports User Group - INSP_ACTIVOS','01','61','INYC_INSP_ACTIVOS',TO_DATE('20170101','yyyymmdd'),TO_DATE('22000101','yyyymmdd'),'Version 20170316');</v>
      </c>
    </row>
    <row r="701" spans="1:1" x14ac:dyDescent="0.25">
      <c r="A701" t="str">
        <f>IF(AGENTES!I702="OBSOLETO","","INSERT INTO INYCEXT.INYC_CONF_INF_AGENTES (COD_INFORME,BO_GROUP,COMPANIA,ID_TIPO_AGENTE,TABLA,F_INICIO,F_FIN,DESCRIPCION) VALUES ("&amp;AGENTES!B702&amp;",'"&amp;AGENTES!C702&amp;"','"&amp;AGENTES!D702&amp;"','"&amp;AGENTES!E702&amp;"','"&amp;AGENTES!F702&amp;"',TO_DATE('"&amp;AGENTES!G702&amp;"','yyyymmdd'),TO_DATE('"&amp;AGENTES!H702&amp;"','yyyymmdd'),'"&amp;AGENTES!I702&amp;"');")</f>
        <v>INSERT INTO INYCEXT.INYC_CONF_INF_AGENTES (COD_INFORME,BO_GROUP,COMPANIA,ID_TIPO_AGENTE,TABLA,F_INICIO,F_FIN,DESCRIPCION) VALUES (116,'INYC Compensation Reports User Group - INSP_ACTIVOS','01','62','INYC_INSP_ACTIVOS',TO_DATE('20170101','yyyymmdd'),TO_DATE('22000101','yyyymmdd'),'Version 20170316');</v>
      </c>
    </row>
    <row r="702" spans="1:1" x14ac:dyDescent="0.25">
      <c r="A702" t="str">
        <f>IF(AGENTES!I703="OBSOLETO","","INSERT INTO INYCEXT.INYC_CONF_INF_AGENTES (COD_INFORME,BO_GROUP,COMPANIA,ID_TIPO_AGENTE,TABLA,F_INICIO,F_FIN,DESCRIPCION) VALUES ("&amp;AGENTES!B703&amp;",'"&amp;AGENTES!C703&amp;"','"&amp;AGENTES!D703&amp;"','"&amp;AGENTES!E703&amp;"','"&amp;AGENTES!F703&amp;"',TO_DATE('"&amp;AGENTES!G703&amp;"','yyyymmdd'),TO_DATE('"&amp;AGENTES!H703&amp;"','yyyymmdd'),'"&amp;AGENTES!I703&amp;"');")</f>
        <v>INSERT INTO INYCEXT.INYC_CONF_INF_AGENTES (COD_INFORME,BO_GROUP,COMPANIA,ID_TIPO_AGENTE,TABLA,F_INICIO,F_FIN,DESCRIPCION) VALUES (116,'INYC Compensation Reports User Group - INSP_ACTIVOS','01','65','INYC_INSP_ACTIVOS',TO_DATE('20170101','yyyymmdd'),TO_DATE('22000101','yyyymmdd'),'Version 20170316');</v>
      </c>
    </row>
    <row r="703" spans="1:1" x14ac:dyDescent="0.25">
      <c r="A703" t="str">
        <f>IF(AGENTES!I704="OBSOLETO","","INSERT INTO INYCEXT.INYC_CONF_INF_AGENTES (COD_INFORME,BO_GROUP,COMPANIA,ID_TIPO_AGENTE,TABLA,F_INICIO,F_FIN,DESCRIPCION) VALUES ("&amp;AGENTES!B704&amp;",'"&amp;AGENTES!C704&amp;"','"&amp;AGENTES!D704&amp;"','"&amp;AGENTES!E704&amp;"','"&amp;AGENTES!F704&amp;"',TO_DATE('"&amp;AGENTES!G704&amp;"','yyyymmdd'),TO_DATE('"&amp;AGENTES!H704&amp;"','yyyymmdd'),'"&amp;AGENTES!I704&amp;"');")</f>
        <v>INSERT INTO INYCEXT.INYC_CONF_INF_AGENTES (COD_INFORME,BO_GROUP,COMPANIA,ID_TIPO_AGENTE,TABLA,F_INICIO,F_FIN,DESCRIPCION) VALUES (116,'INYC Compensation Reports User Group - INSP_ACTIVOS','01','70','INYC_INSP_ACTIVOS',TO_DATE('20170101','yyyymmdd'),TO_DATE('22000101','yyyymmdd'),'Version 20170316');</v>
      </c>
    </row>
    <row r="704" spans="1:1" x14ac:dyDescent="0.25">
      <c r="A704" t="str">
        <f>IF(AGENTES!I705="OBSOLETO","","INSERT INTO INYCEXT.INYC_CONF_INF_AGENTES (COD_INFORME,BO_GROUP,COMPANIA,ID_TIPO_AGENTE,TABLA,F_INICIO,F_FIN,DESCRIPCION) VALUES ("&amp;AGENTES!B705&amp;",'"&amp;AGENTES!C705&amp;"','"&amp;AGENTES!D705&amp;"','"&amp;AGENTES!E705&amp;"','"&amp;AGENTES!F705&amp;"',TO_DATE('"&amp;AGENTES!G705&amp;"','yyyymmdd'),TO_DATE('"&amp;AGENTES!H705&amp;"','yyyymmdd'),'"&amp;AGENTES!I705&amp;"');")</f>
        <v>INSERT INTO INYCEXT.INYC_CONF_INF_AGENTES (COD_INFORME,BO_GROUP,COMPANIA,ID_TIPO_AGENTE,TABLA,F_INICIO,F_FIN,DESCRIPCION) VALUES (116,'INYC Compensation Reports User Group - INSP_ACTIVOS','01','71','INYC_INSP_ACTIVOS',TO_DATE('20170101','yyyymmdd'),TO_DATE('22000101','yyyymmdd'),'Version 20170316');</v>
      </c>
    </row>
    <row r="705" spans="1:1" x14ac:dyDescent="0.25">
      <c r="A705" t="str">
        <f>IF(AGENTES!I706="OBSOLETO","","INSERT INTO INYCEXT.INYC_CONF_INF_AGENTES (COD_INFORME,BO_GROUP,COMPANIA,ID_TIPO_AGENTE,TABLA,F_INICIO,F_FIN,DESCRIPCION) VALUES ("&amp;AGENTES!B706&amp;",'"&amp;AGENTES!C706&amp;"','"&amp;AGENTES!D706&amp;"','"&amp;AGENTES!E706&amp;"','"&amp;AGENTES!F706&amp;"',TO_DATE('"&amp;AGENTES!G706&amp;"','yyyymmdd'),TO_DATE('"&amp;AGENTES!H706&amp;"','yyyymmdd'),'"&amp;AGENTES!I706&amp;"');")</f>
        <v>INSERT INTO INYCEXT.INYC_CONF_INF_AGENTES (COD_INFORME,BO_GROUP,COMPANIA,ID_TIPO_AGENTE,TABLA,F_INICIO,F_FIN,DESCRIPCION) VALUES (116,'INYC Compensation Reports User Group - INSP_ACTIVOS','01','72','INYC_INSP_ACTIVOS',TO_DATE('20170101','yyyymmdd'),TO_DATE('22000101','yyyymmdd'),'Version 20170316');</v>
      </c>
    </row>
    <row r="706" spans="1:1" x14ac:dyDescent="0.25">
      <c r="A706" t="str">
        <f>IF(AGENTES!I707="OBSOLETO","","INSERT INTO INYCEXT.INYC_CONF_INF_AGENTES (COD_INFORME,BO_GROUP,COMPANIA,ID_TIPO_AGENTE,TABLA,F_INICIO,F_FIN,DESCRIPCION) VALUES ("&amp;AGENTES!B707&amp;",'"&amp;AGENTES!C707&amp;"','"&amp;AGENTES!D707&amp;"','"&amp;AGENTES!E707&amp;"','"&amp;AGENTES!F707&amp;"',TO_DATE('"&amp;AGENTES!G707&amp;"','yyyymmdd'),TO_DATE('"&amp;AGENTES!H707&amp;"','yyyymmdd'),'"&amp;AGENTES!I707&amp;"');")</f>
        <v>INSERT INTO INYCEXT.INYC_CONF_INF_AGENTES (COD_INFORME,BO_GROUP,COMPANIA,ID_TIPO_AGENTE,TABLA,F_INICIO,F_FIN,DESCRIPCION) VALUES (116,'INYC Compensation Reports User Group - INSP_ACTIVOS','01','74','INYC_INSP_ACTIVOS',TO_DATE('20170101','yyyymmdd'),TO_DATE('22000101','yyyymmdd'),'Version 20170316');</v>
      </c>
    </row>
    <row r="707" spans="1:1" x14ac:dyDescent="0.25">
      <c r="A707" t="str">
        <f>IF(AGENTES!I708="OBSOLETO","","INSERT INTO INYCEXT.INYC_CONF_INF_AGENTES (COD_INFORME,BO_GROUP,COMPANIA,ID_TIPO_AGENTE,TABLA,F_INICIO,F_FIN,DESCRIPCION) VALUES ("&amp;AGENTES!B708&amp;",'"&amp;AGENTES!C708&amp;"','"&amp;AGENTES!D708&amp;"','"&amp;AGENTES!E708&amp;"','"&amp;AGENTES!F708&amp;"',TO_DATE('"&amp;AGENTES!G708&amp;"','yyyymmdd'),TO_DATE('"&amp;AGENTES!H708&amp;"','yyyymmdd'),'"&amp;AGENTES!I708&amp;"');")</f>
        <v>INSERT INTO INYCEXT.INYC_CONF_INF_AGENTES (COD_INFORME,BO_GROUP,COMPANIA,ID_TIPO_AGENTE,TABLA,F_INICIO,F_FIN,DESCRIPCION) VALUES (116,'INYC Compensation Reports User Group - INSP_ACTIVOS','01','82','INYC_INSP_ACTIVOS',TO_DATE('20170101','yyyymmdd'),TO_DATE('22000101','yyyymmdd'),'Version 20170316');</v>
      </c>
    </row>
    <row r="708" spans="1:1" x14ac:dyDescent="0.25">
      <c r="A708" t="str">
        <f>IF(AGENTES!I709="OBSOLETO","","INSERT INTO INYCEXT.INYC_CONF_INF_AGENTES (COD_INFORME,BO_GROUP,COMPANIA,ID_TIPO_AGENTE,TABLA,F_INICIO,F_FIN,DESCRIPCION) VALUES ("&amp;AGENTES!B709&amp;",'"&amp;AGENTES!C709&amp;"','"&amp;AGENTES!D709&amp;"','"&amp;AGENTES!E709&amp;"','"&amp;AGENTES!F709&amp;"',TO_DATE('"&amp;AGENTES!G709&amp;"','yyyymmdd'),TO_DATE('"&amp;AGENTES!H709&amp;"','yyyymmdd'),'"&amp;AGENTES!I709&amp;"');")</f>
        <v>INSERT INTO INYCEXT.INYC_CONF_INF_AGENTES (COD_INFORME,BO_GROUP,COMPANIA,ID_TIPO_AGENTE,TABLA,F_INICIO,F_FIN,DESCRIPCION) VALUES (302,'INYC Compensation Reports User Group - PRAG_E','03','301','INYC_PROD_E_AGENTES',TO_DATE('20180101','yyyymmdd'),TO_DATE('22000101','yyyymmdd'),'Version 20180229');</v>
      </c>
    </row>
    <row r="709" spans="1:1" x14ac:dyDescent="0.25">
      <c r="A709" t="str">
        <f>IF(AGENTES!I710="OBSOLETO","","INSERT INTO INYCEXT.INYC_CONF_INF_AGENTES (COD_INFORME,BO_GROUP,COMPANIA,ID_TIPO_AGENTE,TABLA,F_INICIO,F_FIN,DESCRIPCION) VALUES ("&amp;AGENTES!B710&amp;",'"&amp;AGENTES!C710&amp;"','"&amp;AGENTES!D710&amp;"','"&amp;AGENTES!E710&amp;"','"&amp;AGENTES!F710&amp;"',TO_DATE('"&amp;AGENTES!G710&amp;"','yyyymmdd'),TO_DATE('"&amp;AGENTES!H710&amp;"','yyyymmdd'),'"&amp;AGENTES!I710&amp;"');")</f>
        <v>INSERT INTO INYCEXT.INYC_CONF_INF_AGENTES (COD_INFORME,BO_GROUP,COMPANIA,ID_TIPO_AGENTE,TABLA,F_INICIO,F_FIN,DESCRIPCION) VALUES (302,'INYC Compensation Reports User Group - PRAG_E','03','302','INYC_PROD_E_AGENTES',TO_DATE('20180101','yyyymmdd'),TO_DATE('22000101','yyyymmdd'),'Version 20180229');</v>
      </c>
    </row>
    <row r="710" spans="1:1" x14ac:dyDescent="0.25">
      <c r="A710" t="str">
        <f>IF(AGENTES!I711="OBSOLETO","","INSERT INTO INYCEXT.INYC_CONF_INF_AGENTES (COD_INFORME,BO_GROUP,COMPANIA,ID_TIPO_AGENTE,TABLA,F_INICIO,F_FIN,DESCRIPCION) VALUES ("&amp;AGENTES!B711&amp;",'"&amp;AGENTES!C711&amp;"','"&amp;AGENTES!D711&amp;"','"&amp;AGENTES!E711&amp;"','"&amp;AGENTES!F711&amp;"',TO_DATE('"&amp;AGENTES!G711&amp;"','yyyymmdd'),TO_DATE('"&amp;AGENTES!H711&amp;"','yyyymmdd'),'"&amp;AGENTES!I711&amp;"');")</f>
        <v>INSERT INTO INYCEXT.INYC_CONF_INF_AGENTES (COD_INFORME,BO_GROUP,COMPANIA,ID_TIPO_AGENTE,TABLA,F_INICIO,F_FIN,DESCRIPCION) VALUES (302,'INYC Compensation Reports User Group - PRAG_E','03','303','INYC_PROD_E_AGENTES',TO_DATE('20180101','yyyymmdd'),TO_DATE('22000101','yyyymmdd'),'Version 20180229');</v>
      </c>
    </row>
    <row r="711" spans="1:1" x14ac:dyDescent="0.25">
      <c r="A711" t="str">
        <f>IF(AGENTES!I712="OBSOLETO","","INSERT INTO INYCEXT.INYC_CONF_INF_AGENTES (COD_INFORME,BO_GROUP,COMPANIA,ID_TIPO_AGENTE,TABLA,F_INICIO,F_FIN,DESCRIPCION) VALUES ("&amp;AGENTES!B712&amp;",'"&amp;AGENTES!C712&amp;"','"&amp;AGENTES!D712&amp;"','"&amp;AGENTES!E712&amp;"','"&amp;AGENTES!F712&amp;"',TO_DATE('"&amp;AGENTES!G712&amp;"','yyyymmdd'),TO_DATE('"&amp;AGENTES!H712&amp;"','yyyymmdd'),'"&amp;AGENTES!I712&amp;"');")</f>
        <v>INSERT INTO INYCEXT.INYC_CONF_INF_AGENTES (COD_INFORME,BO_GROUP,COMPANIA,ID_TIPO_AGENTE,TABLA,F_INICIO,F_FIN,DESCRIPCION) VALUES (302,'INYC Compensation Reports User Group - PRAG_E','03','316','INYC_PROD_E_AGENTES',TO_DATE('20180101','yyyymmdd'),TO_DATE('22000101','yyyymmdd'),'Version 20180229');</v>
      </c>
    </row>
    <row r="712" spans="1:1" x14ac:dyDescent="0.25">
      <c r="A712" t="str">
        <f>IF(AGENTES!I713="OBSOLETO","","INSERT INTO INYCEXT.INYC_CONF_INF_AGENTES (COD_INFORME,BO_GROUP,COMPANIA,ID_TIPO_AGENTE,TABLA,F_INICIO,F_FIN,DESCRIPCION) VALUES ("&amp;AGENTES!B713&amp;",'"&amp;AGENTES!C713&amp;"','"&amp;AGENTES!D713&amp;"','"&amp;AGENTES!E713&amp;"','"&amp;AGENTES!F713&amp;"',TO_DATE('"&amp;AGENTES!G713&amp;"','yyyymmdd'),TO_DATE('"&amp;AGENTES!H713&amp;"','yyyymmdd'),'"&amp;AGENTES!I713&amp;"');")</f>
        <v>INSERT INTO INYCEXT.INYC_CONF_INF_AGENTES (COD_INFORME,BO_GROUP,COMPANIA,ID_TIPO_AGENTE,TABLA,F_INICIO,F_FIN,DESCRIPCION) VALUES (302,'INYC Compensation Reports User Group - PRAG_E','03','317','INYC_PROD_E_AGENTES',TO_DATE('20190201','yyyymmdd'),TO_DATE('22000101','yyyymmdd'),'Version 20190214');</v>
      </c>
    </row>
    <row r="713" spans="1:1" x14ac:dyDescent="0.25">
      <c r="A713" t="str">
        <f>IF(AGENTES!I714="OBSOLETO","","INSERT INTO INYCEXT.INYC_CONF_INF_AGENTES (COD_INFORME,BO_GROUP,COMPANIA,ID_TIPO_AGENTE,TABLA,F_INICIO,F_FIN,DESCRIPCION) VALUES ("&amp;AGENTES!B714&amp;",'"&amp;AGENTES!C714&amp;"','"&amp;AGENTES!D714&amp;"','"&amp;AGENTES!E714&amp;"','"&amp;AGENTES!F714&amp;"',TO_DATE('"&amp;AGENTES!G714&amp;"','yyyymmdd'),TO_DATE('"&amp;AGENTES!H714&amp;"','yyyymmdd'),'"&amp;AGENTES!I714&amp;"');")</f>
        <v>INSERT INTO INYCEXT.INYC_CONF_INF_AGENTES (COD_INFORME,BO_GROUP,COMPANIA,ID_TIPO_AGENTE,TABLA,F_INICIO,F_FIN,DESCRIPCION) VALUES (302,'INYC Compensation Reports User Group - PRAG_E','03','331','INYC_PROD_E_AGENTES',TO_DATE('20180101','yyyymmdd'),TO_DATE('22000101','yyyymmdd'),'Version 20180229');</v>
      </c>
    </row>
    <row r="714" spans="1:1" x14ac:dyDescent="0.25">
      <c r="A714" t="str">
        <f>IF(AGENTES!I715="OBSOLETO","","INSERT INTO INYCEXT.INYC_CONF_INF_AGENTES (COD_INFORME,BO_GROUP,COMPANIA,ID_TIPO_AGENTE,TABLA,F_INICIO,F_FIN,DESCRIPCION) VALUES ("&amp;AGENTES!B715&amp;",'"&amp;AGENTES!C715&amp;"','"&amp;AGENTES!D715&amp;"','"&amp;AGENTES!E715&amp;"','"&amp;AGENTES!F715&amp;"',TO_DATE('"&amp;AGENTES!G715&amp;"','yyyymmdd'),TO_DATE('"&amp;AGENTES!H715&amp;"','yyyymmdd'),'"&amp;AGENTES!I715&amp;"');")</f>
        <v>INSERT INTO INYCEXT.INYC_CONF_INF_AGENTES (COD_INFORME,BO_GROUP,COMPANIA,ID_TIPO_AGENTE,TABLA,F_INICIO,F_FIN,DESCRIPCION) VALUES (302,'INYC Compensation Reports User Group - PRAG_E','03','332','INYC_PROD_E_AGENTES',TO_DATE('20190101','yyyymmdd'),TO_DATE('22000101','yyyymmdd'),'Version 20190116');</v>
      </c>
    </row>
    <row r="715" spans="1:1" x14ac:dyDescent="0.25">
      <c r="A715" t="str">
        <f>IF(AGENTES!I716="OBSOLETO","","INSERT INTO INYCEXT.INYC_CONF_INF_AGENTES (COD_INFORME,BO_GROUP,COMPANIA,ID_TIPO_AGENTE,TABLA,F_INICIO,F_FIN,DESCRIPCION) VALUES ("&amp;AGENTES!B716&amp;",'"&amp;AGENTES!C716&amp;"','"&amp;AGENTES!D716&amp;"','"&amp;AGENTES!E716&amp;"','"&amp;AGENTES!F716&amp;"',TO_DATE('"&amp;AGENTES!G716&amp;"','yyyymmdd'),TO_DATE('"&amp;AGENTES!H716&amp;"','yyyymmdd'),'"&amp;AGENTES!I716&amp;"');")</f>
        <v>INSERT INTO INYCEXT.INYC_CONF_INF_AGENTES (COD_INFORME,BO_GROUP,COMPANIA,ID_TIPO_AGENTE,TABLA,F_INICIO,F_FIN,DESCRIPCION) VALUES (302,'INYC Compensation Reports User Group - PRAG_E','03','333','INYC_PROD_E_AGENTES',TO_DATE('20190101','yyyymmdd'),TO_DATE('22000101','yyyymmdd'),'Version 20190116');</v>
      </c>
    </row>
    <row r="716" spans="1:1" x14ac:dyDescent="0.25">
      <c r="A716" t="str">
        <f>IF(AGENTES!I717="OBSOLETO","","INSERT INTO INYCEXT.INYC_CONF_INF_AGENTES (COD_INFORME,BO_GROUP,COMPANIA,ID_TIPO_AGENTE,TABLA,F_INICIO,F_FIN,DESCRIPCION) VALUES ("&amp;AGENTES!B717&amp;",'"&amp;AGENTES!C717&amp;"','"&amp;AGENTES!D717&amp;"','"&amp;AGENTES!E717&amp;"','"&amp;AGENTES!F717&amp;"',TO_DATE('"&amp;AGENTES!G717&amp;"','yyyymmdd'),TO_DATE('"&amp;AGENTES!H717&amp;"','yyyymmdd'),'"&amp;AGENTES!I717&amp;"');")</f>
        <v>INSERT INTO INYCEXT.INYC_CONF_INF_AGENTES (COD_INFORME,BO_GROUP,COMPANIA,ID_TIPO_AGENTE,TABLA,F_INICIO,F_FIN,DESCRIPCION) VALUES (302,'INYC Compensation Reports User Group - PRAG_E','03','335','INYC_PROD_E_AGENTES',TO_DATE('20180101','yyyymmdd'),TO_DATE('22000101','yyyymmdd'),'Version 20180229');</v>
      </c>
    </row>
    <row r="717" spans="1:1" x14ac:dyDescent="0.25">
      <c r="A717" t="str">
        <f>IF(AGENTES!I718="OBSOLETO","","INSERT INTO INYCEXT.INYC_CONF_INF_AGENTES (COD_INFORME,BO_GROUP,COMPANIA,ID_TIPO_AGENTE,TABLA,F_INICIO,F_FIN,DESCRIPCION) VALUES ("&amp;AGENTES!B718&amp;",'"&amp;AGENTES!C718&amp;"','"&amp;AGENTES!D718&amp;"','"&amp;AGENTES!E718&amp;"','"&amp;AGENTES!F718&amp;"',TO_DATE('"&amp;AGENTES!G718&amp;"','yyyymmdd'),TO_DATE('"&amp;AGENTES!H718&amp;"','yyyymmdd'),'"&amp;AGENTES!I718&amp;"');")</f>
        <v>INSERT INTO INYCEXT.INYC_CONF_INF_AGENTES (COD_INFORME,BO_GROUP,COMPANIA,ID_TIPO_AGENTE,TABLA,F_INICIO,F_FIN,DESCRIPCION) VALUES (302,'INYC Compensation Reports User Group - PRAG_E','03','338','INYC_PROD_E_AGENTES',TO_DATE('20180101','yyyymmdd'),TO_DATE('22000101','yyyymmdd'),'Version 20180229');</v>
      </c>
    </row>
    <row r="718" spans="1:1" x14ac:dyDescent="0.25">
      <c r="A718" t="str">
        <f>IF(AGENTES!I719="OBSOLETO","","INSERT INTO INYCEXT.INYC_CONF_INF_AGENTES (COD_INFORME,BO_GROUP,COMPANIA,ID_TIPO_AGENTE,TABLA,F_INICIO,F_FIN,DESCRIPCION) VALUES ("&amp;AGENTES!B719&amp;",'"&amp;AGENTES!C719&amp;"','"&amp;AGENTES!D719&amp;"','"&amp;AGENTES!E719&amp;"','"&amp;AGENTES!F719&amp;"',TO_DATE('"&amp;AGENTES!G719&amp;"','yyyymmdd'),TO_DATE('"&amp;AGENTES!H719&amp;"','yyyymmdd'),'"&amp;AGENTES!I719&amp;"');")</f>
        <v>INSERT INTO INYCEXT.INYC_CONF_INF_AGENTES (COD_INFORME,BO_GROUP,COMPANIA,ID_TIPO_AGENTE,TABLA,F_INICIO,F_FIN,DESCRIPCION) VALUES (302,'INYC Compensation Reports User Group - PRAG_E','03','340','INYC_PROD_E_AGENTES',TO_DATE('20180101','yyyymmdd'),TO_DATE('22000101','yyyymmdd'),'Version 20180229');</v>
      </c>
    </row>
    <row r="719" spans="1:1" x14ac:dyDescent="0.25">
      <c r="A719" t="str">
        <f>IF(AGENTES!I720="OBSOLETO","","INSERT INTO INYCEXT.INYC_CONF_INF_AGENTES (COD_INFORME,BO_GROUP,COMPANIA,ID_TIPO_AGENTE,TABLA,F_INICIO,F_FIN,DESCRIPCION) VALUES ("&amp;AGENTES!B720&amp;",'"&amp;AGENTES!C720&amp;"','"&amp;AGENTES!D720&amp;"','"&amp;AGENTES!E720&amp;"','"&amp;AGENTES!F720&amp;"',TO_DATE('"&amp;AGENTES!G720&amp;"','yyyymmdd'),TO_DATE('"&amp;AGENTES!H720&amp;"','yyyymmdd'),'"&amp;AGENTES!I720&amp;"');")</f>
        <v>INSERT INTO INYCEXT.INYC_CONF_INF_AGENTES (COD_INFORME,BO_GROUP,COMPANIA,ID_TIPO_AGENTE,TABLA,F_INICIO,F_FIN,DESCRIPCION) VALUES (302,'INYC Compensation Reports User Group - PRAG_E','03','341','INYC_PROD_E_AGENTES',TO_DATE('20200101','yyyymmdd'),TO_DATE('22000101','yyyymmdd'),'Version 20200506');</v>
      </c>
    </row>
    <row r="720" spans="1:1" x14ac:dyDescent="0.25">
      <c r="A720" t="str">
        <f>IF(AGENTES!I721="OBSOLETO","","INSERT INTO INYCEXT.INYC_CONF_INF_AGENTES (COD_INFORME,BO_GROUP,COMPANIA,ID_TIPO_AGENTE,TABLA,F_INICIO,F_FIN,DESCRIPCION) VALUES ("&amp;AGENTES!B721&amp;",'"&amp;AGENTES!C721&amp;"','"&amp;AGENTES!D721&amp;"','"&amp;AGENTES!E721&amp;"','"&amp;AGENTES!F721&amp;"',TO_DATE('"&amp;AGENTES!G721&amp;"','yyyymmdd'),TO_DATE('"&amp;AGENTES!H721&amp;"','yyyymmdd'),'"&amp;AGENTES!I721&amp;"');")</f>
        <v>INSERT INTO INYCEXT.INYC_CONF_INF_AGENTES (COD_INFORME,BO_GROUP,COMPANIA,ID_TIPO_AGENTE,TABLA,F_INICIO,F_FIN,DESCRIPCION) VALUES (302,'INYC Compensation Reports User Group - PRAG_E','03','350','INYC_PROD_E_AGENTES',TO_DATE('20180101','yyyymmdd'),TO_DATE('22000101','yyyymmdd'),'Version 20180229');</v>
      </c>
    </row>
    <row r="721" spans="1:1" x14ac:dyDescent="0.25">
      <c r="A721" t="str">
        <f>IF(AGENTES!I722="OBSOLETO","","INSERT INTO INYCEXT.INYC_CONF_INF_AGENTES (COD_INFORME,BO_GROUP,COMPANIA,ID_TIPO_AGENTE,TABLA,F_INICIO,F_FIN,DESCRIPCION) VALUES ("&amp;AGENTES!B722&amp;",'"&amp;AGENTES!C722&amp;"','"&amp;AGENTES!D722&amp;"','"&amp;AGENTES!E722&amp;"','"&amp;AGENTES!F722&amp;"',TO_DATE('"&amp;AGENTES!G722&amp;"','yyyymmdd'),TO_DATE('"&amp;AGENTES!H722&amp;"','yyyymmdd'),'"&amp;AGENTES!I722&amp;"');")</f>
        <v>INSERT INTO INYCEXT.INYC_CONF_INF_AGENTES (COD_INFORME,BO_GROUP,COMPANIA,ID_TIPO_AGENTE,TABLA,F_INICIO,F_FIN,DESCRIPCION) VALUES (302,'INYC Compensation Reports User Group - PRAG_E','03','351','INYC_PROD_E_AGENTES',TO_DATE('20180101','yyyymmdd'),TO_DATE('22000101','yyyymmdd'),'Version 20180229');</v>
      </c>
    </row>
    <row r="722" spans="1:1" x14ac:dyDescent="0.25">
      <c r="A722" t="str">
        <f>IF(AGENTES!I723="OBSOLETO","","INSERT INTO INYCEXT.INYC_CONF_INF_AGENTES (COD_INFORME,BO_GROUP,COMPANIA,ID_TIPO_AGENTE,TABLA,F_INICIO,F_FIN,DESCRIPCION) VALUES ("&amp;AGENTES!B723&amp;",'"&amp;AGENTES!C723&amp;"','"&amp;AGENTES!D723&amp;"','"&amp;AGENTES!E723&amp;"','"&amp;AGENTES!F723&amp;"',TO_DATE('"&amp;AGENTES!G723&amp;"','yyyymmdd'),TO_DATE('"&amp;AGENTES!H723&amp;"','yyyymmdd'),'"&amp;AGENTES!I723&amp;"');")</f>
        <v>INSERT INTO INYCEXT.INYC_CONF_INF_AGENTES (COD_INFORME,BO_GROUP,COMPANIA,ID_TIPO_AGENTE,TABLA,F_INICIO,F_FIN,DESCRIPCION) VALUES (302,'INYC Compensation Reports User Group - PRAG_E','03','352','INYC_PROD_E_AGENTES',TO_DATE('20180101','yyyymmdd'),TO_DATE('22000101','yyyymmdd'),'Version 20180229');</v>
      </c>
    </row>
    <row r="723" spans="1:1" x14ac:dyDescent="0.25">
      <c r="A723" t="str">
        <f>IF(AGENTES!I724="OBSOLETO","","INSERT INTO INYCEXT.INYC_CONF_INF_AGENTES (COD_INFORME,BO_GROUP,COMPANIA,ID_TIPO_AGENTE,TABLA,F_INICIO,F_FIN,DESCRIPCION) VALUES ("&amp;AGENTES!B724&amp;",'"&amp;AGENTES!C724&amp;"','"&amp;AGENTES!D724&amp;"','"&amp;AGENTES!E724&amp;"','"&amp;AGENTES!F724&amp;"',TO_DATE('"&amp;AGENTES!G724&amp;"','yyyymmdd'),TO_DATE('"&amp;AGENTES!H724&amp;"','yyyymmdd'),'"&amp;AGENTES!I724&amp;"');")</f>
        <v>INSERT INTO INYCEXT.INYC_CONF_INF_AGENTES (COD_INFORME,BO_GROUP,COMPANIA,ID_TIPO_AGENTE,TABLA,F_INICIO,F_FIN,DESCRIPCION) VALUES (128,'INYC Compensation Reports User Group - SAC','01','16','INYC_SAC_RESUMEN,INYC_SAC_DETALLE',TO_DATE('20210901','yyyymmdd'),TO_DATE('22000101','yyyymmdd'),'Version 202101006');</v>
      </c>
    </row>
    <row r="724" spans="1:1" x14ac:dyDescent="0.25">
      <c r="A724" t="str">
        <f>IF(AGENTES!I725="OBSOLETO","","INSERT INTO INYCEXT.INYC_CONF_INF_AGENTES (COD_INFORME,BO_GROUP,COMPANIA,ID_TIPO_AGENTE,TABLA,F_INICIO,F_FIN,DESCRIPCION) VALUES ("&amp;AGENTES!B725&amp;",'"&amp;AGENTES!C725&amp;"','"&amp;AGENTES!D725&amp;"','"&amp;AGENTES!E725&amp;"','"&amp;AGENTES!F725&amp;"',TO_DATE('"&amp;AGENTES!G725&amp;"','yyyymmdd'),TO_DATE('"&amp;AGENTES!H725&amp;"','yyyymmdd'),'"&amp;AGENTES!I725&amp;"');")</f>
        <v>INSERT INTO INYCEXT.INYC_CONF_INF_AGENTES (COD_INFORME,BO_GROUP,COMPANIA,ID_TIPO_AGENTE,TABLA,F_INICIO,F_FIN,DESCRIPCION) VALUES (128,'INYC Compensation Reports User Group - SAC','01','31','INYC_SAC_RESUMEN,INYC_SAC_DETALLE',TO_DATE('20210901','yyyymmdd'),TO_DATE('22000101','yyyymmdd'),'Version 202101006');</v>
      </c>
    </row>
    <row r="725" spans="1:1" x14ac:dyDescent="0.25">
      <c r="A725" t="str">
        <f>IF(AGENTES!I726="OBSOLETO","","INSERT INTO INYCEXT.INYC_CONF_INF_AGENTES (COD_INFORME,BO_GROUP,COMPANIA,ID_TIPO_AGENTE,TABLA,F_INICIO,F_FIN,DESCRIPCION) VALUES ("&amp;AGENTES!B726&amp;",'"&amp;AGENTES!C726&amp;"','"&amp;AGENTES!D726&amp;"','"&amp;AGENTES!E726&amp;"','"&amp;AGENTES!F726&amp;"',TO_DATE('"&amp;AGENTES!G726&amp;"','yyyymmdd'),TO_DATE('"&amp;AGENTES!H726&amp;"','yyyymmdd'),'"&amp;AGENTES!I726&amp;"');")</f>
        <v>INSERT INTO INYCEXT.INYC_CONF_INF_AGENTES (COD_INFORME,BO_GROUP,COMPANIA,ID_TIPO_AGENTE,TABLA,F_INICIO,F_FIN,DESCRIPCION) VALUES (128,'INYC Compensation Reports User Group - SAC','01','32','INYC_SAC_RESUMEN,INYC_SAC_DETALLE',TO_DATE('20210901','yyyymmdd'),TO_DATE('22000101','yyyymmdd'),'Version 202101006');</v>
      </c>
    </row>
    <row r="726" spans="1:1" x14ac:dyDescent="0.25">
      <c r="A726" t="str">
        <f>IF(AGENTES!I727="OBSOLETO","","INSERT INTO INYCEXT.INYC_CONF_INF_AGENTES (COD_INFORME,BO_GROUP,COMPANIA,ID_TIPO_AGENTE,TABLA,F_INICIO,F_FIN,DESCRIPCION) VALUES ("&amp;AGENTES!B727&amp;",'"&amp;AGENTES!C727&amp;"','"&amp;AGENTES!D727&amp;"','"&amp;AGENTES!E727&amp;"','"&amp;AGENTES!F727&amp;"',TO_DATE('"&amp;AGENTES!G727&amp;"','yyyymmdd'),TO_DATE('"&amp;AGENTES!H727&amp;"','yyyymmdd'),'"&amp;AGENTES!I727&amp;"');")</f>
        <v>INSERT INTO INYCEXT.INYC_CONF_INF_AGENTES (COD_INFORME,BO_GROUP,COMPANIA,ID_TIPO_AGENTE,TABLA,F_INICIO,F_FIN,DESCRIPCION) VALUES (128,'INYC Compensation Reports User Group - SAC','01','39','INYC_SAC_RESUMEN,INYC_SAC_DETALLE',TO_DATE('20210901','yyyymmdd'),TO_DATE('22000101','yyyymmdd'),'Version 202101006');</v>
      </c>
    </row>
    <row r="727" spans="1:1" x14ac:dyDescent="0.25">
      <c r="A727" t="str">
        <f>IF(AGENTES!I728="OBSOLETO","","INSERT INTO INYCEXT.INYC_CONF_INF_AGENTES (COD_INFORME,BO_GROUP,COMPANIA,ID_TIPO_AGENTE,TABLA,F_INICIO,F_FIN,DESCRIPCION) VALUES ("&amp;AGENTES!B728&amp;",'"&amp;AGENTES!C728&amp;"','"&amp;AGENTES!D728&amp;"','"&amp;AGENTES!E728&amp;"','"&amp;AGENTES!F728&amp;"',TO_DATE('"&amp;AGENTES!G728&amp;"','yyyymmdd'),TO_DATE('"&amp;AGENTES!H728&amp;"','yyyymmdd'),'"&amp;AGENTES!I728&amp;"');")</f>
        <v>INSERT INTO INYCEXT.INYC_CONF_INF_AGENTES (COD_INFORME,BO_GROUP,COMPANIA,ID_TIPO_AGENTE,TABLA,F_INICIO,F_FIN,DESCRIPCION) VALUES (128,'INYC Compensation Reports User Group - SAC','01','40','INYC_SAC_RESUMEN,INYC_SAC_DETALLE',TO_DATE('20210901','yyyymmdd'),TO_DATE('22000101','yyyymmdd'),'Version 202101006');</v>
      </c>
    </row>
    <row r="728" spans="1:1" x14ac:dyDescent="0.25">
      <c r="A728" t="str">
        <f>IF(AGENTES!I729="OBSOLETO","","INSERT INTO INYCEXT.INYC_CONF_INF_AGENTES (COD_INFORME,BO_GROUP,COMPANIA,ID_TIPO_AGENTE,TABLA,F_INICIO,F_FIN,DESCRIPCION) VALUES ("&amp;AGENTES!B729&amp;",'"&amp;AGENTES!C729&amp;"','"&amp;AGENTES!D729&amp;"','"&amp;AGENTES!E729&amp;"','"&amp;AGENTES!F729&amp;"',TO_DATE('"&amp;AGENTES!G729&amp;"','yyyymmdd'),TO_DATE('"&amp;AGENTES!H729&amp;"','yyyymmdd'),'"&amp;AGENTES!I729&amp;"');")</f>
        <v>INSERT INTO INYCEXT.INYC_CONF_INF_AGENTES (COD_INFORME,BO_GROUP,COMPANIA,ID_TIPO_AGENTE,TABLA,F_INICIO,F_FIN,DESCRIPCION) VALUES (128,'INYC Compensation Reports User Group - SAC','01','44','INYC_SAC_RESUMEN,INYC_SAC_DETALLE',TO_DATE('20210901','yyyymmdd'),TO_DATE('22000101','yyyymmdd'),'Version 202101006');</v>
      </c>
    </row>
    <row r="729" spans="1:1" x14ac:dyDescent="0.25">
      <c r="A729" t="str">
        <f>IF(AGENTES!I730="OBSOLETO","","INSERT INTO INYCEXT.INYC_CONF_INF_AGENTES (COD_INFORME,BO_GROUP,COMPANIA,ID_TIPO_AGENTE,TABLA,F_INICIO,F_FIN,DESCRIPCION) VALUES ("&amp;AGENTES!B730&amp;",'"&amp;AGENTES!C730&amp;"','"&amp;AGENTES!D730&amp;"','"&amp;AGENTES!E730&amp;"','"&amp;AGENTES!F730&amp;"',TO_DATE('"&amp;AGENTES!G730&amp;"','yyyymmdd'),TO_DATE('"&amp;AGENTES!H730&amp;"','yyyymmdd'),'"&amp;AGENTES!I730&amp;"');")</f>
        <v>INSERT INTO INYCEXT.INYC_CONF_INF_AGENTES (COD_INFORME,BO_GROUP,COMPANIA,ID_TIPO_AGENTE,TABLA,F_INICIO,F_FIN,DESCRIPCION) VALUES (128,'INYC Compensation Reports User Group - SAC','01','45','INYC_SAC_RESUMEN,INYC_SAC_DETALLE',TO_DATE('20210901','yyyymmdd'),TO_DATE('22000101','yyyymmdd'),'Version 202101006');</v>
      </c>
    </row>
    <row r="730" spans="1:1" ht="15.6" customHeight="1" x14ac:dyDescent="0.25">
      <c r="A730" t="str">
        <f>IF(AGENTES!I731="OBSOLETO","","INSERT INTO INYCEXT.INYC_CONF_INF_AGENTES (COD_INFORME,BO_GROUP,COMPANIA,ID_TIPO_AGENTE,TABLA,F_INICIO,F_FIN,DESCRIPCION) VALUES ("&amp;AGENTES!B731&amp;",'"&amp;AGENTES!C731&amp;"','"&amp;AGENTES!D731&amp;"','"&amp;AGENTES!E731&amp;"','"&amp;AGENTES!F731&amp;"',TO_DATE('"&amp;AGENTES!G731&amp;"','yyyymmdd'),TO_DATE('"&amp;AGENTES!H731&amp;"','yyyymmdd'),'"&amp;AGENTES!I731&amp;"');")</f>
        <v>INSERT INTO INYCEXT.INYC_CONF_INF_AGENTES (COD_INFORME,BO_GROUP,COMPANIA,ID_TIPO_AGENTE,TABLA,F_INICIO,F_FIN,DESCRIPCION) VALUES (128,'INYC Compensation Reports User Group - SAC','01','58','INYC_SAC_RESUMEN,INYC_SAC_DETALLE',TO_DATE('20210901','yyyymmdd'),TO_DATE('22000101','yyyymmdd'),'Version 202101006');</v>
      </c>
    </row>
    <row r="731" spans="1:1" ht="15.6" customHeight="1" x14ac:dyDescent="0.25">
      <c r="A731" t="str">
        <f>IF(AGENTES!I732="OBSOLETO","","INSERT INTO INYCEXT.INYC_CONF_INF_AGENTES (COD_INFORME,BO_GROUP,COMPANIA,ID_TIPO_AGENTE,TABLA,F_INICIO,F_FIN,DESCRIPCION) VALUES ("&amp;AGENTES!B732&amp;",'"&amp;AGENTES!C732&amp;"','"&amp;AGENTES!D732&amp;"','"&amp;AGENTES!E732&amp;"','"&amp;AGENTES!F732&amp;"',TO_DATE('"&amp;AGENTES!G732&amp;"','yyyymmdd'),TO_DATE('"&amp;AGENTES!H732&amp;"','yyyymmdd'),'"&amp;AGENTES!I732&amp;"');")</f>
        <v>INSERT INTO INYCEXT.INYC_CONF_INF_AGENTES (COD_INFORME,BO_GROUP,COMPANIA,ID_TIPO_AGENTE,TABLA,F_INICIO,F_FIN,DESCRIPCION) VALUES (128,'INYC Compensation Reports User Group - SAC','01','60','INYC_SAC_RESUMEN,INYC_SAC_DETALLE',TO_DATE('20210901','yyyymmdd'),TO_DATE('22000101','yyyymmdd'),'Version 202101006');</v>
      </c>
    </row>
    <row r="732" spans="1:1" ht="15.6" customHeight="1" x14ac:dyDescent="0.25">
      <c r="A732" t="str">
        <f>IF(AGENTES!I733="OBSOLETO","","INSERT INTO INYCEXT.INYC_CONF_INF_AGENTES (COD_INFORME,BO_GROUP,COMPANIA,ID_TIPO_AGENTE,TABLA,F_INICIO,F_FIN,DESCRIPCION) VALUES ("&amp;AGENTES!B733&amp;",'"&amp;AGENTES!C733&amp;"','"&amp;AGENTES!D733&amp;"','"&amp;AGENTES!E733&amp;"','"&amp;AGENTES!F733&amp;"',TO_DATE('"&amp;AGENTES!G733&amp;"','yyyymmdd'),TO_DATE('"&amp;AGENTES!H733&amp;"','yyyymmdd'),'"&amp;AGENTES!I733&amp;"');")</f>
        <v>INSERT INTO INYCEXT.INYC_CONF_INF_AGENTES (COD_INFORME,BO_GROUP,COMPANIA,ID_TIPO_AGENTE,TABLA,F_INICIO,F_FIN,DESCRIPCION) VALUES (128,'INYC Compensation Reports User Group - SAC','01','61','INYC_SAC_RESUMEN,INYC_SAC_DETALLE',TO_DATE('20210901','yyyymmdd'),TO_DATE('22000101','yyyymmdd'),'Version 202101006');</v>
      </c>
    </row>
    <row r="733" spans="1:1" ht="15.6" customHeight="1" x14ac:dyDescent="0.25">
      <c r="A733" t="str">
        <f>IF(AGENTES!I734="OBSOLETO","","INSERT INTO INYCEXT.INYC_CONF_INF_AGENTES (COD_INFORME,BO_GROUP,COMPANIA,ID_TIPO_AGENTE,TABLA,F_INICIO,F_FIN,DESCRIPCION) VALUES ("&amp;AGENTES!B734&amp;",'"&amp;AGENTES!C734&amp;"','"&amp;AGENTES!D734&amp;"','"&amp;AGENTES!E734&amp;"','"&amp;AGENTES!F734&amp;"',TO_DATE('"&amp;AGENTES!G734&amp;"','yyyymmdd'),TO_DATE('"&amp;AGENTES!H734&amp;"','yyyymmdd'),'"&amp;AGENTES!I734&amp;"');")</f>
        <v>INSERT INTO INYCEXT.INYC_CONF_INF_AGENTES (COD_INFORME,BO_GROUP,COMPANIA,ID_TIPO_AGENTE,TABLA,F_INICIO,F_FIN,DESCRIPCION) VALUES (128,'INYC Compensation Reports User Group - SAC','01','62','INYC_SAC_RESUMEN,INYC_SAC_DETALLE',TO_DATE('20210901','yyyymmdd'),TO_DATE('22000101','yyyymmdd'),'Version 202101006');</v>
      </c>
    </row>
    <row r="734" spans="1:1" ht="15.6" customHeight="1" x14ac:dyDescent="0.25">
      <c r="A734" t="str">
        <f>IF(AGENTES!I735="OBSOLETO","","INSERT INTO INYCEXT.INYC_CONF_INF_AGENTES (COD_INFORME,BO_GROUP,COMPANIA,ID_TIPO_AGENTE,TABLA,F_INICIO,F_FIN,DESCRIPCION) VALUES ("&amp;AGENTES!B735&amp;",'"&amp;AGENTES!C735&amp;"','"&amp;AGENTES!D735&amp;"','"&amp;AGENTES!E735&amp;"','"&amp;AGENTES!F735&amp;"',TO_DATE('"&amp;AGENTES!G735&amp;"','yyyymmdd'),TO_DATE('"&amp;AGENTES!H735&amp;"','yyyymmdd'),'"&amp;AGENTES!I735&amp;"');")</f>
        <v>INSERT INTO INYCEXT.INYC_CONF_INF_AGENTES (COD_INFORME,BO_GROUP,COMPANIA,ID_TIPO_AGENTE,TABLA,F_INICIO,F_FIN,DESCRIPCION) VALUES (128,'INYC Compensation Reports User Group - SAC','01','65','INYC_SAC_RESUMEN,INYC_SAC_DETALLE',TO_DATE('20210901','yyyymmdd'),TO_DATE('22000101','yyyymmdd'),'Version 202101006');</v>
      </c>
    </row>
    <row r="735" spans="1:1" ht="15.6" customHeight="1" x14ac:dyDescent="0.25">
      <c r="A735" t="str">
        <f>IF(AGENTES!I736="OBSOLETO","","INSERT INTO INYCEXT.INYC_CONF_INF_AGENTES (COD_INFORME,BO_GROUP,COMPANIA,ID_TIPO_AGENTE,TABLA,F_INICIO,F_FIN,DESCRIPCION) VALUES ("&amp;AGENTES!B736&amp;",'"&amp;AGENTES!C736&amp;"','"&amp;AGENTES!D736&amp;"','"&amp;AGENTES!E736&amp;"','"&amp;AGENTES!F736&amp;"',TO_DATE('"&amp;AGENTES!G736&amp;"','yyyymmdd'),TO_DATE('"&amp;AGENTES!H736&amp;"','yyyymmdd'),'"&amp;AGENTES!I736&amp;"');")</f>
        <v>INSERT INTO INYCEXT.INYC_CONF_INF_AGENTES (COD_INFORME,BO_GROUP,COMPANIA,ID_TIPO_AGENTE,TABLA,F_INICIO,F_FIN,DESCRIPCION) VALUES (128,'INYC Compensation Reports User Group - SAC','01','68','INYC_SAC_RESUMEN,INYC_SAC_DETALLE',TO_DATE('20210901','yyyymmdd'),TO_DATE('22000101','yyyymmdd'),'Version 202101006');</v>
      </c>
    </row>
    <row r="736" spans="1:1" ht="15.6" customHeight="1" x14ac:dyDescent="0.25">
      <c r="A736" t="str">
        <f>IF(AGENTES!I737="OBSOLETO","","INSERT INTO INYCEXT.INYC_CONF_INF_AGENTES (COD_INFORME,BO_GROUP,COMPANIA,ID_TIPO_AGENTE,TABLA,F_INICIO,F_FIN,DESCRIPCION) VALUES ("&amp;AGENTES!B737&amp;",'"&amp;AGENTES!C737&amp;"','"&amp;AGENTES!D737&amp;"','"&amp;AGENTES!E737&amp;"','"&amp;AGENTES!F737&amp;"',TO_DATE('"&amp;AGENTES!G737&amp;"','yyyymmdd'),TO_DATE('"&amp;AGENTES!H737&amp;"','yyyymmdd'),'"&amp;AGENTES!I737&amp;"');")</f>
        <v>INSERT INTO INYCEXT.INYC_CONF_INF_AGENTES (COD_INFORME,BO_GROUP,COMPANIA,ID_TIPO_AGENTE,TABLA,F_INICIO,F_FIN,DESCRIPCION) VALUES (6,'INYC Compensation Reports User Group - RPA','01','37','INYC_RPA_RESUMEN,INYC_RPA_DETALLE',TO_DATE('20220101','yyyymmdd'),TO_DATE('22000101','yyyymmdd'),'');</v>
      </c>
    </row>
    <row r="737" spans="1:1" ht="15.6" customHeight="1" x14ac:dyDescent="0.25">
      <c r="A737" t="str">
        <f>IF(AGENTES!I738="OBSOLETO","","INSERT INTO INYCEXT.INYC_CONF_INF_AGENTES (COD_INFORME,BO_GROUP,COMPANIA,ID_TIPO_AGENTE,TABLA,F_INICIO,F_FIN,DESCRIPCION) VALUES ("&amp;AGENTES!B738&amp;",'"&amp;AGENTES!C738&amp;"','"&amp;AGENTES!D738&amp;"','"&amp;AGENTES!E738&amp;"','"&amp;AGENTES!F738&amp;"',TO_DATE('"&amp;AGENTES!G738&amp;"','yyyymmdd'),TO_DATE('"&amp;AGENTES!H738&amp;"','yyyymmdd'),'"&amp;AGENTES!I738&amp;"');")</f>
        <v>INSERT INTO INYCEXT.INYC_CONF_INF_AGENTES (COD_INFORME,BO_GROUP,COMPANIA,ID_TIPO_AGENTE,TABLA,F_INICIO,F_FIN,DESCRIPCION) VALUES (6,'INYC Compensation Reports User Group - RPA','01','43','INYC_RPA_RESUMEN,INYC_RPA_DETALLE',TO_DATE('20220101','yyyymmdd'),TO_DATE('22000101','yyyymmdd'),'');</v>
      </c>
    </row>
    <row r="738" spans="1:1" ht="15.6" customHeight="1" x14ac:dyDescent="0.25">
      <c r="A738" t="str">
        <f>IF(AGENTES!I739="OBSOLETO","","INSERT INTO INYCEXT.INYC_CONF_INF_AGENTES (COD_INFORME,BO_GROUP,COMPANIA,ID_TIPO_AGENTE,TABLA,F_INICIO,F_FIN,DESCRIPCION) VALUES ("&amp;AGENTES!B739&amp;",'"&amp;AGENTES!C739&amp;"','"&amp;AGENTES!D739&amp;"','"&amp;AGENTES!E739&amp;"','"&amp;AGENTES!F739&amp;"',TO_DATE('"&amp;AGENTES!G739&amp;"','yyyymmdd'),TO_DATE('"&amp;AGENTES!H739&amp;"','yyyymmdd'),'"&amp;AGENTES!I739&amp;"');")</f>
        <v>INSERT INTO INYCEXT.INYC_CONF_INF_AGENTES (COD_INFORME,BO_GROUP,COMPANIA,ID_TIPO_AGENTE,TABLA,F_INICIO,F_FIN,DESCRIPCION) VALUES (112,'INYC Compensation Reports User Group - PRAG','01','37','INYC_PERC_AGENTES,INYC_PROD_AGENTES,INYC_CARTERA_AGENTES',TO_DATE('20220101','yyyymmdd'),TO_DATE('22000101','yyyymmdd'),'Version 20220128');</v>
      </c>
    </row>
    <row r="739" spans="1:1" ht="15.6" customHeight="1" x14ac:dyDescent="0.25">
      <c r="A739" t="str">
        <f>IF(AGENTES!I740="OBSOLETO","","INSERT INTO INYCEXT.INYC_CONF_INF_AGENTES (COD_INFORME,BO_GROUP,COMPANIA,ID_TIPO_AGENTE,TABLA,F_INICIO,F_FIN,DESCRIPCION) VALUES ("&amp;AGENTES!B740&amp;",'"&amp;AGENTES!C740&amp;"','"&amp;AGENTES!D740&amp;"','"&amp;AGENTES!E740&amp;"','"&amp;AGENTES!F740&amp;"',TO_DATE('"&amp;AGENTES!G740&amp;"','yyyymmdd'),TO_DATE('"&amp;AGENTES!H740&amp;"','yyyymmdd'),'"&amp;AGENTES!I740&amp;"');")</f>
        <v>INSERT INTO INYCEXT.INYC_CONF_INF_AGENTES (COD_INFORME,BO_GROUP,COMPANIA,ID_TIPO_AGENTE,TABLA,F_INICIO,F_FIN,DESCRIPCION) VALUES (112,'INYC Compensation Reports User Group - PRAG','01','43','INYC_PERC_AGENTES,INYC_PROD_AGENTES,INYC_CARTERA_AGENTES',TO_DATE('20220101','yyyymmdd'),TO_DATE('22000101','yyyymmdd'),'Version 20220128');</v>
      </c>
    </row>
    <row r="740" spans="1:1" ht="15.6" customHeight="1" x14ac:dyDescent="0.25">
      <c r="A740" t="str">
        <f>IF(AGENTES!I741="OBSOLETO","","INSERT INTO INYCEXT.INYC_CONF_INF_AGENTES (COD_INFORME,BO_GROUP,COMPANIA,ID_TIPO_AGENTE,TABLA,F_INICIO,F_FIN,DESCRIPCION) VALUES ("&amp;AGENTES!B741&amp;",'"&amp;AGENTES!C741&amp;"','"&amp;AGENTES!D741&amp;"','"&amp;AGENTES!E741&amp;"','"&amp;AGENTES!F741&amp;"',TO_DATE('"&amp;AGENTES!G741&amp;"','yyyymmdd'),TO_DATE('"&amp;AGENTES!H741&amp;"','yyyymmdd'),'"&amp;AGENTES!I741&amp;"');")</f>
        <v>INSERT INTO INYCEXT.INYC_CONF_INF_AGENTES (COD_INFORME,BO_GROUP,COMPANIA,ID_TIPO_AGENTE,TABLA,F_INICIO,F_FIN,DESCRIPCION) VALUES (112,'INYC Compensation Reports User Group - PRAG','01','80','INYC_PERC_AGENTES,INYC_PROD_AGENTES,INYC_CARTERA_AGENTES',TO_DATE('20220101','yyyymmdd'),TO_DATE('22000101','yyyymmdd'),'Version 20220404');</v>
      </c>
    </row>
    <row r="741" spans="1:1" ht="15.6" customHeight="1" x14ac:dyDescent="0.25">
      <c r="A741" t="str">
        <f>IF(AGENTES!I742="OBSOLETO","","INSERT INTO INYCEXT.INYC_CONF_INF_AGENTES (COD_INFORME,BO_GROUP,COMPANIA,ID_TIPO_AGENTE,TABLA,F_INICIO,F_FIN,DESCRIPCION) VALUES ("&amp;AGENTES!B742&amp;",'"&amp;AGENTES!C742&amp;"','"&amp;AGENTES!D742&amp;"','"&amp;AGENTES!E742&amp;"','"&amp;AGENTES!F742&amp;"',TO_DATE('"&amp;AGENTES!G742&amp;"','yyyymmdd'),TO_DATE('"&amp;AGENTES!H742&amp;"','yyyymmdd'),'"&amp;AGENTES!I742&amp;"');")</f>
        <v>INSERT INTO INYCEXT.INYC_CONF_INF_AGENTES (COD_INFORME,BO_GROUP,COMPANIA,ID_TIPO_AGENTE,TABLA,F_INICIO,F_FIN,DESCRIPCION) VALUES (33,'INYC Compensation Reports User Group - GES','01','37','INYC_GES_RESUMEN,INYC_GES_DETALLE',TO_DATE('20220501','yyyymmdd'),TO_DATE('22000101','yyyymmdd'),'Version 20220523');</v>
      </c>
    </row>
    <row r="742" spans="1:1" ht="15.6" customHeight="1" x14ac:dyDescent="0.25">
      <c r="A742" t="str">
        <f>IF(AGENTES!I743="OBSOLETO","","INSERT INTO INYCEXT.INYC_CONF_INF_AGENTES (COD_INFORME,BO_GROUP,COMPANIA,ID_TIPO_AGENTE,TABLA,F_INICIO,F_FIN,DESCRIPCION) VALUES ("&amp;AGENTES!B743&amp;",'"&amp;AGENTES!C743&amp;"','"&amp;AGENTES!D743&amp;"','"&amp;AGENTES!E743&amp;"','"&amp;AGENTES!F743&amp;"',TO_DATE('"&amp;AGENTES!G743&amp;"','yyyymmdd'),TO_DATE('"&amp;AGENTES!H743&amp;"','yyyymmdd'),'"&amp;AGENTES!I743&amp;"');")</f>
        <v>INSERT INTO INYCEXT.INYC_CONF_INF_AGENTES (COD_INFORME,BO_GROUP,COMPANIA,ID_TIPO_AGENTE,TABLA,F_INICIO,F_FIN,DESCRIPCION) VALUES (33,'INYC Compensation Reports User Group - GES','01','38','INYC_GES_RESUMEN,INYC_GES_DETALLE',TO_DATE('20220501','yyyymmdd'),TO_DATE('22000101','yyyymmdd'),'Version 20220523');</v>
      </c>
    </row>
    <row r="743" spans="1:1" ht="15.6" customHeight="1" x14ac:dyDescent="0.25">
      <c r="A743" t="str">
        <f>IF(AGENTES!I744="OBSOLETO","","INSERT INTO INYCEXT.INYC_CONF_INF_AGENTES (COD_INFORME,BO_GROUP,COMPANIA,ID_TIPO_AGENTE,TABLA,F_INICIO,F_FIN,DESCRIPCION) VALUES ("&amp;AGENTES!B744&amp;",'"&amp;AGENTES!C744&amp;"','"&amp;AGENTES!D744&amp;"','"&amp;AGENTES!E744&amp;"','"&amp;AGENTES!F744&amp;"',TO_DATE('"&amp;AGENTES!G744&amp;"','yyyymmdd'),TO_DATE('"&amp;AGENTES!H744&amp;"','yyyymmdd'),'"&amp;AGENTES!I744&amp;"');")</f>
        <v>INSERT INTO INYCEXT.INYC_CONF_INF_AGENTES (COD_INFORME,BO_GROUP,COMPANIA,ID_TIPO_AGENTE,TABLA,F_INICIO,F_FIN,DESCRIPCION) VALUES (33,'INYC Compensation Reports User Group - GES','01','43','INYC_GES_RESUMEN,INYC_GES_DETALLE',TO_DATE('20220501','yyyymmdd'),TO_DATE('22000101','yyyymmdd'),'Version 20220523');</v>
      </c>
    </row>
    <row r="744" spans="1:1" x14ac:dyDescent="0.25">
      <c r="A744" t="str">
        <f>IF(AGENTES!I745="OBSOLETO","","INSERT INTO INYCEXT.INYC_CONF_INF_AGENTES (COD_INFORME,BO_GROUP,COMPANIA,ID_TIPO_AGENTE,TABLA,F_INICIO,F_FIN,DESCRIPCION) VALUES ("&amp;AGENTES!B745&amp;",'"&amp;AGENTES!C745&amp;"','"&amp;AGENTES!D745&amp;"','"&amp;AGENTES!E745&amp;"','"&amp;AGENTES!F745&amp;"',TO_DATE('"&amp;AGENTES!G745&amp;"','yyyymmdd'),TO_DATE('"&amp;AGENTES!H745&amp;"','yyyymmdd'),'"&amp;AGENTES!I745&amp;"');")</f>
        <v>INSERT INTO INYCEXT.INYC_CONF_INF_AGENTES (COD_INFORME,BO_GROUP,COMPANIA,ID_TIPO_AGENTE,TABLA,F_INICIO,F_FIN,DESCRIPCION) VALUES (33,'INYC Compensation Reports User Group - GES','01','49','INYC_GES_RESUMEN,INYC_GES_DETALLE',TO_DATE('20220501','yyyymmdd'),TO_DATE('22000101','yyyymmdd'),'Version 20220523');</v>
      </c>
    </row>
    <row r="745" spans="1:1" x14ac:dyDescent="0.25">
      <c r="A745" t="str">
        <f>IF(AGENTES!I746="OBSOLETO","","INSERT INTO INYCEXT.INYC_CONF_INF_AGENTES (COD_INFORME,BO_GROUP,COMPANIA,ID_TIPO_AGENTE,TABLA,F_INICIO,F_FIN,DESCRIPCION) VALUES ("&amp;AGENTES!B746&amp;",'"&amp;AGENTES!C746&amp;"','"&amp;AGENTES!D746&amp;"','"&amp;AGENTES!E746&amp;"','"&amp;AGENTES!F746&amp;"',TO_DATE('"&amp;AGENTES!G746&amp;"','yyyymmdd'),TO_DATE('"&amp;AGENTES!H746&amp;"','yyyymmdd'),'"&amp;AGENTES!I746&amp;"');")</f>
        <v>INSERT INTO INYCEXT.INYC_CONF_INF_AGENTES (COD_INFORME,BO_GROUP,COMPANIA,ID_TIPO_AGENTE,TABLA,F_INICIO,F_FIN,DESCRIPCION) VALUES (101,'INYC Compensation Reports User Group - S5','01','75','INYC_S5_FACTURA,INYC_S5_POLIZAS',TO_DATE('20230101','yyyymmdd'),TO_DATE('22000101','yyyymmdd'),'');</v>
      </c>
    </row>
    <row r="746" spans="1:1" x14ac:dyDescent="0.25">
      <c r="A746" t="str">
        <f>IF(AGENTES!I747="OBSOLETO","","INSERT INTO INYCEXT.INYC_CONF_INF_AGENTES (COD_INFORME,BO_GROUP,COMPANIA,ID_TIPO_AGENTE,TABLA,F_INICIO,F_FIN,DESCRIPCION) VALUES ("&amp;AGENTES!B747&amp;",'"&amp;AGENTES!C747&amp;"','"&amp;AGENTES!D747&amp;"','"&amp;AGENTES!E747&amp;"','"&amp;AGENTES!F747&amp;"',TO_DATE('"&amp;AGENTES!G747&amp;"','yyyymmdd'),TO_DATE('"&amp;AGENTES!H747&amp;"','yyyymmdd'),'"&amp;AGENTES!I747&amp;"');")</f>
        <v>INSERT INTO INYCEXT.INYC_CONF_INF_AGENTES (COD_INFORME,BO_GROUP,COMPANIA,ID_TIPO_AGENTE,TABLA,F_INICIO,F_FIN,DESCRIPCION) VALUES (105,'INYC Compensation Reports User Group - PEPI','01','75','INYC_PEPI_RESUMEN,INYC_PEPI_DETALLE',TO_DATE('20230101','yyyymmdd'),TO_DATE('22000101','yyyymmdd'),'');</v>
      </c>
    </row>
    <row r="747" spans="1:1" x14ac:dyDescent="0.25">
      <c r="A747" t="str">
        <f>IF(AGENTES!I748="OBSOLETO","","INSERT INTO INYCEXT.INYC_CONF_INF_AGENTES (COD_INFORME,BO_GROUP,COMPANIA,ID_TIPO_AGENTE,TABLA,F_INICIO,F_FIN,DESCRIPCION) VALUES ("&amp;AGENTES!B748&amp;",'"&amp;AGENTES!C748&amp;"','"&amp;AGENTES!D748&amp;"','"&amp;AGENTES!E748&amp;"','"&amp;AGENTES!F748&amp;"',TO_DATE('"&amp;AGENTES!G748&amp;"','yyyymmdd'),TO_DATE('"&amp;AGENTES!H748&amp;"','yyyymmdd'),'"&amp;AGENTES!I748&amp;"');")</f>
        <v>INSERT INTO INYCEXT.INYC_CONF_INF_AGENTES (COD_INFORME,BO_GROUP,COMPANIA,ID_TIPO_AGENTE,TABLA,F_INICIO,F_FIN,DESCRIPCION) VALUES (114,'INYC Compensation Reports User Group - PRIN','01','75','INYC_PERC_INSPECTORES,INYC_PROD_INSPECTORES',TO_DATE('20230101','yyyymmdd'),TO_DATE('22000101','yyyymmdd'),'');</v>
      </c>
    </row>
    <row r="748" spans="1:1" x14ac:dyDescent="0.25">
      <c r="A748" t="str">
        <f>IF(AGENTES!I749="OBSOLETO","","INSERT INTO INYCEXT.INYC_CONF_INF_AGENTES (COD_INFORME,BO_GROUP,COMPANIA,ID_TIPO_AGENTE,TABLA,F_INICIO,F_FIN,DESCRIPCION) VALUES ("&amp;AGENTES!B749&amp;",'"&amp;AGENTES!C749&amp;"','"&amp;AGENTES!D749&amp;"','"&amp;AGENTES!E749&amp;"','"&amp;AGENTES!F749&amp;"',TO_DATE('"&amp;AGENTES!G749&amp;"','yyyymmdd'),TO_DATE('"&amp;AGENTES!H749&amp;"','yyyymmdd'),'"&amp;AGENTES!I749&amp;"');")</f>
        <v>INSERT INTO INYCEXT.INYC_CONF_INF_AGENTES (COD_INFORME,BO_GROUP,COMPANIA,ID_TIPO_AGENTE,TABLA,F_INICIO,F_FIN,DESCRIPCION) VALUES (112,'INYC Compensation Reports User Group - PRAG','03','3','INYC_PERC_E_AGENTES',TO_DATE('20220101','yyyymmdd'),TO_DATE('22000101','yyyymmdd'),'');</v>
      </c>
    </row>
    <row r="749" spans="1:1" x14ac:dyDescent="0.25">
      <c r="A749" t="str">
        <f>IF(AGENTES!I750="OBSOLETO","","INSERT INTO INYCEXT.INYC_CONF_INF_AGENTES (COD_INFORME,BO_GROUP,COMPANIA,ID_TIPO_AGENTE,TABLA,F_INICIO,F_FIN,DESCRIPCION) VALUES ("&amp;AGENTES!B750&amp;",'"&amp;AGENTES!C750&amp;"','"&amp;AGENTES!D750&amp;"','"&amp;AGENTES!E750&amp;"','"&amp;AGENTES!F750&amp;"',TO_DATE('"&amp;AGENTES!G750&amp;"','yyyymmdd'),TO_DATE('"&amp;AGENTES!H750&amp;"','yyyymmdd'),'"&amp;AGENTES!I750&amp;"');")</f>
        <v>INSERT INTO INYCEXT.INYC_CONF_INF_AGENTES (COD_INFORME,BO_GROUP,COMPANIA,ID_TIPO_AGENTE,TABLA,F_INICIO,F_FIN,DESCRIPCION) VALUES (112,'INYC Compensation Reports User Group - PRAG','03','4','INYC_PERC_AGENTES,INYC_PROD_AGENTES,INYC_CARTERA_AGENTES',TO_DATE('20220101','yyyymmdd'),TO_DATE('22000101','yyyymmdd'),'');</v>
      </c>
    </row>
    <row r="750" spans="1:1" x14ac:dyDescent="0.25">
      <c r="A750" t="str">
        <f>IF(AGENTES!I751="OBSOLETO","","INSERT INTO INYCEXT.INYC_CONF_INF_AGENTES (COD_INFORME,BO_GROUP,COMPANIA,ID_TIPO_AGENTE,TABLA,F_INICIO,F_FIN,DESCRIPCION) VALUES ("&amp;AGENTES!B751&amp;",'"&amp;AGENTES!C751&amp;"','"&amp;AGENTES!D751&amp;"','"&amp;AGENTES!E751&amp;"','"&amp;AGENTES!F751&amp;"',TO_DATE('"&amp;AGENTES!G751&amp;"','yyyymmdd'),TO_DATE('"&amp;AGENTES!H751&amp;"','yyyymmdd'),'"&amp;AGENTES!I751&amp;"');")</f>
        <v>INSERT INTO INYCEXT.INYC_CONF_INF_AGENTES (COD_INFORME,BO_GROUP,COMPANIA,ID_TIPO_AGENTE,TABLA,F_INICIO,F_FIN,DESCRIPCION) VALUES (112,'INYC Compensation Reports User Group - PRAG','03','6','INYC_PERC_AGENTES,INYC_PROD_AGENTES,INYC_CARTERA_AGENTES',TO_DATE('20220101','yyyymmdd'),TO_DATE('22000101','yyyymmdd'),'');</v>
      </c>
    </row>
    <row r="751" spans="1:1" x14ac:dyDescent="0.25">
      <c r="A751" t="str">
        <f>IF(AGENTES!I752="OBSOLETO","","INSERT INTO INYCEXT.INYC_CONF_INF_AGENTES (COD_INFORME,BO_GROUP,COMPANIA,ID_TIPO_AGENTE,TABLA,F_INICIO,F_FIN,DESCRIPCION) VALUES ("&amp;AGENTES!B752&amp;",'"&amp;AGENTES!C752&amp;"','"&amp;AGENTES!D752&amp;"','"&amp;AGENTES!E752&amp;"','"&amp;AGENTES!F752&amp;"',TO_DATE('"&amp;AGENTES!G752&amp;"','yyyymmdd'),TO_DATE('"&amp;AGENTES!H752&amp;"','yyyymmdd'),'"&amp;AGENTES!I752&amp;"');")</f>
        <v>INSERT INTO INYCEXT.INYC_CONF_INF_AGENTES (COD_INFORME,BO_GROUP,COMPANIA,ID_TIPO_AGENTE,TABLA,F_INICIO,F_FIN,DESCRIPCION) VALUES (112,'INYC Compensation Reports User Group - PRAG','03','12','INYC_PERC_AGENTES,INYC_PROD_AGENTES,INYC_CARTERA_AGENTES',TO_DATE('20220101','yyyymmdd'),TO_DATE('22000101','yyyymmdd'),'');</v>
      </c>
    </row>
    <row r="752" spans="1:1" x14ac:dyDescent="0.25">
      <c r="A752" t="str">
        <f>IF(AGENTES!I753="OBSOLETO","","INSERT INTO INYCEXT.INYC_CONF_INF_AGENTES (COD_INFORME,BO_GROUP,COMPANIA,ID_TIPO_AGENTE,TABLA,F_INICIO,F_FIN,DESCRIPCION) VALUES ("&amp;AGENTES!B753&amp;",'"&amp;AGENTES!C753&amp;"','"&amp;AGENTES!D753&amp;"','"&amp;AGENTES!E753&amp;"','"&amp;AGENTES!F753&amp;"',TO_DATE('"&amp;AGENTES!G753&amp;"','yyyymmdd'),TO_DATE('"&amp;AGENTES!H753&amp;"','yyyymmdd'),'"&amp;AGENTES!I753&amp;"');")</f>
        <v>INSERT INTO INYCEXT.INYC_CONF_INF_AGENTES (COD_INFORME,BO_GROUP,COMPANIA,ID_TIPO_AGENTE,TABLA,F_INICIO,F_FIN,DESCRIPCION) VALUES (112,'INYC Compensation Reports User Group - PRAG','03','13','INYC_PERC_AGENTES,INYC_PROD_AGENTES,INYC_CARTERA_AGENTES',TO_DATE('20220101','yyyymmdd'),TO_DATE('22000101','yyyymmdd'),'');</v>
      </c>
    </row>
    <row r="753" spans="1:1" x14ac:dyDescent="0.25">
      <c r="A753" t="str">
        <f>IF(AGENTES!I754="OBSOLETO","","INSERT INTO INYCEXT.INYC_CONF_INF_AGENTES (COD_INFORME,BO_GROUP,COMPANIA,ID_TIPO_AGENTE,TABLA,F_INICIO,F_FIN,DESCRIPCION) VALUES ("&amp;AGENTES!B754&amp;",'"&amp;AGENTES!C754&amp;"','"&amp;AGENTES!D754&amp;"','"&amp;AGENTES!E754&amp;"','"&amp;AGENTES!F754&amp;"',TO_DATE('"&amp;AGENTES!G754&amp;"','yyyymmdd'),TO_DATE('"&amp;AGENTES!H754&amp;"','yyyymmdd'),'"&amp;AGENTES!I754&amp;"');")</f>
        <v>INSERT INTO INYCEXT.INYC_CONF_INF_AGENTES (COD_INFORME,BO_GROUP,COMPANIA,ID_TIPO_AGENTE,TABLA,F_INICIO,F_FIN,DESCRIPCION) VALUES (112,'INYC Compensation Reports User Group - PRAG','03','301','INYC_PERC_AGENTES,INYC_PROD_AGENTES,INYC_CARTERA_AGENTES',TO_DATE('20220101','yyyymmdd'),TO_DATE('22000101','yyyymmdd'),'');</v>
      </c>
    </row>
    <row r="754" spans="1:1" x14ac:dyDescent="0.25">
      <c r="A754" t="str">
        <f>IF(AGENTES!I755="OBSOLETO","","INSERT INTO INYCEXT.INYC_CONF_INF_AGENTES (COD_INFORME,BO_GROUP,COMPANIA,ID_TIPO_AGENTE,TABLA,F_INICIO,F_FIN,DESCRIPCION) VALUES ("&amp;AGENTES!B755&amp;",'"&amp;AGENTES!C755&amp;"','"&amp;AGENTES!D755&amp;"','"&amp;AGENTES!E755&amp;"','"&amp;AGENTES!F755&amp;"',TO_DATE('"&amp;AGENTES!G755&amp;"','yyyymmdd'),TO_DATE('"&amp;AGENTES!H755&amp;"','yyyymmdd'),'"&amp;AGENTES!I755&amp;"');")</f>
        <v>INSERT INTO INYCEXT.INYC_CONF_INF_AGENTES (COD_INFORME,BO_GROUP,COMPANIA,ID_TIPO_AGENTE,TABLA,F_INICIO,F_FIN,DESCRIPCION) VALUES (112,'INYC Compensation Reports User Group - PRAG','03','302','INYC_PERC_AGENTES,INYC_PROD_AGENTES,INYC_CARTERA_AGENTES',TO_DATE('20220101','yyyymmdd'),TO_DATE('22000101','yyyymmdd'),'');</v>
      </c>
    </row>
    <row r="755" spans="1:1" x14ac:dyDescent="0.25">
      <c r="A755" t="str">
        <f>IF(AGENTES!I756="OBSOLETO","","INSERT INTO INYCEXT.INYC_CONF_INF_AGENTES (COD_INFORME,BO_GROUP,COMPANIA,ID_TIPO_AGENTE,TABLA,F_INICIO,F_FIN,DESCRIPCION) VALUES ("&amp;AGENTES!B756&amp;",'"&amp;AGENTES!C756&amp;"','"&amp;AGENTES!D756&amp;"','"&amp;AGENTES!E756&amp;"','"&amp;AGENTES!F756&amp;"',TO_DATE('"&amp;AGENTES!G756&amp;"','yyyymmdd'),TO_DATE('"&amp;AGENTES!H756&amp;"','yyyymmdd'),'"&amp;AGENTES!I756&amp;"');")</f>
        <v>INSERT INTO INYCEXT.INYC_CONF_INF_AGENTES (COD_INFORME,BO_GROUP,COMPANIA,ID_TIPO_AGENTE,TABLA,F_INICIO,F_FIN,DESCRIPCION) VALUES (112,'INYC Compensation Reports User Group - PRAG','03','303','INYC_PERC_AGENTES,INYC_PROD_AGENTES,INYC_CARTERA_AGENTES',TO_DATE('20220101','yyyymmdd'),TO_DATE('22000101','yyyymmdd'),'');</v>
      </c>
    </row>
    <row r="756" spans="1:1" x14ac:dyDescent="0.25">
      <c r="A756" t="str">
        <f>IF(AGENTES!I757="OBSOLETO","","INSERT INTO INYCEXT.INYC_CONF_INF_AGENTES (COD_INFORME,BO_GROUP,COMPANIA,ID_TIPO_AGENTE,TABLA,F_INICIO,F_FIN,DESCRIPCION) VALUES ("&amp;AGENTES!B757&amp;",'"&amp;AGENTES!C757&amp;"','"&amp;AGENTES!D757&amp;"','"&amp;AGENTES!E757&amp;"','"&amp;AGENTES!F757&amp;"',TO_DATE('"&amp;AGENTES!G757&amp;"','yyyymmdd'),TO_DATE('"&amp;AGENTES!H757&amp;"','yyyymmdd'),'"&amp;AGENTES!I757&amp;"');")</f>
        <v>INSERT INTO INYCEXT.INYC_CONF_INF_AGENTES (COD_INFORME,BO_GROUP,COMPANIA,ID_TIPO_AGENTE,TABLA,F_INICIO,F_FIN,DESCRIPCION) VALUES (112,'INYC Compensation Reports User Group - PRAG','03','316','INYC_PERC_AGENTES,INYC_PROD_AGENTES,INYC_CARTERA_AGENTES',TO_DATE('20220101','yyyymmdd'),TO_DATE('22000101','yyyymmdd'),'');</v>
      </c>
    </row>
    <row r="757" spans="1:1" x14ac:dyDescent="0.25">
      <c r="A757" t="str">
        <f>IF(AGENTES!I758="OBSOLETO","","INSERT INTO INYCEXT.INYC_CONF_INF_AGENTES (COD_INFORME,BO_GROUP,COMPANIA,ID_TIPO_AGENTE,TABLA,F_INICIO,F_FIN,DESCRIPCION) VALUES ("&amp;AGENTES!B758&amp;",'"&amp;AGENTES!C758&amp;"','"&amp;AGENTES!D758&amp;"','"&amp;AGENTES!E758&amp;"','"&amp;AGENTES!F758&amp;"',TO_DATE('"&amp;AGENTES!G758&amp;"','yyyymmdd'),TO_DATE('"&amp;AGENTES!H758&amp;"','yyyymmdd'),'"&amp;AGENTES!I758&amp;"');")</f>
        <v>INSERT INTO INYCEXT.INYC_CONF_INF_AGENTES (COD_INFORME,BO_GROUP,COMPANIA,ID_TIPO_AGENTE,TABLA,F_INICIO,F_FIN,DESCRIPCION) VALUES (112,'INYC Compensation Reports User Group - PRAG','03','317','INYC_PERC_AGENTES,INYC_PROD_AGENTES,INYC_CARTERA_AGENTES',TO_DATE('20220101','yyyymmdd'),TO_DATE('22000101','yyyymmdd'),'');</v>
      </c>
    </row>
    <row r="758" spans="1:1" x14ac:dyDescent="0.25">
      <c r="A758" t="str">
        <f>IF(AGENTES!I759="OBSOLETO","","INSERT INTO INYCEXT.INYC_CONF_INF_AGENTES (COD_INFORME,BO_GROUP,COMPANIA,ID_TIPO_AGENTE,TABLA,F_INICIO,F_FIN,DESCRIPCION) VALUES ("&amp;AGENTES!B759&amp;",'"&amp;AGENTES!C759&amp;"','"&amp;AGENTES!D759&amp;"','"&amp;AGENTES!E759&amp;"','"&amp;AGENTES!F759&amp;"',TO_DATE('"&amp;AGENTES!G759&amp;"','yyyymmdd'),TO_DATE('"&amp;AGENTES!H759&amp;"','yyyymmdd'),'"&amp;AGENTES!I759&amp;"');")</f>
        <v>INSERT INTO INYCEXT.INYC_CONF_INF_AGENTES (COD_INFORME,BO_GROUP,COMPANIA,ID_TIPO_AGENTE,TABLA,F_INICIO,F_FIN,DESCRIPCION) VALUES (112,'INYC Compensation Reports User Group - PRAG','03','319','INYC_PERC_AGENTES,INYC_PROD_AGENTES,INYC_CARTERA_AGENTES',TO_DATE('20220101','yyyymmdd'),TO_DATE('22000101','yyyymmdd'),'');</v>
      </c>
    </row>
    <row r="759" spans="1:1" x14ac:dyDescent="0.25">
      <c r="A759" t="str">
        <f>IF(AGENTES!I760="OBSOLETO","","INSERT INTO INYCEXT.INYC_CONF_INF_AGENTES (COD_INFORME,BO_GROUP,COMPANIA,ID_TIPO_AGENTE,TABLA,F_INICIO,F_FIN,DESCRIPCION) VALUES ("&amp;AGENTES!B760&amp;",'"&amp;AGENTES!C760&amp;"','"&amp;AGENTES!D760&amp;"','"&amp;AGENTES!E760&amp;"','"&amp;AGENTES!F760&amp;"',TO_DATE('"&amp;AGENTES!G760&amp;"','yyyymmdd'),TO_DATE('"&amp;AGENTES!H760&amp;"','yyyymmdd'),'"&amp;AGENTES!I760&amp;"');")</f>
        <v>INSERT INTO INYCEXT.INYC_CONF_INF_AGENTES (COD_INFORME,BO_GROUP,COMPANIA,ID_TIPO_AGENTE,TABLA,F_INICIO,F_FIN,DESCRIPCION) VALUES (112,'INYC Compensation Reports User Group - PRAG','03','332','INYC_PERC_AGENTES,INYC_PROD_AGENTES,INYC_CARTERA_AGENTES',TO_DATE('20220101','yyyymmdd'),TO_DATE('22000101','yyyymmdd'),'');</v>
      </c>
    </row>
    <row r="760" spans="1:1" x14ac:dyDescent="0.25">
      <c r="A760" t="str">
        <f>IF(AGENTES!I761="OBSOLETO","","INSERT INTO INYCEXT.INYC_CONF_INF_AGENTES (COD_INFORME,BO_GROUP,COMPANIA,ID_TIPO_AGENTE,TABLA,F_INICIO,F_FIN,DESCRIPCION) VALUES ("&amp;AGENTES!B761&amp;",'"&amp;AGENTES!C761&amp;"','"&amp;AGENTES!D761&amp;"','"&amp;AGENTES!E761&amp;"','"&amp;AGENTES!F761&amp;"',TO_DATE('"&amp;AGENTES!G761&amp;"','yyyymmdd'),TO_DATE('"&amp;AGENTES!H761&amp;"','yyyymmdd'),'"&amp;AGENTES!I761&amp;"');")</f>
        <v>INSERT INTO INYCEXT.INYC_CONF_INF_AGENTES (COD_INFORME,BO_GROUP,COMPANIA,ID_TIPO_AGENTE,TABLA,F_INICIO,F_FIN,DESCRIPCION) VALUES (112,'INYC Compensation Reports User Group - PRAG','03','338','INYC_PERC_AGENTES,INYC_PROD_AGENTES,INYC_CARTERA_AGENTES',TO_DATE('20220101','yyyymmdd'),TO_DATE('22000101','yyyymmdd'),'');</v>
      </c>
    </row>
    <row r="761" spans="1:1" x14ac:dyDescent="0.25">
      <c r="A761" t="str">
        <f>IF(AGENTES!I762="OBSOLETO","","INSERT INTO INYCEXT.INYC_CONF_INF_AGENTES (COD_INFORME,BO_GROUP,COMPANIA,ID_TIPO_AGENTE,TABLA,F_INICIO,F_FIN,DESCRIPCION) VALUES ("&amp;AGENTES!B762&amp;",'"&amp;AGENTES!C762&amp;"','"&amp;AGENTES!D762&amp;"','"&amp;AGENTES!E762&amp;"','"&amp;AGENTES!F762&amp;"',TO_DATE('"&amp;AGENTES!G762&amp;"','yyyymmdd'),TO_DATE('"&amp;AGENTES!H762&amp;"','yyyymmdd'),'"&amp;AGENTES!I762&amp;"');")</f>
        <v>INSERT INTO INYCEXT.INYC_CONF_INF_AGENTES (COD_INFORME,BO_GROUP,COMPANIA,ID_TIPO_AGENTE,TABLA,F_INICIO,F_FIN,DESCRIPCION) VALUES (112,'INYC Compensation Reports User Group - PRAG','03','340','INYC_PERC_AGENTES,INYC_PROD_AGENTES,INYC_CARTERA_AGENTES',TO_DATE('20220101','yyyymmdd'),TO_DATE('22000101','yyyymmdd'),'');</v>
      </c>
    </row>
    <row r="762" spans="1:1" x14ac:dyDescent="0.25">
      <c r="A762" t="str">
        <f>IF(AGENTES!I763="OBSOLETO","","INSERT INTO INYCEXT.INYC_CONF_INF_AGENTES (COD_INFORME,BO_GROUP,COMPANIA,ID_TIPO_AGENTE,TABLA,F_INICIO,F_FIN,DESCRIPCION) VALUES ("&amp;AGENTES!B763&amp;",'"&amp;AGENTES!C763&amp;"','"&amp;AGENTES!D763&amp;"','"&amp;AGENTES!E763&amp;"','"&amp;AGENTES!F763&amp;"',TO_DATE('"&amp;AGENTES!G763&amp;"','yyyymmdd'),TO_DATE('"&amp;AGENTES!H763&amp;"','yyyymmdd'),'"&amp;AGENTES!I763&amp;"');")</f>
        <v>INSERT INTO INYCEXT.INYC_CONF_INF_AGENTES (COD_INFORME,BO_GROUP,COMPANIA,ID_TIPO_AGENTE,TABLA,F_INICIO,F_FIN,DESCRIPCION) VALUES (112,'INYC Compensation Reports User Group - PRAG','03','350','INYC_PERC_AGENTES,INYC_PROD_AGENTES,INYC_CARTERA_AGENTES',TO_DATE('20220101','yyyymmdd'),TO_DATE('22000101','yyyymmdd'),'');</v>
      </c>
    </row>
    <row r="763" spans="1:1" x14ac:dyDescent="0.25">
      <c r="A763" t="str">
        <f>IF(AGENTES!I764="OBSOLETO","","INSERT INTO INYCEXT.INYC_CONF_INF_AGENTES (COD_INFORME,BO_GROUP,COMPANIA,ID_TIPO_AGENTE,TABLA,F_INICIO,F_FIN,DESCRIPCION) VALUES ("&amp;AGENTES!B764&amp;",'"&amp;AGENTES!C764&amp;"','"&amp;AGENTES!D764&amp;"','"&amp;AGENTES!E764&amp;"','"&amp;AGENTES!F764&amp;"',TO_DATE('"&amp;AGENTES!G764&amp;"','yyyymmdd'),TO_DATE('"&amp;AGENTES!H764&amp;"','yyyymmdd'),'"&amp;AGENTES!I764&amp;"');")</f>
        <v>INSERT INTO INYCEXT.INYC_CONF_INF_AGENTES (COD_INFORME,BO_GROUP,COMPANIA,ID_TIPO_AGENTE,TABLA,F_INICIO,F_FIN,DESCRIPCION) VALUES (302,'INYC Compensation Reports User Group - PRAG_E','03','15','INYC_PROD_E_AGENTES',TO_DATE('20180101','yyyymmdd'),TO_DATE('20220101','yyyymmdd'),'');</v>
      </c>
    </row>
    <row r="764" spans="1:1" x14ac:dyDescent="0.25">
      <c r="A764" t="str">
        <f>IF(AGENTES!I765="OBSOLETO","","INSERT INTO INYCEXT.INYC_CONF_INF_AGENTES (COD_INFORME,BO_GROUP,COMPANIA,ID_TIPO_AGENTE,TABLA,F_INICIO,F_FIN,DESCRIPCION) VALUES ("&amp;AGENTES!B765&amp;",'"&amp;AGENTES!C765&amp;"','"&amp;AGENTES!D765&amp;"','"&amp;AGENTES!E765&amp;"','"&amp;AGENTES!F765&amp;"',TO_DATE('"&amp;AGENTES!G765&amp;"','yyyymmdd'),TO_DATE('"&amp;AGENTES!H765&amp;"','yyyymmdd'),'"&amp;AGENTES!I765&amp;"');")</f>
        <v>INSERT INTO INYCEXT.INYC_CONF_INF_AGENTES (COD_INFORME,BO_GROUP,COMPANIA,ID_TIPO_AGENTE,TABLA,F_INICIO,F_FIN,DESCRIPCION) VALUES (302,'INYC Compensation Reports User Group - PRAG_E','03','3','INYC_PROD_E_AGENTES',TO_DATE('20180101','yyyymmdd'),TO_DATE('20220101','yyyymmdd'),'');</v>
      </c>
    </row>
    <row r="765" spans="1:1" x14ac:dyDescent="0.25">
      <c r="A765" t="str">
        <f>IF(AGENTES!I766="OBSOLETO","","INSERT INTO INYCEXT.INYC_CONF_INF_AGENTES (COD_INFORME,BO_GROUP,COMPANIA,ID_TIPO_AGENTE,TABLA,F_INICIO,F_FIN,DESCRIPCION) VALUES ("&amp;AGENTES!B766&amp;",'"&amp;AGENTES!C766&amp;"','"&amp;AGENTES!D766&amp;"','"&amp;AGENTES!E766&amp;"','"&amp;AGENTES!F766&amp;"',TO_DATE('"&amp;AGENTES!G766&amp;"','yyyymmdd'),TO_DATE('"&amp;AGENTES!H766&amp;"','yyyymmdd'),'"&amp;AGENTES!I766&amp;"');")</f>
        <v>INSERT INTO INYCEXT.INYC_CONF_INF_AGENTES (COD_INFORME,BO_GROUP,COMPANIA,ID_TIPO_AGENTE,TABLA,F_INICIO,F_FIN,DESCRIPCION) VALUES (302,'INYC Compensation Reports User Group - PRAG_E','03','6','INYC_PROD_E_AGENTES',TO_DATE('20180101','yyyymmdd'),TO_DATE('20220101','yyyymmdd'),'');</v>
      </c>
    </row>
    <row r="766" spans="1:1" x14ac:dyDescent="0.25">
      <c r="A766" t="str">
        <f>IF(AGENTES!I767="OBSOLETO","","INSERT INTO INYCEXT.INYC_CONF_INF_AGENTES (COD_INFORME,BO_GROUP,COMPANIA,ID_TIPO_AGENTE,TABLA,F_INICIO,F_FIN,DESCRIPCION) VALUES ("&amp;AGENTES!B767&amp;",'"&amp;AGENTES!C767&amp;"','"&amp;AGENTES!D767&amp;"','"&amp;AGENTES!E767&amp;"','"&amp;AGENTES!F767&amp;"',TO_DATE('"&amp;AGENTES!G767&amp;"','yyyymmdd'),TO_DATE('"&amp;AGENTES!H767&amp;"','yyyymmdd'),'"&amp;AGENTES!I767&amp;"');")</f>
        <v>INSERT INTO INYCEXT.INYC_CONF_INF_AGENTES (COD_INFORME,BO_GROUP,COMPANIA,ID_TIPO_AGENTE,TABLA,F_INICIO,F_FIN,DESCRIPCION) VALUES (302,'INYC Compensation Reports User Group - PRAG_E','03','13','INYC_PROD_E_AGENTES',TO_DATE('20180101','yyyymmdd'),TO_DATE('20220101','yyyymmdd'),'');</v>
      </c>
    </row>
    <row r="767" spans="1:1" x14ac:dyDescent="0.25">
      <c r="A767" t="str">
        <f>IF(AGENTES!I768="OBSOLETO","","INSERT INTO INYCEXT.INYC_CONF_INF_AGENTES (COD_INFORME,BO_GROUP,COMPANIA,ID_TIPO_AGENTE,TABLA,F_INICIO,F_FIN,DESCRIPCION) VALUES ("&amp;AGENTES!B768&amp;",'"&amp;AGENTES!C768&amp;"','"&amp;AGENTES!D768&amp;"','"&amp;AGENTES!E768&amp;"','"&amp;AGENTES!F768&amp;"',TO_DATE('"&amp;AGENTES!G768&amp;"','yyyymmdd'),TO_DATE('"&amp;AGENTES!H768&amp;"','yyyymmdd'),'"&amp;AGENTES!I768&amp;"');")</f>
        <v>INSERT INTO INYCEXT.INYC_CONF_INF_AGENTES (COD_INFORME,BO_GROUP,COMPANIA,ID_TIPO_AGENTE,TABLA,F_INICIO,F_FIN,DESCRIPCION) VALUES (302,'INYC Compensation Reports User Group - PRAG_E','03','100','INYC_PROD_E_AGENTES',TO_DATE('20180101','yyyymmdd'),TO_DATE('22000101','yyyymmdd'),'');</v>
      </c>
    </row>
    <row r="768" spans="1:1" x14ac:dyDescent="0.25">
      <c r="A768" t="str">
        <f>IF(AGENTES!I769="OBSOLETO","","INSERT INTO INYCEXT.INYC_CONF_INF_AGENTES (COD_INFORME,BO_GROUP,COMPANIA,ID_TIPO_AGENTE,TABLA,F_INICIO,F_FIN,DESCRIPCION) VALUES ("&amp;AGENTES!B769&amp;",'"&amp;AGENTES!C769&amp;"','"&amp;AGENTES!D769&amp;"','"&amp;AGENTES!E769&amp;"','"&amp;AGENTES!F769&amp;"',TO_DATE('"&amp;AGENTES!G769&amp;"','yyyymmdd'),TO_DATE('"&amp;AGENTES!H769&amp;"','yyyymmdd'),'"&amp;AGENTES!I769&amp;"');")</f>
        <v>INSERT INTO INYCEXT.INYC_CONF_INF_AGENTES (COD_INFORME,BO_GROUP,COMPANIA,ID_TIPO_AGENTE,TABLA,F_INICIO,F_FIN,DESCRIPCION) VALUES (302,'INYC Compensation Reports User Group - PRAG_E','03','4','INYC_PROD_E_AGENTES',TO_DATE('20180101','yyyymmdd'),TO_DATE('22000101','yyyymmdd'),'');</v>
      </c>
    </row>
    <row r="769" spans="1:1" x14ac:dyDescent="0.25">
      <c r="A769" t="str">
        <f>IF(AGENTES!I770="OBSOLETO","","INSERT INTO INYCEXT.INYC_CONF_INF_AGENTES (COD_INFORME,BO_GROUP,COMPANIA,ID_TIPO_AGENTE,TABLA,F_INICIO,F_FIN,DESCRIPCION) VALUES ("&amp;AGENTES!B770&amp;",'"&amp;AGENTES!C770&amp;"','"&amp;AGENTES!D770&amp;"','"&amp;AGENTES!E770&amp;"','"&amp;AGENTES!F770&amp;"',TO_DATE('"&amp;AGENTES!G770&amp;"','yyyymmdd'),TO_DATE('"&amp;AGENTES!H770&amp;"','yyyymmdd'),'"&amp;AGENTES!I770&amp;"');")</f>
        <v>INSERT INTO INYCEXT.INYC_CONF_INF_AGENTES (COD_INFORME,BO_GROUP,COMPANIA,ID_TIPO_AGENTE,TABLA,F_INICIO,F_FIN,DESCRIPCION) VALUES (302,'INYC Compensation Reports User Group - PRAG_E','03','319','INYC_PROD_E_AGENTES',TO_DATE('20180101','yyyymmdd'),TO_DATE('22000101','yyyymmdd'),'');</v>
      </c>
    </row>
    <row r="770" spans="1:1" x14ac:dyDescent="0.25">
      <c r="A770" t="str">
        <f>IF(AGENTES!I771="OBSOLETO","","INSERT INTO INYCEXT.INYC_CONF_INF_AGENTES (COD_INFORME,BO_GROUP,COMPANIA,ID_TIPO_AGENTE,TABLA,F_INICIO,F_FIN,DESCRIPCION) VALUES ("&amp;AGENTES!B771&amp;",'"&amp;AGENTES!C771&amp;"','"&amp;AGENTES!D771&amp;"','"&amp;AGENTES!E771&amp;"','"&amp;AGENTES!F771&amp;"',TO_DATE('"&amp;AGENTES!G771&amp;"','yyyymmdd'),TO_DATE('"&amp;AGENTES!H771&amp;"','yyyymmdd'),'"&amp;AGENTES!I771&amp;"');")</f>
        <v>INSERT INTO INYCEXT.INYC_CONF_INF_AGENTES (COD_INFORME,BO_GROUP,COMPANIA,ID_TIPO_AGENTE,TABLA,F_INICIO,F_FIN,DESCRIPCION) VALUES (28,'INYC Compensation Reports User Group - CC_E','03','301','INYC_CC_E_RESUMEN',TO_DATE('20181001','yyyymmdd'),TO_DATE('20190101','yyyymmdd'),'Version 20190404');</v>
      </c>
    </row>
    <row r="771" spans="1:1" x14ac:dyDescent="0.25">
      <c r="A771" t="str">
        <f>IF(AGENTES!I772="OBSOLETO","","INSERT INTO INYCEXT.INYC_CONF_INF_AGENTES (COD_INFORME,BO_GROUP,COMPANIA,ID_TIPO_AGENTE,TABLA,F_INICIO,F_FIN,DESCRIPCION) VALUES ("&amp;AGENTES!B772&amp;",'"&amp;AGENTES!C772&amp;"','"&amp;AGENTES!D772&amp;"','"&amp;AGENTES!E772&amp;"','"&amp;AGENTES!F772&amp;"',TO_DATE('"&amp;AGENTES!G772&amp;"','yyyymmdd'),TO_DATE('"&amp;AGENTES!H772&amp;"','yyyymmdd'),'"&amp;AGENTES!I772&amp;"');")</f>
        <v>INSERT INTO INYCEXT.INYC_CONF_INF_AGENTES (COD_INFORME,BO_GROUP,COMPANIA,ID_TIPO_AGENTE,TABLA,F_INICIO,F_FIN,DESCRIPCION) VALUES (28,'INYC Compensation Reports User Group - CC_E','03','303','INYC_CC_E_RESUMEN',TO_DATE('20181001','yyyymmdd'),TO_DATE('20190101','yyyymmdd'),'Version 20190404');</v>
      </c>
    </row>
    <row r="772" spans="1:1" x14ac:dyDescent="0.25">
      <c r="A772" t="str">
        <f>IF(AGENTES!I773="OBSOLETO","","INSERT INTO INYCEXT.INYC_CONF_INF_AGENTES (COD_INFORME,BO_GROUP,COMPANIA,ID_TIPO_AGENTE,TABLA,F_INICIO,F_FIN,DESCRIPCION) VALUES ("&amp;AGENTES!B773&amp;",'"&amp;AGENTES!C773&amp;"','"&amp;AGENTES!D773&amp;"','"&amp;AGENTES!E773&amp;"','"&amp;AGENTES!F773&amp;"',TO_DATE('"&amp;AGENTES!G773&amp;"','yyyymmdd'),TO_DATE('"&amp;AGENTES!H773&amp;"','yyyymmdd'),'"&amp;AGENTES!I773&amp;"');")</f>
        <v>INSERT INTO INYCEXT.INYC_CONF_INF_AGENTES (COD_INFORME,BO_GROUP,COMPANIA,ID_TIPO_AGENTE,TABLA,F_INICIO,F_FIN,DESCRIPCION) VALUES (28,'INYC Compensation Reports User Group - CC_E','03','313','INYC_CC_E_RESUMEN',TO_DATE('20181001','yyyymmdd'),TO_DATE('20190101','yyyymmdd'),'Version 20190404');</v>
      </c>
    </row>
    <row r="773" spans="1:1" x14ac:dyDescent="0.25">
      <c r="A773" t="str">
        <f>IF(AGENTES!I774="OBSOLETO","","INSERT INTO INYCEXT.INYC_CONF_INF_AGENTES (COD_INFORME,BO_GROUP,COMPANIA,ID_TIPO_AGENTE,TABLA,F_INICIO,F_FIN,DESCRIPCION) VALUES ("&amp;AGENTES!B774&amp;",'"&amp;AGENTES!C774&amp;"','"&amp;AGENTES!D774&amp;"','"&amp;AGENTES!E774&amp;"','"&amp;AGENTES!F774&amp;"',TO_DATE('"&amp;AGENTES!G774&amp;"','yyyymmdd'),TO_DATE('"&amp;AGENTES!H774&amp;"','yyyymmdd'),'"&amp;AGENTES!I774&amp;"');")</f>
        <v>INSERT INTO INYCEXT.INYC_CONF_INF_AGENTES (COD_INFORME,BO_GROUP,COMPANIA,ID_TIPO_AGENTE,TABLA,F_INICIO,F_FIN,DESCRIPCION) VALUES (28,'INYC Compensation Reports User Group - CC_E','03','316','INYC_CC_E_RESUMEN',TO_DATE('20181001','yyyymmdd'),TO_DATE('22000101','yyyymmdd'),'Version 20181113');</v>
      </c>
    </row>
    <row r="774" spans="1:1" x14ac:dyDescent="0.25">
      <c r="A774" t="str">
        <f>IF(AGENTES!I775="OBSOLETO","","INSERT INTO INYCEXT.INYC_CONF_INF_AGENTES (COD_INFORME,BO_GROUP,COMPANIA,ID_TIPO_AGENTE,TABLA,F_INICIO,F_FIN,DESCRIPCION) VALUES ("&amp;AGENTES!B775&amp;",'"&amp;AGENTES!C775&amp;"','"&amp;AGENTES!D775&amp;"','"&amp;AGENTES!E775&amp;"','"&amp;AGENTES!F775&amp;"',TO_DATE('"&amp;AGENTES!G775&amp;"','yyyymmdd'),TO_DATE('"&amp;AGENTES!H775&amp;"','yyyymmdd'),'"&amp;AGENTES!I775&amp;"');")</f>
        <v>INSERT INTO INYCEXT.INYC_CONF_INF_AGENTES (COD_INFORME,BO_GROUP,COMPANIA,ID_TIPO_AGENTE,TABLA,F_INICIO,F_FIN,DESCRIPCION) VALUES (28,'INYC Compensation Reports User Group - CC_E','03','317','INYC_CC_E_RESUMEN',TO_DATE('20190201','yyyymmdd'),TO_DATE('22000101','yyyymmdd'),'Version 20190214');</v>
      </c>
    </row>
    <row r="775" spans="1:1" x14ac:dyDescent="0.25">
      <c r="A775" t="str">
        <f>IF(AGENTES!I776="OBSOLETO","","INSERT INTO INYCEXT.INYC_CONF_INF_AGENTES (COD_INFORME,BO_GROUP,COMPANIA,ID_TIPO_AGENTE,TABLA,F_INICIO,F_FIN,DESCRIPCION) VALUES ("&amp;AGENTES!B776&amp;",'"&amp;AGENTES!C776&amp;"','"&amp;AGENTES!D776&amp;"','"&amp;AGENTES!E776&amp;"','"&amp;AGENTES!F776&amp;"',TO_DATE('"&amp;AGENTES!G776&amp;"','yyyymmdd'),TO_DATE('"&amp;AGENTES!H776&amp;"','yyyymmdd'),'"&amp;AGENTES!I776&amp;"');")</f>
        <v>INSERT INTO INYCEXT.INYC_CONF_INF_AGENTES (COD_INFORME,BO_GROUP,COMPANIA,ID_TIPO_AGENTE,TABLA,F_INICIO,F_FIN,DESCRIPCION) VALUES (28,'INYC Compensation Reports User Group - CC_E','03','319','INYC_CC_E_RESUMEN',TO_DATE('20181001','yyyymmdd'),TO_DATE('20190101','yyyymmdd'),'Version 20190404');</v>
      </c>
    </row>
    <row r="776" spans="1:1" x14ac:dyDescent="0.25">
      <c r="A776" t="str">
        <f>IF(AGENTES!I777="OBSOLETO","","INSERT INTO INYCEXT.INYC_CONF_INF_AGENTES (COD_INFORME,BO_GROUP,COMPANIA,ID_TIPO_AGENTE,TABLA,F_INICIO,F_FIN,DESCRIPCION) VALUES ("&amp;AGENTES!B777&amp;",'"&amp;AGENTES!C777&amp;"','"&amp;AGENTES!D777&amp;"','"&amp;AGENTES!E777&amp;"','"&amp;AGENTES!F777&amp;"',TO_DATE('"&amp;AGENTES!G777&amp;"','yyyymmdd'),TO_DATE('"&amp;AGENTES!H777&amp;"','yyyymmdd'),'"&amp;AGENTES!I777&amp;"');")</f>
        <v>INSERT INTO INYCEXT.INYC_CONF_INF_AGENTES (COD_INFORME,BO_GROUP,COMPANIA,ID_TIPO_AGENTE,TABLA,F_INICIO,F_FIN,DESCRIPCION) VALUES (28,'INYC Compensation Reports User Group - CC_E','03','331','INYC_CC_E_RESUMEN',TO_DATE('20181001','yyyymmdd'),TO_DATE('20190101','yyyymmdd'),'Version 20190404');</v>
      </c>
    </row>
    <row r="777" spans="1:1" x14ac:dyDescent="0.25">
      <c r="A777" t="str">
        <f>IF(AGENTES!I778="OBSOLETO","","INSERT INTO INYCEXT.INYC_CONF_INF_AGENTES (COD_INFORME,BO_GROUP,COMPANIA,ID_TIPO_AGENTE,TABLA,F_INICIO,F_FIN,DESCRIPCION) VALUES ("&amp;AGENTES!B778&amp;",'"&amp;AGENTES!C778&amp;"','"&amp;AGENTES!D778&amp;"','"&amp;AGENTES!E778&amp;"','"&amp;AGENTES!F778&amp;"',TO_DATE('"&amp;AGENTES!G778&amp;"','yyyymmdd'),TO_DATE('"&amp;AGENTES!H778&amp;"','yyyymmdd'),'"&amp;AGENTES!I778&amp;"');")</f>
        <v>INSERT INTO INYCEXT.INYC_CONF_INF_AGENTES (COD_INFORME,BO_GROUP,COMPANIA,ID_TIPO_AGENTE,TABLA,F_INICIO,F_FIN,DESCRIPCION) VALUES (28,'INYC Compensation Reports User Group - CC_E','03','332','INYC_CC_E_RESUMEN',TO_DATE('20190101','yyyymmdd'),TO_DATE('22000101','yyyymmdd'),'Version 20190122');</v>
      </c>
    </row>
    <row r="778" spans="1:1" x14ac:dyDescent="0.25">
      <c r="A778" t="str">
        <f>IF(AGENTES!I779="OBSOLETO","","INSERT INTO INYCEXT.INYC_CONF_INF_AGENTES (COD_INFORME,BO_GROUP,COMPANIA,ID_TIPO_AGENTE,TABLA,F_INICIO,F_FIN,DESCRIPCION) VALUES ("&amp;AGENTES!B779&amp;",'"&amp;AGENTES!C779&amp;"','"&amp;AGENTES!D779&amp;"','"&amp;AGENTES!E779&amp;"','"&amp;AGENTES!F779&amp;"',TO_DATE('"&amp;AGENTES!G779&amp;"','yyyymmdd'),TO_DATE('"&amp;AGENTES!H779&amp;"','yyyymmdd'),'"&amp;AGENTES!I779&amp;"');")</f>
        <v>INSERT INTO INYCEXT.INYC_CONF_INF_AGENTES (COD_INFORME,BO_GROUP,COMPANIA,ID_TIPO_AGENTE,TABLA,F_INICIO,F_FIN,DESCRIPCION) VALUES (28,'INYC Compensation Reports User Group - CC_E','03','333','INYC_CC_E_RESUMEN',TO_DATE('20190101','yyyymmdd'),TO_DATE('22000101','yyyymmdd'),'Version 20190122');</v>
      </c>
    </row>
    <row r="779" spans="1:1" x14ac:dyDescent="0.25">
      <c r="A779" t="str">
        <f>IF(AGENTES!I780="OBSOLETO","","INSERT INTO INYCEXT.INYC_CONF_INF_AGENTES (COD_INFORME,BO_GROUP,COMPANIA,ID_TIPO_AGENTE,TABLA,F_INICIO,F_FIN,DESCRIPCION) VALUES ("&amp;AGENTES!B780&amp;",'"&amp;AGENTES!C780&amp;"','"&amp;AGENTES!D780&amp;"','"&amp;AGENTES!E780&amp;"','"&amp;AGENTES!F780&amp;"',TO_DATE('"&amp;AGENTES!G780&amp;"','yyyymmdd'),TO_DATE('"&amp;AGENTES!H780&amp;"','yyyymmdd'),'"&amp;AGENTES!I780&amp;"');")</f>
        <v>INSERT INTO INYCEXT.INYC_CONF_INF_AGENTES (COD_INFORME,BO_GROUP,COMPANIA,ID_TIPO_AGENTE,TABLA,F_INICIO,F_FIN,DESCRIPCION) VALUES (103,'INYC Compensation Reports User Group - S5_E','03','62','INYC_S5_E_FACTURA,INYC_S5_E_POLIZAS',TO_DATE('20140101','yyyymmdd'),TO_DATE('22000101','yyyymmdd'),'');</v>
      </c>
    </row>
    <row r="780" spans="1:1" x14ac:dyDescent="0.25">
      <c r="A780" t="str">
        <f>IF(AGENTES!I781="OBSOLETO","","INSERT INTO INYCEXT.INYC_CONF_INF_AGENTES (COD_INFORME,BO_GROUP,COMPANIA,ID_TIPO_AGENTE,TABLA,F_INICIO,F_FIN,DESCRIPCION) VALUES ("&amp;AGENTES!B781&amp;",'"&amp;AGENTES!C781&amp;"','"&amp;AGENTES!D781&amp;"','"&amp;AGENTES!E781&amp;"','"&amp;AGENTES!F781&amp;"',TO_DATE('"&amp;AGENTES!G781&amp;"','yyyymmdd'),TO_DATE('"&amp;AGENTES!H781&amp;"','yyyymmdd'),'"&amp;AGENTES!I781&amp;"');")</f>
        <v>INSERT INTO INYCEXT.INYC_CONF_INF_AGENTES (COD_INFORME,BO_GROUP,COMPANIA,ID_TIPO_AGENTE,TABLA,F_INICIO,F_FIN,DESCRIPCION) VALUES (103,'INYC Compensation Reports User Group - S5_E','03','65','INYC_S5_E_FACTURA,INYC_S5_E_POLIZAS',TO_DATE('20140101','yyyymmdd'),TO_DATE('22000101','yyyymmdd'),'');</v>
      </c>
    </row>
    <row r="781" spans="1:1" x14ac:dyDescent="0.25">
      <c r="A781" t="str">
        <f>IF(AGENTES!I782="OBSOLETO","","INSERT INTO INYCEXT.INYC_CONF_INF_AGENTES (COD_INFORME,BO_GROUP,COMPANIA,ID_TIPO_AGENTE,TABLA,F_INICIO,F_FIN,DESCRIPCION) VALUES ("&amp;AGENTES!B782&amp;",'"&amp;AGENTES!C782&amp;"','"&amp;AGENTES!D782&amp;"','"&amp;AGENTES!E782&amp;"','"&amp;AGENTES!F782&amp;"',TO_DATE('"&amp;AGENTES!G782&amp;"','yyyymmdd'),TO_DATE('"&amp;AGENTES!H782&amp;"','yyyymmdd'),'"&amp;AGENTES!I782&amp;"');")</f>
        <v>INSERT INTO INYCEXT.INYC_CONF_INF_AGENTES (COD_INFORME,BO_GROUP,COMPANIA,ID_TIPO_AGENTE,TABLA,F_INICIO,F_FIN,DESCRIPCION) VALUES (103,'INYC Compensation Reports User Group - S5_E','03','70','INYC_S5_E_FACTURA,INYC_S5_E_POLIZAS',TO_DATE('20140101','yyyymmdd'),TO_DATE('22000101','yyyymmdd'),'');</v>
      </c>
    </row>
    <row r="782" spans="1:1" x14ac:dyDescent="0.25">
      <c r="A782" t="str">
        <f>IF(AGENTES!I783="OBSOLETO","","INSERT INTO INYCEXT.INYC_CONF_INF_AGENTES (COD_INFORME,BO_GROUP,COMPANIA,ID_TIPO_AGENTE,TABLA,F_INICIO,F_FIN,DESCRIPCION) VALUES ("&amp;AGENTES!B783&amp;",'"&amp;AGENTES!C783&amp;"','"&amp;AGENTES!D783&amp;"','"&amp;AGENTES!E783&amp;"','"&amp;AGENTES!F783&amp;"',TO_DATE('"&amp;AGENTES!G783&amp;"','yyyymmdd'),TO_DATE('"&amp;AGENTES!H783&amp;"','yyyymmdd'),'"&amp;AGENTES!I783&amp;"');")</f>
        <v>INSERT INTO INYCEXT.INYC_CONF_INF_AGENTES (COD_INFORME,BO_GROUP,COMPANIA,ID_TIPO_AGENTE,TABLA,F_INICIO,F_FIN,DESCRIPCION) VALUES (103,'INYC Compensation Reports User Group - S5_E','03','71','INYC_S5_E_FACTURA,INYC_S5_E_POLIZAS',TO_DATE('20140101','yyyymmdd'),TO_DATE('22000101','yyyymmdd'),'');</v>
      </c>
    </row>
    <row r="783" spans="1:1" x14ac:dyDescent="0.25">
      <c r="A783" t="str">
        <f>IF(AGENTES!I784="OBSOLETO","","INSERT INTO INYCEXT.INYC_CONF_INF_AGENTES (COD_INFORME,BO_GROUP,COMPANIA,ID_TIPO_AGENTE,TABLA,F_INICIO,F_FIN,DESCRIPCION) VALUES ("&amp;AGENTES!B784&amp;",'"&amp;AGENTES!C784&amp;"','"&amp;AGENTES!D784&amp;"','"&amp;AGENTES!E784&amp;"','"&amp;AGENTES!F784&amp;"',TO_DATE('"&amp;AGENTES!G784&amp;"','yyyymmdd'),TO_DATE('"&amp;AGENTES!H784&amp;"','yyyymmdd'),'"&amp;AGENTES!I784&amp;"');")</f>
        <v>INSERT INTO INYCEXT.INYC_CONF_INF_AGENTES (COD_INFORME,BO_GROUP,COMPANIA,ID_TIPO_AGENTE,TABLA,F_INICIO,F_FIN,DESCRIPCION) VALUES (103,'INYC Compensation Reports User Group - S5_E','03','72','INYC_S5_E_FACTURA,INYC_S5_E_POLIZAS',TO_DATE('20140101','yyyymmdd'),TO_DATE('22000101','yyyymmdd'),'');</v>
      </c>
    </row>
    <row r="784" spans="1:1" x14ac:dyDescent="0.25">
      <c r="A784" t="str">
        <f>IF(AGENTES!I785="OBSOLETO","","INSERT INTO INYCEXT.INYC_CONF_INF_AGENTES (COD_INFORME,BO_GROUP,COMPANIA,ID_TIPO_AGENTE,TABLA,F_INICIO,F_FIN,DESCRIPCION) VALUES ("&amp;AGENTES!B785&amp;",'"&amp;AGENTES!C785&amp;"','"&amp;AGENTES!D785&amp;"','"&amp;AGENTES!E785&amp;"','"&amp;AGENTES!F785&amp;"',TO_DATE('"&amp;AGENTES!G785&amp;"','yyyymmdd'),TO_DATE('"&amp;AGENTES!H785&amp;"','yyyymmdd'),'"&amp;AGENTES!I785&amp;"');")</f>
        <v>INSERT INTO INYCEXT.INYC_CONF_INF_AGENTES (COD_INFORME,BO_GROUP,COMPANIA,ID_TIPO_AGENTE,TABLA,F_INICIO,F_FIN,DESCRIPCION) VALUES (103,'INYC Compensation Reports User Group - S5_E','03','74','INYC_S5_E_FACTURA,INYC_S5_E_POLIZAS',TO_DATE('20140101','yyyymmdd'),TO_DATE('22000101','yyyymmdd'),'');</v>
      </c>
    </row>
    <row r="785" spans="1:1" x14ac:dyDescent="0.25">
      <c r="A785" t="str">
        <f>IF(AGENTES!I786="OBSOLETO","","INSERT INTO INYCEXT.INYC_CONF_INF_AGENTES (COD_INFORME,BO_GROUP,COMPANIA,ID_TIPO_AGENTE,TABLA,F_INICIO,F_FIN,DESCRIPCION) VALUES ("&amp;AGENTES!B786&amp;",'"&amp;AGENTES!C786&amp;"','"&amp;AGENTES!D786&amp;"','"&amp;AGENTES!E786&amp;"','"&amp;AGENTES!F786&amp;"',TO_DATE('"&amp;AGENTES!G786&amp;"','yyyymmdd'),TO_DATE('"&amp;AGENTES!H786&amp;"','yyyymmdd'),'"&amp;AGENTES!I786&amp;"');")</f>
        <v>INSERT INTO INYCEXT.INYC_CONF_INF_AGENTES (COD_INFORME,BO_GROUP,COMPANIA,ID_TIPO_AGENTE,TABLA,F_INICIO,F_FIN,DESCRIPCION) VALUES (103,'INYC Compensation Reports User Group - S5_E','03','82','INYC_S5_E_FACTURA,INYC_S5_E_POLIZAS',TO_DATE('20140101','yyyymmdd'),TO_DATE('22000101','yyyymmdd'),'');</v>
      </c>
    </row>
    <row r="786" spans="1:1" x14ac:dyDescent="0.25">
      <c r="A786" t="str">
        <f>IF(AGENTES!I787="OBSOLETO","","INSERT INTO INYCEXT.INYC_CONF_INF_AGENTES (COD_INFORME,BO_GROUP,COMPANIA,ID_TIPO_AGENTE,TABLA,F_INICIO,F_FIN,DESCRIPCION) VALUES ("&amp;AGENTES!B787&amp;",'"&amp;AGENTES!C787&amp;"','"&amp;AGENTES!D787&amp;"','"&amp;AGENTES!E787&amp;"','"&amp;AGENTES!F787&amp;"',TO_DATE('"&amp;AGENTES!G787&amp;"','yyyymmdd'),TO_DATE('"&amp;AGENTES!H787&amp;"','yyyymmdd'),'"&amp;AGENTES!I787&amp;"');")</f>
        <v>INSERT INTO INYCEXT.INYC_CONF_INF_AGENTES (COD_INFORME,BO_GROUP,COMPANIA,ID_TIPO_AGENTE,TABLA,F_INICIO,F_FIN,DESCRIPCION) VALUES (103,'INYC Compensation Reports User Group - S5_E','03','61','INYC_S5_E_FACTURA,INYC_S5_E_POLIZAS',TO_DATE('20140101','yyyymmdd'),TO_DATE('22000101','yyyymmdd'),'');</v>
      </c>
    </row>
    <row r="787" spans="1:1" x14ac:dyDescent="0.25">
      <c r="A787" t="str">
        <f>IF(AGENTES!I788="OBSOLETO","","INSERT INTO INYCEXT.INYC_CONF_INF_AGENTES (COD_INFORME,BO_GROUP,COMPANIA,ID_TIPO_AGENTE,TABLA,F_INICIO,F_FIN,DESCRIPCION) VALUES ("&amp;AGENTES!B788&amp;",'"&amp;AGENTES!C788&amp;"','"&amp;AGENTES!D788&amp;"','"&amp;AGENTES!E788&amp;"','"&amp;AGENTES!F788&amp;"',TO_DATE('"&amp;AGENTES!G788&amp;"','yyyymmdd'),TO_DATE('"&amp;AGENTES!H788&amp;"','yyyymmdd'),'"&amp;AGENTES!I788&amp;"');")</f>
        <v>INSERT INTO INYCEXT.INYC_CONF_INF_AGENTES (COD_INFORME,BO_GROUP,COMPANIA,ID_TIPO_AGENTE,TABLA,F_INICIO,F_FIN,DESCRIPCION) VALUES (106,'INYC Compensation Reports User Group - PEPA_E','03','301','INYC_PEPA_E_RESUMEN,INYC_PEPA_E_DETALLE',TO_DATE('20170101','yyyymmdd'),TO_DATE('22000101','yyyymmdd'),'Version 20170721');</v>
      </c>
    </row>
    <row r="788" spans="1:1" x14ac:dyDescent="0.25">
      <c r="A788" t="str">
        <f>IF(AGENTES!I789="OBSOLETO","","INSERT INTO INYCEXT.INYC_CONF_INF_AGENTES (COD_INFORME,BO_GROUP,COMPANIA,ID_TIPO_AGENTE,TABLA,F_INICIO,F_FIN,DESCRIPCION) VALUES ("&amp;AGENTES!B789&amp;",'"&amp;AGENTES!C789&amp;"','"&amp;AGENTES!D789&amp;"','"&amp;AGENTES!E789&amp;"','"&amp;AGENTES!F789&amp;"',TO_DATE('"&amp;AGENTES!G789&amp;"','yyyymmdd'),TO_DATE('"&amp;AGENTES!H789&amp;"','yyyymmdd'),'"&amp;AGENTES!I789&amp;"');")</f>
        <v>INSERT INTO INYCEXT.INYC_CONF_INF_AGENTES (COD_INFORME,BO_GROUP,COMPANIA,ID_TIPO_AGENTE,TABLA,F_INICIO,F_FIN,DESCRIPCION) VALUES (106,'INYC Compensation Reports User Group - PEPA_E','03','302','INYC_PEPA_E_RESUMEN,INYC_PEPA_E_DETALLE',TO_DATE('20170101','yyyymmdd'),TO_DATE('22000101','yyyymmdd'),'Version 20170721');</v>
      </c>
    </row>
    <row r="789" spans="1:1" x14ac:dyDescent="0.25">
      <c r="A789" t="str">
        <f>IF(AGENTES!I790="OBSOLETO","","INSERT INTO INYCEXT.INYC_CONF_INF_AGENTES (COD_INFORME,BO_GROUP,COMPANIA,ID_TIPO_AGENTE,TABLA,F_INICIO,F_FIN,DESCRIPCION) VALUES ("&amp;AGENTES!B790&amp;",'"&amp;AGENTES!C790&amp;"','"&amp;AGENTES!D790&amp;"','"&amp;AGENTES!E790&amp;"','"&amp;AGENTES!F790&amp;"',TO_DATE('"&amp;AGENTES!G790&amp;"','yyyymmdd'),TO_DATE('"&amp;AGENTES!H790&amp;"','yyyymmdd'),'"&amp;AGENTES!I790&amp;"');")</f>
        <v>INSERT INTO INYCEXT.INYC_CONF_INF_AGENTES (COD_INFORME,BO_GROUP,COMPANIA,ID_TIPO_AGENTE,TABLA,F_INICIO,F_FIN,DESCRIPCION) VALUES (106,'INYC Compensation Reports User Group - PEPA_E','03','303','INYC_PEPA_E_RESUMEN,INYC_PEPA_E_DETALLE',TO_DATE('20170101','yyyymmdd'),TO_DATE('22000101','yyyymmdd'),'Version 20170721');</v>
      </c>
    </row>
    <row r="790" spans="1:1" x14ac:dyDescent="0.25">
      <c r="A790" t="str">
        <f>IF(AGENTES!I791="OBSOLETO","","INSERT INTO INYCEXT.INYC_CONF_INF_AGENTES (COD_INFORME,BO_GROUP,COMPANIA,ID_TIPO_AGENTE,TABLA,F_INICIO,F_FIN,DESCRIPCION) VALUES ("&amp;AGENTES!B791&amp;",'"&amp;AGENTES!C791&amp;"','"&amp;AGENTES!D791&amp;"','"&amp;AGENTES!E791&amp;"','"&amp;AGENTES!F791&amp;"',TO_DATE('"&amp;AGENTES!G791&amp;"','yyyymmdd'),TO_DATE('"&amp;AGENTES!H791&amp;"','yyyymmdd'),'"&amp;AGENTES!I791&amp;"');")</f>
        <v>INSERT INTO INYCEXT.INYC_CONF_INF_AGENTES (COD_INFORME,BO_GROUP,COMPANIA,ID_TIPO_AGENTE,TABLA,F_INICIO,F_FIN,DESCRIPCION) VALUES (106,'INYC Compensation Reports User Group - PEPA_E','03','316','INYC_PEPA_E_RESUMEN,INYC_PEPA_E_DETALLE',TO_DATE('20170101','yyyymmdd'),TO_DATE('22000101','yyyymmdd'),'Version 20170602');</v>
      </c>
    </row>
    <row r="791" spans="1:1" x14ac:dyDescent="0.25">
      <c r="A791" t="str">
        <f>IF(AGENTES!I792="OBSOLETO","","INSERT INTO INYCEXT.INYC_CONF_INF_AGENTES (COD_INFORME,BO_GROUP,COMPANIA,ID_TIPO_AGENTE,TABLA,F_INICIO,F_FIN,DESCRIPCION) VALUES ("&amp;AGENTES!B792&amp;",'"&amp;AGENTES!C792&amp;"','"&amp;AGENTES!D792&amp;"','"&amp;AGENTES!E792&amp;"','"&amp;AGENTES!F792&amp;"',TO_DATE('"&amp;AGENTES!G792&amp;"','yyyymmdd'),TO_DATE('"&amp;AGENTES!H792&amp;"','yyyymmdd'),'"&amp;AGENTES!I792&amp;"');")</f>
        <v>INSERT INTO INYCEXT.INYC_CONF_INF_AGENTES (COD_INFORME,BO_GROUP,COMPANIA,ID_TIPO_AGENTE,TABLA,F_INICIO,F_FIN,DESCRIPCION) VALUES (106,'INYC Compensation Reports User Group - PEPA_E','03','317','INYC_PEPA_E_RESUMEN,INYC_PEPA_E_DETALLE',TO_DATE('20190201','yyyymmdd'),TO_DATE('22000101','yyyymmdd'),'Version 20190214');</v>
      </c>
    </row>
    <row r="792" spans="1:1" x14ac:dyDescent="0.25">
      <c r="A792" t="str">
        <f>IF(AGENTES!I793="OBSOLETO","","INSERT INTO INYCEXT.INYC_CONF_INF_AGENTES (COD_INFORME,BO_GROUP,COMPANIA,ID_TIPO_AGENTE,TABLA,F_INICIO,F_FIN,DESCRIPCION) VALUES ("&amp;AGENTES!B793&amp;",'"&amp;AGENTES!C793&amp;"','"&amp;AGENTES!D793&amp;"','"&amp;AGENTES!E793&amp;"','"&amp;AGENTES!F793&amp;"',TO_DATE('"&amp;AGENTES!G793&amp;"','yyyymmdd'),TO_DATE('"&amp;AGENTES!H793&amp;"','yyyymmdd'),'"&amp;AGENTES!I793&amp;"');")</f>
        <v>INSERT INTO INYCEXT.INYC_CONF_INF_AGENTES (COD_INFORME,BO_GROUP,COMPANIA,ID_TIPO_AGENTE,TABLA,F_INICIO,F_FIN,DESCRIPCION) VALUES (106,'INYC Compensation Reports User Group - PEPA_E','03','331','INYC_PEPA_E_RESUMEN,INYC_PEPA_E_DETALLE',TO_DATE('20170101','yyyymmdd'),TO_DATE('22000101','yyyymmdd'),'Version 20170721');</v>
      </c>
    </row>
    <row r="793" spans="1:1" x14ac:dyDescent="0.25">
      <c r="A793" t="str">
        <f>IF(AGENTES!I794="OBSOLETO","","INSERT INTO INYCEXT.INYC_CONF_INF_AGENTES (COD_INFORME,BO_GROUP,COMPANIA,ID_TIPO_AGENTE,TABLA,F_INICIO,F_FIN,DESCRIPCION) VALUES ("&amp;AGENTES!B794&amp;",'"&amp;AGENTES!C794&amp;"','"&amp;AGENTES!D794&amp;"','"&amp;AGENTES!E794&amp;"','"&amp;AGENTES!F794&amp;"',TO_DATE('"&amp;AGENTES!G794&amp;"','yyyymmdd'),TO_DATE('"&amp;AGENTES!H794&amp;"','yyyymmdd'),'"&amp;AGENTES!I794&amp;"');")</f>
        <v>INSERT INTO INYCEXT.INYC_CONF_INF_AGENTES (COD_INFORME,BO_GROUP,COMPANIA,ID_TIPO_AGENTE,TABLA,F_INICIO,F_FIN,DESCRIPCION) VALUES (106,'INYC Compensation Reports User Group - PEPA_E','03','332','INYC_PEPA_E_RESUMEN,INYC_PEPA_E_DETALLE',TO_DATE('20190101','yyyymmdd'),TO_DATE('22000101','yyyymmdd'),'Version 20190116');</v>
      </c>
    </row>
    <row r="794" spans="1:1" x14ac:dyDescent="0.25">
      <c r="A794" t="str">
        <f>IF(AGENTES!I795="OBSOLETO","","INSERT INTO INYCEXT.INYC_CONF_INF_AGENTES (COD_INFORME,BO_GROUP,COMPANIA,ID_TIPO_AGENTE,TABLA,F_INICIO,F_FIN,DESCRIPCION) VALUES ("&amp;AGENTES!B795&amp;",'"&amp;AGENTES!C795&amp;"','"&amp;AGENTES!D795&amp;"','"&amp;AGENTES!E795&amp;"','"&amp;AGENTES!F795&amp;"',TO_DATE('"&amp;AGENTES!G795&amp;"','yyyymmdd'),TO_DATE('"&amp;AGENTES!H795&amp;"','yyyymmdd'),'"&amp;AGENTES!I795&amp;"');")</f>
        <v>INSERT INTO INYCEXT.INYC_CONF_INF_AGENTES (COD_INFORME,BO_GROUP,COMPANIA,ID_TIPO_AGENTE,TABLA,F_INICIO,F_FIN,DESCRIPCION) VALUES (106,'INYC Compensation Reports User Group - PEPA_E','03','333','INYC_PEPA_E_RESUMEN,INYC_PEPA_E_DETALLE',TO_DATE('20190101','yyyymmdd'),TO_DATE('22000101','yyyymmdd'),'Version 20190116');</v>
      </c>
    </row>
    <row r="795" spans="1:1" x14ac:dyDescent="0.25">
      <c r="A795" t="str">
        <f>IF(AGENTES!I796="OBSOLETO","","INSERT INTO INYCEXT.INYC_CONF_INF_AGENTES (COD_INFORME,BO_GROUP,COMPANIA,ID_TIPO_AGENTE,TABLA,F_INICIO,F_FIN,DESCRIPCION) VALUES ("&amp;AGENTES!B796&amp;",'"&amp;AGENTES!C796&amp;"','"&amp;AGENTES!D796&amp;"','"&amp;AGENTES!E796&amp;"','"&amp;AGENTES!F796&amp;"',TO_DATE('"&amp;AGENTES!G796&amp;"','yyyymmdd'),TO_DATE('"&amp;AGENTES!H796&amp;"','yyyymmdd'),'"&amp;AGENTES!I796&amp;"');")</f>
        <v>INSERT INTO INYCEXT.INYC_CONF_INF_AGENTES (COD_INFORME,BO_GROUP,COMPANIA,ID_TIPO_AGENTE,TABLA,F_INICIO,F_FIN,DESCRIPCION) VALUES (106,'INYC Compensation Reports User Group - PEPA_E','03','334','INYC_PEPA_E_RESUMEN,INYC_PEPA_E_DETALLE',TO_DATE('20140101','yyyymmdd'),TO_DATE('20170101','yyyymmdd'),'Version 20170721');</v>
      </c>
    </row>
    <row r="796" spans="1:1" x14ac:dyDescent="0.25">
      <c r="A796" t="str">
        <f>IF(AGENTES!I797="OBSOLETO","","INSERT INTO INYCEXT.INYC_CONF_INF_AGENTES (COD_INFORME,BO_GROUP,COMPANIA,ID_TIPO_AGENTE,TABLA,F_INICIO,F_FIN,DESCRIPCION) VALUES ("&amp;AGENTES!B797&amp;",'"&amp;AGENTES!C797&amp;"','"&amp;AGENTES!D797&amp;"','"&amp;AGENTES!E797&amp;"','"&amp;AGENTES!F797&amp;"',TO_DATE('"&amp;AGENTES!G797&amp;"','yyyymmdd'),TO_DATE('"&amp;AGENTES!H797&amp;"','yyyymmdd'),'"&amp;AGENTES!I797&amp;"');")</f>
        <v>INSERT INTO INYCEXT.INYC_CONF_INF_AGENTES (COD_INFORME,BO_GROUP,COMPANIA,ID_TIPO_AGENTE,TABLA,F_INICIO,F_FIN,DESCRIPCION) VALUES (106,'INYC Compensation Reports User Group - PEPA_E','03','335','INYC_PEPA_E_RESUMEN,INYC_PEPA_E_DETALLE',TO_DATE('20140101','yyyymmdd'),TO_DATE('22000101','yyyymmdd'),'');</v>
      </c>
    </row>
    <row r="797" spans="1:1" x14ac:dyDescent="0.25">
      <c r="A797" t="str">
        <f>IF(AGENTES!I798="OBSOLETO","","INSERT INTO INYCEXT.INYC_CONF_INF_AGENTES (COD_INFORME,BO_GROUP,COMPANIA,ID_TIPO_AGENTE,TABLA,F_INICIO,F_FIN,DESCRIPCION) VALUES ("&amp;AGENTES!B798&amp;",'"&amp;AGENTES!C798&amp;"','"&amp;AGENTES!D798&amp;"','"&amp;AGENTES!E798&amp;"','"&amp;AGENTES!F798&amp;"',TO_DATE('"&amp;AGENTES!G798&amp;"','yyyymmdd'),TO_DATE('"&amp;AGENTES!H798&amp;"','yyyymmdd'),'"&amp;AGENTES!I798&amp;"');")</f>
        <v>INSERT INTO INYCEXT.INYC_CONF_INF_AGENTES (COD_INFORME,BO_GROUP,COMPANIA,ID_TIPO_AGENTE,TABLA,F_INICIO,F_FIN,DESCRIPCION) VALUES (106,'INYC Compensation Reports User Group - PEPA_E','03','340','INYC_PEPA_E_RESUMEN,INYC_PEPA_E_DETALLE',TO_DATE('20140101','yyyymmdd'),TO_DATE('22000101','yyyymmdd'),'');</v>
      </c>
    </row>
    <row r="798" spans="1:1" x14ac:dyDescent="0.25">
      <c r="A798" t="str">
        <f>IF(AGENTES!I799="OBSOLETO","","INSERT INTO INYCEXT.INYC_CONF_INF_AGENTES (COD_INFORME,BO_GROUP,COMPANIA,ID_TIPO_AGENTE,TABLA,F_INICIO,F_FIN,DESCRIPCION) VALUES ("&amp;AGENTES!B799&amp;",'"&amp;AGENTES!C799&amp;"','"&amp;AGENTES!D799&amp;"','"&amp;AGENTES!E799&amp;"','"&amp;AGENTES!F799&amp;"',TO_DATE('"&amp;AGENTES!G799&amp;"','yyyymmdd'),TO_DATE('"&amp;AGENTES!H799&amp;"','yyyymmdd'),'"&amp;AGENTES!I799&amp;"');")</f>
        <v>INSERT INTO INYCEXT.INYC_CONF_INF_AGENTES (COD_INFORME,BO_GROUP,COMPANIA,ID_TIPO_AGENTE,TABLA,F_INICIO,F_FIN,DESCRIPCION) VALUES (106,'INYC Compensation Reports User Group - PEPA_E','03','341','INYC_PEPA_E_RESUMEN,INYC_PEPA_E_DETALLE',TO_DATE('20200101','yyyymmdd'),TO_DATE('22000101','yyyymmdd'),'Version 20200506');</v>
      </c>
    </row>
    <row r="799" spans="1:1" x14ac:dyDescent="0.25">
      <c r="A799" t="str">
        <f>IF(AGENTES!I800="OBSOLETO","","INSERT INTO INYCEXT.INYC_CONF_INF_AGENTES (COD_INFORME,BO_GROUP,COMPANIA,ID_TIPO_AGENTE,TABLA,F_INICIO,F_FIN,DESCRIPCION) VALUES ("&amp;AGENTES!B800&amp;",'"&amp;AGENTES!C800&amp;"','"&amp;AGENTES!D800&amp;"','"&amp;AGENTES!E800&amp;"','"&amp;AGENTES!F800&amp;"',TO_DATE('"&amp;AGENTES!G800&amp;"','yyyymmdd'),TO_DATE('"&amp;AGENTES!H800&amp;"','yyyymmdd'),'"&amp;AGENTES!I800&amp;"');")</f>
        <v>INSERT INTO INYCEXT.INYC_CONF_INF_AGENTES (COD_INFORME,BO_GROUP,COMPANIA,ID_TIPO_AGENTE,TABLA,F_INICIO,F_FIN,DESCRIPCION) VALUES (107,'INYC Compensation Reports User Group - PEPI_E','03','52','INYC_PEPI_E_RESUMEN,INYC_PEPI_E_DETALLE',TO_DATE('20140101','yyyymmdd'),TO_DATE('22000101','yyyymmdd'),'');</v>
      </c>
    </row>
    <row r="800" spans="1:1" x14ac:dyDescent="0.25">
      <c r="A800" t="str">
        <f>IF(AGENTES!I801="OBSOLETO","","INSERT INTO INYCEXT.INYC_CONF_INF_AGENTES (COD_INFORME,BO_GROUP,COMPANIA,ID_TIPO_AGENTE,TABLA,F_INICIO,F_FIN,DESCRIPCION) VALUES ("&amp;AGENTES!B801&amp;",'"&amp;AGENTES!C801&amp;"','"&amp;AGENTES!D801&amp;"','"&amp;AGENTES!E801&amp;"','"&amp;AGENTES!F801&amp;"',TO_DATE('"&amp;AGENTES!G801&amp;"','yyyymmdd'),TO_DATE('"&amp;AGENTES!H801&amp;"','yyyymmdd'),'"&amp;AGENTES!I801&amp;"');")</f>
        <v>INSERT INTO INYCEXT.INYC_CONF_INF_AGENTES (COD_INFORME,BO_GROUP,COMPANIA,ID_TIPO_AGENTE,TABLA,F_INICIO,F_FIN,DESCRIPCION) VALUES (3,'INYC Compensation Reports User Group - RA','03','302','INYC_RA_RESUMEN,INYC_RA_DETALLE',TO_DATE('20140101','yyyymmdd'),TO_DATE('20170101','yyyymmdd'),'Version 20170602');</v>
      </c>
    </row>
    <row r="801" spans="1:1" x14ac:dyDescent="0.25">
      <c r="A801" t="str">
        <f>IF(AGENTES!I802="OBSOLETO","","INSERT INTO INYCEXT.INYC_CONF_INF_AGENTES (COD_INFORME,BO_GROUP,COMPANIA,ID_TIPO_AGENTE,TABLA,F_INICIO,F_FIN,DESCRIPCION) VALUES ("&amp;AGENTES!B802&amp;",'"&amp;AGENTES!C802&amp;"','"&amp;AGENTES!D802&amp;"','"&amp;AGENTES!E802&amp;"','"&amp;AGENTES!F802&amp;"',TO_DATE('"&amp;AGENTES!G802&amp;"','yyyymmdd'),TO_DATE('"&amp;AGENTES!H802&amp;"','yyyymmdd'),'"&amp;AGENTES!I802&amp;"');")</f>
        <v>INSERT INTO INYCEXT.INYC_CONF_INF_AGENTES (COD_INFORME,BO_GROUP,COMPANIA,ID_TIPO_AGENTE,TABLA,F_INICIO,F_FIN,DESCRIPCION) VALUES (3,'INYC Compensation Reports User Group - RA','03','303','INYC_RA_RESUMEN,INYC_RA_DETALLE',TO_DATE('20140101','yyyymmdd'),TO_DATE('20170101','yyyymmdd'),'Version 20170602');</v>
      </c>
    </row>
    <row r="802" spans="1:1" x14ac:dyDescent="0.25">
      <c r="A802" t="str">
        <f>IF(AGENTES!I803="OBSOLETO","","INSERT INTO INYCEXT.INYC_CONF_INF_AGENTES (COD_INFORME,BO_GROUP,COMPANIA,ID_TIPO_AGENTE,TABLA,F_INICIO,F_FIN,DESCRIPCION) VALUES ("&amp;AGENTES!B803&amp;",'"&amp;AGENTES!C803&amp;"','"&amp;AGENTES!D803&amp;"','"&amp;AGENTES!E803&amp;"','"&amp;AGENTES!F803&amp;"',TO_DATE('"&amp;AGENTES!G803&amp;"','yyyymmdd'),TO_DATE('"&amp;AGENTES!H803&amp;"','yyyymmdd'),'"&amp;AGENTES!I803&amp;"');")</f>
        <v>INSERT INTO INYCEXT.INYC_CONF_INF_AGENTES (COD_INFORME,BO_GROUP,COMPANIA,ID_TIPO_AGENTE,TABLA,F_INICIO,F_FIN,DESCRIPCION) VALUES (3,'INYC Compensation Reports User Group - RA','03','316','INYC_RA_RESUMEN,INYC_RA_DETALLE',TO_DATE('20170101','yyyymmdd'),TO_DATE('22000101','yyyymmdd'),'Version 20170602');</v>
      </c>
    </row>
    <row r="803" spans="1:1" x14ac:dyDescent="0.25">
      <c r="A803" t="str">
        <f>IF(AGENTES!I804="OBSOLETO","","INSERT INTO INYCEXT.INYC_CONF_INF_AGENTES (COD_INFORME,BO_GROUP,COMPANIA,ID_TIPO_AGENTE,TABLA,F_INICIO,F_FIN,DESCRIPCION) VALUES ("&amp;AGENTES!B804&amp;",'"&amp;AGENTES!C804&amp;"','"&amp;AGENTES!D804&amp;"','"&amp;AGENTES!E804&amp;"','"&amp;AGENTES!F804&amp;"',TO_DATE('"&amp;AGENTES!G804&amp;"','yyyymmdd'),TO_DATE('"&amp;AGENTES!H804&amp;"','yyyymmdd'),'"&amp;AGENTES!I804&amp;"');")</f>
        <v>INSERT INTO INYCEXT.INYC_CONF_INF_AGENTES (COD_INFORME,BO_GROUP,COMPANIA,ID_TIPO_AGENTE,TABLA,F_INICIO,F_FIN,DESCRIPCION) VALUES (3,'INYC Compensation Reports User Group - RA','03','317','INYC_RA_RESUMEN,INYC_RA_DETALLE',TO_DATE('20200101','yyyymmdd'),TO_DATE('22000101','yyyymmdd'),'Version 20200214');</v>
      </c>
    </row>
    <row r="804" spans="1:1" x14ac:dyDescent="0.25">
      <c r="A804" t="str">
        <f>IF(AGENTES!I805="OBSOLETO","","INSERT INTO INYCEXT.INYC_CONF_INF_AGENTES (COD_INFORME,BO_GROUP,COMPANIA,ID_TIPO_AGENTE,TABLA,F_INICIO,F_FIN,DESCRIPCION) VALUES ("&amp;AGENTES!B805&amp;",'"&amp;AGENTES!C805&amp;"','"&amp;AGENTES!D805&amp;"','"&amp;AGENTES!E805&amp;"','"&amp;AGENTES!F805&amp;"',TO_DATE('"&amp;AGENTES!G805&amp;"','yyyymmdd'),TO_DATE('"&amp;AGENTES!H805&amp;"','yyyymmdd'),'"&amp;AGENTES!I805&amp;"');")</f>
        <v>INSERT INTO INYCEXT.INYC_CONF_INF_AGENTES (COD_INFORME,BO_GROUP,COMPANIA,ID_TIPO_AGENTE,TABLA,F_INICIO,F_FIN,DESCRIPCION) VALUES (3,'INYC Compensation Reports User Group - RA','03','331','INYC_RA_RESUMEN,INYC_RA_DETALLE',TO_DATE('20140101','yyyymmdd'),TO_DATE('20170101','yyyymmdd'),'Version 20170602');</v>
      </c>
    </row>
    <row r="805" spans="1:1" x14ac:dyDescent="0.25">
      <c r="A805" t="str">
        <f>IF(AGENTES!I806="OBSOLETO","","INSERT INTO INYCEXT.INYC_CONF_INF_AGENTES (COD_INFORME,BO_GROUP,COMPANIA,ID_TIPO_AGENTE,TABLA,F_INICIO,F_FIN,DESCRIPCION) VALUES ("&amp;AGENTES!B806&amp;",'"&amp;AGENTES!C806&amp;"','"&amp;AGENTES!D806&amp;"','"&amp;AGENTES!E806&amp;"','"&amp;AGENTES!F806&amp;"',TO_DATE('"&amp;AGENTES!G806&amp;"','yyyymmdd'),TO_DATE('"&amp;AGENTES!H806&amp;"','yyyymmdd'),'"&amp;AGENTES!I806&amp;"');")</f>
        <v>INSERT INTO INYCEXT.INYC_CONF_INF_AGENTES (COD_INFORME,BO_GROUP,COMPANIA,ID_TIPO_AGENTE,TABLA,F_INICIO,F_FIN,DESCRIPCION) VALUES (3,'INYC Compensation Reports User Group - RA','03','334','INYC_RA_RESUMEN,INYC_RA_DETALLE',TO_DATE('20140101','yyyymmdd'),TO_DATE('20170101','yyyymmdd'),'Version 20170602');</v>
      </c>
    </row>
    <row r="806" spans="1:1" x14ac:dyDescent="0.25">
      <c r="A806" t="str">
        <f>IF(AGENTES!I807="OBSOLETO","","INSERT INTO INYCEXT.INYC_CONF_INF_AGENTES (COD_INFORME,BO_GROUP,COMPANIA,ID_TIPO_AGENTE,TABLA,F_INICIO,F_FIN,DESCRIPCION) VALUES ("&amp;AGENTES!B807&amp;",'"&amp;AGENTES!C807&amp;"','"&amp;AGENTES!D807&amp;"','"&amp;AGENTES!E807&amp;"','"&amp;AGENTES!F807&amp;"',TO_DATE('"&amp;AGENTES!G807&amp;"','yyyymmdd'),TO_DATE('"&amp;AGENTES!H807&amp;"','yyyymmdd'),'"&amp;AGENTES!I807&amp;"');")</f>
        <v>INSERT INTO INYCEXT.INYC_CONF_INF_AGENTES (COD_INFORME,BO_GROUP,COMPANIA,ID_TIPO_AGENTE,TABLA,F_INICIO,F_FIN,DESCRIPCION) VALUES (3,'INYC Compensation Reports User Group - RA','03','332','INYC_RA_RESUMEN,INYC_RA_DETALLE',TO_DATE('20190101','yyyymmdd'),TO_DATE('22000101','yyyymmdd'),'Version 20190116');</v>
      </c>
    </row>
    <row r="807" spans="1:1" x14ac:dyDescent="0.25">
      <c r="A807" t="str">
        <f>IF(AGENTES!I808="OBSOLETO","","INSERT INTO INYCEXT.INYC_CONF_INF_AGENTES (COD_INFORME,BO_GROUP,COMPANIA,ID_TIPO_AGENTE,TABLA,F_INICIO,F_FIN,DESCRIPCION) VALUES ("&amp;AGENTES!B808&amp;",'"&amp;AGENTES!C808&amp;"','"&amp;AGENTES!D808&amp;"','"&amp;AGENTES!E808&amp;"','"&amp;AGENTES!F808&amp;"',TO_DATE('"&amp;AGENTES!G808&amp;"','yyyymmdd'),TO_DATE('"&amp;AGENTES!H808&amp;"','yyyymmdd'),'"&amp;AGENTES!I808&amp;"');")</f>
        <v>INSERT INTO INYCEXT.INYC_CONF_INF_AGENTES (COD_INFORME,BO_GROUP,COMPANIA,ID_TIPO_AGENTE,TABLA,F_INICIO,F_FIN,DESCRIPCION) VALUES (3,'INYC Compensation Reports User Group - RA','03','333','INYC_RA_RESUMEN,INYC_RA_DETALLE',TO_DATE('20190101','yyyymmdd'),TO_DATE('22000101','yyyymmdd'),'Version 20190116');</v>
      </c>
    </row>
    <row r="808" spans="1:1" x14ac:dyDescent="0.25">
      <c r="A808" t="str">
        <f>IF(AGENTES!I809="OBSOLETO","","INSERT INTO INYCEXT.INYC_CONF_INF_AGENTES (COD_INFORME,BO_GROUP,COMPANIA,ID_TIPO_AGENTE,TABLA,F_INICIO,F_FIN,DESCRIPCION) VALUES ("&amp;AGENTES!B809&amp;",'"&amp;AGENTES!C809&amp;"','"&amp;AGENTES!D809&amp;"','"&amp;AGENTES!E809&amp;"','"&amp;AGENTES!F809&amp;"',TO_DATE('"&amp;AGENTES!G809&amp;"','yyyymmdd'),TO_DATE('"&amp;AGENTES!H809&amp;"','yyyymmdd'),'"&amp;AGENTES!I809&amp;"');")</f>
        <v>INSERT INTO INYCEXT.INYC_CONF_INF_AGENTES (COD_INFORME,BO_GROUP,COMPANIA,ID_TIPO_AGENTE,TABLA,F_INICIO,F_FIN,DESCRIPCION) VALUES (3,'INYC Compensation Reports User Group - RA','03','341','INYC_RA_RESUMEN,INYC_RA_DETALLE',TO_DATE('20200101','yyyymmdd'),TO_DATE('22000101','yyyymmdd'),'Version 20200506');</v>
      </c>
    </row>
    <row r="809" spans="1:1" x14ac:dyDescent="0.25">
      <c r="A809" t="str">
        <f>IF(AGENTES!I810="OBSOLETO","","INSERT INTO INYCEXT.INYC_CONF_INF_AGENTES (COD_INFORME,BO_GROUP,COMPANIA,ID_TIPO_AGENTE,TABLA,F_INICIO,F_FIN,DESCRIPCION) VALUES ("&amp;AGENTES!B810&amp;",'"&amp;AGENTES!C810&amp;"','"&amp;AGENTES!D810&amp;"','"&amp;AGENTES!E810&amp;"','"&amp;AGENTES!F810&amp;"',TO_DATE('"&amp;AGENTES!G810&amp;"','yyyymmdd'),TO_DATE('"&amp;AGENTES!H810&amp;"','yyyymmdd'),'"&amp;AGENTES!I810&amp;"');")</f>
        <v>INSERT INTO INYCEXT.INYC_CONF_INF_AGENTES (COD_INFORME,BO_GROUP,COMPANIA,ID_TIPO_AGENTE,TABLA,F_INICIO,F_FIN,DESCRIPCION) VALUES (4,'INYC Compensation Reports User Group - Concurso','03','301','INYC_CONCURSO',TO_DATE('20140101','yyyymmdd'),TO_DATE('22000101','yyyymmdd'),'');</v>
      </c>
    </row>
    <row r="810" spans="1:1" x14ac:dyDescent="0.25">
      <c r="A810" t="str">
        <f>IF(AGENTES!I811="OBSOLETO","","INSERT INTO INYCEXT.INYC_CONF_INF_AGENTES (COD_INFORME,BO_GROUP,COMPANIA,ID_TIPO_AGENTE,TABLA,F_INICIO,F_FIN,DESCRIPCION) VALUES ("&amp;AGENTES!B811&amp;",'"&amp;AGENTES!C811&amp;"','"&amp;AGENTES!D811&amp;"','"&amp;AGENTES!E811&amp;"','"&amp;AGENTES!F811&amp;"',TO_DATE('"&amp;AGENTES!G811&amp;"','yyyymmdd'),TO_DATE('"&amp;AGENTES!H811&amp;"','yyyymmdd'),'"&amp;AGENTES!I811&amp;"');")</f>
        <v>INSERT INTO INYCEXT.INYC_CONF_INF_AGENTES (COD_INFORME,BO_GROUP,COMPANIA,ID_TIPO_AGENTE,TABLA,F_INICIO,F_FIN,DESCRIPCION) VALUES (4,'INYC Compensation Reports User Group - Concurso','03','303','INYC_CONCURSO',TO_DATE('20140101','yyyymmdd'),TO_DATE('22000101','yyyymmdd'),'');</v>
      </c>
    </row>
    <row r="811" spans="1:1" x14ac:dyDescent="0.25">
      <c r="A811" t="str">
        <f>IF(AGENTES!I812="OBSOLETO","","INSERT INTO INYCEXT.INYC_CONF_INF_AGENTES (COD_INFORME,BO_GROUP,COMPANIA,ID_TIPO_AGENTE,TABLA,F_INICIO,F_FIN,DESCRIPCION) VALUES ("&amp;AGENTES!B812&amp;",'"&amp;AGENTES!C812&amp;"','"&amp;AGENTES!D812&amp;"','"&amp;AGENTES!E812&amp;"','"&amp;AGENTES!F812&amp;"',TO_DATE('"&amp;AGENTES!G812&amp;"','yyyymmdd'),TO_DATE('"&amp;AGENTES!H812&amp;"','yyyymmdd'),'"&amp;AGENTES!I812&amp;"');")</f>
        <v>INSERT INTO INYCEXT.INYC_CONF_INF_AGENTES (COD_INFORME,BO_GROUP,COMPANIA,ID_TIPO_AGENTE,TABLA,F_INICIO,F_FIN,DESCRIPCION) VALUES (4,'INYC Compensation Reports User Group - Concurso','03','331','INYC_CONCURSO',TO_DATE('20140101','yyyymmdd'),TO_DATE('22000101','yyyymmdd'),'');</v>
      </c>
    </row>
    <row r="812" spans="1:1" x14ac:dyDescent="0.25">
      <c r="A812" t="str">
        <f>IF(AGENTES!I813="OBSOLETO","","INSERT INTO INYCEXT.INYC_CONF_INF_AGENTES (COD_INFORME,BO_GROUP,COMPANIA,ID_TIPO_AGENTE,TABLA,F_INICIO,F_FIN,DESCRIPCION) VALUES ("&amp;AGENTES!B813&amp;",'"&amp;AGENTES!C813&amp;"','"&amp;AGENTES!D813&amp;"','"&amp;AGENTES!E813&amp;"','"&amp;AGENTES!F813&amp;"',TO_DATE('"&amp;AGENTES!G813&amp;"','yyyymmdd'),TO_DATE('"&amp;AGENTES!H813&amp;"','yyyymmdd'),'"&amp;AGENTES!I813&amp;"');")</f>
        <v>INSERT INTO INYCEXT.INYC_CONF_INF_AGENTES (COD_INFORME,BO_GROUP,COMPANIA,ID_TIPO_AGENTE,TABLA,F_INICIO,F_FIN,DESCRIPCION) VALUES (4,'INYC Compensation Reports User Group - Concurso','03','334','INYC_CONCURSO',TO_DATE('20140101','yyyymmdd'),TO_DATE('22000101','yyyymmdd'),'');</v>
      </c>
    </row>
    <row r="813" spans="1:1" x14ac:dyDescent="0.25">
      <c r="A813" t="str">
        <f>IF(AGENTES!I814="OBSOLETO","","INSERT INTO INYCEXT.INYC_CONF_INF_AGENTES (COD_INFORME,BO_GROUP,COMPANIA,ID_TIPO_AGENTE,TABLA,F_INICIO,F_FIN,DESCRIPCION) VALUES ("&amp;AGENTES!B814&amp;",'"&amp;AGENTES!C814&amp;"','"&amp;AGENTES!D814&amp;"','"&amp;AGENTES!E814&amp;"','"&amp;AGENTES!F814&amp;"',TO_DATE('"&amp;AGENTES!G814&amp;"','yyyymmdd'),TO_DATE('"&amp;AGENTES!H814&amp;"','yyyymmdd'),'"&amp;AGENTES!I814&amp;"');")</f>
        <v>INSERT INTO INYCEXT.INYC_CONF_INF_AGENTES (COD_INFORME,BO_GROUP,COMPANIA,ID_TIPO_AGENTE,TABLA,F_INICIO,F_FIN,DESCRIPCION) VALUES (13,'INYC Compensation Reports User Group - DIF_E','03','54','INYC_DIF_E_RESUMEN,INYC_DIF_E_DETALLE',TO_DATE('20140101','yyyymmdd'),TO_DATE('22000101','yyyymmdd'),'');</v>
      </c>
    </row>
    <row r="814" spans="1:1" x14ac:dyDescent="0.25">
      <c r="A814" t="str">
        <f>IF(AGENTES!I815="OBSOLETO","","INSERT INTO INYCEXT.INYC_CONF_INF_AGENTES (COD_INFORME,BO_GROUP,COMPANIA,ID_TIPO_AGENTE,TABLA,F_INICIO,F_FIN,DESCRIPCION) VALUES ("&amp;AGENTES!B815&amp;",'"&amp;AGENTES!C815&amp;"','"&amp;AGENTES!D815&amp;"','"&amp;AGENTES!E815&amp;"','"&amp;AGENTES!F815&amp;"',TO_DATE('"&amp;AGENTES!G815&amp;"','yyyymmdd'),TO_DATE('"&amp;AGENTES!H815&amp;"','yyyymmdd'),'"&amp;AGENTES!I815&amp;"');")</f>
        <v>INSERT INTO INYCEXT.INYC_CONF_INF_AGENTES (COD_INFORME,BO_GROUP,COMPANIA,ID_TIPO_AGENTE,TABLA,F_INICIO,F_FIN,DESCRIPCION) VALUES (13,'INYC Compensation Reports User Group - DIF_E','03','56','INYC_DIF_E_RESUMEN,INYC_DIF_E_DETALLE',TO_DATE('20140101','yyyymmdd'),TO_DATE('22000101','yyyymmdd'),'');</v>
      </c>
    </row>
    <row r="815" spans="1:1" x14ac:dyDescent="0.25">
      <c r="A815" t="str">
        <f>IF(AGENTES!I816="OBSOLETO","","INSERT INTO INYCEXT.INYC_CONF_INF_AGENTES (COD_INFORME,BO_GROUP,COMPANIA,ID_TIPO_AGENTE,TABLA,F_INICIO,F_FIN,DESCRIPCION) VALUES ("&amp;AGENTES!B816&amp;",'"&amp;AGENTES!C816&amp;"','"&amp;AGENTES!D816&amp;"','"&amp;AGENTES!E816&amp;"','"&amp;AGENTES!F816&amp;"',TO_DATE('"&amp;AGENTES!G816&amp;"','yyyymmdd'),TO_DATE('"&amp;AGENTES!H816&amp;"','yyyymmdd'),'"&amp;AGENTES!I816&amp;"');")</f>
        <v>INSERT INTO INYCEXT.INYC_CONF_INF_AGENTES (COD_INFORME,BO_GROUP,COMPANIA,ID_TIPO_AGENTE,TABLA,F_INICIO,F_FIN,DESCRIPCION) VALUES (13,'INYC Compensation Reports User Group - DIF_E','03','57','INYC_DIF_E_RESUMEN,INYC_DIF_E_DETALLE',TO_DATE('20140101','yyyymmdd'),TO_DATE('22000101','yyyymmdd'),'');</v>
      </c>
    </row>
    <row r="816" spans="1:1" x14ac:dyDescent="0.25">
      <c r="A816" t="str">
        <f>IF(AGENTES!I817="OBSOLETO","","INSERT INTO INYCEXT.INYC_CONF_INF_AGENTES (COD_INFORME,BO_GROUP,COMPANIA,ID_TIPO_AGENTE,TABLA,F_INICIO,F_FIN,DESCRIPCION) VALUES ("&amp;AGENTES!B817&amp;",'"&amp;AGENTES!C817&amp;"','"&amp;AGENTES!D817&amp;"','"&amp;AGENTES!E817&amp;"','"&amp;AGENTES!F817&amp;"',TO_DATE('"&amp;AGENTES!G817&amp;"','yyyymmdd'),TO_DATE('"&amp;AGENTES!H817&amp;"','yyyymmdd'),'"&amp;AGENTES!I817&amp;"');")</f>
        <v>INSERT INTO INYCEXT.INYC_CONF_INF_AGENTES (COD_INFORME,BO_GROUP,COMPANIA,ID_TIPO_AGENTE,TABLA,F_INICIO,F_FIN,DESCRIPCION) VALUES (13,'INYC Compensation Reports User Group - DIF_E','03','58','INYC_DIF_E_RESUMEN,INYC_DIF_E_DETALLE',TO_DATE('20140101','yyyymmdd'),TO_DATE('22000101','yyyymmdd'),'');</v>
      </c>
    </row>
    <row r="817" spans="1:1" x14ac:dyDescent="0.25">
      <c r="A817" t="str">
        <f>IF(AGENTES!I818="OBSOLETO","","INSERT INTO INYCEXT.INYC_CONF_INF_AGENTES (COD_INFORME,BO_GROUP,COMPANIA,ID_TIPO_AGENTE,TABLA,F_INICIO,F_FIN,DESCRIPCION) VALUES ("&amp;AGENTES!B818&amp;",'"&amp;AGENTES!C818&amp;"','"&amp;AGENTES!D818&amp;"','"&amp;AGENTES!E818&amp;"','"&amp;AGENTES!F818&amp;"',TO_DATE('"&amp;AGENTES!G818&amp;"','yyyymmdd'),TO_DATE('"&amp;AGENTES!H818&amp;"','yyyymmdd'),'"&amp;AGENTES!I818&amp;"');")</f>
        <v>INSERT INTO INYCEXT.INYC_CONF_INF_AGENTES (COD_INFORME,BO_GROUP,COMPANIA,ID_TIPO_AGENTE,TABLA,F_INICIO,F_FIN,DESCRIPCION) VALUES (13,'INYC Compensation Reports User Group - DIF_E','03','59','INYC_DIF_E_RESUMEN,INYC_DIF_E_DETALLE',TO_DATE('20140101','yyyymmdd'),TO_DATE('22000101','yyyymmdd'),'');</v>
      </c>
    </row>
    <row r="818" spans="1:1" x14ac:dyDescent="0.25">
      <c r="A818" t="str">
        <f>IF(AGENTES!I819="OBSOLETO","","INSERT INTO INYCEXT.INYC_CONF_INF_AGENTES (COD_INFORME,BO_GROUP,COMPANIA,ID_TIPO_AGENTE,TABLA,F_INICIO,F_FIN,DESCRIPCION) VALUES ("&amp;AGENTES!B819&amp;",'"&amp;AGENTES!C819&amp;"','"&amp;AGENTES!D819&amp;"','"&amp;AGENTES!E819&amp;"','"&amp;AGENTES!F819&amp;"',TO_DATE('"&amp;AGENTES!G819&amp;"','yyyymmdd'),TO_DATE('"&amp;AGENTES!H819&amp;"','yyyymmdd'),'"&amp;AGENTES!I819&amp;"');")</f>
        <v>INSERT INTO INYCEXT.INYC_CONF_INF_AGENTES (COD_INFORME,BO_GROUP,COMPANIA,ID_TIPO_AGENTE,TABLA,F_INICIO,F_FIN,DESCRIPCION) VALUES (13,'INYC Compensation Reports User Group - DIF_E','03','60','INYC_DIF_E_RESUMEN,INYC_DIF_E_DETALLE',TO_DATE('20200101','yyyymmdd'),TO_DATE('22000101','yyyymmdd'),'Version 20200526');</v>
      </c>
    </row>
    <row r="819" spans="1:1" x14ac:dyDescent="0.25">
      <c r="A819" t="str">
        <f>IF(AGENTES!I820="OBSOLETO","","INSERT INTO INYCEXT.INYC_CONF_INF_AGENTES (COD_INFORME,BO_GROUP,COMPANIA,ID_TIPO_AGENTE,TABLA,F_INICIO,F_FIN,DESCRIPCION) VALUES ("&amp;AGENTES!B820&amp;",'"&amp;AGENTES!C820&amp;"','"&amp;AGENTES!D820&amp;"','"&amp;AGENTES!E820&amp;"','"&amp;AGENTES!F820&amp;"',TO_DATE('"&amp;AGENTES!G820&amp;"','yyyymmdd'),TO_DATE('"&amp;AGENTES!H820&amp;"','yyyymmdd'),'"&amp;AGENTES!I820&amp;"');")</f>
        <v>INSERT INTO INYCEXT.INYC_CONF_INF_AGENTES (COD_INFORME,BO_GROUP,COMPANIA,ID_TIPO_AGENTE,TABLA,F_INICIO,F_FIN,DESCRIPCION) VALUES (13,'INYC Compensation Reports User Group - DIF_E','03','61','INYC_DIF_E_RESUMEN,INYC_DIF_E_DETALLE',TO_DATE('20140101','yyyymmdd'),TO_DATE('22000101','yyyymmdd'),'');</v>
      </c>
    </row>
    <row r="820" spans="1:1" x14ac:dyDescent="0.25">
      <c r="A820" t="str">
        <f>IF(AGENTES!I821="OBSOLETO","","INSERT INTO INYCEXT.INYC_CONF_INF_AGENTES (COD_INFORME,BO_GROUP,COMPANIA,ID_TIPO_AGENTE,TABLA,F_INICIO,F_FIN,DESCRIPCION) VALUES ("&amp;AGENTES!B821&amp;",'"&amp;AGENTES!C821&amp;"','"&amp;AGENTES!D821&amp;"','"&amp;AGENTES!E821&amp;"','"&amp;AGENTES!F821&amp;"',TO_DATE('"&amp;AGENTES!G821&amp;"','yyyymmdd'),TO_DATE('"&amp;AGENTES!H821&amp;"','yyyymmdd'),'"&amp;AGENTES!I821&amp;"');")</f>
        <v>INSERT INTO INYCEXT.INYC_CONF_INF_AGENTES (COD_INFORME,BO_GROUP,COMPANIA,ID_TIPO_AGENTE,TABLA,F_INICIO,F_FIN,DESCRIPCION) VALUES (13,'INYC Compensation Reports User Group - DIF_E','03','62','INYC_DIF_E_RESUMEN,INYC_DIF_E_DETALLE',TO_DATE('20140101','yyyymmdd'),TO_DATE('22000101','yyyymmdd'),'');</v>
      </c>
    </row>
    <row r="821" spans="1:1" x14ac:dyDescent="0.25">
      <c r="A821" t="str">
        <f>IF(AGENTES!I822="OBSOLETO","","INSERT INTO INYCEXT.INYC_CONF_INF_AGENTES (COD_INFORME,BO_GROUP,COMPANIA,ID_TIPO_AGENTE,TABLA,F_INICIO,F_FIN,DESCRIPCION) VALUES ("&amp;AGENTES!B822&amp;",'"&amp;AGENTES!C822&amp;"','"&amp;AGENTES!D822&amp;"','"&amp;AGENTES!E822&amp;"','"&amp;AGENTES!F822&amp;"',TO_DATE('"&amp;AGENTES!G822&amp;"','yyyymmdd'),TO_DATE('"&amp;AGENTES!H822&amp;"','yyyymmdd'),'"&amp;AGENTES!I822&amp;"');")</f>
        <v>INSERT INTO INYCEXT.INYC_CONF_INF_AGENTES (COD_INFORME,BO_GROUP,COMPANIA,ID_TIPO_AGENTE,TABLA,F_INICIO,F_FIN,DESCRIPCION) VALUES (13,'INYC Compensation Reports User Group - DIF_E','03','65','INYC_DIF_E_RESUMEN,INYC_DIF_E_DETALLE',TO_DATE('20140101','yyyymmdd'),TO_DATE('22000101','yyyymmdd'),'');</v>
      </c>
    </row>
    <row r="822" spans="1:1" x14ac:dyDescent="0.25">
      <c r="A822" t="str">
        <f>IF(AGENTES!I823="OBSOLETO","","INSERT INTO INYCEXT.INYC_CONF_INF_AGENTES (COD_INFORME,BO_GROUP,COMPANIA,ID_TIPO_AGENTE,TABLA,F_INICIO,F_FIN,DESCRIPCION) VALUES ("&amp;AGENTES!B823&amp;",'"&amp;AGENTES!C823&amp;"','"&amp;AGENTES!D823&amp;"','"&amp;AGENTES!E823&amp;"','"&amp;AGENTES!F823&amp;"',TO_DATE('"&amp;AGENTES!G823&amp;"','yyyymmdd'),TO_DATE('"&amp;AGENTES!H823&amp;"','yyyymmdd'),'"&amp;AGENTES!I823&amp;"');")</f>
        <v>INSERT INTO INYCEXT.INYC_CONF_INF_AGENTES (COD_INFORME,BO_GROUP,COMPANIA,ID_TIPO_AGENTE,TABLA,F_INICIO,F_FIN,DESCRIPCION) VALUES (13,'INYC Compensation Reports User Group - DIF_E','03','70','INYC_DIF_E_RESUMEN,INYC_DIF_E_DETALLE',TO_DATE('20140101','yyyymmdd'),TO_DATE('22000101','yyyymmdd'),'');</v>
      </c>
    </row>
    <row r="823" spans="1:1" x14ac:dyDescent="0.25">
      <c r="A823" t="str">
        <f>IF(AGENTES!I824="OBSOLETO","","INSERT INTO INYCEXT.INYC_CONF_INF_AGENTES (COD_INFORME,BO_GROUP,COMPANIA,ID_TIPO_AGENTE,TABLA,F_INICIO,F_FIN,DESCRIPCION) VALUES ("&amp;AGENTES!B824&amp;",'"&amp;AGENTES!C824&amp;"','"&amp;AGENTES!D824&amp;"','"&amp;AGENTES!E824&amp;"','"&amp;AGENTES!F824&amp;"',TO_DATE('"&amp;AGENTES!G824&amp;"','yyyymmdd'),TO_DATE('"&amp;AGENTES!H824&amp;"','yyyymmdd'),'"&amp;AGENTES!I824&amp;"');")</f>
        <v>INSERT INTO INYCEXT.INYC_CONF_INF_AGENTES (COD_INFORME,BO_GROUP,COMPANIA,ID_TIPO_AGENTE,TABLA,F_INICIO,F_FIN,DESCRIPCION) VALUES (13,'INYC Compensation Reports User Group - DIF_E','03','71','INYC_DIF_E_RESUMEN,INYC_DIF_E_DETALLE',TO_DATE('20140101','yyyymmdd'),TO_DATE('22000101','yyyymmdd'),'');</v>
      </c>
    </row>
    <row r="824" spans="1:1" x14ac:dyDescent="0.25">
      <c r="A824" t="str">
        <f>IF(AGENTES!I825="OBSOLETO","","INSERT INTO INYCEXT.INYC_CONF_INF_AGENTES (COD_INFORME,BO_GROUP,COMPANIA,ID_TIPO_AGENTE,TABLA,F_INICIO,F_FIN,DESCRIPCION) VALUES ("&amp;AGENTES!B825&amp;",'"&amp;AGENTES!C825&amp;"','"&amp;AGENTES!D825&amp;"','"&amp;AGENTES!E825&amp;"','"&amp;AGENTES!F825&amp;"',TO_DATE('"&amp;AGENTES!G825&amp;"','yyyymmdd'),TO_DATE('"&amp;AGENTES!H825&amp;"','yyyymmdd'),'"&amp;AGENTES!I825&amp;"');")</f>
        <v>INSERT INTO INYCEXT.INYC_CONF_INF_AGENTES (COD_INFORME,BO_GROUP,COMPANIA,ID_TIPO_AGENTE,TABLA,F_INICIO,F_FIN,DESCRIPCION) VALUES (13,'INYC Compensation Reports User Group - DIF_E','03','72','INYC_DIF_E_RESUMEN,INYC_DIF_E_DETALLE',TO_DATE('20140101','yyyymmdd'),TO_DATE('22000101','yyyymmdd'),'');</v>
      </c>
    </row>
    <row r="825" spans="1:1" x14ac:dyDescent="0.25">
      <c r="A825" t="str">
        <f>IF(AGENTES!I826="OBSOLETO","","INSERT INTO INYCEXT.INYC_CONF_INF_AGENTES (COD_INFORME,BO_GROUP,COMPANIA,ID_TIPO_AGENTE,TABLA,F_INICIO,F_FIN,DESCRIPCION) VALUES ("&amp;AGENTES!B826&amp;",'"&amp;AGENTES!C826&amp;"','"&amp;AGENTES!D826&amp;"','"&amp;AGENTES!E826&amp;"','"&amp;AGENTES!F826&amp;"',TO_DATE('"&amp;AGENTES!G826&amp;"','yyyymmdd'),TO_DATE('"&amp;AGENTES!H826&amp;"','yyyymmdd'),'"&amp;AGENTES!I826&amp;"');")</f>
        <v>INSERT INTO INYCEXT.INYC_CONF_INF_AGENTES (COD_INFORME,BO_GROUP,COMPANIA,ID_TIPO_AGENTE,TABLA,F_INICIO,F_FIN,DESCRIPCION) VALUES (13,'INYC Compensation Reports User Group - DIF_E','03','74','INYC_DIF_E_RESUMEN,INYC_DIF_E_DETALLE',TO_DATE('20140101','yyyymmdd'),TO_DATE('22000101','yyyymmdd'),'');</v>
      </c>
    </row>
    <row r="826" spans="1:1" x14ac:dyDescent="0.25">
      <c r="A826" t="str">
        <f>IF(AGENTES!I827="OBSOLETO","","INSERT INTO INYCEXT.INYC_CONF_INF_AGENTES (COD_INFORME,BO_GROUP,COMPANIA,ID_TIPO_AGENTE,TABLA,F_INICIO,F_FIN,DESCRIPCION) VALUES ("&amp;AGENTES!B827&amp;",'"&amp;AGENTES!C827&amp;"','"&amp;AGENTES!D827&amp;"','"&amp;AGENTES!E827&amp;"','"&amp;AGENTES!F827&amp;"',TO_DATE('"&amp;AGENTES!G827&amp;"','yyyymmdd'),TO_DATE('"&amp;AGENTES!H827&amp;"','yyyymmdd'),'"&amp;AGENTES!I827&amp;"');")</f>
        <v>INSERT INTO INYCEXT.INYC_CONF_INF_AGENTES (COD_INFORME,BO_GROUP,COMPANIA,ID_TIPO_AGENTE,TABLA,F_INICIO,F_FIN,DESCRIPCION) VALUES (13,'INYC Compensation Reports User Group - DIF_E','03','82','INYC_DIF_E_RESUMEN,INYC_DIF_E_DETALLE',TO_DATE('20140101','yyyymmdd'),TO_DATE('22000101','yyyymmdd'),'');</v>
      </c>
    </row>
    <row r="827" spans="1:1" x14ac:dyDescent="0.25">
      <c r="A827" t="str">
        <f>IF(AGENTES!I828="OBSOLETO","","INSERT INTO INYCEXT.INYC_CONF_INF_AGENTES (COD_INFORME,BO_GROUP,COMPANIA,ID_TIPO_AGENTE,TABLA,F_INICIO,F_FIN,DESCRIPCION) VALUES ("&amp;AGENTES!B828&amp;",'"&amp;AGENTES!C828&amp;"','"&amp;AGENTES!D828&amp;"','"&amp;AGENTES!E828&amp;"','"&amp;AGENTES!F828&amp;"',TO_DATE('"&amp;AGENTES!G828&amp;"','yyyymmdd'),TO_DATE('"&amp;AGENTES!H828&amp;"','yyyymmdd'),'"&amp;AGENTES!I828&amp;"');")</f>
        <v>INSERT INTO INYCEXT.INYC_CONF_INF_AGENTES (COD_INFORME,BO_GROUP,COMPANIA,ID_TIPO_AGENTE,TABLA,F_INICIO,F_FIN,DESCRIPCION) VALUES (3,3,'INYC Compensation Reports User Group - PEAG_E','03','3','INYC_PERC_E_AGENTES',TO_DATE('20220101','yyyymmdd'),TO_DATE('22000101','yyyymmdd'),'');</v>
      </c>
    </row>
    <row r="828" spans="1:1" x14ac:dyDescent="0.25">
      <c r="A828" t="str">
        <f>IF(AGENTES!I829="OBSOLETO","","INSERT INTO INYCEXT.INYC_CONF_INF_AGENTES (COD_INFORME,BO_GROUP,COMPANIA,ID_TIPO_AGENTE,TABLA,F_INICIO,F_FIN,DESCRIPCION) VALUES ("&amp;AGENTES!B829&amp;",'"&amp;AGENTES!C829&amp;"','"&amp;AGENTES!D829&amp;"','"&amp;AGENTES!E829&amp;"','"&amp;AGENTES!F829&amp;"',TO_DATE('"&amp;AGENTES!G829&amp;"','yyyymmdd'),TO_DATE('"&amp;AGENTES!H829&amp;"','yyyymmdd'),'"&amp;AGENTES!I829&amp;"');")</f>
        <v>INSERT INTO INYCEXT.INYC_CONF_INF_AGENTES (COD_INFORME,BO_GROUP,COMPANIA,ID_TIPO_AGENTE,TABLA,F_INICIO,F_FIN,DESCRIPCION) VALUES (3,3,'INYC Compensation Reports User Group - PEAG_E','03','4','INYC_PERC_E_AGENTES',TO_DATE('20220101','yyyymmdd'),TO_DATE('22000101','yyyymmdd'),'');</v>
      </c>
    </row>
    <row r="829" spans="1:1" x14ac:dyDescent="0.25">
      <c r="A829" t="str">
        <f>IF(AGENTES!I830="OBSOLETO","","INSERT INTO INYCEXT.INYC_CONF_INF_AGENTES (COD_INFORME,BO_GROUP,COMPANIA,ID_TIPO_AGENTE,TABLA,F_INICIO,F_FIN,DESCRIPCION) VALUES ("&amp;AGENTES!B830&amp;",'"&amp;AGENTES!C830&amp;"','"&amp;AGENTES!D830&amp;"','"&amp;AGENTES!E830&amp;"','"&amp;AGENTES!F830&amp;"',TO_DATE('"&amp;AGENTES!G830&amp;"','yyyymmdd'),TO_DATE('"&amp;AGENTES!H830&amp;"','yyyymmdd'),'"&amp;AGENTES!I830&amp;"');")</f>
        <v>INSERT INTO INYCEXT.INYC_CONF_INF_AGENTES (COD_INFORME,BO_GROUP,COMPANIA,ID_TIPO_AGENTE,TABLA,F_INICIO,F_FIN,DESCRIPCION) VALUES (3,3,'INYC Compensation Reports User Group - PEAG_E','03','6','INYC_PERC_E_AGENTES',TO_DATE('20220101','yyyymmdd'),TO_DATE('22000101','yyyymmdd'),'');</v>
      </c>
    </row>
    <row r="830" spans="1:1" x14ac:dyDescent="0.25">
      <c r="A830" t="str">
        <f>IF(AGENTES!I831="OBSOLETO","","INSERT INTO INYCEXT.INYC_CONF_INF_AGENTES (COD_INFORME,BO_GROUP,COMPANIA,ID_TIPO_AGENTE,TABLA,F_INICIO,F_FIN,DESCRIPCION) VALUES ("&amp;AGENTES!B831&amp;",'"&amp;AGENTES!C831&amp;"','"&amp;AGENTES!D831&amp;"','"&amp;AGENTES!E831&amp;"','"&amp;AGENTES!F831&amp;"',TO_DATE('"&amp;AGENTES!G831&amp;"','yyyymmdd'),TO_DATE('"&amp;AGENTES!H831&amp;"','yyyymmdd'),'"&amp;AGENTES!I831&amp;"');")</f>
        <v>INSERT INTO INYCEXT.INYC_CONF_INF_AGENTES (COD_INFORME,BO_GROUP,COMPANIA,ID_TIPO_AGENTE,TABLA,F_INICIO,F_FIN,DESCRIPCION) VALUES (3,3,'INYC Compensation Reports User Group - PEAG_E','03','12','INYC_PERC_E_AGENTES',TO_DATE('20220101','yyyymmdd'),TO_DATE('22000101','yyyymmdd'),'');</v>
      </c>
    </row>
    <row r="831" spans="1:1" x14ac:dyDescent="0.25">
      <c r="A831" t="str">
        <f>IF(AGENTES!I832="OBSOLETO","","INSERT INTO INYCEXT.INYC_CONF_INF_AGENTES (COD_INFORME,BO_GROUP,COMPANIA,ID_TIPO_AGENTE,TABLA,F_INICIO,F_FIN,DESCRIPCION) VALUES ("&amp;AGENTES!B832&amp;",'"&amp;AGENTES!C832&amp;"','"&amp;AGENTES!D832&amp;"','"&amp;AGENTES!E832&amp;"','"&amp;AGENTES!F832&amp;"',TO_DATE('"&amp;AGENTES!G832&amp;"','yyyymmdd'),TO_DATE('"&amp;AGENTES!H832&amp;"','yyyymmdd'),'"&amp;AGENTES!I832&amp;"');")</f>
        <v>INSERT INTO INYCEXT.INYC_CONF_INF_AGENTES (COD_INFORME,BO_GROUP,COMPANIA,ID_TIPO_AGENTE,TABLA,F_INICIO,F_FIN,DESCRIPCION) VALUES (3,3,'INYC Compensation Reports User Group - PEAG_E','03','13','INYC_PERC_E_AGENTES',TO_DATE('20220101','yyyymmdd'),TO_DATE('22000101','yyyymmdd'),'');</v>
      </c>
    </row>
    <row r="832" spans="1:1" x14ac:dyDescent="0.25">
      <c r="A832" t="str">
        <f>IF(AGENTES!I833="OBSOLETO","","INSERT INTO INYCEXT.INYC_CONF_INF_AGENTES (COD_INFORME,BO_GROUP,COMPANIA,ID_TIPO_AGENTE,TABLA,F_INICIO,F_FIN,DESCRIPCION) VALUES ("&amp;AGENTES!B833&amp;",'"&amp;AGENTES!C833&amp;"','"&amp;AGENTES!D833&amp;"','"&amp;AGENTES!E833&amp;"','"&amp;AGENTES!F833&amp;"',TO_DATE('"&amp;AGENTES!G833&amp;"','yyyymmdd'),TO_DATE('"&amp;AGENTES!H833&amp;"','yyyymmdd'),'"&amp;AGENTES!I833&amp;"');")</f>
        <v>INSERT INTO INYCEXT.INYC_CONF_INF_AGENTES (COD_INFORME,BO_GROUP,COMPANIA,ID_TIPO_AGENTE,TABLA,F_INICIO,F_FIN,DESCRIPCION) VALUES (3,3,'INYC Compensation Reports User Group - PEAG_E','03','301','INYC_PERC_E_AGENTES',TO_DATE('20220101','yyyymmdd'),TO_DATE('22000101','yyyymmdd'),'');</v>
      </c>
    </row>
    <row r="833" spans="1:1" x14ac:dyDescent="0.25">
      <c r="A833" t="str">
        <f>IF(AGENTES!I834="OBSOLETO","","INSERT INTO INYCEXT.INYC_CONF_INF_AGENTES (COD_INFORME,BO_GROUP,COMPANIA,ID_TIPO_AGENTE,TABLA,F_INICIO,F_FIN,DESCRIPCION) VALUES ("&amp;AGENTES!B834&amp;",'"&amp;AGENTES!C834&amp;"','"&amp;AGENTES!D834&amp;"','"&amp;AGENTES!E834&amp;"','"&amp;AGENTES!F834&amp;"',TO_DATE('"&amp;AGENTES!G834&amp;"','yyyymmdd'),TO_DATE('"&amp;AGENTES!H834&amp;"','yyyymmdd'),'"&amp;AGENTES!I834&amp;"');")</f>
        <v>INSERT INTO INYCEXT.INYC_CONF_INF_AGENTES (COD_INFORME,BO_GROUP,COMPANIA,ID_TIPO_AGENTE,TABLA,F_INICIO,F_FIN,DESCRIPCION) VALUES (3,3,'INYC Compensation Reports User Group - PEAG_E','03','302','INYC_PERC_E_AGENTES',TO_DATE('20220101','yyyymmdd'),TO_DATE('22000101','yyyymmdd'),'');</v>
      </c>
    </row>
    <row r="834" spans="1:1" x14ac:dyDescent="0.25">
      <c r="A834" t="str">
        <f>IF(AGENTES!I835="OBSOLETO","","INSERT INTO INYCEXT.INYC_CONF_INF_AGENTES (COD_INFORME,BO_GROUP,COMPANIA,ID_TIPO_AGENTE,TABLA,F_INICIO,F_FIN,DESCRIPCION) VALUES ("&amp;AGENTES!B835&amp;",'"&amp;AGENTES!C835&amp;"','"&amp;AGENTES!D835&amp;"','"&amp;AGENTES!E835&amp;"','"&amp;AGENTES!F835&amp;"',TO_DATE('"&amp;AGENTES!G835&amp;"','yyyymmdd'),TO_DATE('"&amp;AGENTES!H835&amp;"','yyyymmdd'),'"&amp;AGENTES!I835&amp;"');")</f>
        <v>INSERT INTO INYCEXT.INYC_CONF_INF_AGENTES (COD_INFORME,BO_GROUP,COMPANIA,ID_TIPO_AGENTE,TABLA,F_INICIO,F_FIN,DESCRIPCION) VALUES (3,3,'INYC Compensation Reports User Group - PEAG_E','03','303','INYC_PERC_E_AGENTES',TO_DATE('20220101','yyyymmdd'),TO_DATE('22000101','yyyymmdd'),'');</v>
      </c>
    </row>
    <row r="835" spans="1:1" x14ac:dyDescent="0.25">
      <c r="A835" t="str">
        <f>IF(AGENTES!I836="OBSOLETO","","INSERT INTO INYCEXT.INYC_CONF_INF_AGENTES (COD_INFORME,BO_GROUP,COMPANIA,ID_TIPO_AGENTE,TABLA,F_INICIO,F_FIN,DESCRIPCION) VALUES ("&amp;AGENTES!B836&amp;",'"&amp;AGENTES!C836&amp;"','"&amp;AGENTES!D836&amp;"','"&amp;AGENTES!E836&amp;"','"&amp;AGENTES!F836&amp;"',TO_DATE('"&amp;AGENTES!G836&amp;"','yyyymmdd'),TO_DATE('"&amp;AGENTES!H836&amp;"','yyyymmdd'),'"&amp;AGENTES!I836&amp;"');")</f>
        <v>INSERT INTO INYCEXT.INYC_CONF_INF_AGENTES (COD_INFORME,BO_GROUP,COMPANIA,ID_TIPO_AGENTE,TABLA,F_INICIO,F_FIN,DESCRIPCION) VALUES (3,3,'INYC Compensation Reports User Group - PEAG_E','03','316','INYC_PERC_E_AGENTES',TO_DATE('20220101','yyyymmdd'),TO_DATE('22000101','yyyymmdd'),'');</v>
      </c>
    </row>
    <row r="836" spans="1:1" x14ac:dyDescent="0.25">
      <c r="A836" t="str">
        <f>IF(AGENTES!I837="OBSOLETO","","INSERT INTO INYCEXT.INYC_CONF_INF_AGENTES (COD_INFORME,BO_GROUP,COMPANIA,ID_TIPO_AGENTE,TABLA,F_INICIO,F_FIN,DESCRIPCION) VALUES ("&amp;AGENTES!B837&amp;",'"&amp;AGENTES!C837&amp;"','"&amp;AGENTES!D837&amp;"','"&amp;AGENTES!E837&amp;"','"&amp;AGENTES!F837&amp;"',TO_DATE('"&amp;AGENTES!G837&amp;"','yyyymmdd'),TO_DATE('"&amp;AGENTES!H837&amp;"','yyyymmdd'),'"&amp;AGENTES!I837&amp;"');")</f>
        <v>INSERT INTO INYCEXT.INYC_CONF_INF_AGENTES (COD_INFORME,BO_GROUP,COMPANIA,ID_TIPO_AGENTE,TABLA,F_INICIO,F_FIN,DESCRIPCION) VALUES (3,3,'INYC Compensation Reports User Group - PEAG_E','03','317','INYC_PERC_E_AGENTES',TO_DATE('20220101','yyyymmdd'),TO_DATE('22000101','yyyymmdd'),'');</v>
      </c>
    </row>
    <row r="837" spans="1:1" x14ac:dyDescent="0.25">
      <c r="A837" t="str">
        <f>IF(AGENTES!I838="OBSOLETO","","INSERT INTO INYCEXT.INYC_CONF_INF_AGENTES (COD_INFORME,BO_GROUP,COMPANIA,ID_TIPO_AGENTE,TABLA,F_INICIO,F_FIN,DESCRIPCION) VALUES ("&amp;AGENTES!B838&amp;",'"&amp;AGENTES!C838&amp;"','"&amp;AGENTES!D838&amp;"','"&amp;AGENTES!E838&amp;"','"&amp;AGENTES!F838&amp;"',TO_DATE('"&amp;AGENTES!G838&amp;"','yyyymmdd'),TO_DATE('"&amp;AGENTES!H838&amp;"','yyyymmdd'),'"&amp;AGENTES!I838&amp;"');")</f>
        <v>INSERT INTO INYCEXT.INYC_CONF_INF_AGENTES (COD_INFORME,BO_GROUP,COMPANIA,ID_TIPO_AGENTE,TABLA,F_INICIO,F_FIN,DESCRIPCION) VALUES (3,3,'INYC Compensation Reports User Group - PEAG_E','03','319','INYC_PERC_E_AGENTES',TO_DATE('20220101','yyyymmdd'),TO_DATE('22000101','yyyymmdd'),'');</v>
      </c>
    </row>
    <row r="838" spans="1:1" x14ac:dyDescent="0.25">
      <c r="A838" t="str">
        <f>IF(AGENTES!I839="OBSOLETO","","INSERT INTO INYCEXT.INYC_CONF_INF_AGENTES (COD_INFORME,BO_GROUP,COMPANIA,ID_TIPO_AGENTE,TABLA,F_INICIO,F_FIN,DESCRIPCION) VALUES ("&amp;AGENTES!B839&amp;",'"&amp;AGENTES!C839&amp;"','"&amp;AGENTES!D839&amp;"','"&amp;AGENTES!E839&amp;"','"&amp;AGENTES!F839&amp;"',TO_DATE('"&amp;AGENTES!G839&amp;"','yyyymmdd'),TO_DATE('"&amp;AGENTES!H839&amp;"','yyyymmdd'),'"&amp;AGENTES!I839&amp;"');")</f>
        <v>INSERT INTO INYCEXT.INYC_CONF_INF_AGENTES (COD_INFORME,BO_GROUP,COMPANIA,ID_TIPO_AGENTE,TABLA,F_INICIO,F_FIN,DESCRIPCION) VALUES (3,3,'INYC Compensation Reports User Group - PEAG_E','03','332','INYC_PERC_E_AGENTES',TO_DATE('20220101','yyyymmdd'),TO_DATE('22000101','yyyymmdd'),'');</v>
      </c>
    </row>
    <row r="839" spans="1:1" x14ac:dyDescent="0.25">
      <c r="A839" t="str">
        <f>IF(AGENTES!I840="OBSOLETO","","INSERT INTO INYCEXT.INYC_CONF_INF_AGENTES (COD_INFORME,BO_GROUP,COMPANIA,ID_TIPO_AGENTE,TABLA,F_INICIO,F_FIN,DESCRIPCION) VALUES ("&amp;AGENTES!B840&amp;",'"&amp;AGENTES!C840&amp;"','"&amp;AGENTES!D840&amp;"','"&amp;AGENTES!E840&amp;"','"&amp;AGENTES!F840&amp;"',TO_DATE('"&amp;AGENTES!G840&amp;"','yyyymmdd'),TO_DATE('"&amp;AGENTES!H840&amp;"','yyyymmdd'),'"&amp;AGENTES!I840&amp;"');")</f>
        <v>INSERT INTO INYCEXT.INYC_CONF_INF_AGENTES (COD_INFORME,BO_GROUP,COMPANIA,ID_TIPO_AGENTE,TABLA,F_INICIO,F_FIN,DESCRIPCION) VALUES (3,3,'INYC Compensation Reports User Group - PEAG_E','03','338','INYC_PERC_E_AGENTES',TO_DATE('20220101','yyyymmdd'),TO_DATE('22000101','yyyymmdd'),'');</v>
      </c>
    </row>
    <row r="840" spans="1:1" x14ac:dyDescent="0.25">
      <c r="A840" t="str">
        <f>IF(AGENTES!I841="OBSOLETO","","INSERT INTO INYCEXT.INYC_CONF_INF_AGENTES (COD_INFORME,BO_GROUP,COMPANIA,ID_TIPO_AGENTE,TABLA,F_INICIO,F_FIN,DESCRIPCION) VALUES ("&amp;AGENTES!B841&amp;",'"&amp;AGENTES!C841&amp;"','"&amp;AGENTES!D841&amp;"','"&amp;AGENTES!E841&amp;"','"&amp;AGENTES!F841&amp;"',TO_DATE('"&amp;AGENTES!G841&amp;"','yyyymmdd'),TO_DATE('"&amp;AGENTES!H841&amp;"','yyyymmdd'),'"&amp;AGENTES!I841&amp;"');")</f>
        <v>INSERT INTO INYCEXT.INYC_CONF_INF_AGENTES (COD_INFORME,BO_GROUP,COMPANIA,ID_TIPO_AGENTE,TABLA,F_INICIO,F_FIN,DESCRIPCION) VALUES (3,3,'INYC Compensation Reports User Group - PEAG_E','03','340','INYC_PERC_E_AGENTES',TO_DATE('20220101','yyyymmdd'),TO_DATE('22000101','yyyymmdd'),'');</v>
      </c>
    </row>
    <row r="841" spans="1:1" x14ac:dyDescent="0.25">
      <c r="A841" t="str">
        <f>IF(AGENTES!I842="OBSOLETO","","INSERT INTO INYCEXT.INYC_CONF_INF_AGENTES (COD_INFORME,BO_GROUP,COMPANIA,ID_TIPO_AGENTE,TABLA,F_INICIO,F_FIN,DESCRIPCION) VALUES ("&amp;AGENTES!B842&amp;",'"&amp;AGENTES!C842&amp;"','"&amp;AGENTES!D842&amp;"','"&amp;AGENTES!E842&amp;"','"&amp;AGENTES!F842&amp;"',TO_DATE('"&amp;AGENTES!G842&amp;"','yyyymmdd'),TO_DATE('"&amp;AGENTES!H842&amp;"','yyyymmdd'),'"&amp;AGENTES!I842&amp;"');")</f>
        <v>INSERT INTO INYCEXT.INYC_CONF_INF_AGENTES (COD_INFORME,BO_GROUP,COMPANIA,ID_TIPO_AGENTE,TABLA,F_INICIO,F_FIN,DESCRIPCION) VALUES (3,3,'INYC Compensation Reports User Group - PEAG_E','03','350','INYC_PERC_E_AGENTES',TO_DATE('20220101','yyyymmdd'),TO_DATE('22000101','yyyymmdd'),'');</v>
      </c>
    </row>
    <row r="842" spans="1:1" x14ac:dyDescent="0.25">
      <c r="A842" t="str">
        <f>IF(AGENTES!I843="OBSOLETO","","INSERT INTO INYCEXT.INYC_CONF_INF_AGENTES (COD_INFORME,BO_GROUP,COMPANIA,ID_TIPO_AGENTE,TABLA,F_INICIO,F_FIN,DESCRIPCION) VALUES ("&amp;AGENTES!B843&amp;",'"&amp;AGENTES!C843&amp;"','"&amp;AGENTES!D843&amp;"','"&amp;AGENTES!E843&amp;"','"&amp;AGENTES!F843&amp;"',TO_DATE('"&amp;AGENTES!G843&amp;"','yyyymmdd'),TO_DATE('"&amp;AGENTES!H843&amp;"','yyyymmdd'),'"&amp;AGENTES!I843&amp;"');")</f>
        <v>INSERT INTO INYCEXT.INYC_CONF_INF_AGENTES (COD_INFORME,BO_GROUP,COMPANIA,ID_TIPO_AGENTE,TABLA,F_INICIO,F_FIN,DESCRIPCION) VALUES (3,3,'INYC Compensation Reports User Group - PEAG_E','03','100','INYC_PERC_E_AGENTES',TO_DATE('20220101','yyyymmdd'),TO_DATE('22000101','yyyymmdd'),'');</v>
      </c>
    </row>
    <row r="843" spans="1:1" x14ac:dyDescent="0.25">
      <c r="A843" t="str">
        <f>IF(AGENTES!I844="OBSOLETO","","INSERT INTO INYCEXT.INYC_CONF_INF_AGENTES (COD_INFORME,BO_GROUP,COMPANIA,ID_TIPO_AGENTE,TABLA,F_INICIO,F_FIN,DESCRIPCION) VALUES ("&amp;AGENTES!B844&amp;",'"&amp;AGENTES!C844&amp;"','"&amp;AGENTES!D844&amp;"','"&amp;AGENTES!E844&amp;"','"&amp;AGENTES!F844&amp;"',TO_DATE('"&amp;AGENTES!G844&amp;"','yyyymmdd'),TO_DATE('"&amp;AGENTES!H844&amp;"','yyyymmdd'),'"&amp;AGENTES!I844&amp;"');")</f>
        <v>INSERT INTO INYCEXT.INYC_CONF_INF_AGENTES (COD_INFORME,BO_GROUP,COMPANIA,ID_TIPO_AGENTE,TABLA,F_INICIO,F_FIN,DESCRIPCION) VALUES (302,'INYC Compensation Reports User Group - PRAG_E','03','12','INYC_PROD_E_AGENTES',TO_DATE('20220101','yyyymmdd'),TO_DATE('22000101','yyyymmdd'),'');</v>
      </c>
    </row>
    <row r="844" spans="1:1" x14ac:dyDescent="0.25">
      <c r="A844" t="str">
        <f>IF(AGENTES!I845="OBSOLETO","","INSERT INTO INYCEXT.INYC_CONF_INF_AGENTES (COD_INFORME,BO_GROUP,COMPANIA,ID_TIPO_AGENTE,TABLA,F_INICIO,F_FIN,DESCRIPCION) VALUES ("&amp;AGENTES!B845&amp;",'"&amp;AGENTES!C845&amp;"','"&amp;AGENTES!D845&amp;"','"&amp;AGENTES!E845&amp;"','"&amp;AGENTES!F845&amp;"',TO_DATE('"&amp;AGENTES!G845&amp;"','yyyymmdd'),TO_DATE('"&amp;AGENTES!H845&amp;"','yyyymmdd'),'"&amp;AGENTES!I845&amp;"');")</f>
        <v>INSERT INTO INYCEXT.INYC_CONF_INF_AGENTES (COD_INFORME,BO_GROUP,COMPANIA,ID_TIPO_AGENTE,TABLA,F_INICIO,F_FIN,DESCRIPCION) VALUES (3,3,'INYC Compensation Reports User Group - PEAG_E','03','15','INYC_PERC_E_AGENTES',TO_DATE('20220101','yyyymmdd'),TO_DATE('22000101','yyyymmdd'),'');</v>
      </c>
    </row>
    <row r="845" spans="1:1" x14ac:dyDescent="0.25">
      <c r="A845" t="str">
        <f>IF(AGENTES!I846="OBSOLETO","","INSERT INTO INYCEXT.INYC_CONF_INF_AGENTES (COD_INFORME,BO_GROUP,COMPANIA,ID_TIPO_AGENTE,TABLA,F_INICIO,F_FIN,DESCRIPCION) VALUES ("&amp;AGENTES!B846&amp;",'"&amp;AGENTES!C846&amp;"','"&amp;AGENTES!D846&amp;"','"&amp;AGENTES!E846&amp;"','"&amp;AGENTES!F846&amp;"',TO_DATE('"&amp;AGENTES!G846&amp;"','yyyymmdd'),TO_DATE('"&amp;AGENTES!H846&amp;"','yyyymmdd'),'"&amp;AGENTES!I846&amp;"');")</f>
        <v>INSERT INTO INYCEXT.INYC_CONF_INF_AGENTES (COD_INFORME,BO_GROUP,COMPANIA,ID_TIPO_AGENTE,TABLA,F_INICIO,F_FIN,DESCRIPCION) VALUES (302,'INYC Compensation Reports User Group - PRAG_E','03','32','INYC_PROD_E_AGENTES',TO_DATE('20220101','yyyymmdd'),TO_DATE('22000101','yyyymmdd'),'');</v>
      </c>
    </row>
    <row r="846" spans="1:1" x14ac:dyDescent="0.25">
      <c r="A846" t="str">
        <f>IF(AGENTES!I847="OBSOLETO","","INSERT INTO INYCEXT.INYC_CONF_INF_AGENTES (COD_INFORME,BO_GROUP,COMPANIA,ID_TIPO_AGENTE,TABLA,F_INICIO,F_FIN,DESCRIPCION) VALUES ("&amp;AGENTES!B847&amp;",'"&amp;AGENTES!C847&amp;"','"&amp;AGENTES!D847&amp;"','"&amp;AGENTES!E847&amp;"','"&amp;AGENTES!F847&amp;"',TO_DATE('"&amp;AGENTES!G847&amp;"','yyyymmdd'),TO_DATE('"&amp;AGENTES!H847&amp;"','yyyymmdd'),'"&amp;AGENTES!I847&amp;"');")</f>
        <v>INSERT INTO INYCEXT.INYC_CONF_INF_AGENTES (COD_INFORME,BO_GROUP,COMPANIA,ID_TIPO_AGENTE,TABLA,F_INICIO,F_FIN,DESCRIPCION) VALUES (302,'INYC Compensation Reports User Group - PRAG_E','03','39','INYC_PROD_E_AGENTES',TO_DATE('20220101','yyyymmdd'),TO_DATE('22000101','yyyymmdd'),'');</v>
      </c>
    </row>
    <row r="847" spans="1:1" x14ac:dyDescent="0.25">
      <c r="A847" t="str">
        <f>IF(AGENTES!I848="OBSOLETO","","INSERT INTO INYCEXT.INYC_CONF_INF_AGENTES (COD_INFORME,BO_GROUP,COMPANIA,ID_TIPO_AGENTE,TABLA,F_INICIO,F_FIN,DESCRIPCION) VALUES ("&amp;AGENTES!B848&amp;",'"&amp;AGENTES!C848&amp;"','"&amp;AGENTES!D848&amp;"','"&amp;AGENTES!E848&amp;"','"&amp;AGENTES!F848&amp;"',TO_DATE('"&amp;AGENTES!G848&amp;"','yyyymmdd'),TO_DATE('"&amp;AGENTES!H848&amp;"','yyyymmdd'),'"&amp;AGENTES!I848&amp;"');")</f>
        <v>INSERT INTO INYCEXT.INYC_CONF_INF_AGENTES (COD_INFORME,BO_GROUP,COMPANIA,ID_TIPO_AGENTE,TABLA,F_INICIO,F_FIN,DESCRIPCION) VALUES (302,'INYC Compensation Reports User Group - PRAG_E','03','341','INYC_PROD_E_AGENTES',TO_DATE('20220101','yyyymmdd'),TO_DATE('22000101','yyyymmdd'),'');</v>
      </c>
    </row>
    <row r="848" spans="1:1" x14ac:dyDescent="0.25">
      <c r="A848" t="str">
        <f>IF(AGENTES!I849="OBSOLETO","","INSERT INTO INYCEXT.INYC_CONF_INF_AGENTES (COD_INFORME,BO_GROUP,COMPANIA,ID_TIPO_AGENTE,TABLA,F_INICIO,F_FIN,DESCRIPCION) VALUES ("&amp;AGENTES!B849&amp;",'"&amp;AGENTES!C849&amp;"','"&amp;AGENTES!D849&amp;"','"&amp;AGENTES!E849&amp;"','"&amp;AGENTES!F849&amp;"',TO_DATE('"&amp;AGENTES!G849&amp;"','yyyymmdd'),TO_DATE('"&amp;AGENTES!H849&amp;"','yyyymmdd'),'"&amp;AGENTES!I849&amp;"');")</f>
        <v>INSERT INTO INYCEXT.INYC_CONF_INF_AGENTES (COD_INFORME,BO_GROUP,COMPANIA,ID_TIPO_AGENTE,TABLA,F_INICIO,F_FIN,DESCRIPCION) VALUES (3,3,'INYC Compensation Reports User Group - PEAG_E','03','32','INYC_PERC_E_AGENTES',TO_DATE('20220101','yyyymmdd'),TO_DATE('22000101','yyyymmdd'),'');</v>
      </c>
    </row>
    <row r="849" spans="1:1" x14ac:dyDescent="0.25">
      <c r="A849" t="str">
        <f>IF(AGENTES!I850="OBSOLETO","","INSERT INTO INYCEXT.INYC_CONF_INF_AGENTES (COD_INFORME,BO_GROUP,COMPANIA,ID_TIPO_AGENTE,TABLA,F_INICIO,F_FIN,DESCRIPCION) VALUES ("&amp;AGENTES!B850&amp;",'"&amp;AGENTES!C850&amp;"','"&amp;AGENTES!D850&amp;"','"&amp;AGENTES!E850&amp;"','"&amp;AGENTES!F850&amp;"',TO_DATE('"&amp;AGENTES!G850&amp;"','yyyymmdd'),TO_DATE('"&amp;AGENTES!H850&amp;"','yyyymmdd'),'"&amp;AGENTES!I850&amp;"');")</f>
        <v>INSERT INTO INYCEXT.INYC_CONF_INF_AGENTES (COD_INFORME,BO_GROUP,COMPANIA,ID_TIPO_AGENTE,TABLA,F_INICIO,F_FIN,DESCRIPCION) VALUES (3,3,'INYC Compensation Reports User Group - PEAG_E','03','39','INYC_PERC_E_AGENTES',TO_DATE('20220101','yyyymmdd'),TO_DATE('22000101','yyyymmdd'),'');</v>
      </c>
    </row>
    <row r="850" spans="1:1" x14ac:dyDescent="0.25">
      <c r="A850" t="str">
        <f>IF(AGENTES!I851="OBSOLETO","","INSERT INTO INYCEXT.INYC_CONF_INF_AGENTES (COD_INFORME,BO_GROUP,COMPANIA,ID_TIPO_AGENTE,TABLA,F_INICIO,F_FIN,DESCRIPCION) VALUES ("&amp;AGENTES!B851&amp;",'"&amp;AGENTES!C851&amp;"','"&amp;AGENTES!D851&amp;"','"&amp;AGENTES!E851&amp;"','"&amp;AGENTES!F851&amp;"',TO_DATE('"&amp;AGENTES!G851&amp;"','yyyymmdd'),TO_DATE('"&amp;AGENTES!H851&amp;"','yyyymmdd'),'"&amp;AGENTES!I851&amp;"');")</f>
        <v>INSERT INTO INYCEXT.INYC_CONF_INF_AGENTES (COD_INFORME,BO_GROUP,COMPANIA,ID_TIPO_AGENTE,TABLA,F_INICIO,F_FIN,DESCRIPCION) VALUES (3,3,'INYC Compensation Reports User Group - PEAG_E','03','331','INYC_PERC_E_AGENTES',TO_DATE('20220101','yyyymmdd'),TO_DATE('22000101','yyyymmdd'),'');</v>
      </c>
    </row>
    <row r="851" spans="1:1" x14ac:dyDescent="0.25">
      <c r="A851" t="str">
        <f>IF(AGENTES!I852="OBSOLETO","","INSERT INTO INYCEXT.INYC_CONF_INF_AGENTES (COD_INFORME,BO_GROUP,COMPANIA,ID_TIPO_AGENTE,TABLA,F_INICIO,F_FIN,DESCRIPCION) VALUES ("&amp;AGENTES!B852&amp;",'"&amp;AGENTES!C852&amp;"','"&amp;AGENTES!D852&amp;"','"&amp;AGENTES!E852&amp;"','"&amp;AGENTES!F852&amp;"',TO_DATE('"&amp;AGENTES!G852&amp;"','yyyymmdd'),TO_DATE('"&amp;AGENTES!H852&amp;"','yyyymmdd'),'"&amp;AGENTES!I852&amp;"');")</f>
        <v>INSERT INTO INYCEXT.INYC_CONF_INF_AGENTES (COD_INFORME,BO_GROUP,COMPANIA,ID_TIPO_AGENTE,TABLA,F_INICIO,F_FIN,DESCRIPCION) VALUES (3,3,'INYC Compensation Reports User Group - PEAG_E','03','333','INYC_PERC_E_AGENTES',TO_DATE('20220101','yyyymmdd'),TO_DATE('22000101','yyyymmdd'),'');</v>
      </c>
    </row>
    <row r="852" spans="1:1" x14ac:dyDescent="0.25">
      <c r="A852" t="str">
        <f>IF(AGENTES!I853="OBSOLETO","","INSERT INTO INYCEXT.INYC_CONF_INF_AGENTES (COD_INFORME,BO_GROUP,COMPANIA,ID_TIPO_AGENTE,TABLA,F_INICIO,F_FIN,DESCRIPCION) VALUES ("&amp;AGENTES!B853&amp;",'"&amp;AGENTES!C853&amp;"','"&amp;AGENTES!D853&amp;"','"&amp;AGENTES!E853&amp;"','"&amp;AGENTES!F853&amp;"',TO_DATE('"&amp;AGENTES!G853&amp;"','yyyymmdd'),TO_DATE('"&amp;AGENTES!H853&amp;"','yyyymmdd'),'"&amp;AGENTES!I853&amp;"');")</f>
        <v>INSERT INTO INYCEXT.INYC_CONF_INF_AGENTES (COD_INFORME,BO_GROUP,COMPANIA,ID_TIPO_AGENTE,TABLA,F_INICIO,F_FIN,DESCRIPCION) VALUES (3,3,'INYC Compensation Reports User Group - PEAG_E','03','335','INYC_PERC_E_AGENTES',TO_DATE('20220101','yyyymmdd'),TO_DATE('22000101','yyyymmdd'),'');</v>
      </c>
    </row>
    <row r="853" spans="1:1" x14ac:dyDescent="0.25">
      <c r="A853" t="str">
        <f>IF(AGENTES!I854="OBSOLETO","","INSERT INTO INYCEXT.INYC_CONF_INF_AGENTES (COD_INFORME,BO_GROUP,COMPANIA,ID_TIPO_AGENTE,TABLA,F_INICIO,F_FIN,DESCRIPCION) VALUES ("&amp;AGENTES!B854&amp;",'"&amp;AGENTES!C854&amp;"','"&amp;AGENTES!D854&amp;"','"&amp;AGENTES!E854&amp;"','"&amp;AGENTES!F854&amp;"',TO_DATE('"&amp;AGENTES!G854&amp;"','yyyymmdd'),TO_DATE('"&amp;AGENTES!H854&amp;"','yyyymmdd'),'"&amp;AGENTES!I854&amp;"');")</f>
        <v>INSERT INTO INYCEXT.INYC_CONF_INF_AGENTES (COD_INFORME,BO_GROUP,COMPANIA,ID_TIPO_AGENTE,TABLA,F_INICIO,F_FIN,DESCRIPCION) VALUES (3,3,'INYC Compensation Reports User Group - PEAG_E','03','341','INYC_PERC_E_AGENTES',TO_DATE('20220101','yyyymmdd'),TO_DATE('22000101','yyyymmdd'),'');</v>
      </c>
    </row>
    <row r="854" spans="1:1" x14ac:dyDescent="0.25">
      <c r="A854" t="str">
        <f>IF(AGENTES!I855="OBSOLETO","","INSERT INTO INYCEXT.INYC_CONF_INF_AGENTES (COD_INFORME,BO_GROUP,COMPANIA,ID_TIPO_AGENTE,TABLA,F_INICIO,F_FIN,DESCRIPCION) VALUES ("&amp;AGENTES!B855&amp;",'"&amp;AGENTES!C855&amp;"','"&amp;AGENTES!D855&amp;"','"&amp;AGENTES!E855&amp;"','"&amp;AGENTES!F855&amp;"',TO_DATE('"&amp;AGENTES!G855&amp;"','yyyymmdd'),TO_DATE('"&amp;AGENTES!H855&amp;"','yyyymmdd'),'"&amp;AGENTES!I855&amp;"');")</f>
        <v>INSERT INTO INYCEXT.INYC_CONF_INF_AGENTES (COD_INFORME,BO_GROUP,COMPANIA,ID_TIPO_AGENTE,TABLA,F_INICIO,F_FIN,DESCRIPCION) VALUES (3,3,'INYC Compensation Reports User Group - PEAG_E','03','351','INYC_PERC_E_AGENTES',TO_DATE('20220101','yyyymmdd'),TO_DATE('22000101','yyyymmdd'),'');</v>
      </c>
    </row>
    <row r="855" spans="1:1" x14ac:dyDescent="0.25">
      <c r="A855" t="str">
        <f>IF(AGENTES!I856="OBSOLETO","","INSERT INTO INYCEXT.INYC_CONF_INF_AGENTES (COD_INFORME,BO_GROUP,COMPANIA,ID_TIPO_AGENTE,TABLA,F_INICIO,F_FIN,DESCRIPCION) VALUES ("&amp;AGENTES!B856&amp;",'"&amp;AGENTES!C856&amp;"','"&amp;AGENTES!D856&amp;"','"&amp;AGENTES!E856&amp;"','"&amp;AGENTES!F856&amp;"',TO_DATE('"&amp;AGENTES!G856&amp;"','yyyymmdd'),TO_DATE('"&amp;AGENTES!H856&amp;"','yyyymmdd'),'"&amp;AGENTES!I856&amp;"');")</f>
        <v>INSERT INTO INYCEXT.INYC_CONF_INF_AGENTES (COD_INFORME,BO_GROUP,COMPANIA,ID_TIPO_AGENTE,TABLA,F_INICIO,F_FIN,DESCRIPCION) VALUES (3,3,'INYC Compensation Reports User Group - PEAG_E','03','352','INYC_PERC_E_AGENTES',TO_DATE('20220101','yyyymmdd'),TO_DATE('22000101','yyyymmdd'),'');</v>
      </c>
    </row>
    <row r="856" spans="1:1" x14ac:dyDescent="0.25">
      <c r="A856" t="str">
        <f>IF(AGENTES!I857="OBSOLETO","","INSERT INTO INYCEXT.INYC_CONF_INF_AGENTES (COD_INFORME,BO_GROUP,COMPANIA,ID_TIPO_AGENTE,TABLA,F_INICIO,F_FIN,DESCRIPCION) VALUES ("&amp;AGENTES!B857&amp;",'"&amp;AGENTES!C857&amp;"','"&amp;AGENTES!D857&amp;"','"&amp;AGENTES!E857&amp;"','"&amp;AGENTES!F857&amp;"',TO_DATE('"&amp;AGENTES!G857&amp;"','yyyymmdd'),TO_DATE('"&amp;AGENTES!H857&amp;"','yyyymmdd'),'"&amp;AGENTES!I857&amp;"');")</f>
        <v>INSERT INTO INYCEXT.INYC_CONF_INF_AGENTES (COD_INFORME,BO_GROUP,COMPANIA,ID_TIPO_AGENTE,TABLA,F_INICIO,F_FIN,DESCRIPCION) VALUES (3,4,'INYC Compensation Reports User Group - PEIN_E','03','350','INYC_PERC_E_INSPECTORES',TO_DATE('20220101','yyyymmdd'),TO_DATE('22000101','yyyymmdd'),'');</v>
      </c>
    </row>
    <row r="857" spans="1:1" x14ac:dyDescent="0.25">
      <c r="A857" t="str">
        <f>IF(AGENTES!I858="OBSOLETO","","INSERT INTO INYCEXT.INYC_CONF_INF_AGENTES (COD_INFORME,BO_GROUP,COMPANIA,ID_TIPO_AGENTE,TABLA,F_INICIO,F_FIN,DESCRIPCION) VALUES ("&amp;AGENTES!B858&amp;",'"&amp;AGENTES!C858&amp;"','"&amp;AGENTES!D858&amp;"','"&amp;AGENTES!E858&amp;"','"&amp;AGENTES!F858&amp;"',TO_DATE('"&amp;AGENTES!G858&amp;"','yyyymmdd'),TO_DATE('"&amp;AGENTES!H858&amp;"','yyyymmdd'),'"&amp;AGENTES!I858&amp;"');")</f>
        <v>INSERT INTO INYCEXT.INYC_CONF_INF_AGENTES (COD_INFORME,BO_GROUP,COMPANIA,ID_TIPO_AGENTE,TABLA,F_INICIO,F_FIN,DESCRIPCION) VALUES (3,4,'INYC Compensation Reports User Group - PEIN_E','03','79','INYC_PERC_E_INSPECTORES',TO_DATE('20220101','yyyymmdd'),TO_DATE('22000101','yyyymmdd'),'');</v>
      </c>
    </row>
    <row r="858" spans="1:1" x14ac:dyDescent="0.25">
      <c r="A858" t="str">
        <f>IF(AGENTES!I859="OBSOLETO","","INSERT INTO INYCEXT.INYC_CONF_INF_AGENTES (COD_INFORME,BO_GROUP,COMPANIA,ID_TIPO_AGENTE,TABLA,F_INICIO,F_FIN,DESCRIPCION) VALUES ("&amp;AGENTES!B859&amp;",'"&amp;AGENTES!C859&amp;"','"&amp;AGENTES!D859&amp;"','"&amp;AGENTES!E859&amp;"','"&amp;AGENTES!F859&amp;"',TO_DATE('"&amp;AGENTES!G859&amp;"','yyyymmdd'),TO_DATE('"&amp;AGENTES!H859&amp;"','yyyymmdd'),'"&amp;AGENTES!I859&amp;"');")</f>
        <v>INSERT INTO INYCEXT.INYC_CONF_INF_AGENTES (COD_INFORME,BO_GROUP,COMPANIA,ID_TIPO_AGENTE,TABLA,F_INICIO,F_FIN,DESCRIPCION) VALUES (117,'INYC Compensation Reports User Group - PRIN_E','03','350','INYC_PROD_E_INSPECTORES',TO_DATE('20220101','yyyymmdd'),TO_DATE('22000101','yyyymmdd'),'');</v>
      </c>
    </row>
    <row r="859" spans="1:1" x14ac:dyDescent="0.25">
      <c r="A859" t="str">
        <f>IF(AGENTES!I860="OBSOLETO","","INSERT INTO INYCEXT.INYC_CONF_INF_AGENTES (COD_INFORME,BO_GROUP,COMPANIA,ID_TIPO_AGENTE,TABLA,F_INICIO,F_FIN,DESCRIPCION) VALUES ("&amp;AGENTES!B860&amp;",'"&amp;AGENTES!C860&amp;"','"&amp;AGENTES!D860&amp;"','"&amp;AGENTES!E860&amp;"','"&amp;AGENTES!F860&amp;"',TO_DATE('"&amp;AGENTES!G860&amp;"','yyyymmdd'),TO_DATE('"&amp;AGENTES!H860&amp;"','yyyymmdd'),'"&amp;AGENTES!I860&amp;"');")</f>
        <v>INSERT INTO INYCEXT.INYC_CONF_INF_AGENTES (COD_INFORME,BO_GROUP,COMPANIA,ID_TIPO_AGENTE,TABLA,F_INICIO,F_FIN,DESCRIPCION) VALUES (117,'INYC Compensation Reports User Group - PRIN_E','03','79','INYC_PROD_E_INSPECTORES',TO_DATE('20220101','yyyymmdd'),TO_DATE('22000101','yyyymmdd'),'');</v>
      </c>
    </row>
    <row r="860" spans="1:1" x14ac:dyDescent="0.25">
      <c r="A860" t="str">
        <f>IF(AGENTES!I861="OBSOLETO","","INSERT INTO INYCEXT.INYC_CONF_INF_AGENTES (COD_INFORME,BO_GROUP,COMPANIA,ID_TIPO_AGENTE,TABLA,F_INICIO,F_FIN,DESCRIPCION) VALUES ("&amp;AGENTES!B861&amp;",'"&amp;AGENTES!C861&amp;"','"&amp;AGENTES!D861&amp;"','"&amp;AGENTES!E861&amp;"','"&amp;AGENTES!F861&amp;"',TO_DATE('"&amp;AGENTES!G861&amp;"','yyyymmdd'),TO_DATE('"&amp;AGENTES!H861&amp;"','yyyymmdd'),'"&amp;AGENTES!I861&amp;"');")</f>
        <v>INSERT INTO INYCEXT.INYC_CONF_INF_AGENTES (COD_INFORME,BO_GROUP,COMPANIA,ID_TIPO_AGENTE,TABLA,F_INICIO,F_FIN,DESCRIPCION) VALUES (3,3,'INYC Compensation Reports User Group - PEAG_E','03','79','INYC_PERC_E_AGENTES',TO_DATE('20220101','yyyymmdd'),TO_DATE('22000101','yyyymmdd'),'');</v>
      </c>
    </row>
    <row r="861" spans="1:1" x14ac:dyDescent="0.25">
      <c r="A861" t="str">
        <f>IF(AGENTES!I862="OBSOLETO","","INSERT INTO INYCEXT.INYC_CONF_INF_AGENTES (COD_INFORME,BO_GROUP,COMPANIA,ID_TIPO_AGENTE,TABLA,F_INICIO,F_FIN,DESCRIPCION) VALUES ("&amp;AGENTES!B862&amp;",'"&amp;AGENTES!C862&amp;"','"&amp;AGENTES!D862&amp;"','"&amp;AGENTES!E862&amp;"','"&amp;AGENTES!F862&amp;"',TO_DATE('"&amp;AGENTES!G862&amp;"','yyyymmdd'),TO_DATE('"&amp;AGENTES!H862&amp;"','yyyymmdd'),'"&amp;AGENTES!I862&amp;"');")</f>
        <v>INSERT INTO INYCEXT.INYC_CONF_INF_AGENTES (COD_INFORME,BO_GROUP,COMPANIA,ID_TIPO_AGENTE,TABLA,F_INICIO,F_FIN,DESCRIPCION) VALUES (114,'INYC Compensation Reports User Group - PRIN','01','73','INYC_PERC_INSPECTORES,INYC_PROD_INSPECTORES',TO_DATE('20240101','yyyymmdd'),TO_DATE('22000101','yyyymmdd'),'');</v>
      </c>
    </row>
    <row r="862" spans="1:1" x14ac:dyDescent="0.25">
      <c r="A862" t="str">
        <f>IF(AGENTES!I863="OBSOLETO","","INSERT INTO INYCEXT.INYC_CONF_INF_AGENTES (COD_INFORME,BO_GROUP,COMPANIA,ID_TIPO_AGENTE,TABLA,F_INICIO,F_FIN,DESCRIPCION) VALUES ("&amp;AGENTES!B863&amp;",'"&amp;AGENTES!C863&amp;"','"&amp;AGENTES!D863&amp;"','"&amp;AGENTES!E863&amp;"','"&amp;AGENTES!F863&amp;"',TO_DATE('"&amp;AGENTES!G863&amp;"','yyyymmdd'),TO_DATE('"&amp;AGENTES!H863&amp;"','yyyymmdd'),'"&amp;AGENTES!I863&amp;"');")</f>
        <v>INSERT INTO INYCEXT.INYC_CONF_INF_AGENTES (COD_INFORME,BO_GROUP,COMPANIA,ID_TIPO_AGENTE,TABLA,F_INICIO,F_FIN,DESCRIPCION) VALUES (116,'INYC Compensation Reports User Group - INSP_ACTIVOS','01','73','INYC_INSP_ACTIVOS',TO_DATE('20240101','yyyymmdd'),TO_DATE('22000101','yyyymmdd'),'Version 20170316');</v>
      </c>
    </row>
    <row r="863" spans="1:1" x14ac:dyDescent="0.25">
      <c r="A863" t="str">
        <f>IF(AGENTES!I864="OBSOLETO","","INSERT INTO INYCEXT.INYC_CONF_INF_AGENTES (COD_INFORME,BO_GROUP,COMPANIA,ID_TIPO_AGENTE,TABLA,F_INICIO,F_FIN,DESCRIPCION) VALUES ("&amp;AGENTES!B864&amp;",'"&amp;AGENTES!C864&amp;"','"&amp;AGENTES!D864&amp;"','"&amp;AGENTES!E864&amp;"','"&amp;AGENTES!F864&amp;"',TO_DATE('"&amp;AGENTES!G864&amp;"','yyyymmdd'),TO_DATE('"&amp;AGENTES!H864&amp;"','yyyymmdd'),'"&amp;AGENTES!I864&amp;"');")</f>
        <v>INSERT INTO INYCEXT.INYC_CONF_INF_AGENTES (COD_INFORME,BO_GROUP,COMPANIA,ID_TIPO_AGENTE,TABLA,F_INICIO,F_FIN,DESCRIPCION) VALUES (101,'INYC Compensation Reports User Group - S5','01','73','INYC_S5_FACTURA,INYC_S5_POLIZAS',TO_DATE('20240101','yyyymmdd'),TO_DATE('22000101','yyyymmdd'),'');</v>
      </c>
    </row>
    <row r="864" spans="1:1" x14ac:dyDescent="0.25">
      <c r="A864" t="str">
        <f>IF(AGENTES!I865="OBSOLETO","","INSERT INTO INYCEXT.INYC_CONF_INF_AGENTES (COD_INFORME,BO_GROUP,COMPANIA,ID_TIPO_AGENTE,TABLA,F_INICIO,F_FIN,DESCRIPCION) VALUES ("&amp;AGENTES!B865&amp;",'"&amp;AGENTES!C865&amp;"','"&amp;AGENTES!D865&amp;"','"&amp;AGENTES!E865&amp;"','"&amp;AGENTES!F865&amp;"',TO_DATE('"&amp;AGENTES!G865&amp;"','yyyymmdd'),TO_DATE('"&amp;AGENTES!H865&amp;"','yyyymmdd'),'"&amp;AGENTES!I865&amp;"');")</f>
        <v>INSERT INTO INYCEXT.INYC_CONF_INF_AGENTES (COD_INFORME,BO_GROUP,COMPANIA,ID_TIPO_AGENTE,TABLA,F_INICIO,F_FIN,DESCRIPCION) VALUES (105,'INYC Compensation Reports User Group - PEPI','01','73','INYC_PEPI_RESUMEN,INYC_PEPI_DETALLE',TO_DATE('20240101','yyyymmdd'),TO_DATE('22000101','yyyymmdd'),'');</v>
      </c>
    </row>
    <row r="865" spans="1:1" x14ac:dyDescent="0.25">
      <c r="A865" t="str">
        <f>IF(AGENTES!I866="OBSOLETO","","INSERT INTO INYCEXT.INYC_CONF_INF_AGENTES (COD_INFORME,BO_GROUP,COMPANIA,ID_TIPO_AGENTE,TABLA,F_INICIO,F_FIN,DESCRIPCION) VALUES ("&amp;AGENTES!B866&amp;",'"&amp;AGENTES!C866&amp;"','"&amp;AGENTES!D866&amp;"','"&amp;AGENTES!E866&amp;"','"&amp;AGENTES!F866&amp;"',TO_DATE('"&amp;AGENTES!G866&amp;"','yyyymmdd'),TO_DATE('"&amp;AGENTES!H866&amp;"','yyyymmdd'),'"&amp;AGENTES!I866&amp;"');")</f>
        <v>INSERT INTO INYCEXT.INYC_CONF_INF_AGENTES (COD_INFORME,BO_GROUP,COMPANIA,ID_TIPO_AGENTE,TABLA,F_INICIO,F_FIN,DESCRIPCION) VALUES (3,'INYC Compensation Reports User Group - RA','03','319','INYC_RA_RESUMEN,INYC_RA_DETALLE',TO_DATE('20240101','yyyymmdd'),TO_DATE('22000101','yyyymmdd'),'');</v>
      </c>
    </row>
    <row r="866" spans="1:1" x14ac:dyDescent="0.25">
      <c r="A866" t="str">
        <f>IF(AGENTES!I867="OBSOLETO","","INSERT INTO INYCEXT.INYC_CONF_INF_AGENTES (COD_INFORME,BO_GROUP,COMPANIA,ID_TIPO_AGENTE,TABLA,F_INICIO,F_FIN,DESCRIPCION) VALUES ("&amp;AGENTES!B867&amp;",'"&amp;AGENTES!C867&amp;"','"&amp;AGENTES!D867&amp;"','"&amp;AGENTES!E867&amp;"','"&amp;AGENTES!F867&amp;"',TO_DATE('"&amp;AGENTES!G867&amp;"','yyyymmdd'),TO_DATE('"&amp;AGENTES!H867&amp;"','yyyymmdd'),'"&amp;AGENTES!I867&amp;"');")</f>
        <v>INSERT INTO INYCEXT.INYC_CONF_INF_AGENTES (COD_INFORME,BO_GROUP,COMPANIA,ID_TIPO_AGENTE,TABLA,F_INICIO,F_FIN,DESCRIPCION) VALUES (25.1,'INYC Compensation Reports User Group - RPI','01','73','INYC_RPI_RESUMEN,INYC_RPI_DETALLE',TO_DATE('20240101','yyyymmdd'),TO_DATE('22000101','yyyymmdd'),'');</v>
      </c>
    </row>
    <row r="867" spans="1:1" x14ac:dyDescent="0.25">
      <c r="A867" t="str">
        <f>IF(AGENTES!I868="OBSOLETO","","INSERT INTO INYCEXT.INYC_CONF_INF_AGENTES (COD_INFORME,BO_GROUP,COMPANIA,ID_TIPO_AGENTE,TABLA,F_INICIO,F_FIN,DESCRIPCION) VALUES ("&amp;AGENTES!B868&amp;",'"&amp;AGENTES!C868&amp;"','"&amp;AGENTES!D868&amp;"','"&amp;AGENTES!E868&amp;"','"&amp;AGENTES!F868&amp;"',TO_DATE('"&amp;AGENTES!G868&amp;"','yyyymmdd'),TO_DATE('"&amp;AGENTES!H868&amp;"','yyyymmdd'),'"&amp;AGENTES!I868&amp;"');")</f>
        <v>INSERT INTO INYCEXT.INYC_CONF_INF_AGENTES (COD_INFORME,BO_GROUP,COMPANIA,ID_TIPO_AGENTE,TABLA,F_INICIO,F_FIN,DESCRIPCION) VALUES (3,'INYC Compensation Reports User Group - RA','03','342','INYC_RA_RESUMEN,INYC_RA_DETALLE',TO_DATE('20250401','yyyymmdd'),TO_DATE('22000101','yyyymmdd'),'');</v>
      </c>
    </row>
    <row r="868" spans="1:1" x14ac:dyDescent="0.25">
      <c r="A868" t="str">
        <f>IF(AGENTES!I869="OBSOLETO","","INSERT INTO INYCEXT.INYC_CONF_INF_AGENTES (COD_INFORME,BO_GROUP,COMPANIA,ID_TIPO_AGENTE,TABLA,F_INICIO,F_FIN,DESCRIPCION) VALUES ("&amp;AGENTES!B869&amp;",'"&amp;AGENTES!C869&amp;"','"&amp;AGENTES!D869&amp;"','"&amp;AGENTES!E869&amp;"','"&amp;AGENTES!F869&amp;"',TO_DATE('"&amp;AGENTES!G869&amp;"','yyyymmdd'),TO_DATE('"&amp;AGENTES!H869&amp;"','yyyymmdd'),'"&amp;AGENTES!I869&amp;"');")</f>
        <v>INSERT INTO INYCEXT.INYC_CONF_INF_AGENTES (COD_INFORME,BO_GROUP,COMPANIA,ID_TIPO_AGENTE,TABLA,F_INICIO,F_FIN,DESCRIPCION) VALUES (28,'INYC Compensation Reports User Group - CC_E','03','342','INYC_CC_E_RESUMEN',TO_DATE('20250401','yyyymmdd'),TO_DATE('22000101','yyyymmdd'),'');</v>
      </c>
    </row>
    <row r="869" spans="1:1" x14ac:dyDescent="0.25">
      <c r="A869" t="str">
        <f>IF(AGENTES!I870="OBSOLETO","","INSERT INTO INYCEXT.INYC_CONF_INF_AGENTES (COD_INFORME,BO_GROUP,COMPANIA,ID_TIPO_AGENTE,TABLA,F_INICIO,F_FIN,DESCRIPCION) VALUES ("&amp;AGENTES!B870&amp;",'"&amp;AGENTES!C870&amp;"','"&amp;AGENTES!D870&amp;"','"&amp;AGENTES!E870&amp;"','"&amp;AGENTES!F870&amp;"',TO_DATE('"&amp;AGENTES!G870&amp;"','yyyymmdd'),TO_DATE('"&amp;AGENTES!H870&amp;"','yyyymmdd'),'"&amp;AGENTES!I870&amp;"');")</f>
        <v>INSERT INTO INYCEXT.INYC_CONF_INF_AGENTES (COD_INFORME,BO_GROUP,COMPANIA,ID_TIPO_AGENTE,TABLA,F_INICIO,F_FIN,DESCRIPCION) VALUES (106,'INYC Compensation Reports User Group - PEPA_E','03','342','INYC_PEPA_E_RESUMEN,INYC_PEPA_E_DETALLE',TO_DATE('20250401','yyyymmdd'),TO_DATE('22000101','yyyymmdd'),'');</v>
      </c>
    </row>
    <row r="870" spans="1:1" x14ac:dyDescent="0.25">
      <c r="A870" t="str">
        <f>IF(AGENTES!I871="OBSOLETO","","INSERT INTO INYCEXT.INYC_CONF_INF_AGENTES (COD_INFORME,BO_GROUP,COMPANIA,ID_TIPO_AGENTE,TABLA,F_INICIO,F_FIN,DESCRIPCION) VALUES ("&amp;AGENTES!B871&amp;",'"&amp;AGENTES!C871&amp;"','"&amp;AGENTES!D871&amp;"','"&amp;AGENTES!E871&amp;"','"&amp;AGENTES!F871&amp;"',TO_DATE('"&amp;AGENTES!G871&amp;"','yyyymmdd'),TO_DATE('"&amp;AGENTES!H871&amp;"','yyyymmdd'),'"&amp;AGENTES!I871&amp;"');")</f>
        <v>INSERT INTO INYCEXT.INYC_CONF_INF_AGENTES (COD_INFORME,BO_GROUP,COMPANIA,ID_TIPO_AGENTE,TABLA,F_INICIO,F_FIN,DESCRIPCION) VALUES (302,'INYC Compensation Reports User Group - PRAG_E','03','342','INYC_PROD_E_AGENTES',TO_DATE('20250401','yyyymmdd'),TO_DATE('22000101','yyyymmdd'),'');</v>
      </c>
    </row>
    <row r="871" spans="1:1" x14ac:dyDescent="0.25">
      <c r="A871" t="str">
        <f>IF(AGENTES!I872="OBSOLETO","","INSERT INTO INYCEXT.INYC_CONF_INF_AGENTES (COD_INFORME,BO_GROUP,COMPANIA,ID_TIPO_AGENTE,TABLA,F_INICIO,F_FIN,DESCRIPCION) VALUES ("&amp;AGENTES!B872&amp;",'"&amp;AGENTES!C872&amp;"','"&amp;AGENTES!D872&amp;"','"&amp;AGENTES!E872&amp;"','"&amp;AGENTES!F872&amp;"',TO_DATE('"&amp;AGENTES!G872&amp;"','yyyymmdd'),TO_DATE('"&amp;AGENTES!H872&amp;"','yyyymmdd'),'"&amp;AGENTES!I872&amp;"');")</f>
        <v>INSERT INTO INYCEXT.INYC_CONF_INF_AGENTES (COD_INFORME,BO_GROUP,COMPANIA,ID_TIPO_AGENTE,TABLA,F_INICIO,F_FIN,DESCRIPCION) VALUES (112,'INYC Compensation Reports User Group - PRAG','03','342','INYC_PERC_AGENTES,INYC_PROD_AGENTES,INYC_CARTERA_AGENTES',TO_DATE('20250401','yyyymmdd'),TO_DATE('22000101','yyyymmdd'),'');</v>
      </c>
    </row>
    <row r="872" spans="1:1" x14ac:dyDescent="0.25">
      <c r="A872" t="str">
        <f>IF(AGENTES!I873="OBSOLETO","","INSERT INTO INYCEXT.INYC_CONF_INF_AGENTES (COD_INFORME,BO_GROUP,COMPANIA,ID_TIPO_AGENTE,TABLA,F_INICIO,F_FIN,DESCRIPCION) VALUES ("&amp;AGENTES!B873&amp;",'"&amp;AGENTES!C873&amp;"','"&amp;AGENTES!D873&amp;"','"&amp;AGENTES!E873&amp;"','"&amp;AGENTES!F873&amp;"',TO_DATE('"&amp;AGENTES!G873&amp;"','yyyymmdd'),TO_DATE('"&amp;AGENTES!H873&amp;"','yyyymmdd'),'"&amp;AGENTES!I873&amp;"');")</f>
        <v>INSERT INTO INYCEXT.INYC_CONF_INF_AGENTES (COD_INFORME,BO_GROUP,COMPANIA,ID_TIPO_AGENTE,TABLA,F_INICIO,F_FIN,DESCRIPCION) VALUES (3,3,'INYC Compensation Reports User Group - PEAG_E','03','342','INYC_PERC_E_AGENTES',TO_DATE('20250401','yyyymmdd'),TO_DATE('22000101','yyyymmdd'),'');</v>
      </c>
    </row>
    <row r="873" spans="1:1" x14ac:dyDescent="0.25">
      <c r="A873" t="str">
        <f>IF(AGENTES!I874="OBSOLETO","","INSERT INTO INYCEXT.INYC_CONF_INF_AGENTES (COD_INFORME,BO_GROUP,COMPANIA,ID_TIPO_AGENTE,TABLA,F_INICIO,F_FIN,DESCRIPCION) VALUES ("&amp;AGENTES!B874&amp;",'"&amp;AGENTES!C874&amp;"','"&amp;AGENTES!D874&amp;"','"&amp;AGENTES!E874&amp;"','"&amp;AGENTES!F874&amp;"',TO_DATE('"&amp;AGENTES!G874&amp;"','yyyymmdd'),TO_DATE('"&amp;AGENTES!H874&amp;"','yyyymmdd'),'"&amp;AGENTES!I874&amp;"');")</f>
        <v>INSERT INTO INYCEXT.INYC_CONF_INF_AGENTES (COD_INFORME,BO_GROUP,COMPANIA,ID_TIPO_AGENTE,TABLA,F_INICIO,F_FIN,DESCRIPCION) VALUES (21,'INYC Compensation Reports User Group - RACH','01','28','INYC_RACH_RESUMEN',TO_DATE('20250401','yyyymmdd'),TO_DATE('22000101','yyyymmdd'),'');</v>
      </c>
    </row>
    <row r="874" spans="1:1" x14ac:dyDescent="0.25">
      <c r="A874" t="str">
        <f>IF(AGENTES!I875="OBSOLETO","","INSERT INTO INYCEXT.INYC_CONF_INF_AGENTES (COD_INFORME,BO_GROUP,COMPANIA,ID_TIPO_AGENTE,TABLA,F_INICIO,F_FIN,DESCRIPCION) VALUES ("&amp;AGENTES!B875&amp;",'"&amp;AGENTES!C875&amp;"','"&amp;AGENTES!D875&amp;"','"&amp;AGENTES!E875&amp;"','"&amp;AGENTES!F875&amp;"',TO_DATE('"&amp;AGENTES!G875&amp;"','yyyymmdd'),TO_DATE('"&amp;AGENTES!H875&amp;"','yyyymmdd'),'"&amp;AGENTES!I875&amp;"');")</f>
        <v>INSERT INTO INYCEXT.INYC_CONF_INF_AGENTES (COD_INFORME,BO_GROUP,COMPANIA,ID_TIPO_AGENTE,TABLA,F_INICIO,F_FIN,DESCRIPCION) VALUES (24,'INYC Compensation Reports User Group - RIP','01','28','INYC_RIP_RESUMEN',TO_DATE('20250401','yyyymmdd'),TO_DATE('22000101','yyyymmdd'),'');</v>
      </c>
    </row>
    <row r="875" spans="1:1" x14ac:dyDescent="0.25">
      <c r="A875" t="str">
        <f>IF(AGENTES!I876="OBSOLETO","","INSERT INTO INYCEXT.INYC_CONF_INF_AGENTES (COD_INFORME,BO_GROUP,COMPANIA,ID_TIPO_AGENTE,TABLA,F_INICIO,F_FIN,DESCRIPCION) VALUES ("&amp;AGENTES!B876&amp;",'"&amp;AGENTES!C876&amp;"','"&amp;AGENTES!D876&amp;"','"&amp;AGENTES!E876&amp;"','"&amp;AGENTES!F876&amp;"',TO_DATE('"&amp;AGENTES!G876&amp;"','yyyymmdd'),TO_DATE('"&amp;AGENTES!H876&amp;"','yyyymmdd'),'"&amp;AGENTES!I876&amp;"');")</f>
        <v>INSERT INTO INYCEXT.INYC_CONF_INF_AGENTES (COD_INFORME,BO_GROUP,COMPANIA,ID_TIPO_AGENTE,TABLA,F_INICIO,F_FIN,DESCRIPCION) VALUES (29,'INYC Compensation Reports User Group - CPP','01','28','INYC_CPP_RESUMEN,INYC_CPP_DETALLE',TO_DATE('20250401','yyyymmdd'),TO_DATE('22000101','yyyymmdd'),'');</v>
      </c>
    </row>
    <row r="876" spans="1:1" x14ac:dyDescent="0.25">
      <c r="A876" t="str">
        <f>IF(AGENTES!I877="OBSOLETO","","INSERT INTO INYCEXT.INYC_CONF_INF_AGENTES (COD_INFORME,BO_GROUP,COMPANIA,ID_TIPO_AGENTE,TABLA,F_INICIO,F_FIN,DESCRIPCION) VALUES ("&amp;AGENTES!B877&amp;",'"&amp;AGENTES!C877&amp;"','"&amp;AGENTES!D877&amp;"','"&amp;AGENTES!E877&amp;"','"&amp;AGENTES!F877&amp;"',TO_DATE('"&amp;AGENTES!G877&amp;"','yyyymmdd'),TO_DATE('"&amp;AGENTES!H877&amp;"','yyyymmdd'),'"&amp;AGENTES!I877&amp;"');")</f>
        <v>INSERT INTO INYCEXT.INYC_CONF_INF_AGENTES (COD_INFORME,BO_GROUP,COMPANIA,ID_TIPO_AGENTE,TABLA,F_INICIO,F_FIN,DESCRIPCION) VALUES (104,'INYC Compensation Reports User Group - PEPA','01','28','INYC_PEPA_RESUMEN,INYC_PEPA_DETALLE',TO_DATE('20250401','yyyymmdd'),TO_DATE('22000101','yyyymmdd'),'');</v>
      </c>
    </row>
    <row r="877" spans="1:1" x14ac:dyDescent="0.25">
      <c r="A877" t="str">
        <f>IF(AGENTES!I878="OBSOLETO","","INSERT INTO INYCEXT.INYC_CONF_INF_AGENTES (COD_INFORME,BO_GROUP,COMPANIA,ID_TIPO_AGENTE,TABLA,F_INICIO,F_FIN,DESCRIPCION) VALUES ("&amp;AGENTES!B878&amp;",'"&amp;AGENTES!C878&amp;"','"&amp;AGENTES!D878&amp;"','"&amp;AGENTES!E878&amp;"','"&amp;AGENTES!F878&amp;"',TO_DATE('"&amp;AGENTES!G878&amp;"','yyyymmdd'),TO_DATE('"&amp;AGENTES!H878&amp;"','yyyymmdd'),'"&amp;AGENTES!I878&amp;"');")</f>
        <v>INSERT INTO INYCEXT.INYC_CONF_INF_AGENTES (COD_INFORME,BO_GROUP,COMPANIA,ID_TIPO_AGENTE,TABLA,F_INICIO,F_FIN,DESCRIPCION) VALUES (112,'INYC Compensation Reports User Group - PRAG','01','28','INYC_PERC_AGENTES,INYC_PROD_AGENTES,INYC_CARTERA_AGENTES',TO_DATE('20250401','yyyymmdd'),TO_DATE('22000101','yyyymmdd'),'');</v>
      </c>
    </row>
    <row r="878" spans="1:1" x14ac:dyDescent="0.25">
      <c r="A878" t="str">
        <f>IF(AGENTES!I879="OBSOLETO","","INSERT INTO INYCEXT.INYC_CONF_INF_AGENTES (COD_INFORME,BO_GROUP,COMPANIA,ID_TIPO_AGENTE,TABLA,F_INICIO,F_FIN,DESCRIPCION) VALUES ("&amp;AGENTES!B879&amp;",'"&amp;AGENTES!C879&amp;"','"&amp;AGENTES!D879&amp;"','"&amp;AGENTES!E879&amp;"','"&amp;AGENTES!F879&amp;"',TO_DATE('"&amp;AGENTES!G879&amp;"','yyyymmdd'),TO_DATE('"&amp;AGENTES!H879&amp;"','yyyymmdd'),'"&amp;AGENTES!I879&amp;"');")</f>
        <v>INSERT INTO INYCEXT.INYC_CONF_INF_AGENTES (COD_INFORME,BO_GROUP,COMPANIA,ID_TIPO_AGENTE,TABLA,F_INICIO,F_FIN,DESCRIPCION) VALUES (6,'INYC Compensation Reports User Group - RPA','01','28','INYC_RPA_RESUMEN,INYC_RPA_DETALLE',TO_DATE('20250401','yyyymmdd'),TO_DATE('22000101','yyyymmdd'),'');</v>
      </c>
    </row>
    <row r="879" spans="1:1" x14ac:dyDescent="0.25">
      <c r="A879" t="str">
        <f>IF(AGENTES!I880="OBSOLETO","","INSERT INTO INYCEXT.INYC_CONF_INF_AGENTES (COD_INFORME,BO_GROUP,COMPANIA,ID_TIPO_AGENTE,TABLA,F_INICIO,F_FIN,DESCRIPCION) VALUES ("&amp;AGENTES!B880&amp;",'"&amp;AGENTES!C880&amp;"','"&amp;AGENTES!D880&amp;"','"&amp;AGENTES!E880&amp;"','"&amp;AGENTES!F880&amp;"',TO_DATE('"&amp;AGENTES!G880&amp;"','yyyymmdd'),TO_DATE('"&amp;AGENTES!H880&amp;"','yyyymmdd'),'"&amp;AGENTES!I880&amp;"');")</f>
        <v>INSERT INTO INYCEXT.INYC_CONF_INF_AGENTES (COD_INFORME,BO_GROUP,COMPANIA,ID_TIPO_AGENTE,TABLA,F_INICIO,F_FIN,DESCRIPCION) VALUES (33,'INYC Compensation Reports User Group - GES','01','28','INYC_GES_RESUMEN,INYC_GES_DETALLE',TO_DATE('20250401','yyyymmdd'),TO_DATE('22000101','yyyymmdd'),'');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C31B-4F5D-4D6E-944A-334C5E112F41}">
  <dimension ref="A1:A58"/>
  <sheetViews>
    <sheetView topLeftCell="A40" workbookViewId="0">
      <selection activeCell="A42" sqref="A42:XFD49"/>
    </sheetView>
  </sheetViews>
  <sheetFormatPr defaultColWidth="11.42578125" defaultRowHeight="15" x14ac:dyDescent="0.25"/>
  <sheetData>
    <row r="1" spans="1:1" x14ac:dyDescent="0.25">
      <c r="A1" t="s">
        <v>2659</v>
      </c>
    </row>
    <row r="2" spans="1:1" x14ac:dyDescent="0.25">
      <c r="A2" t="s">
        <v>2660</v>
      </c>
    </row>
    <row r="3" spans="1:1" x14ac:dyDescent="0.25">
      <c r="A3" t="s">
        <v>2661</v>
      </c>
    </row>
    <row r="4" spans="1:1" x14ac:dyDescent="0.25">
      <c r="A4" t="s">
        <v>2662</v>
      </c>
    </row>
    <row r="5" spans="1:1" x14ac:dyDescent="0.25">
      <c r="A5" t="s">
        <v>2663</v>
      </c>
    </row>
    <row r="6" spans="1:1" x14ac:dyDescent="0.25">
      <c r="A6" t="s">
        <v>2664</v>
      </c>
    </row>
    <row r="7" spans="1:1" x14ac:dyDescent="0.25">
      <c r="A7" t="s">
        <v>2665</v>
      </c>
    </row>
    <row r="8" spans="1:1" x14ac:dyDescent="0.25">
      <c r="A8" t="s">
        <v>2666</v>
      </c>
    </row>
    <row r="9" spans="1:1" x14ac:dyDescent="0.25">
      <c r="A9" t="s">
        <v>2667</v>
      </c>
    </row>
    <row r="10" spans="1:1" x14ac:dyDescent="0.25">
      <c r="A10" t="s">
        <v>2668</v>
      </c>
    </row>
    <row r="11" spans="1:1" x14ac:dyDescent="0.25">
      <c r="A11" t="s">
        <v>2669</v>
      </c>
    </row>
    <row r="12" spans="1:1" x14ac:dyDescent="0.25">
      <c r="A12" t="s">
        <v>2670</v>
      </c>
    </row>
    <row r="13" spans="1:1" x14ac:dyDescent="0.25">
      <c r="A13" t="s">
        <v>2671</v>
      </c>
    </row>
    <row r="14" spans="1:1" x14ac:dyDescent="0.25">
      <c r="A14" t="s">
        <v>2672</v>
      </c>
    </row>
    <row r="15" spans="1:1" x14ac:dyDescent="0.25">
      <c r="A15" t="s">
        <v>2673</v>
      </c>
    </row>
    <row r="16" spans="1:1" x14ac:dyDescent="0.25">
      <c r="A16" t="s">
        <v>2674</v>
      </c>
    </row>
    <row r="17" spans="1:1" x14ac:dyDescent="0.25">
      <c r="A17" t="s">
        <v>2675</v>
      </c>
    </row>
    <row r="18" spans="1:1" x14ac:dyDescent="0.25">
      <c r="A18" t="s">
        <v>2676</v>
      </c>
    </row>
    <row r="19" spans="1:1" x14ac:dyDescent="0.25">
      <c r="A19" t="s">
        <v>2677</v>
      </c>
    </row>
    <row r="20" spans="1:1" x14ac:dyDescent="0.25">
      <c r="A20" t="s">
        <v>2678</v>
      </c>
    </row>
    <row r="21" spans="1:1" x14ac:dyDescent="0.25">
      <c r="A21" t="s">
        <v>2679</v>
      </c>
    </row>
    <row r="22" spans="1:1" x14ac:dyDescent="0.25">
      <c r="A22" t="s">
        <v>2680</v>
      </c>
    </row>
    <row r="23" spans="1:1" x14ac:dyDescent="0.25">
      <c r="A23" s="4" t="s">
        <v>2681</v>
      </c>
    </row>
    <row r="24" spans="1:1" x14ac:dyDescent="0.25">
      <c r="A24" t="s">
        <v>2682</v>
      </c>
    </row>
    <row r="25" spans="1:1" x14ac:dyDescent="0.25">
      <c r="A25" t="s">
        <v>2683</v>
      </c>
    </row>
    <row r="26" spans="1:1" x14ac:dyDescent="0.25">
      <c r="A26" t="s">
        <v>2684</v>
      </c>
    </row>
    <row r="27" spans="1:1" x14ac:dyDescent="0.25">
      <c r="A27" t="s">
        <v>2685</v>
      </c>
    </row>
    <row r="28" spans="1:1" x14ac:dyDescent="0.25">
      <c r="A28" t="s">
        <v>2686</v>
      </c>
    </row>
    <row r="29" spans="1:1" x14ac:dyDescent="0.25">
      <c r="A29" t="s">
        <v>2687</v>
      </c>
    </row>
    <row r="30" spans="1:1" x14ac:dyDescent="0.25">
      <c r="A30" t="s">
        <v>2688</v>
      </c>
    </row>
    <row r="31" spans="1:1" x14ac:dyDescent="0.25">
      <c r="A31" t="s">
        <v>2689</v>
      </c>
    </row>
    <row r="32" spans="1:1" x14ac:dyDescent="0.25">
      <c r="A32" t="s">
        <v>2690</v>
      </c>
    </row>
    <row r="33" spans="1:1" x14ac:dyDescent="0.25">
      <c r="A33" t="s">
        <v>2691</v>
      </c>
    </row>
    <row r="34" spans="1:1" x14ac:dyDescent="0.25">
      <c r="A34" t="s">
        <v>2692</v>
      </c>
    </row>
    <row r="35" spans="1:1" x14ac:dyDescent="0.25">
      <c r="A35" t="s">
        <v>2693</v>
      </c>
    </row>
    <row r="36" spans="1:1" x14ac:dyDescent="0.25">
      <c r="A36" t="s">
        <v>2694</v>
      </c>
    </row>
    <row r="37" spans="1:1" x14ac:dyDescent="0.25">
      <c r="A37" t="s">
        <v>2695</v>
      </c>
    </row>
    <row r="38" spans="1:1" x14ac:dyDescent="0.25">
      <c r="A38" t="s">
        <v>2696</v>
      </c>
    </row>
    <row r="39" spans="1:1" x14ac:dyDescent="0.25">
      <c r="A39" t="s">
        <v>2697</v>
      </c>
    </row>
    <row r="40" spans="1:1" x14ac:dyDescent="0.25">
      <c r="A40" t="s">
        <v>2698</v>
      </c>
    </row>
    <row r="41" spans="1:1" x14ac:dyDescent="0.25">
      <c r="A41" t="s">
        <v>2699</v>
      </c>
    </row>
    <row r="42" spans="1:1" x14ac:dyDescent="0.25">
      <c r="A42" t="s">
        <v>2700</v>
      </c>
    </row>
    <row r="43" spans="1:1" x14ac:dyDescent="0.25">
      <c r="A43" t="s">
        <v>2701</v>
      </c>
    </row>
    <row r="44" spans="1:1" x14ac:dyDescent="0.25">
      <c r="A44" t="s">
        <v>2702</v>
      </c>
    </row>
    <row r="45" spans="1:1" x14ac:dyDescent="0.25">
      <c r="A45" t="s">
        <v>2703</v>
      </c>
    </row>
    <row r="46" spans="1:1" x14ac:dyDescent="0.25">
      <c r="A46" t="s">
        <v>2704</v>
      </c>
    </row>
    <row r="47" spans="1:1" x14ac:dyDescent="0.25">
      <c r="A47" t="s">
        <v>2705</v>
      </c>
    </row>
    <row r="48" spans="1:1" x14ac:dyDescent="0.25">
      <c r="A48" t="s">
        <v>2706</v>
      </c>
    </row>
    <row r="49" spans="1:1" x14ac:dyDescent="0.25">
      <c r="A49" t="s">
        <v>2707</v>
      </c>
    </row>
    <row r="50" spans="1:1" x14ac:dyDescent="0.25">
      <c r="A50" t="s">
        <v>2708</v>
      </c>
    </row>
    <row r="51" spans="1:1" x14ac:dyDescent="0.25">
      <c r="A51" t="s">
        <v>2709</v>
      </c>
    </row>
    <row r="52" spans="1:1" x14ac:dyDescent="0.25">
      <c r="A52" t="s">
        <v>2710</v>
      </c>
    </row>
    <row r="53" spans="1:1" x14ac:dyDescent="0.25">
      <c r="A53" t="s">
        <v>2711</v>
      </c>
    </row>
    <row r="54" spans="1:1" x14ac:dyDescent="0.25">
      <c r="A54" t="s">
        <v>2712</v>
      </c>
    </row>
    <row r="55" spans="1:1" x14ac:dyDescent="0.25">
      <c r="A55" t="s">
        <v>2709</v>
      </c>
    </row>
    <row r="56" spans="1:1" x14ac:dyDescent="0.25">
      <c r="A56" t="s">
        <v>2710</v>
      </c>
    </row>
    <row r="57" spans="1:1" x14ac:dyDescent="0.25">
      <c r="A57" t="s">
        <v>2708</v>
      </c>
    </row>
    <row r="58" spans="1:1" x14ac:dyDescent="0.25">
      <c r="A58" t="s">
        <v>2713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CB8F-B58E-4028-9C5D-64AD4DC8E9BB}">
  <dimension ref="A1:I7"/>
  <sheetViews>
    <sheetView workbookViewId="0">
      <selection sqref="A1:XFD7"/>
    </sheetView>
  </sheetViews>
  <sheetFormatPr defaultColWidth="11.42578125" defaultRowHeight="15" x14ac:dyDescent="0.25"/>
  <sheetData>
    <row r="1" spans="1:9" x14ac:dyDescent="0.25">
      <c r="A1">
        <v>4</v>
      </c>
      <c r="B1">
        <v>21</v>
      </c>
      <c r="C1" t="s">
        <v>2596</v>
      </c>
      <c r="D1" s="29" t="s">
        <v>2555</v>
      </c>
      <c r="E1">
        <v>28</v>
      </c>
      <c r="F1" t="s">
        <v>148</v>
      </c>
      <c r="G1">
        <v>20140101</v>
      </c>
      <c r="H1">
        <v>22000101</v>
      </c>
    </row>
    <row r="2" spans="1:9" x14ac:dyDescent="0.25">
      <c r="A2">
        <v>4</v>
      </c>
      <c r="B2">
        <v>24</v>
      </c>
      <c r="C2" t="s">
        <v>2599</v>
      </c>
      <c r="D2" s="29" t="s">
        <v>2555</v>
      </c>
      <c r="E2">
        <v>28</v>
      </c>
      <c r="F2" t="s">
        <v>161</v>
      </c>
      <c r="G2">
        <v>20140101</v>
      </c>
      <c r="H2">
        <v>22000101</v>
      </c>
    </row>
    <row r="3" spans="1:9" x14ac:dyDescent="0.25">
      <c r="A3">
        <v>0</v>
      </c>
      <c r="B3">
        <v>29</v>
      </c>
      <c r="C3" t="s">
        <v>2619</v>
      </c>
      <c r="D3" s="29" t="s">
        <v>2555</v>
      </c>
      <c r="E3">
        <v>28</v>
      </c>
      <c r="F3" t="s">
        <v>2620</v>
      </c>
      <c r="G3">
        <v>20181101</v>
      </c>
      <c r="H3">
        <v>22000101</v>
      </c>
      <c r="I3" t="s">
        <v>1581</v>
      </c>
    </row>
    <row r="4" spans="1:9" x14ac:dyDescent="0.25">
      <c r="A4">
        <v>0</v>
      </c>
      <c r="B4">
        <v>104</v>
      </c>
      <c r="C4" t="s">
        <v>2631</v>
      </c>
      <c r="D4" s="29" t="s">
        <v>2555</v>
      </c>
      <c r="E4">
        <v>28</v>
      </c>
      <c r="F4" t="s">
        <v>2632</v>
      </c>
      <c r="G4">
        <v>20140101</v>
      </c>
      <c r="H4">
        <v>22000101</v>
      </c>
    </row>
    <row r="5" spans="1:9" x14ac:dyDescent="0.25">
      <c r="A5">
        <v>0</v>
      </c>
      <c r="B5">
        <v>112</v>
      </c>
      <c r="C5" t="s">
        <v>2640</v>
      </c>
      <c r="D5" s="29" t="s">
        <v>2555</v>
      </c>
      <c r="E5">
        <v>28</v>
      </c>
      <c r="F5" t="s">
        <v>2641</v>
      </c>
      <c r="G5">
        <v>20170101</v>
      </c>
      <c r="H5">
        <v>22000101</v>
      </c>
      <c r="I5" t="s">
        <v>1316</v>
      </c>
    </row>
    <row r="6" spans="1:9" x14ac:dyDescent="0.25">
      <c r="A6">
        <v>2</v>
      </c>
      <c r="B6">
        <v>6</v>
      </c>
      <c r="C6" t="s">
        <v>2569</v>
      </c>
      <c r="D6" s="29" t="s">
        <v>2555</v>
      </c>
      <c r="E6">
        <v>28</v>
      </c>
      <c r="F6" t="s">
        <v>2570</v>
      </c>
      <c r="G6">
        <v>20250401</v>
      </c>
      <c r="H6">
        <v>22000101</v>
      </c>
    </row>
    <row r="7" spans="1:9" x14ac:dyDescent="0.25">
      <c r="A7">
        <v>0</v>
      </c>
      <c r="B7">
        <v>33</v>
      </c>
      <c r="C7" t="s">
        <v>2653</v>
      </c>
      <c r="D7" s="29" t="s">
        <v>2555</v>
      </c>
      <c r="E7">
        <v>28</v>
      </c>
      <c r="F7" t="s">
        <v>2654</v>
      </c>
      <c r="G7">
        <v>20250401</v>
      </c>
      <c r="H7">
        <v>22000101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a2647083d7435069d72e91c5132178e6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6a6b4c213beeba75bcecf8dedf1cacd2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07F696-5EE0-4070-B320-1EBD1F390E0C}"/>
</file>

<file path=customXml/itemProps2.xml><?xml version="1.0" encoding="utf-8"?>
<ds:datastoreItem xmlns:ds="http://schemas.openxmlformats.org/officeDocument/2006/customXml" ds:itemID="{0FBCEAD4-DC2D-4444-BD63-E853CDC082AF}">
  <ds:schemaRefs>
    <ds:schemaRef ds:uri="http://schemas.microsoft.com/office/2006/metadata/properties"/>
    <ds:schemaRef ds:uri="http://schemas.microsoft.com/office/infopath/2007/PartnerControls"/>
    <ds:schemaRef ds:uri="74aabce8-07d4-41f4-ae9d-00986ff236b0"/>
    <ds:schemaRef ds:uri="6cbf7dea-2e0e-4825-99ee-59fffad27bf9"/>
  </ds:schemaRefs>
</ds:datastoreItem>
</file>

<file path=customXml/itemProps3.xml><?xml version="1.0" encoding="utf-8"?>
<ds:datastoreItem xmlns:ds="http://schemas.openxmlformats.org/officeDocument/2006/customXml" ds:itemID="{C233B27D-9F7E-4FF8-A3F1-8DEF7841AB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INFORMES</vt:lpstr>
      <vt:lpstr>INSERT INFORMES</vt:lpstr>
      <vt:lpstr>REGLAS</vt:lpstr>
      <vt:lpstr>MODIFICACIONES_REALIZADAS</vt:lpstr>
      <vt:lpstr>INSERT REGLAS</vt:lpstr>
      <vt:lpstr>AGENTES</vt:lpstr>
      <vt:lpstr>INSERT AGENTES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Mayte Cinca Ruiz</dc:creator>
  <cp:keywords/>
  <dc:description/>
  <cp:lastModifiedBy>Brais Romero García</cp:lastModifiedBy>
  <cp:revision/>
  <dcterms:created xsi:type="dcterms:W3CDTF">2015-07-17T07:58:44Z</dcterms:created>
  <dcterms:modified xsi:type="dcterms:W3CDTF">2025-05-23T07:21:45Z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0x0101009FBF7547C50C704D8BE6B6BC0125EC0F</vt:lpwstr>
  </property>
  <property fmtid="{D5CDD505-2E9C-101B-9397-08002B2CF9AE}" pid="3" name="MediaServiceImageTags">
    <vt:lpwstr/>
  </property>
</Properties>
</file>