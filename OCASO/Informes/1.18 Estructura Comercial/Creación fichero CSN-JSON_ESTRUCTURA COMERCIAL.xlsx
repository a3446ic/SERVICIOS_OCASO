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https://inycom.sharepoint.com/sites/UO_W_Comissions/Documentos compartidos/SAP Commissions/OCASO-ADS20241001PD-TitanProject/03. Desarrollo/03. Informes/1.18 Estructura Comercial/"/>
    </mc:Choice>
  </mc:AlternateContent>
  <xr:revisionPtr revIDLastSave="105" documentId="8_{6AD8D4F2-27EA-4D1C-8177-AE7154A0C090}" xr6:coauthVersionLast="47" xr6:coauthVersionMax="47" xr10:uidLastSave="{EEDDAFB4-43D3-47C9-98F2-C3B25AB5EF6D}"/>
  <bookViews>
    <workbookView xWindow="-108" yWindow="-108" windowWidth="23256" windowHeight="12576" xr2:uid="{00000000-000D-0000-FFFF-FFFF00000000}"/>
  </bookViews>
  <sheets>
    <sheet name="Pasos" sheetId="1" r:id="rId1"/>
    <sheet name="Template" sheetId="2" r:id="rId2"/>
    <sheet name="Hoja2" sheetId="4" r:id="rId3"/>
  </sheets>
  <definedNames>
    <definedName name="_xlnm._FilterDatabase" localSheetId="2" hidden="1">Hoja2!$A$1:$B$122</definedName>
    <definedName name="_xlnm._FilterDatabase" localSheetId="0" hidden="1">Pasos!$C$5:$G$126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4" i="2" l="1"/>
  <c r="A144" i="2"/>
  <c r="A122" i="2"/>
  <c r="B122" i="2"/>
  <c r="A123" i="2"/>
  <c r="B123" i="2"/>
  <c r="A124" i="2"/>
  <c r="B124" i="2"/>
  <c r="A125" i="2"/>
  <c r="B125" i="2"/>
  <c r="A126" i="2"/>
  <c r="B126" i="2"/>
  <c r="A127" i="2"/>
  <c r="B127" i="2"/>
  <c r="A128" i="2"/>
  <c r="B128" i="2"/>
  <c r="A129" i="2"/>
  <c r="B129" i="2"/>
  <c r="A130" i="2"/>
  <c r="B130" i="2"/>
  <c r="A131" i="2"/>
  <c r="B131" i="2"/>
  <c r="A132" i="2"/>
  <c r="B132" i="2"/>
  <c r="A133" i="2"/>
  <c r="B133" i="2"/>
  <c r="A134" i="2"/>
  <c r="B134" i="2"/>
  <c r="A135" i="2"/>
  <c r="B135" i="2"/>
  <c r="A136" i="2"/>
  <c r="B136" i="2"/>
  <c r="A137" i="2"/>
  <c r="B137" i="2"/>
  <c r="A138" i="2"/>
  <c r="B138" i="2"/>
  <c r="A139" i="2"/>
  <c r="B139" i="2"/>
  <c r="A140" i="2"/>
  <c r="B140" i="2"/>
  <c r="A141" i="2"/>
  <c r="B141" i="2"/>
  <c r="A142" i="2"/>
  <c r="B142" i="2"/>
  <c r="A143" i="2"/>
  <c r="B143" i="2"/>
  <c r="B122" i="4" l="1"/>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2" i="2"/>
  <c r="B121" i="2"/>
  <c r="A121" i="2"/>
  <c r="B120" i="2"/>
  <c r="A120" i="2"/>
  <c r="B119" i="2"/>
  <c r="A119" i="2"/>
  <c r="B118" i="2"/>
  <c r="A118" i="2"/>
  <c r="B117" i="2"/>
  <c r="A117" i="2"/>
  <c r="B116" i="2"/>
  <c r="A116" i="2"/>
  <c r="B115" i="2"/>
  <c r="A115" i="2"/>
  <c r="B114" i="2"/>
  <c r="A114" i="2"/>
  <c r="B113" i="2"/>
  <c r="A113" i="2"/>
  <c r="B112" i="2"/>
  <c r="A112" i="2"/>
  <c r="B111" i="2"/>
  <c r="A111" i="2"/>
  <c r="B110" i="2"/>
  <c r="A110" i="2"/>
  <c r="B109" i="2"/>
  <c r="A109" i="2"/>
  <c r="B108" i="2"/>
  <c r="A108" i="2"/>
  <c r="B107" i="2"/>
  <c r="A107" i="2"/>
  <c r="B106" i="2"/>
  <c r="A106" i="2"/>
  <c r="B105" i="2"/>
  <c r="A105" i="2"/>
  <c r="B104"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A72" i="2"/>
  <c r="B71" i="2"/>
  <c r="A71" i="2"/>
  <c r="B70" i="2"/>
  <c r="A70" i="2"/>
  <c r="B69" i="2"/>
  <c r="A69" i="2"/>
  <c r="B68" i="2"/>
  <c r="A68"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3" i="2" l="1"/>
  <c r="B4" i="2"/>
  <c r="B5" i="2"/>
  <c r="B6" i="2"/>
  <c r="B7" i="2"/>
  <c r="B8" i="2"/>
  <c r="B9" i="2"/>
  <c r="B10" i="2"/>
  <c r="B11" i="2"/>
  <c r="B1" i="2"/>
  <c r="A3" i="2"/>
  <c r="A4" i="2"/>
  <c r="A5" i="2"/>
  <c r="A6" i="2"/>
  <c r="A7" i="2"/>
  <c r="A8" i="2"/>
  <c r="A9" i="2"/>
  <c r="A10" i="2"/>
  <c r="A11" i="2"/>
  <c r="A2" i="2"/>
</calcChain>
</file>

<file path=xl/sharedStrings.xml><?xml version="1.0" encoding="utf-8"?>
<sst xmlns="http://schemas.openxmlformats.org/spreadsheetml/2006/main" count="810" uniqueCount="437">
  <si>
    <t>1. Rellenar los campos en azul y rellenar tantas líneas como campos tenga la tabla</t>
  </si>
  <si>
    <t>DATOS DE ENTRADA</t>
  </si>
  <si>
    <t>Nombre de la vista</t>
  </si>
  <si>
    <t>3. La última línea de campo no debe llevar coma final</t>
  </si>
  <si>
    <t>Nombre que se le quiere dar</t>
  </si>
  <si>
    <t>4. Una vez realizado el template copiarlo a un fichero plano</t>
  </si>
  <si>
    <t>No.</t>
  </si>
  <si>
    <t>Campos</t>
  </si>
  <si>
    <t>Tipo (String, Integer, Integer64, Timestamp, DecimalFloat)</t>
  </si>
  <si>
    <t>Dimension or Measure</t>
  </si>
  <si>
    <t>6. Hacer un sustituir de | por "</t>
  </si>
  <si>
    <t>PERIODSEQ</t>
  </si>
  <si>
    <t>Integer64</t>
  </si>
  <si>
    <t>Dimension</t>
  </si>
  <si>
    <t>7. Este ejemplo es sólo para un CNS, si se tiene más de uno hay que separar los template por coma, pero dejar un solo apartado "EXT" (ojo con el fin de llave)</t>
  </si>
  <si>
    <t>String</t>
  </si>
  <si>
    <t>DecimalFloat</t>
  </si>
  <si>
    <t>Measure</t>
  </si>
  <si>
    <t>Integer</t>
  </si>
  <si>
    <t>Texto 1</t>
  </si>
  <si>
    <t>Texto 2</t>
  </si>
  <si>
    <t xml:space="preserve">		}
	}
}</t>
  </si>
  <si>
    <t>Nombre en Report</t>
  </si>
  <si>
    <t>5. Eliminar las " (comillas) haciendo un sustituir por nada</t>
  </si>
  <si>
    <t>2. En la pestaña "template" hay que completar tantas líneas de campo como tenga la tabla</t>
  </si>
  <si>
    <t>PARTICIPANTEMAIL</t>
  </si>
  <si>
    <t>TAXID</t>
  </si>
  <si>
    <t>PAR_EFFECTIVESTARTDATE</t>
  </si>
  <si>
    <t>PAR_EFFECTIVEENDDATE</t>
  </si>
  <si>
    <t>PERIODNAME</t>
  </si>
  <si>
    <t>PERIODSHORTNAME</t>
  </si>
  <si>
    <t>PERIODDESCRIPTION</t>
  </si>
  <si>
    <t>STARTDATE</t>
  </si>
  <si>
    <t>ENDDATE</t>
  </si>
  <si>
    <t>NOMBRE_COMPLETO</t>
  </si>
  <si>
    <t>POSITIONSEQ</t>
  </si>
  <si>
    <t>PARTICIPANTSEQ</t>
  </si>
  <si>
    <t>PARTICIPANTID</t>
  </si>
  <si>
    <t>USERID</t>
  </si>
  <si>
    <t>PREFIX</t>
  </si>
  <si>
    <t>FIRSTNAME</t>
  </si>
  <si>
    <t>MIDDLENAME</t>
  </si>
  <si>
    <t>LASTNAME</t>
  </si>
  <si>
    <t>SUFFIX</t>
  </si>
  <si>
    <t>FULLNAME</t>
  </si>
  <si>
    <t>SALARY</t>
  </si>
  <si>
    <t>HIREDATE</t>
  </si>
  <si>
    <t>TERMINATIONDATE</t>
  </si>
  <si>
    <t>BUSINESSUNITMAP</t>
  </si>
  <si>
    <t>BUSINESSUNITNAME</t>
  </si>
  <si>
    <t>POSITIONNAME</t>
  </si>
  <si>
    <t>POSITIONDESCRIPTION</t>
  </si>
  <si>
    <t>POSITIONGROUPNAME</t>
  </si>
  <si>
    <t>TITLENAME</t>
  </si>
  <si>
    <t>TITLEDESCRIPTION</t>
  </si>
  <si>
    <t>TARGETCOMPENSATION</t>
  </si>
  <si>
    <t>PLANNAME</t>
  </si>
  <si>
    <t>PLANSEQ</t>
  </si>
  <si>
    <t>POSITIONGENERICATTRIBUTE1</t>
  </si>
  <si>
    <t>POSITIONGENERICATTRIBUTE3</t>
  </si>
  <si>
    <t>POSITIONGENERICATTRIBUTE4</t>
  </si>
  <si>
    <t>POSITIONGENERICATTRIBUTE5</t>
  </si>
  <si>
    <t>POSITIONGENERICATTRIBUTE6</t>
  </si>
  <si>
    <t>POSITIONGENERICATTRIBUTE7</t>
  </si>
  <si>
    <t>POSITIONGENERICATTRIBUTE8</t>
  </si>
  <si>
    <t>POSITIONGENERICATTRIBUTE9</t>
  </si>
  <si>
    <t>POSITIONGENERICATTRIBUTE10</t>
  </si>
  <si>
    <t>POSITIONGENERICATTRIBUTE11</t>
  </si>
  <si>
    <t>POSITIONGENERICATTRIBUTE12</t>
  </si>
  <si>
    <t>POSITIONGENERICATTRIBUTE13</t>
  </si>
  <si>
    <t>POSITIONGENERICATTRIBUTE14</t>
  </si>
  <si>
    <t>POSITIONGENERICATTRIBUTE15</t>
  </si>
  <si>
    <t>POSITIONGENERICATTRIBUTE16</t>
  </si>
  <si>
    <t>POSITIONGENERICNUMBER1</t>
  </si>
  <si>
    <t>POSITIONGENERICNUMBER2</t>
  </si>
  <si>
    <t>POSITIONGENERICNUMBER3</t>
  </si>
  <si>
    <t>POSITIONGENERICNUMBER4</t>
  </si>
  <si>
    <t>POSITIONGENERICNUMBER5</t>
  </si>
  <si>
    <t>POSITIONGENERICNUMBER6</t>
  </si>
  <si>
    <t>POSITIONGENERICDATE1</t>
  </si>
  <si>
    <t>POSITIONGENERICDATE2</t>
  </si>
  <si>
    <t>POSITIONGENERICDATE3</t>
  </si>
  <si>
    <t>POSITIONGENERICDATE4</t>
  </si>
  <si>
    <t>POSITIONGENERICDATE5</t>
  </si>
  <si>
    <t>POSITIONGENERICDATE6</t>
  </si>
  <si>
    <t>POSITIONGENERICBOOLEAN1</t>
  </si>
  <si>
    <t>POSITIONGENERICBOOLEAN2</t>
  </si>
  <si>
    <t>POSITIONGENERICBOOLEAN3</t>
  </si>
  <si>
    <t>POSITIONGENERICBOOLEAN4</t>
  </si>
  <si>
    <t>POSITIONGENERICBOOLEAN5</t>
  </si>
  <si>
    <t>POSITIONGENERICBOOLEAN6</t>
  </si>
  <si>
    <t>PARTICIPANTGENERICATTRIBUTE1</t>
  </si>
  <si>
    <t>PARTICIPANTGENERICATTRIBUTE2</t>
  </si>
  <si>
    <t>PARTICIPANTGENERICATTRIBUTE3</t>
  </si>
  <si>
    <t>PARTICIPANTGENERICATTRIBUTE4</t>
  </si>
  <si>
    <t>PARTICIPANTGENERICATTRIBUTE5</t>
  </si>
  <si>
    <t>PARTICIPANTGENERICATTRIBUTE6</t>
  </si>
  <si>
    <t>PARTICIPANTGENERICATTRIBUTE7</t>
  </si>
  <si>
    <t>PARTICIPANTGENERICATTRIBUTE8</t>
  </si>
  <si>
    <t>PARTICIPANTGENERICATTRIBUTE9</t>
  </si>
  <si>
    <t>PARTICIPANTGENERICATTRIBUTE10</t>
  </si>
  <si>
    <t>PARTICIPANTGENERICATTRIBUTE11</t>
  </si>
  <si>
    <t>PARTICIPANTGENERICATTRIBUTE12</t>
  </si>
  <si>
    <t>PARTICIPANTGENERICATTRIBUTE13</t>
  </si>
  <si>
    <t>PARTICIPANTGENERICATTRIBUTE14</t>
  </si>
  <si>
    <t>PARTICIPANTGENERICATTRIBUTE15</t>
  </si>
  <si>
    <t>PARTICIPANTGENERICATTRIBUTE16</t>
  </si>
  <si>
    <t>PARTICIPANTGENERICNUMBER1</t>
  </si>
  <si>
    <t>PARTICIPANTGENERICNUMBER2</t>
  </si>
  <si>
    <t>PARTICIPANTGENERICNUMBER3</t>
  </si>
  <si>
    <t>PARTICIPANTGENERICNUMBER4</t>
  </si>
  <si>
    <t>PARTICIPANTGENERICNUMBER5</t>
  </si>
  <si>
    <t>PARTICIPANTGENERICNUMBER6</t>
  </si>
  <si>
    <t>PARTICIPANTGENERICDATE1</t>
  </si>
  <si>
    <t>PARTICIPANTGENERICDATE2</t>
  </si>
  <si>
    <t>PARTICIPANTGENERICDATE3</t>
  </si>
  <si>
    <t>PARTICIPANTGENERICDATE4</t>
  </si>
  <si>
    <t>PARTICIPANTGENERICDATE5</t>
  </si>
  <si>
    <t>PARTICIPANTGENERICDATE6</t>
  </si>
  <si>
    <t>PARTICIPANTGENERICBOOLEAN1</t>
  </si>
  <si>
    <t>PARTICIPANTGENERICBOOLEAN2</t>
  </si>
  <si>
    <t>PARTICIPANTGENERICBOOLEAN3</t>
  </si>
  <si>
    <t>PARTICIPANTGENERICBOOLEAN4</t>
  </si>
  <si>
    <t>PARTICIPANTGENERICBOOLEAN5</t>
  </si>
  <si>
    <t>PARTICIPANTGENERICBOOLEAN6</t>
  </si>
  <si>
    <t>TITLEGENERICATTRIBUTE1</t>
  </si>
  <si>
    <t>TITLEGENERICATTRIBUTE2</t>
  </si>
  <si>
    <t>TITLEGENERICATTRIBUTE3</t>
  </si>
  <si>
    <t>TITLEGENERICATTRIBUTE4</t>
  </si>
  <si>
    <t>TITLEGENERICNUMBER1</t>
  </si>
  <si>
    <t>TITLEGENERICNUMBER2</t>
  </si>
  <si>
    <t>TITLEGENERICNUMBER3</t>
  </si>
  <si>
    <t>TITLEGENERICNUMBER4</t>
  </si>
  <si>
    <t>TITLEGENERICDATE1</t>
  </si>
  <si>
    <t>TITLEGENERICDATE2</t>
  </si>
  <si>
    <t>TITLEGENERICBOOLEAN1</t>
  </si>
  <si>
    <t>TITLEGENERICBOOLEAN2</t>
  </si>
  <si>
    <t>MANAGERSEQ</t>
  </si>
  <si>
    <t>MANAGERFULLNAME</t>
  </si>
  <si>
    <t>ISPAYEE</t>
  </si>
  <si>
    <t>BOUSERID</t>
  </si>
  <si>
    <t>MANAGERPARTICIPANTSEQ</t>
  </si>
  <si>
    <t>PA_SK</t>
  </si>
  <si>
    <t>MEDCOUNT</t>
  </si>
  <si>
    <t>Timestamp</t>
  </si>
  <si>
    <t>Correo electrónico</t>
  </si>
  <si>
    <t>Tipo de IRPF</t>
  </si>
  <si>
    <t>Fecha Inicio Efectividad</t>
  </si>
  <si>
    <t>Fecha Fin Efectividad</t>
  </si>
  <si>
    <t>ID de participante</t>
  </si>
  <si>
    <t>Usuario LDAP</t>
  </si>
  <si>
    <t>Nombre</t>
  </si>
  <si>
    <t>Email personal</t>
  </si>
  <si>
    <t>Apellido 1/Razón social</t>
  </si>
  <si>
    <t>Apellido 2</t>
  </si>
  <si>
    <t>Pago por IBAN</t>
  </si>
  <si>
    <t>Fecha de Contrato</t>
  </si>
  <si>
    <t>Fecha Fin Agente</t>
  </si>
  <si>
    <t>Posición</t>
  </si>
  <si>
    <t>Descripción Posición</t>
  </si>
  <si>
    <t>Grupo de Posición</t>
  </si>
  <si>
    <t>Título</t>
  </si>
  <si>
    <t>Descripción Título</t>
  </si>
  <si>
    <t>Objetivo Comisiones</t>
  </si>
  <si>
    <t>PLAN</t>
  </si>
  <si>
    <t>Tipo Principal Agente / Clase Oficina (GA1)</t>
  </si>
  <si>
    <t>Tipo Agente / Tipo Oficina (GA2)</t>
  </si>
  <si>
    <t>Código de Agente OCASO (GA3)</t>
  </si>
  <si>
    <t>Rehabilitación (GA4)</t>
  </si>
  <si>
    <t>Cuadro Inspector Ocaso (GA5)</t>
  </si>
  <si>
    <t>Cuadro RRGG Ocaso (GA6)</t>
  </si>
  <si>
    <t>Cuadro RRTT Ocaso (GA7)</t>
  </si>
  <si>
    <t>Compañía (GA8)</t>
  </si>
  <si>
    <t>Promoción Agente (GA9)</t>
  </si>
  <si>
    <t>Cuadro Inspector Eterna (GA10)</t>
  </si>
  <si>
    <t>Cuadro RRGG Eterna (GA11)</t>
  </si>
  <si>
    <t>Cuadro RRTT Eterna (GA12)</t>
  </si>
  <si>
    <t>Año Captación (GA13)</t>
  </si>
  <si>
    <t>Inspector Captador (GA14)</t>
  </si>
  <si>
    <t>Número Meses Preplan (GA15)</t>
  </si>
  <si>
    <t>Escalado Asistencia (GA16)</t>
  </si>
  <si>
    <t>ID Tipo Principal Agente (GN1)</t>
  </si>
  <si>
    <t>ID Tipo Agente (GN2)</t>
  </si>
  <si>
    <t>ID Clase Oficina (GN3)</t>
  </si>
  <si>
    <t>ID Tipo Oficina (GN4)</t>
  </si>
  <si>
    <t>% Comisión Cartera (GN5)</t>
  </si>
  <si>
    <t>Importe Comisión Cartera (GN6)</t>
  </si>
  <si>
    <t>Fecha de Alta (GD1)</t>
  </si>
  <si>
    <t>Fecha de Baja (GD2)</t>
  </si>
  <si>
    <t>Fecha Inicio Consolidación P.C. (GD3)</t>
  </si>
  <si>
    <t>Fecha Fin Consolidación P.C. (GD4)</t>
  </si>
  <si>
    <t>Fecha Inicio Asistencia (GD5)</t>
  </si>
  <si>
    <t>Fecha Límite Comisiones Cartera (GD6)</t>
  </si>
  <si>
    <t>Reducción (GB1)</t>
  </si>
  <si>
    <t>Productor Ocaso (GB2)</t>
  </si>
  <si>
    <t>Consolida (GB3)</t>
  </si>
  <si>
    <t>Inicio Agente Asistencia (GB4)</t>
  </si>
  <si>
    <t>Productor Eterna (GB5)</t>
  </si>
  <si>
    <t>Ag. Lider (GB6)</t>
  </si>
  <si>
    <t>Documento (GA1)</t>
  </si>
  <si>
    <t>Tipo Documento (GA2)</t>
  </si>
  <si>
    <t>Tipo Persona (GA3)</t>
  </si>
  <si>
    <t>Código DGS (GA4)</t>
  </si>
  <si>
    <t>Compañía (GA5)</t>
  </si>
  <si>
    <t>Tipo Mediador (GA6)</t>
  </si>
  <si>
    <t>Localidad (GA7)</t>
  </si>
  <si>
    <t>Tipo Vía (GA8)</t>
  </si>
  <si>
    <t>Domicilio (GA9)</t>
  </si>
  <si>
    <t>Número (GA10)</t>
  </si>
  <si>
    <t>Resto Domicilio (GA11)</t>
  </si>
  <si>
    <t>Sexo (GA12)</t>
  </si>
  <si>
    <t>Estado Civil (GA13)</t>
  </si>
  <si>
    <t>Teléfono Fijo (GA14)</t>
  </si>
  <si>
    <t>Teléfono Móvil (GA15)</t>
  </si>
  <si>
    <t>IBAN (GA16)</t>
  </si>
  <si>
    <t>Código Postal (GN1)</t>
  </si>
  <si>
    <t>Provincia (GN2)</t>
  </si>
  <si>
    <t>Municipio (GN3)</t>
  </si>
  <si>
    <t>ID_Empleado (GN4)</t>
  </si>
  <si>
    <t>% IRPF (GN5)</t>
  </si>
  <si>
    <t>Fax (GN6)</t>
  </si>
  <si>
    <t>Fecha Nacimiento (GD1)</t>
  </si>
  <si>
    <t>Fecha Registro DGS (GD2)</t>
  </si>
  <si>
    <t>Fecha Envío DGS (GD3)</t>
  </si>
  <si>
    <t>Fin CIASE 1 (GD4)</t>
  </si>
  <si>
    <t>Fecha Efecto SuperRappel (GD5)</t>
  </si>
  <si>
    <t>Fecha Regularización SuperRappel (GD6)</t>
  </si>
  <si>
    <t>Autoliquida (GB1)</t>
  </si>
  <si>
    <t>Corredor (GB2)</t>
  </si>
  <si>
    <t>Autorización Factura (GB3)</t>
  </si>
  <si>
    <t>SuperRappel (GB4)</t>
  </si>
  <si>
    <t>Comisiones Anualizadas RRPP OCASO (GB5)</t>
  </si>
  <si>
    <t>Cartera RRTT (GB6)</t>
  </si>
  <si>
    <t>ID Tipo Principal  Agente (GN1)</t>
  </si>
  <si>
    <t>ID Tipo  Agente (GN2)</t>
  </si>
  <si>
    <t>Genera Informe (GB1)</t>
  </si>
  <si>
    <t>Periodo</t>
  </si>
  <si>
    <t>Periodo Nombre corto</t>
  </si>
  <si>
    <t>Periodo Descripción</t>
  </si>
  <si>
    <t>Inicio Periodo</t>
  </si>
  <si>
    <t>Fin Periodo</t>
  </si>
  <si>
    <t>Nombre Completo</t>
  </si>
  <si>
    <t>Prefix</t>
  </si>
  <si>
    <t>FullName</t>
  </si>
  <si>
    <t>Plan</t>
  </si>
  <si>
    <t>Apellido 1 - Razón social</t>
  </si>
  <si>
    <t>Tipo Principal Agente - Clase Oficina</t>
  </si>
  <si>
    <t>Tipo Agente - Tipo Oficina</t>
  </si>
  <si>
    <t>Código de Agente OCASO</t>
  </si>
  <si>
    <t>Rehabilitación</t>
  </si>
  <si>
    <t>Cuadro Inspector Ocaso</t>
  </si>
  <si>
    <t>Cuadro RRGG Ocaso</t>
  </si>
  <si>
    <t>Cuadro RRTT Ocaso</t>
  </si>
  <si>
    <t>Promoción Agente</t>
  </si>
  <si>
    <t>Cuadro Inspector Eterna</t>
  </si>
  <si>
    <t>Cuadro RRGG Eterna</t>
  </si>
  <si>
    <t>Cuadro RRTT Eterna</t>
  </si>
  <si>
    <t>Año Captación</t>
  </si>
  <si>
    <t>Inspector Captador</t>
  </si>
  <si>
    <t>Número Meses Preplan</t>
  </si>
  <si>
    <t>Escalado Asistencia</t>
  </si>
  <si>
    <t>ID Tipo Principal Agente</t>
  </si>
  <si>
    <t>ID Tipo Agente</t>
  </si>
  <si>
    <t>ID Clase Oficina</t>
  </si>
  <si>
    <t>ID Tipo Oficina</t>
  </si>
  <si>
    <t>Importe Comisión Cartera</t>
  </si>
  <si>
    <t>Fecha de Alta</t>
  </si>
  <si>
    <t>Fecha de Baja</t>
  </si>
  <si>
    <t>Fecha Inicio Consolidación P.C.</t>
  </si>
  <si>
    <t>Fecha Fin Consolidación P.C.</t>
  </si>
  <si>
    <t>Fecha Inicio Asistencia</t>
  </si>
  <si>
    <t>Fecha Límite Comisiones Cartera</t>
  </si>
  <si>
    <t>Reducción</t>
  </si>
  <si>
    <t>Productor Ocaso</t>
  </si>
  <si>
    <t>Consolida</t>
  </si>
  <si>
    <t>Inicio Agente Asistencia</t>
  </si>
  <si>
    <t>Productor Eterna</t>
  </si>
  <si>
    <t>Ag. Lider</t>
  </si>
  <si>
    <t>Documento</t>
  </si>
  <si>
    <t>Tipo Documento</t>
  </si>
  <si>
    <t>Tipo Persona</t>
  </si>
  <si>
    <t>Código DGS</t>
  </si>
  <si>
    <t>Tipo Mediador</t>
  </si>
  <si>
    <t>Localidad</t>
  </si>
  <si>
    <t>Tipo Vía</t>
  </si>
  <si>
    <t>Domicilio</t>
  </si>
  <si>
    <t>Número</t>
  </si>
  <si>
    <t>Resto Domicilio</t>
  </si>
  <si>
    <t>Sexo</t>
  </si>
  <si>
    <t>Estado Civil</t>
  </si>
  <si>
    <t>Teléfono Fijo</t>
  </si>
  <si>
    <t>Teléfono Móvil</t>
  </si>
  <si>
    <t>IBAN</t>
  </si>
  <si>
    <t>Código Postal</t>
  </si>
  <si>
    <t>Provincia</t>
  </si>
  <si>
    <t>Municipio</t>
  </si>
  <si>
    <t>ID_Empleado</t>
  </si>
  <si>
    <t>Fax</t>
  </si>
  <si>
    <t>Fecha Nacimiento</t>
  </si>
  <si>
    <t>Fecha Registro DGS</t>
  </si>
  <si>
    <t>Fecha Envío DGS</t>
  </si>
  <si>
    <t>Fin CIASE 1</t>
  </si>
  <si>
    <t>Fecha Efecto SuperRappel</t>
  </si>
  <si>
    <t>Fecha Regularización SuperRappel</t>
  </si>
  <si>
    <t>Autoliquida</t>
  </si>
  <si>
    <t>Corredor</t>
  </si>
  <si>
    <t>Autorización Factura</t>
  </si>
  <si>
    <t>SuperRappel</t>
  </si>
  <si>
    <t>Comisiones Anualizadas RRPP OCASO</t>
  </si>
  <si>
    <t>Cartera RRTT</t>
  </si>
  <si>
    <t>Genera Informe</t>
  </si>
  <si>
    <t>Porcentaje Comisión Cartera</t>
  </si>
  <si>
    <t>Porcentaje IRPF</t>
  </si>
  <si>
    <t>TitleGenericAttribute3</t>
  </si>
  <si>
    <t>TitleGenericAttribute4</t>
  </si>
  <si>
    <t>titlegenericdate1</t>
  </si>
  <si>
    <t>titlegenericdate2</t>
  </si>
  <si>
    <t>titlegenericboolean2</t>
  </si>
  <si>
    <t>Manager Full Name</t>
  </si>
  <si>
    <t>IsPayee</t>
  </si>
  <si>
    <t>BOUserID</t>
  </si>
  <si>
    <t>Title - Tipo Principal Agente - Clase Oficina</t>
  </si>
  <si>
    <t>Tittle Tipo Agente - Tipo Oficina</t>
  </si>
  <si>
    <t>Title ID Tipo Principal  Agente</t>
  </si>
  <si>
    <t>Tittle ID Tipo  Agente</t>
  </si>
  <si>
    <t>Tittle ID Clase Oficina</t>
  </si>
  <si>
    <t>Tittle ID Tipo Oficina</t>
  </si>
  <si>
    <t>Compañía (Par)</t>
  </si>
  <si>
    <t>Compañía (Pos)</t>
  </si>
  <si>
    <t>IDREGIONAL</t>
  </si>
  <si>
    <t>REGIONAL</t>
  </si>
  <si>
    <t>IDSUCURSAL</t>
  </si>
  <si>
    <t>SUCURSAL</t>
  </si>
  <si>
    <t>IDOFICINA</t>
  </si>
  <si>
    <t>OFICINA</t>
  </si>
  <si>
    <t>PV</t>
  </si>
  <si>
    <t>CODIGO</t>
  </si>
  <si>
    <t>INSPECTOR_NAME</t>
  </si>
  <si>
    <t>INSPECTOR_NIF</t>
  </si>
  <si>
    <t>INSPECTOR_NOMBRE_COMPLETO</t>
  </si>
  <si>
    <t>INSPECTOR_TITLE</t>
  </si>
  <si>
    <t>INSPECTOR_LDAP</t>
  </si>
  <si>
    <t>INSPECTOR_IDTIPOAGENTE</t>
  </si>
  <si>
    <t>INSPECTOR_TIPOAGENTE</t>
  </si>
  <si>
    <t>INSPCAP_NAME</t>
  </si>
  <si>
    <t>INSPCAP_NIF</t>
  </si>
  <si>
    <t>INSPCAP_NOMBRE_COMPLETO</t>
  </si>
  <si>
    <t>INSPCAP_TITLE</t>
  </si>
  <si>
    <t>INSPCAP_LDAP</t>
  </si>
  <si>
    <t>INSPCAP_IDTIPOAGENTE</t>
  </si>
  <si>
    <t>INSPCAP_TIPOAGENTE</t>
  </si>
  <si>
    <t>EC ID Regional</t>
  </si>
  <si>
    <t>EC Regional</t>
  </si>
  <si>
    <t>EC ID Sucursal</t>
  </si>
  <si>
    <t>EC Sucursal</t>
  </si>
  <si>
    <t>EC ID Oficina</t>
  </si>
  <si>
    <t>EC Oficina</t>
  </si>
  <si>
    <t>EC ID PV</t>
  </si>
  <si>
    <t>EC Código</t>
  </si>
  <si>
    <t>Inspector ID</t>
  </si>
  <si>
    <t>Inspector NIF</t>
  </si>
  <si>
    <t>Inspector Nombre Completo</t>
  </si>
  <si>
    <t>Inspector Tittle</t>
  </si>
  <si>
    <t>Inspector Usuario LDAP</t>
  </si>
  <si>
    <t>Inspector ID Tipo</t>
  </si>
  <si>
    <t>Inspector Tipo</t>
  </si>
  <si>
    <t>Inspector Capt ID</t>
  </si>
  <si>
    <t>Inspector Capt NIF</t>
  </si>
  <si>
    <t>Inspector Capt Nombre Completo</t>
  </si>
  <si>
    <t>Inspector Capt Tittle</t>
  </si>
  <si>
    <t>Inspector Capt Usuario LDAP</t>
  </si>
  <si>
    <t>Inspector Capt ID Tipo</t>
  </si>
  <si>
    <t>Inspector Capt Tipo</t>
  </si>
  <si>
    <t>EXT.CSA_ESTRUCTURA_COMERCIAL_SVW</t>
  </si>
  <si>
    <t>Estructura Comercial</t>
  </si>
  <si>
    <t>Participante Fecha Inicio Ef.</t>
  </si>
  <si>
    <t>Participante Fecha Fin Ef.</t>
  </si>
  <si>
    <t>Periodo Fecha Inicio</t>
  </si>
  <si>
    <t>Periodo Fecha Fin</t>
  </si>
  <si>
    <t>Participante ID</t>
  </si>
  <si>
    <t>Participante Usuario LDAP</t>
  </si>
  <si>
    <t>Participante Nombre Completo</t>
  </si>
  <si>
    <t>Participante Prefix</t>
  </si>
  <si>
    <t>Participante Nombre</t>
  </si>
  <si>
    <t>Participante Apellido 1 - Razón social</t>
  </si>
  <si>
    <t>Participante Apellido 2</t>
  </si>
  <si>
    <t>Participante FullName</t>
  </si>
  <si>
    <t>Fecha Inicio Contrato</t>
  </si>
  <si>
    <t>Fecha Fin Contrato</t>
  </si>
  <si>
    <t>Posición ID</t>
  </si>
  <si>
    <t>Posición Descripción</t>
  </si>
  <si>
    <t>Título Descripción</t>
  </si>
  <si>
    <t>Título Tipo Principal Agente - Clase Oficina</t>
  </si>
  <si>
    <t>Título Tipo Agente - Tipo Oficina</t>
  </si>
  <si>
    <t>Título GenericAttribute3</t>
  </si>
  <si>
    <t>Título GenericAttribute4</t>
  </si>
  <si>
    <t>Título ID Tipo Principal  Agente</t>
  </si>
  <si>
    <t>Título ID Tipo  Agente</t>
  </si>
  <si>
    <t>Título ID Clase Oficina</t>
  </si>
  <si>
    <t>Título ID Tipo Oficina</t>
  </si>
  <si>
    <t>Título genericdate1</t>
  </si>
  <si>
    <t>Título genericdate2</t>
  </si>
  <si>
    <t>Título Genera Informe</t>
  </si>
  <si>
    <t>Título genericboolean2</t>
  </si>
  <si>
    <t>Posición Fecha de Alta</t>
  </si>
  <si>
    <t>Posición Fecha de Baja</t>
  </si>
  <si>
    <t>Participante Documento Fiscal</t>
  </si>
  <si>
    <t>Particiapnte Tipo Documento Fiscal</t>
  </si>
  <si>
    <t>Participante Tipo Persona</t>
  </si>
  <si>
    <t>Participante Código DGS</t>
  </si>
  <si>
    <t>Participante Compañía (Par)</t>
  </si>
  <si>
    <t>Participante Tipo Mediador</t>
  </si>
  <si>
    <t>Participante Localidad</t>
  </si>
  <si>
    <t>Participante Tipo Vía</t>
  </si>
  <si>
    <t>Participante Domicilio</t>
  </si>
  <si>
    <t>Participante Número</t>
  </si>
  <si>
    <t>Participante Resto Domicilio</t>
  </si>
  <si>
    <t>Participante Sexo</t>
  </si>
  <si>
    <t>Participante Estado Civil</t>
  </si>
  <si>
    <t>Participante Teléfono Fijo</t>
  </si>
  <si>
    <t>Participante Teléfono Móvil</t>
  </si>
  <si>
    <t>Participante IBAN</t>
  </si>
  <si>
    <t>Participante Código Postal</t>
  </si>
  <si>
    <t>Participante Provincia</t>
  </si>
  <si>
    <t>Participante Municipio</t>
  </si>
  <si>
    <t>Participante ID Empleado</t>
  </si>
  <si>
    <t>Participante Porcentaje IRPF</t>
  </si>
  <si>
    <t>Participante Fax</t>
  </si>
  <si>
    <t>Participante Fecha Nacimiento</t>
  </si>
  <si>
    <t>Participante Fecha Registro DGS</t>
  </si>
  <si>
    <t>Participante Fecha Envío DGS</t>
  </si>
  <si>
    <t>Participante Fin CIASE 1</t>
  </si>
  <si>
    <t>Participante Fecha Efecto SuperRappel</t>
  </si>
  <si>
    <t>Participante Fecha Regularización SuperRappel</t>
  </si>
  <si>
    <t>Participante Tipo de IRPF</t>
  </si>
  <si>
    <t>Participante Email</t>
  </si>
  <si>
    <t>Participante Email 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</si>
</sst>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rgb="FF000000"/>
      <name val="Arial"/>
      <family val="2"/>
    </font>
    <font>
      <sz val="11"/>
      <color indexed="8"/>
      <name val="Calibri"/>
      <family val="2"/>
      <scheme val="minor"/>
    </font>
    <font>
      <sz val="8"/>
      <color indexed="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cellStyleXfs>
  <cellXfs count="10">
    <xf numFmtId="0" fontId="0" fillId="0" borderId="0" xfId="0"/>
    <xf numFmtId="0" fontId="1" fillId="0" borderId="0" xfId="0" applyFont="1"/>
    <xf numFmtId="0" fontId="0" fillId="2" borderId="0" xfId="0" applyFill="1"/>
    <xf numFmtId="0" fontId="0" fillId="3" borderId="0" xfId="0" applyFill="1" applyAlignment="1">
      <alignment vertical="top"/>
    </xf>
    <xf numFmtId="0" fontId="0" fillId="3" borderId="0" xfId="0" applyFill="1" applyAlignment="1">
      <alignment horizontal="left" vertical="top"/>
    </xf>
    <xf numFmtId="0" fontId="0" fillId="0" borderId="0" xfId="0" applyAlignment="1">
      <alignment vertical="top"/>
    </xf>
    <xf numFmtId="0" fontId="2" fillId="0" borderId="0" xfId="0" applyFont="1"/>
    <xf numFmtId="0" fontId="3" fillId="0" borderId="0" xfId="1"/>
    <xf numFmtId="49" fontId="4" fillId="0" borderId="0" xfId="1" applyNumberFormat="1" applyFont="1"/>
    <xf numFmtId="0" fontId="0" fillId="0" borderId="0" xfId="0" applyAlignment="1">
      <alignment horizontal="left" vertical="top" wrapText="1"/>
    </xf>
  </cellXfs>
  <cellStyles count="2">
    <cellStyle name="Normal" xfId="0" builtinId="0"/>
    <cellStyle name="Normal 2" xfId="1" xr:uid="{7A8CBB2B-DC50-4436-9E6A-0DB16DA000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857250</xdr:colOff>
      <xdr:row>8</xdr:row>
      <xdr:rowOff>171450</xdr:rowOff>
    </xdr:from>
    <xdr:to>
      <xdr:col>0</xdr:col>
      <xdr:colOff>3542964</xdr:colOff>
      <xdr:row>14</xdr:row>
      <xdr:rowOff>97023</xdr:rowOff>
    </xdr:to>
    <xdr:pic>
      <xdr:nvPicPr>
        <xdr:cNvPr id="2" name="Imagen 1">
          <a:extLst>
            <a:ext uri="{FF2B5EF4-FFF2-40B4-BE49-F238E27FC236}">
              <a16:creationId xmlns:a16="http://schemas.microsoft.com/office/drawing/2014/main" id="{3F6800E5-A1E5-8609-39A5-4E0EEF5A77BB}"/>
            </a:ext>
          </a:extLst>
        </xdr:cNvPr>
        <xdr:cNvPicPr>
          <a:picLocks noChangeAspect="1"/>
        </xdr:cNvPicPr>
      </xdr:nvPicPr>
      <xdr:blipFill>
        <a:blip xmlns:r="http://schemas.openxmlformats.org/officeDocument/2006/relationships" r:embed="rId1"/>
        <a:stretch>
          <a:fillRect/>
        </a:stretch>
      </xdr:blipFill>
      <xdr:spPr>
        <a:xfrm>
          <a:off x="857250" y="1695450"/>
          <a:ext cx="2685714" cy="1057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148"/>
  <sheetViews>
    <sheetView tabSelected="1" topLeftCell="B5" workbookViewId="0">
      <selection activeCell="F5" sqref="F5"/>
    </sheetView>
  </sheetViews>
  <sheetFormatPr baseColWidth="10" defaultColWidth="9.109375" defaultRowHeight="14.4" x14ac:dyDescent="0.3"/>
  <cols>
    <col min="1" max="1" width="74.88671875" customWidth="1"/>
    <col min="3" max="3" width="4.109375" bestFit="1" customWidth="1"/>
    <col min="4" max="4" width="31.33203125" bestFit="1" customWidth="1"/>
    <col min="5" max="5" width="29.109375" customWidth="1"/>
    <col min="6" max="6" width="33.5546875" customWidth="1"/>
    <col min="7" max="7" width="21.44140625" bestFit="1" customWidth="1"/>
  </cols>
  <sheetData>
    <row r="1" spans="1:9" x14ac:dyDescent="0.3">
      <c r="A1" t="s">
        <v>0</v>
      </c>
      <c r="D1" s="1" t="s">
        <v>1</v>
      </c>
    </row>
    <row r="2" spans="1:9" x14ac:dyDescent="0.3">
      <c r="A2" t="s">
        <v>24</v>
      </c>
      <c r="D2" s="1" t="s">
        <v>2</v>
      </c>
      <c r="E2" s="2" t="s">
        <v>373</v>
      </c>
    </row>
    <row r="3" spans="1:9" x14ac:dyDescent="0.3">
      <c r="A3" t="s">
        <v>3</v>
      </c>
      <c r="D3" s="1" t="s">
        <v>4</v>
      </c>
      <c r="E3" s="2" t="s">
        <v>374</v>
      </c>
    </row>
    <row r="4" spans="1:9" x14ac:dyDescent="0.3">
      <c r="A4" t="s">
        <v>5</v>
      </c>
    </row>
    <row r="5" spans="1:9" x14ac:dyDescent="0.3">
      <c r="A5" t="s">
        <v>23</v>
      </c>
      <c r="C5" s="1" t="s">
        <v>6</v>
      </c>
      <c r="D5" s="1" t="s">
        <v>7</v>
      </c>
      <c r="E5" s="1" t="s">
        <v>22</v>
      </c>
      <c r="F5" s="1" t="s">
        <v>8</v>
      </c>
      <c r="G5" s="1" t="s">
        <v>9</v>
      </c>
    </row>
    <row r="6" spans="1:9" x14ac:dyDescent="0.3">
      <c r="A6" t="s">
        <v>10</v>
      </c>
      <c r="C6">
        <v>1</v>
      </c>
      <c r="D6" t="s">
        <v>25</v>
      </c>
      <c r="E6" s="2" t="s">
        <v>435</v>
      </c>
      <c r="F6" s="2" t="s">
        <v>15</v>
      </c>
      <c r="G6" s="2" t="s">
        <v>13</v>
      </c>
      <c r="H6">
        <v>1</v>
      </c>
      <c r="I6" s="7" t="s">
        <v>145</v>
      </c>
    </row>
    <row r="7" spans="1:9" x14ac:dyDescent="0.3">
      <c r="A7" s="9" t="s">
        <v>14</v>
      </c>
      <c r="C7">
        <v>2</v>
      </c>
      <c r="D7" t="s">
        <v>26</v>
      </c>
      <c r="E7" s="2" t="s">
        <v>434</v>
      </c>
      <c r="F7" s="2" t="s">
        <v>15</v>
      </c>
      <c r="G7" s="2" t="s">
        <v>13</v>
      </c>
      <c r="H7">
        <v>1</v>
      </c>
      <c r="I7" s="7" t="s">
        <v>146</v>
      </c>
    </row>
    <row r="8" spans="1:9" x14ac:dyDescent="0.3">
      <c r="A8" s="9"/>
      <c r="C8">
        <v>3</v>
      </c>
      <c r="D8" t="s">
        <v>27</v>
      </c>
      <c r="E8" s="2" t="s">
        <v>375</v>
      </c>
      <c r="F8" s="2" t="s">
        <v>144</v>
      </c>
      <c r="G8" s="2" t="s">
        <v>13</v>
      </c>
      <c r="H8">
        <v>1</v>
      </c>
      <c r="I8" s="7" t="s">
        <v>147</v>
      </c>
    </row>
    <row r="9" spans="1:9" x14ac:dyDescent="0.3">
      <c r="C9">
        <v>4</v>
      </c>
      <c r="D9" t="s">
        <v>28</v>
      </c>
      <c r="E9" s="2" t="s">
        <v>376</v>
      </c>
      <c r="F9" s="2" t="s">
        <v>144</v>
      </c>
      <c r="G9" s="2" t="s">
        <v>13</v>
      </c>
      <c r="H9">
        <v>1</v>
      </c>
      <c r="I9" s="7" t="s">
        <v>148</v>
      </c>
    </row>
    <row r="10" spans="1:9" x14ac:dyDescent="0.3">
      <c r="C10">
        <v>5</v>
      </c>
      <c r="D10" t="s">
        <v>29</v>
      </c>
      <c r="E10" s="2" t="s">
        <v>236</v>
      </c>
      <c r="F10" s="2" t="s">
        <v>15</v>
      </c>
      <c r="G10" s="2" t="s">
        <v>13</v>
      </c>
      <c r="H10">
        <v>1</v>
      </c>
      <c r="I10" s="7"/>
    </row>
    <row r="11" spans="1:9" x14ac:dyDescent="0.3">
      <c r="C11">
        <v>6</v>
      </c>
      <c r="D11" t="s">
        <v>30</v>
      </c>
      <c r="E11" s="2" t="s">
        <v>237</v>
      </c>
      <c r="F11" s="2" t="s">
        <v>15</v>
      </c>
      <c r="G11" s="2" t="s">
        <v>13</v>
      </c>
      <c r="H11">
        <v>1</v>
      </c>
      <c r="I11" s="7"/>
    </row>
    <row r="12" spans="1:9" x14ac:dyDescent="0.3">
      <c r="C12">
        <v>7</v>
      </c>
      <c r="D12" t="s">
        <v>31</v>
      </c>
      <c r="E12" s="2" t="s">
        <v>238</v>
      </c>
      <c r="F12" s="2" t="s">
        <v>15</v>
      </c>
      <c r="G12" s="2" t="s">
        <v>13</v>
      </c>
      <c r="H12">
        <v>1</v>
      </c>
      <c r="I12" s="7"/>
    </row>
    <row r="13" spans="1:9" x14ac:dyDescent="0.3">
      <c r="C13">
        <v>8</v>
      </c>
      <c r="D13" t="s">
        <v>32</v>
      </c>
      <c r="E13" s="2" t="s">
        <v>377</v>
      </c>
      <c r="F13" s="2" t="s">
        <v>144</v>
      </c>
      <c r="G13" s="2" t="s">
        <v>13</v>
      </c>
      <c r="H13">
        <v>1</v>
      </c>
      <c r="I13" s="7"/>
    </row>
    <row r="14" spans="1:9" x14ac:dyDescent="0.3">
      <c r="C14">
        <v>9</v>
      </c>
      <c r="D14" t="s">
        <v>33</v>
      </c>
      <c r="E14" s="2" t="s">
        <v>378</v>
      </c>
      <c r="F14" s="2" t="s">
        <v>144</v>
      </c>
      <c r="G14" s="2" t="s">
        <v>13</v>
      </c>
      <c r="H14">
        <v>1</v>
      </c>
      <c r="I14" s="7"/>
    </row>
    <row r="15" spans="1:9" x14ac:dyDescent="0.3">
      <c r="C15">
        <v>10</v>
      </c>
      <c r="D15" t="s">
        <v>34</v>
      </c>
      <c r="E15" s="2" t="s">
        <v>381</v>
      </c>
      <c r="F15" s="2" t="s">
        <v>15</v>
      </c>
      <c r="G15" s="2" t="s">
        <v>13</v>
      </c>
      <c r="H15">
        <v>1</v>
      </c>
      <c r="I15" s="7"/>
    </row>
    <row r="16" spans="1:9" x14ac:dyDescent="0.3">
      <c r="C16">
        <v>11</v>
      </c>
      <c r="D16" t="s">
        <v>11</v>
      </c>
      <c r="E16" s="2" t="s">
        <v>11</v>
      </c>
      <c r="F16" s="2" t="s">
        <v>12</v>
      </c>
      <c r="G16" s="2" t="s">
        <v>13</v>
      </c>
      <c r="H16">
        <v>1</v>
      </c>
      <c r="I16" s="7"/>
    </row>
    <row r="17" spans="3:9" x14ac:dyDescent="0.3">
      <c r="C17">
        <v>12</v>
      </c>
      <c r="D17" t="s">
        <v>35</v>
      </c>
      <c r="E17" s="2" t="s">
        <v>35</v>
      </c>
      <c r="F17" s="2" t="s">
        <v>12</v>
      </c>
      <c r="G17" s="2" t="s">
        <v>13</v>
      </c>
      <c r="H17">
        <v>1</v>
      </c>
      <c r="I17" s="7"/>
    </row>
    <row r="18" spans="3:9" x14ac:dyDescent="0.3">
      <c r="C18">
        <v>13</v>
      </c>
      <c r="D18" t="s">
        <v>36</v>
      </c>
      <c r="E18" s="2" t="s">
        <v>36</v>
      </c>
      <c r="F18" s="2" t="s">
        <v>12</v>
      </c>
      <c r="G18" s="2" t="s">
        <v>13</v>
      </c>
      <c r="H18">
        <v>1</v>
      </c>
      <c r="I18" s="7"/>
    </row>
    <row r="19" spans="3:9" x14ac:dyDescent="0.3">
      <c r="C19">
        <v>14</v>
      </c>
      <c r="D19" t="s">
        <v>37</v>
      </c>
      <c r="E19" s="7" t="s">
        <v>379</v>
      </c>
      <c r="F19" s="2" t="s">
        <v>15</v>
      </c>
      <c r="G19" s="2" t="s">
        <v>13</v>
      </c>
      <c r="H19">
        <v>1</v>
      </c>
      <c r="I19" s="7" t="s">
        <v>149</v>
      </c>
    </row>
    <row r="20" spans="3:9" x14ac:dyDescent="0.3">
      <c r="C20">
        <v>15</v>
      </c>
      <c r="D20" t="s">
        <v>38</v>
      </c>
      <c r="E20" s="7" t="s">
        <v>380</v>
      </c>
      <c r="F20" s="2" t="s">
        <v>15</v>
      </c>
      <c r="G20" s="2" t="s">
        <v>13</v>
      </c>
      <c r="H20">
        <v>1</v>
      </c>
      <c r="I20" s="7" t="s">
        <v>150</v>
      </c>
    </row>
    <row r="21" spans="3:9" x14ac:dyDescent="0.3">
      <c r="C21">
        <v>16</v>
      </c>
      <c r="D21" t="s">
        <v>39</v>
      </c>
      <c r="E21" s="2" t="s">
        <v>382</v>
      </c>
      <c r="F21" s="2" t="s">
        <v>15</v>
      </c>
      <c r="G21" s="2" t="s">
        <v>13</v>
      </c>
      <c r="H21">
        <v>1</v>
      </c>
      <c r="I21" s="7"/>
    </row>
    <row r="22" spans="3:9" x14ac:dyDescent="0.3">
      <c r="C22">
        <v>17</v>
      </c>
      <c r="D22" t="s">
        <v>40</v>
      </c>
      <c r="E22" s="7" t="s">
        <v>383</v>
      </c>
      <c r="F22" s="2" t="s">
        <v>15</v>
      </c>
      <c r="G22" s="2" t="s">
        <v>13</v>
      </c>
      <c r="H22">
        <v>1</v>
      </c>
      <c r="I22" s="7" t="s">
        <v>151</v>
      </c>
    </row>
    <row r="23" spans="3:9" x14ac:dyDescent="0.3">
      <c r="C23">
        <v>18</v>
      </c>
      <c r="D23" t="s">
        <v>41</v>
      </c>
      <c r="E23" s="7" t="s">
        <v>436</v>
      </c>
      <c r="F23" s="2" t="s">
        <v>15</v>
      </c>
      <c r="G23" s="2" t="s">
        <v>13</v>
      </c>
      <c r="H23">
        <v>1</v>
      </c>
      <c r="I23" s="7" t="s">
        <v>152</v>
      </c>
    </row>
    <row r="24" spans="3:9" x14ac:dyDescent="0.3">
      <c r="C24">
        <v>19</v>
      </c>
      <c r="D24" t="s">
        <v>42</v>
      </c>
      <c r="E24" s="7" t="s">
        <v>384</v>
      </c>
      <c r="F24" s="2" t="s">
        <v>15</v>
      </c>
      <c r="G24" s="2" t="s">
        <v>13</v>
      </c>
      <c r="H24">
        <v>1</v>
      </c>
      <c r="I24" s="7" t="s">
        <v>153</v>
      </c>
    </row>
    <row r="25" spans="3:9" x14ac:dyDescent="0.3">
      <c r="C25">
        <v>20</v>
      </c>
      <c r="D25" t="s">
        <v>43</v>
      </c>
      <c r="E25" s="7" t="s">
        <v>385</v>
      </c>
      <c r="F25" s="2" t="s">
        <v>15</v>
      </c>
      <c r="G25" s="2" t="s">
        <v>13</v>
      </c>
      <c r="H25">
        <v>1</v>
      </c>
      <c r="I25" s="7" t="s">
        <v>154</v>
      </c>
    </row>
    <row r="26" spans="3:9" x14ac:dyDescent="0.3">
      <c r="C26">
        <v>21</v>
      </c>
      <c r="D26" t="s">
        <v>44</v>
      </c>
      <c r="E26" s="7" t="s">
        <v>386</v>
      </c>
      <c r="F26" s="2" t="s">
        <v>15</v>
      </c>
      <c r="G26" s="2" t="s">
        <v>13</v>
      </c>
      <c r="H26">
        <v>1</v>
      </c>
      <c r="I26" s="7"/>
    </row>
    <row r="27" spans="3:9" x14ac:dyDescent="0.3">
      <c r="C27">
        <v>22</v>
      </c>
      <c r="D27" t="s">
        <v>45</v>
      </c>
      <c r="E27" s="7" t="s">
        <v>155</v>
      </c>
      <c r="F27" s="2" t="s">
        <v>18</v>
      </c>
      <c r="G27" s="2" t="s">
        <v>13</v>
      </c>
      <c r="H27">
        <v>1</v>
      </c>
      <c r="I27" s="7" t="s">
        <v>155</v>
      </c>
    </row>
    <row r="28" spans="3:9" x14ac:dyDescent="0.3">
      <c r="C28">
        <v>23</v>
      </c>
      <c r="D28" t="s">
        <v>46</v>
      </c>
      <c r="E28" s="7" t="s">
        <v>387</v>
      </c>
      <c r="F28" s="2" t="s">
        <v>144</v>
      </c>
      <c r="G28" s="2" t="s">
        <v>13</v>
      </c>
      <c r="H28">
        <v>1</v>
      </c>
      <c r="I28" s="7" t="s">
        <v>156</v>
      </c>
    </row>
    <row r="29" spans="3:9" x14ac:dyDescent="0.3">
      <c r="C29">
        <v>24</v>
      </c>
      <c r="D29" t="s">
        <v>47</v>
      </c>
      <c r="E29" s="7" t="s">
        <v>388</v>
      </c>
      <c r="F29" s="2" t="s">
        <v>144</v>
      </c>
      <c r="G29" s="2" t="s">
        <v>13</v>
      </c>
      <c r="H29">
        <v>1</v>
      </c>
      <c r="I29" s="7" t="s">
        <v>157</v>
      </c>
    </row>
    <row r="30" spans="3:9" x14ac:dyDescent="0.3">
      <c r="C30">
        <v>25</v>
      </c>
      <c r="D30" t="s">
        <v>48</v>
      </c>
      <c r="E30" t="s">
        <v>48</v>
      </c>
      <c r="F30" s="2" t="s">
        <v>18</v>
      </c>
      <c r="G30" s="2" t="s">
        <v>13</v>
      </c>
      <c r="H30">
        <v>1</v>
      </c>
      <c r="I30" s="7"/>
    </row>
    <row r="31" spans="3:9" x14ac:dyDescent="0.3">
      <c r="C31">
        <v>26</v>
      </c>
      <c r="D31" t="s">
        <v>49</v>
      </c>
      <c r="E31" t="s">
        <v>49</v>
      </c>
      <c r="F31" s="2" t="s">
        <v>15</v>
      </c>
      <c r="G31" s="2" t="s">
        <v>13</v>
      </c>
      <c r="H31">
        <v>1</v>
      </c>
      <c r="I31" s="7"/>
    </row>
    <row r="32" spans="3:9" x14ac:dyDescent="0.3">
      <c r="C32">
        <v>27</v>
      </c>
      <c r="D32" t="s">
        <v>50</v>
      </c>
      <c r="E32" s="7" t="s">
        <v>389</v>
      </c>
      <c r="F32" s="2" t="s">
        <v>15</v>
      </c>
      <c r="G32" s="2" t="s">
        <v>13</v>
      </c>
      <c r="H32">
        <v>1</v>
      </c>
      <c r="I32" s="7" t="s">
        <v>158</v>
      </c>
    </row>
    <row r="33" spans="3:9" x14ac:dyDescent="0.3">
      <c r="C33">
        <v>28</v>
      </c>
      <c r="D33" t="s">
        <v>51</v>
      </c>
      <c r="E33" s="7" t="s">
        <v>390</v>
      </c>
      <c r="F33" s="2" t="s">
        <v>15</v>
      </c>
      <c r="G33" s="2" t="s">
        <v>13</v>
      </c>
      <c r="H33">
        <v>1</v>
      </c>
      <c r="I33" s="7" t="s">
        <v>159</v>
      </c>
    </row>
    <row r="34" spans="3:9" x14ac:dyDescent="0.3">
      <c r="C34">
        <v>29</v>
      </c>
      <c r="D34" t="s">
        <v>52</v>
      </c>
      <c r="E34" s="7" t="s">
        <v>160</v>
      </c>
      <c r="F34" s="2" t="s">
        <v>15</v>
      </c>
      <c r="G34" s="2" t="s">
        <v>13</v>
      </c>
      <c r="H34">
        <v>1</v>
      </c>
      <c r="I34" s="7" t="s">
        <v>160</v>
      </c>
    </row>
    <row r="35" spans="3:9" x14ac:dyDescent="0.3">
      <c r="C35">
        <v>30</v>
      </c>
      <c r="D35" t="s">
        <v>53</v>
      </c>
      <c r="E35" s="7" t="s">
        <v>161</v>
      </c>
      <c r="F35" s="2" t="s">
        <v>15</v>
      </c>
      <c r="G35" s="2" t="s">
        <v>13</v>
      </c>
      <c r="H35">
        <v>1</v>
      </c>
      <c r="I35" s="7" t="s">
        <v>161</v>
      </c>
    </row>
    <row r="36" spans="3:9" x14ac:dyDescent="0.3">
      <c r="C36">
        <v>31</v>
      </c>
      <c r="D36" t="s">
        <v>54</v>
      </c>
      <c r="E36" s="7" t="s">
        <v>391</v>
      </c>
      <c r="F36" s="2" t="s">
        <v>15</v>
      </c>
      <c r="G36" s="2" t="s">
        <v>13</v>
      </c>
      <c r="H36">
        <v>1</v>
      </c>
      <c r="I36" s="7" t="s">
        <v>162</v>
      </c>
    </row>
    <row r="37" spans="3:9" x14ac:dyDescent="0.3">
      <c r="C37">
        <v>32</v>
      </c>
      <c r="D37" t="s">
        <v>55</v>
      </c>
      <c r="E37" s="7" t="s">
        <v>163</v>
      </c>
      <c r="F37" s="2" t="s">
        <v>16</v>
      </c>
      <c r="G37" s="2" t="s">
        <v>17</v>
      </c>
      <c r="H37">
        <v>1</v>
      </c>
      <c r="I37" s="7" t="s">
        <v>163</v>
      </c>
    </row>
    <row r="38" spans="3:9" x14ac:dyDescent="0.3">
      <c r="C38">
        <v>33</v>
      </c>
      <c r="D38" t="s">
        <v>56</v>
      </c>
      <c r="E38" s="7" t="s">
        <v>244</v>
      </c>
      <c r="F38" s="2" t="s">
        <v>15</v>
      </c>
      <c r="G38" s="2" t="s">
        <v>13</v>
      </c>
      <c r="H38">
        <v>1</v>
      </c>
      <c r="I38" s="7" t="s">
        <v>164</v>
      </c>
    </row>
    <row r="39" spans="3:9" x14ac:dyDescent="0.3">
      <c r="C39">
        <v>34</v>
      </c>
      <c r="D39" t="s">
        <v>57</v>
      </c>
      <c r="E39" t="s">
        <v>57</v>
      </c>
      <c r="F39" s="2" t="s">
        <v>12</v>
      </c>
      <c r="G39" s="2" t="s">
        <v>13</v>
      </c>
      <c r="H39">
        <v>1</v>
      </c>
      <c r="I39" s="7"/>
    </row>
    <row r="40" spans="3:9" x14ac:dyDescent="0.3">
      <c r="C40">
        <v>35</v>
      </c>
      <c r="D40" t="s">
        <v>58</v>
      </c>
      <c r="E40" s="7" t="s">
        <v>246</v>
      </c>
      <c r="F40" s="2" t="s">
        <v>15</v>
      </c>
      <c r="G40" s="2" t="s">
        <v>13</v>
      </c>
      <c r="H40">
        <v>2</v>
      </c>
      <c r="I40" s="7" t="s">
        <v>165</v>
      </c>
    </row>
    <row r="41" spans="3:9" x14ac:dyDescent="0.3">
      <c r="C41">
        <v>36</v>
      </c>
      <c r="D41" s="7" t="s">
        <v>247</v>
      </c>
      <c r="E41" s="7" t="s">
        <v>247</v>
      </c>
      <c r="F41" s="2" t="s">
        <v>15</v>
      </c>
      <c r="G41" s="2" t="s">
        <v>13</v>
      </c>
      <c r="H41">
        <v>2</v>
      </c>
      <c r="I41" s="7" t="s">
        <v>166</v>
      </c>
    </row>
    <row r="42" spans="3:9" x14ac:dyDescent="0.3">
      <c r="C42">
        <v>37</v>
      </c>
      <c r="D42" t="s">
        <v>59</v>
      </c>
      <c r="E42" s="7" t="s">
        <v>248</v>
      </c>
      <c r="F42" s="2" t="s">
        <v>15</v>
      </c>
      <c r="G42" s="2" t="s">
        <v>13</v>
      </c>
      <c r="H42">
        <v>1</v>
      </c>
      <c r="I42" s="7" t="s">
        <v>167</v>
      </c>
    </row>
    <row r="43" spans="3:9" x14ac:dyDescent="0.3">
      <c r="C43">
        <v>38</v>
      </c>
      <c r="D43" t="s">
        <v>60</v>
      </c>
      <c r="E43" t="s">
        <v>249</v>
      </c>
      <c r="F43" s="2" t="s">
        <v>15</v>
      </c>
      <c r="G43" s="2" t="s">
        <v>13</v>
      </c>
      <c r="H43">
        <v>1</v>
      </c>
      <c r="I43" s="7" t="s">
        <v>168</v>
      </c>
    </row>
    <row r="44" spans="3:9" x14ac:dyDescent="0.3">
      <c r="C44">
        <v>39</v>
      </c>
      <c r="D44" t="s">
        <v>61</v>
      </c>
      <c r="E44" t="s">
        <v>250</v>
      </c>
      <c r="F44" s="2" t="s">
        <v>15</v>
      </c>
      <c r="G44" s="2" t="s">
        <v>13</v>
      </c>
      <c r="H44">
        <v>1</v>
      </c>
      <c r="I44" s="7" t="s">
        <v>169</v>
      </c>
    </row>
    <row r="45" spans="3:9" x14ac:dyDescent="0.3">
      <c r="C45">
        <v>40</v>
      </c>
      <c r="D45" t="s">
        <v>62</v>
      </c>
      <c r="E45" t="s">
        <v>251</v>
      </c>
      <c r="F45" s="2" t="s">
        <v>15</v>
      </c>
      <c r="G45" s="2" t="s">
        <v>13</v>
      </c>
      <c r="H45">
        <v>1</v>
      </c>
      <c r="I45" s="7" t="s">
        <v>170</v>
      </c>
    </row>
    <row r="46" spans="3:9" x14ac:dyDescent="0.3">
      <c r="C46">
        <v>41</v>
      </c>
      <c r="D46" t="s">
        <v>63</v>
      </c>
      <c r="E46" t="s">
        <v>252</v>
      </c>
      <c r="F46" s="2" t="s">
        <v>15</v>
      </c>
      <c r="G46" s="2" t="s">
        <v>13</v>
      </c>
      <c r="H46">
        <v>1</v>
      </c>
      <c r="I46" s="7" t="s">
        <v>171</v>
      </c>
    </row>
    <row r="47" spans="3:9" x14ac:dyDescent="0.3">
      <c r="C47">
        <v>42</v>
      </c>
      <c r="D47" t="s">
        <v>64</v>
      </c>
      <c r="E47" t="s">
        <v>328</v>
      </c>
      <c r="F47" s="2" t="s">
        <v>15</v>
      </c>
      <c r="G47" s="2" t="s">
        <v>13</v>
      </c>
      <c r="H47">
        <v>2</v>
      </c>
      <c r="I47" s="7" t="s">
        <v>172</v>
      </c>
    </row>
    <row r="48" spans="3:9" x14ac:dyDescent="0.3">
      <c r="C48">
        <v>43</v>
      </c>
      <c r="D48" t="s">
        <v>65</v>
      </c>
      <c r="E48" t="s">
        <v>253</v>
      </c>
      <c r="F48" s="2" t="s">
        <v>15</v>
      </c>
      <c r="G48" s="2" t="s">
        <v>13</v>
      </c>
      <c r="H48">
        <v>1</v>
      </c>
      <c r="I48" s="7" t="s">
        <v>173</v>
      </c>
    </row>
    <row r="49" spans="3:9" x14ac:dyDescent="0.3">
      <c r="C49">
        <v>44</v>
      </c>
      <c r="D49" t="s">
        <v>66</v>
      </c>
      <c r="E49" t="s">
        <v>254</v>
      </c>
      <c r="F49" s="2" t="s">
        <v>15</v>
      </c>
      <c r="G49" s="2" t="s">
        <v>13</v>
      </c>
      <c r="H49">
        <v>1</v>
      </c>
      <c r="I49" s="7" t="s">
        <v>174</v>
      </c>
    </row>
    <row r="50" spans="3:9" x14ac:dyDescent="0.3">
      <c r="C50">
        <v>45</v>
      </c>
      <c r="D50" t="s">
        <v>67</v>
      </c>
      <c r="E50" t="s">
        <v>255</v>
      </c>
      <c r="F50" s="2" t="s">
        <v>15</v>
      </c>
      <c r="G50" s="2" t="s">
        <v>13</v>
      </c>
      <c r="H50">
        <v>1</v>
      </c>
      <c r="I50" s="7" t="s">
        <v>175</v>
      </c>
    </row>
    <row r="51" spans="3:9" x14ac:dyDescent="0.3">
      <c r="C51">
        <v>46</v>
      </c>
      <c r="D51" t="s">
        <v>68</v>
      </c>
      <c r="E51" t="s">
        <v>256</v>
      </c>
      <c r="F51" s="2" t="s">
        <v>15</v>
      </c>
      <c r="G51" s="2" t="s">
        <v>13</v>
      </c>
      <c r="H51">
        <v>1</v>
      </c>
      <c r="I51" s="7" t="s">
        <v>176</v>
      </c>
    </row>
    <row r="52" spans="3:9" x14ac:dyDescent="0.3">
      <c r="C52">
        <v>47</v>
      </c>
      <c r="D52" t="s">
        <v>69</v>
      </c>
      <c r="E52" t="s">
        <v>257</v>
      </c>
      <c r="F52" s="2" t="s">
        <v>15</v>
      </c>
      <c r="G52" s="2" t="s">
        <v>13</v>
      </c>
      <c r="H52">
        <v>1</v>
      </c>
      <c r="I52" s="7" t="s">
        <v>177</v>
      </c>
    </row>
    <row r="53" spans="3:9" x14ac:dyDescent="0.3">
      <c r="C53">
        <v>48</v>
      </c>
      <c r="D53" t="s">
        <v>70</v>
      </c>
      <c r="E53" t="s">
        <v>258</v>
      </c>
      <c r="F53" s="2" t="s">
        <v>15</v>
      </c>
      <c r="G53" s="2" t="s">
        <v>13</v>
      </c>
      <c r="H53">
        <v>1</v>
      </c>
      <c r="I53" s="7" t="s">
        <v>178</v>
      </c>
    </row>
    <row r="54" spans="3:9" x14ac:dyDescent="0.3">
      <c r="C54">
        <v>49</v>
      </c>
      <c r="D54" t="s">
        <v>71</v>
      </c>
      <c r="E54" t="s">
        <v>259</v>
      </c>
      <c r="F54" s="2" t="s">
        <v>15</v>
      </c>
      <c r="G54" s="2" t="s">
        <v>13</v>
      </c>
      <c r="H54">
        <v>1</v>
      </c>
      <c r="I54" s="7" t="s">
        <v>179</v>
      </c>
    </row>
    <row r="55" spans="3:9" x14ac:dyDescent="0.3">
      <c r="C55">
        <v>50</v>
      </c>
      <c r="D55" t="s">
        <v>72</v>
      </c>
      <c r="E55" t="s">
        <v>260</v>
      </c>
      <c r="F55" s="2" t="s">
        <v>15</v>
      </c>
      <c r="G55" s="2" t="s">
        <v>13</v>
      </c>
      <c r="H55">
        <v>1</v>
      </c>
      <c r="I55" s="7" t="s">
        <v>180</v>
      </c>
    </row>
    <row r="56" spans="3:9" x14ac:dyDescent="0.3">
      <c r="C56">
        <v>51</v>
      </c>
      <c r="D56" t="s">
        <v>73</v>
      </c>
      <c r="E56" t="s">
        <v>261</v>
      </c>
      <c r="F56" s="2" t="s">
        <v>18</v>
      </c>
      <c r="G56" s="2" t="s">
        <v>13</v>
      </c>
      <c r="H56">
        <v>1</v>
      </c>
      <c r="I56" s="7" t="s">
        <v>181</v>
      </c>
    </row>
    <row r="57" spans="3:9" x14ac:dyDescent="0.3">
      <c r="C57">
        <v>52</v>
      </c>
      <c r="D57" t="s">
        <v>74</v>
      </c>
      <c r="E57" t="s">
        <v>262</v>
      </c>
      <c r="F57" s="2" t="s">
        <v>18</v>
      </c>
      <c r="G57" s="2" t="s">
        <v>13</v>
      </c>
      <c r="H57">
        <v>1</v>
      </c>
      <c r="I57" s="7" t="s">
        <v>182</v>
      </c>
    </row>
    <row r="58" spans="3:9" x14ac:dyDescent="0.3">
      <c r="C58">
        <v>53</v>
      </c>
      <c r="D58" t="s">
        <v>75</v>
      </c>
      <c r="E58" t="s">
        <v>263</v>
      </c>
      <c r="F58" s="2" t="s">
        <v>18</v>
      </c>
      <c r="G58" s="2" t="s">
        <v>13</v>
      </c>
      <c r="H58">
        <v>2</v>
      </c>
      <c r="I58" s="7" t="s">
        <v>183</v>
      </c>
    </row>
    <row r="59" spans="3:9" x14ac:dyDescent="0.3">
      <c r="C59">
        <v>54</v>
      </c>
      <c r="D59" t="s">
        <v>76</v>
      </c>
      <c r="E59" t="s">
        <v>264</v>
      </c>
      <c r="F59" s="2" t="s">
        <v>18</v>
      </c>
      <c r="G59" s="2" t="s">
        <v>13</v>
      </c>
      <c r="H59">
        <v>2</v>
      </c>
      <c r="I59" s="7" t="s">
        <v>184</v>
      </c>
    </row>
    <row r="60" spans="3:9" x14ac:dyDescent="0.3">
      <c r="C60">
        <v>55</v>
      </c>
      <c r="D60" t="s">
        <v>77</v>
      </c>
      <c r="E60" t="s">
        <v>311</v>
      </c>
      <c r="F60" s="2" t="s">
        <v>16</v>
      </c>
      <c r="G60" s="2" t="s">
        <v>13</v>
      </c>
      <c r="H60">
        <v>1</v>
      </c>
      <c r="I60" s="7" t="s">
        <v>185</v>
      </c>
    </row>
    <row r="61" spans="3:9" x14ac:dyDescent="0.3">
      <c r="C61">
        <v>56</v>
      </c>
      <c r="D61" t="s">
        <v>78</v>
      </c>
      <c r="E61" t="s">
        <v>265</v>
      </c>
      <c r="F61" s="2" t="s">
        <v>16</v>
      </c>
      <c r="G61" s="2" t="s">
        <v>13</v>
      </c>
      <c r="H61">
        <v>1</v>
      </c>
      <c r="I61" s="7" t="s">
        <v>186</v>
      </c>
    </row>
    <row r="62" spans="3:9" x14ac:dyDescent="0.3">
      <c r="C62">
        <v>57</v>
      </c>
      <c r="D62" t="s">
        <v>79</v>
      </c>
      <c r="E62" t="s">
        <v>404</v>
      </c>
      <c r="F62" s="2" t="s">
        <v>144</v>
      </c>
      <c r="G62" s="2" t="s">
        <v>13</v>
      </c>
      <c r="H62">
        <v>1</v>
      </c>
      <c r="I62" s="7" t="s">
        <v>187</v>
      </c>
    </row>
    <row r="63" spans="3:9" x14ac:dyDescent="0.3">
      <c r="C63">
        <v>58</v>
      </c>
      <c r="D63" t="s">
        <v>80</v>
      </c>
      <c r="E63" t="s">
        <v>405</v>
      </c>
      <c r="F63" s="2" t="s">
        <v>144</v>
      </c>
      <c r="G63" s="2" t="s">
        <v>13</v>
      </c>
      <c r="H63">
        <v>1</v>
      </c>
      <c r="I63" s="7" t="s">
        <v>188</v>
      </c>
    </row>
    <row r="64" spans="3:9" x14ac:dyDescent="0.3">
      <c r="C64">
        <v>59</v>
      </c>
      <c r="D64" t="s">
        <v>81</v>
      </c>
      <c r="E64" t="s">
        <v>268</v>
      </c>
      <c r="F64" s="2" t="s">
        <v>144</v>
      </c>
      <c r="G64" s="2" t="s">
        <v>13</v>
      </c>
      <c r="H64">
        <v>1</v>
      </c>
      <c r="I64" s="7" t="s">
        <v>189</v>
      </c>
    </row>
    <row r="65" spans="3:9" x14ac:dyDescent="0.3">
      <c r="C65">
        <v>60</v>
      </c>
      <c r="D65" t="s">
        <v>82</v>
      </c>
      <c r="E65" t="s">
        <v>269</v>
      </c>
      <c r="F65" s="2" t="s">
        <v>144</v>
      </c>
      <c r="G65" s="2" t="s">
        <v>13</v>
      </c>
      <c r="H65">
        <v>1</v>
      </c>
      <c r="I65" s="7" t="s">
        <v>190</v>
      </c>
    </row>
    <row r="66" spans="3:9" x14ac:dyDescent="0.3">
      <c r="C66">
        <v>61</v>
      </c>
      <c r="D66" t="s">
        <v>83</v>
      </c>
      <c r="E66" t="s">
        <v>270</v>
      </c>
      <c r="F66" s="2" t="s">
        <v>144</v>
      </c>
      <c r="G66" s="2" t="s">
        <v>13</v>
      </c>
      <c r="H66">
        <v>1</v>
      </c>
      <c r="I66" s="7" t="s">
        <v>191</v>
      </c>
    </row>
    <row r="67" spans="3:9" x14ac:dyDescent="0.3">
      <c r="C67">
        <v>62</v>
      </c>
      <c r="D67" t="s">
        <v>84</v>
      </c>
      <c r="E67" t="s">
        <v>271</v>
      </c>
      <c r="F67" s="2" t="s">
        <v>144</v>
      </c>
      <c r="G67" s="2" t="s">
        <v>13</v>
      </c>
      <c r="H67">
        <v>1</v>
      </c>
      <c r="I67" s="7" t="s">
        <v>192</v>
      </c>
    </row>
    <row r="68" spans="3:9" x14ac:dyDescent="0.3">
      <c r="C68">
        <v>63</v>
      </c>
      <c r="D68" t="s">
        <v>85</v>
      </c>
      <c r="E68" t="s">
        <v>272</v>
      </c>
      <c r="F68" s="2" t="s">
        <v>18</v>
      </c>
      <c r="G68" s="2" t="s">
        <v>13</v>
      </c>
      <c r="H68">
        <v>1</v>
      </c>
      <c r="I68" s="7" t="s">
        <v>193</v>
      </c>
    </row>
    <row r="69" spans="3:9" x14ac:dyDescent="0.3">
      <c r="C69">
        <v>64</v>
      </c>
      <c r="D69" t="s">
        <v>86</v>
      </c>
      <c r="E69" t="s">
        <v>273</v>
      </c>
      <c r="F69" s="2" t="s">
        <v>18</v>
      </c>
      <c r="G69" s="2" t="s">
        <v>13</v>
      </c>
      <c r="H69">
        <v>1</v>
      </c>
      <c r="I69" s="7" t="s">
        <v>194</v>
      </c>
    </row>
    <row r="70" spans="3:9" x14ac:dyDescent="0.3">
      <c r="C70">
        <v>65</v>
      </c>
      <c r="D70" t="s">
        <v>87</v>
      </c>
      <c r="E70" t="s">
        <v>274</v>
      </c>
      <c r="F70" s="2" t="s">
        <v>18</v>
      </c>
      <c r="G70" s="2" t="s">
        <v>13</v>
      </c>
      <c r="H70">
        <v>1</v>
      </c>
      <c r="I70" s="7" t="s">
        <v>195</v>
      </c>
    </row>
    <row r="71" spans="3:9" x14ac:dyDescent="0.3">
      <c r="C71">
        <v>66</v>
      </c>
      <c r="D71" t="s">
        <v>88</v>
      </c>
      <c r="E71" t="s">
        <v>275</v>
      </c>
      <c r="F71" s="2" t="s">
        <v>18</v>
      </c>
      <c r="G71" s="2" t="s">
        <v>13</v>
      </c>
      <c r="H71">
        <v>1</v>
      </c>
      <c r="I71" s="7" t="s">
        <v>196</v>
      </c>
    </row>
    <row r="72" spans="3:9" x14ac:dyDescent="0.3">
      <c r="C72">
        <v>67</v>
      </c>
      <c r="D72" t="s">
        <v>89</v>
      </c>
      <c r="E72" t="s">
        <v>276</v>
      </c>
      <c r="F72" s="2" t="s">
        <v>18</v>
      </c>
      <c r="G72" s="2" t="s">
        <v>13</v>
      </c>
      <c r="H72">
        <v>1</v>
      </c>
      <c r="I72" s="7" t="s">
        <v>197</v>
      </c>
    </row>
    <row r="73" spans="3:9" x14ac:dyDescent="0.3">
      <c r="C73">
        <v>68</v>
      </c>
      <c r="D73" t="s">
        <v>90</v>
      </c>
      <c r="E73" t="s">
        <v>277</v>
      </c>
      <c r="F73" s="2" t="s">
        <v>18</v>
      </c>
      <c r="G73" s="2" t="s">
        <v>13</v>
      </c>
      <c r="H73">
        <v>1</v>
      </c>
      <c r="I73" s="7" t="s">
        <v>198</v>
      </c>
    </row>
    <row r="74" spans="3:9" x14ac:dyDescent="0.3">
      <c r="C74">
        <v>69</v>
      </c>
      <c r="D74" t="s">
        <v>91</v>
      </c>
      <c r="E74" t="s">
        <v>406</v>
      </c>
      <c r="F74" s="2" t="s">
        <v>15</v>
      </c>
      <c r="G74" s="2" t="s">
        <v>13</v>
      </c>
      <c r="H74">
        <v>1</v>
      </c>
      <c r="I74" s="7" t="s">
        <v>199</v>
      </c>
    </row>
    <row r="75" spans="3:9" x14ac:dyDescent="0.3">
      <c r="C75">
        <v>70</v>
      </c>
      <c r="D75" t="s">
        <v>92</v>
      </c>
      <c r="E75" t="s">
        <v>407</v>
      </c>
      <c r="F75" s="2" t="s">
        <v>15</v>
      </c>
      <c r="G75" s="2" t="s">
        <v>13</v>
      </c>
      <c r="H75">
        <v>1</v>
      </c>
      <c r="I75" s="7" t="s">
        <v>200</v>
      </c>
    </row>
    <row r="76" spans="3:9" x14ac:dyDescent="0.3">
      <c r="C76">
        <v>71</v>
      </c>
      <c r="D76" t="s">
        <v>93</v>
      </c>
      <c r="E76" t="s">
        <v>408</v>
      </c>
      <c r="F76" s="2" t="s">
        <v>15</v>
      </c>
      <c r="G76" s="2" t="s">
        <v>13</v>
      </c>
      <c r="H76">
        <v>1</v>
      </c>
      <c r="I76" s="7" t="s">
        <v>201</v>
      </c>
    </row>
    <row r="77" spans="3:9" x14ac:dyDescent="0.3">
      <c r="C77">
        <v>72</v>
      </c>
      <c r="D77" t="s">
        <v>94</v>
      </c>
      <c r="E77" t="s">
        <v>409</v>
      </c>
      <c r="F77" s="2" t="s">
        <v>15</v>
      </c>
      <c r="G77" s="2" t="s">
        <v>13</v>
      </c>
      <c r="H77">
        <v>1</v>
      </c>
      <c r="I77" s="7" t="s">
        <v>202</v>
      </c>
    </row>
    <row r="78" spans="3:9" x14ac:dyDescent="0.3">
      <c r="C78">
        <v>73</v>
      </c>
      <c r="D78" t="s">
        <v>95</v>
      </c>
      <c r="E78" t="s">
        <v>410</v>
      </c>
      <c r="F78" s="2" t="s">
        <v>15</v>
      </c>
      <c r="G78" s="2" t="s">
        <v>13</v>
      </c>
      <c r="H78">
        <v>2</v>
      </c>
      <c r="I78" s="7" t="s">
        <v>203</v>
      </c>
    </row>
    <row r="79" spans="3:9" x14ac:dyDescent="0.3">
      <c r="C79">
        <v>74</v>
      </c>
      <c r="D79" t="s">
        <v>96</v>
      </c>
      <c r="E79" t="s">
        <v>411</v>
      </c>
      <c r="F79" s="2" t="s">
        <v>15</v>
      </c>
      <c r="G79" s="2" t="s">
        <v>13</v>
      </c>
      <c r="H79">
        <v>1</v>
      </c>
      <c r="I79" s="7" t="s">
        <v>204</v>
      </c>
    </row>
    <row r="80" spans="3:9" x14ac:dyDescent="0.3">
      <c r="C80">
        <v>75</v>
      </c>
      <c r="D80" t="s">
        <v>97</v>
      </c>
      <c r="E80" t="s">
        <v>412</v>
      </c>
      <c r="F80" s="2" t="s">
        <v>15</v>
      </c>
      <c r="G80" s="2" t="s">
        <v>13</v>
      </c>
      <c r="H80">
        <v>1</v>
      </c>
      <c r="I80" s="7" t="s">
        <v>205</v>
      </c>
    </row>
    <row r="81" spans="3:9" x14ac:dyDescent="0.3">
      <c r="C81">
        <v>76</v>
      </c>
      <c r="D81" t="s">
        <v>98</v>
      </c>
      <c r="E81" t="s">
        <v>413</v>
      </c>
      <c r="F81" s="2" t="s">
        <v>15</v>
      </c>
      <c r="G81" s="2" t="s">
        <v>13</v>
      </c>
      <c r="H81">
        <v>1</v>
      </c>
      <c r="I81" s="7" t="s">
        <v>206</v>
      </c>
    </row>
    <row r="82" spans="3:9" x14ac:dyDescent="0.3">
      <c r="C82">
        <v>77</v>
      </c>
      <c r="D82" t="s">
        <v>99</v>
      </c>
      <c r="E82" t="s">
        <v>414</v>
      </c>
      <c r="F82" s="2" t="s">
        <v>15</v>
      </c>
      <c r="G82" s="2" t="s">
        <v>13</v>
      </c>
      <c r="H82">
        <v>1</v>
      </c>
      <c r="I82" s="7" t="s">
        <v>207</v>
      </c>
    </row>
    <row r="83" spans="3:9" x14ac:dyDescent="0.3">
      <c r="C83">
        <v>78</v>
      </c>
      <c r="D83" t="s">
        <v>100</v>
      </c>
      <c r="E83" t="s">
        <v>415</v>
      </c>
      <c r="F83" s="2" t="s">
        <v>15</v>
      </c>
      <c r="G83" s="2" t="s">
        <v>13</v>
      </c>
      <c r="H83">
        <v>1</v>
      </c>
      <c r="I83" s="7" t="s">
        <v>208</v>
      </c>
    </row>
    <row r="84" spans="3:9" x14ac:dyDescent="0.3">
      <c r="C84">
        <v>79</v>
      </c>
      <c r="D84" t="s">
        <v>101</v>
      </c>
      <c r="E84" t="s">
        <v>416</v>
      </c>
      <c r="F84" s="2" t="s">
        <v>15</v>
      </c>
      <c r="G84" s="2" t="s">
        <v>13</v>
      </c>
      <c r="H84">
        <v>1</v>
      </c>
      <c r="I84" s="7" t="s">
        <v>209</v>
      </c>
    </row>
    <row r="85" spans="3:9" x14ac:dyDescent="0.3">
      <c r="C85">
        <v>80</v>
      </c>
      <c r="D85" t="s">
        <v>102</v>
      </c>
      <c r="E85" t="s">
        <v>417</v>
      </c>
      <c r="F85" s="2" t="s">
        <v>15</v>
      </c>
      <c r="G85" s="2" t="s">
        <v>13</v>
      </c>
      <c r="H85">
        <v>1</v>
      </c>
      <c r="I85" s="7" t="s">
        <v>210</v>
      </c>
    </row>
    <row r="86" spans="3:9" x14ac:dyDescent="0.3">
      <c r="C86">
        <v>81</v>
      </c>
      <c r="D86" t="s">
        <v>103</v>
      </c>
      <c r="E86" t="s">
        <v>418</v>
      </c>
      <c r="F86" s="2" t="s">
        <v>15</v>
      </c>
      <c r="G86" s="2" t="s">
        <v>13</v>
      </c>
      <c r="H86">
        <v>1</v>
      </c>
      <c r="I86" s="7" t="s">
        <v>211</v>
      </c>
    </row>
    <row r="87" spans="3:9" x14ac:dyDescent="0.3">
      <c r="C87">
        <v>82</v>
      </c>
      <c r="D87" t="s">
        <v>104</v>
      </c>
      <c r="E87" t="s">
        <v>419</v>
      </c>
      <c r="F87" s="2" t="s">
        <v>15</v>
      </c>
      <c r="G87" s="2" t="s">
        <v>13</v>
      </c>
      <c r="H87">
        <v>1</v>
      </c>
      <c r="I87" s="7" t="s">
        <v>212</v>
      </c>
    </row>
    <row r="88" spans="3:9" x14ac:dyDescent="0.3">
      <c r="C88">
        <v>83</v>
      </c>
      <c r="D88" t="s">
        <v>105</v>
      </c>
      <c r="E88" t="s">
        <v>420</v>
      </c>
      <c r="F88" s="2" t="s">
        <v>15</v>
      </c>
      <c r="G88" s="2" t="s">
        <v>13</v>
      </c>
      <c r="H88">
        <v>1</v>
      </c>
      <c r="I88" s="7" t="s">
        <v>213</v>
      </c>
    </row>
    <row r="89" spans="3:9" x14ac:dyDescent="0.3">
      <c r="C89">
        <v>84</v>
      </c>
      <c r="D89" t="s">
        <v>106</v>
      </c>
      <c r="E89" t="s">
        <v>421</v>
      </c>
      <c r="F89" s="2" t="s">
        <v>15</v>
      </c>
      <c r="G89" s="2" t="s">
        <v>13</v>
      </c>
      <c r="H89">
        <v>1</v>
      </c>
      <c r="I89" s="7" t="s">
        <v>214</v>
      </c>
    </row>
    <row r="90" spans="3:9" x14ac:dyDescent="0.3">
      <c r="C90">
        <v>85</v>
      </c>
      <c r="D90" t="s">
        <v>107</v>
      </c>
      <c r="E90" t="s">
        <v>422</v>
      </c>
      <c r="F90" s="2" t="s">
        <v>18</v>
      </c>
      <c r="G90" s="2" t="s">
        <v>13</v>
      </c>
      <c r="H90">
        <v>1</v>
      </c>
      <c r="I90" s="7" t="s">
        <v>215</v>
      </c>
    </row>
    <row r="91" spans="3:9" x14ac:dyDescent="0.3">
      <c r="C91">
        <v>86</v>
      </c>
      <c r="D91" t="s">
        <v>108</v>
      </c>
      <c r="E91" t="s">
        <v>423</v>
      </c>
      <c r="F91" s="2" t="s">
        <v>18</v>
      </c>
      <c r="G91" s="2" t="s">
        <v>13</v>
      </c>
      <c r="H91">
        <v>1</v>
      </c>
      <c r="I91" s="7" t="s">
        <v>216</v>
      </c>
    </row>
    <row r="92" spans="3:9" x14ac:dyDescent="0.3">
      <c r="C92">
        <v>87</v>
      </c>
      <c r="D92" t="s">
        <v>109</v>
      </c>
      <c r="E92" t="s">
        <v>424</v>
      </c>
      <c r="F92" s="2" t="s">
        <v>18</v>
      </c>
      <c r="G92" s="2" t="s">
        <v>13</v>
      </c>
      <c r="H92">
        <v>1</v>
      </c>
      <c r="I92" s="7" t="s">
        <v>217</v>
      </c>
    </row>
    <row r="93" spans="3:9" x14ac:dyDescent="0.3">
      <c r="C93">
        <v>88</v>
      </c>
      <c r="D93" t="s">
        <v>110</v>
      </c>
      <c r="E93" t="s">
        <v>425</v>
      </c>
      <c r="F93" s="2" t="s">
        <v>18</v>
      </c>
      <c r="G93" s="2" t="s">
        <v>13</v>
      </c>
      <c r="H93">
        <v>1</v>
      </c>
      <c r="I93" s="7" t="s">
        <v>218</v>
      </c>
    </row>
    <row r="94" spans="3:9" x14ac:dyDescent="0.3">
      <c r="C94">
        <v>89</v>
      </c>
      <c r="D94" t="s">
        <v>111</v>
      </c>
      <c r="E94" t="s">
        <v>426</v>
      </c>
      <c r="F94" s="2" t="s">
        <v>16</v>
      </c>
      <c r="G94" s="2" t="s">
        <v>13</v>
      </c>
      <c r="H94">
        <v>1</v>
      </c>
      <c r="I94" s="7" t="s">
        <v>219</v>
      </c>
    </row>
    <row r="95" spans="3:9" x14ac:dyDescent="0.3">
      <c r="C95">
        <v>90</v>
      </c>
      <c r="D95" t="s">
        <v>112</v>
      </c>
      <c r="E95" t="s">
        <v>427</v>
      </c>
      <c r="F95" s="2" t="s">
        <v>18</v>
      </c>
      <c r="G95" s="2" t="s">
        <v>13</v>
      </c>
      <c r="H95">
        <v>1</v>
      </c>
      <c r="I95" s="7" t="s">
        <v>220</v>
      </c>
    </row>
    <row r="96" spans="3:9" x14ac:dyDescent="0.3">
      <c r="C96">
        <v>91</v>
      </c>
      <c r="D96" t="s">
        <v>113</v>
      </c>
      <c r="E96" t="s">
        <v>428</v>
      </c>
      <c r="F96" s="2" t="s">
        <v>144</v>
      </c>
      <c r="G96" s="2" t="s">
        <v>13</v>
      </c>
      <c r="H96">
        <v>1</v>
      </c>
      <c r="I96" s="7" t="s">
        <v>221</v>
      </c>
    </row>
    <row r="97" spans="3:9" x14ac:dyDescent="0.3">
      <c r="C97">
        <v>92</v>
      </c>
      <c r="D97" t="s">
        <v>114</v>
      </c>
      <c r="E97" t="s">
        <v>429</v>
      </c>
      <c r="F97" s="2" t="s">
        <v>144</v>
      </c>
      <c r="G97" s="2" t="s">
        <v>13</v>
      </c>
      <c r="H97">
        <v>1</v>
      </c>
      <c r="I97" s="7" t="s">
        <v>222</v>
      </c>
    </row>
    <row r="98" spans="3:9" x14ac:dyDescent="0.3">
      <c r="C98">
        <v>93</v>
      </c>
      <c r="D98" t="s">
        <v>115</v>
      </c>
      <c r="E98" t="s">
        <v>430</v>
      </c>
      <c r="F98" s="2" t="s">
        <v>144</v>
      </c>
      <c r="G98" s="2" t="s">
        <v>13</v>
      </c>
      <c r="H98">
        <v>1</v>
      </c>
      <c r="I98" s="7" t="s">
        <v>223</v>
      </c>
    </row>
    <row r="99" spans="3:9" x14ac:dyDescent="0.3">
      <c r="C99">
        <v>94</v>
      </c>
      <c r="D99" t="s">
        <v>116</v>
      </c>
      <c r="E99" t="s">
        <v>431</v>
      </c>
      <c r="F99" s="2" t="s">
        <v>144</v>
      </c>
      <c r="G99" s="2" t="s">
        <v>13</v>
      </c>
      <c r="H99">
        <v>1</v>
      </c>
      <c r="I99" s="7" t="s">
        <v>224</v>
      </c>
    </row>
    <row r="100" spans="3:9" x14ac:dyDescent="0.3">
      <c r="C100">
        <v>95</v>
      </c>
      <c r="D100" t="s">
        <v>117</v>
      </c>
      <c r="E100" t="s">
        <v>432</v>
      </c>
      <c r="F100" s="2" t="s">
        <v>144</v>
      </c>
      <c r="G100" s="2" t="s">
        <v>13</v>
      </c>
      <c r="H100">
        <v>1</v>
      </c>
      <c r="I100" s="7" t="s">
        <v>225</v>
      </c>
    </row>
    <row r="101" spans="3:9" x14ac:dyDescent="0.3">
      <c r="C101">
        <v>96</v>
      </c>
      <c r="D101" t="s">
        <v>118</v>
      </c>
      <c r="E101" t="s">
        <v>433</v>
      </c>
      <c r="F101" s="2" t="s">
        <v>144</v>
      </c>
      <c r="G101" s="2" t="s">
        <v>13</v>
      </c>
      <c r="H101">
        <v>1</v>
      </c>
      <c r="I101" s="7" t="s">
        <v>226</v>
      </c>
    </row>
    <row r="102" spans="3:9" x14ac:dyDescent="0.3">
      <c r="C102">
        <v>97</v>
      </c>
      <c r="D102" t="s">
        <v>119</v>
      </c>
      <c r="E102" t="s">
        <v>304</v>
      </c>
      <c r="F102" s="2" t="s">
        <v>18</v>
      </c>
      <c r="G102" s="2" t="s">
        <v>13</v>
      </c>
      <c r="H102">
        <v>1</v>
      </c>
      <c r="I102" s="7" t="s">
        <v>227</v>
      </c>
    </row>
    <row r="103" spans="3:9" x14ac:dyDescent="0.3">
      <c r="C103">
        <v>98</v>
      </c>
      <c r="D103" t="s">
        <v>120</v>
      </c>
      <c r="E103" t="s">
        <v>305</v>
      </c>
      <c r="F103" s="2" t="s">
        <v>18</v>
      </c>
      <c r="G103" s="2" t="s">
        <v>13</v>
      </c>
      <c r="H103">
        <v>1</v>
      </c>
      <c r="I103" s="7" t="s">
        <v>228</v>
      </c>
    </row>
    <row r="104" spans="3:9" x14ac:dyDescent="0.3">
      <c r="C104">
        <v>99</v>
      </c>
      <c r="D104" t="s">
        <v>121</v>
      </c>
      <c r="E104" t="s">
        <v>306</v>
      </c>
      <c r="F104" s="2" t="s">
        <v>18</v>
      </c>
      <c r="G104" s="2" t="s">
        <v>13</v>
      </c>
      <c r="H104">
        <v>1</v>
      </c>
      <c r="I104" s="7" t="s">
        <v>229</v>
      </c>
    </row>
    <row r="105" spans="3:9" x14ac:dyDescent="0.3">
      <c r="C105">
        <v>100</v>
      </c>
      <c r="D105" t="s">
        <v>122</v>
      </c>
      <c r="E105" t="s">
        <v>307</v>
      </c>
      <c r="F105" s="2" t="s">
        <v>18</v>
      </c>
      <c r="G105" s="2" t="s">
        <v>13</v>
      </c>
      <c r="H105">
        <v>1</v>
      </c>
      <c r="I105" s="7" t="s">
        <v>230</v>
      </c>
    </row>
    <row r="106" spans="3:9" x14ac:dyDescent="0.3">
      <c r="C106">
        <v>101</v>
      </c>
      <c r="D106" t="s">
        <v>123</v>
      </c>
      <c r="E106" t="s">
        <v>308</v>
      </c>
      <c r="F106" s="2" t="s">
        <v>18</v>
      </c>
      <c r="G106" s="2" t="s">
        <v>13</v>
      </c>
      <c r="H106">
        <v>1</v>
      </c>
      <c r="I106" s="7" t="s">
        <v>231</v>
      </c>
    </row>
    <row r="107" spans="3:9" x14ac:dyDescent="0.3">
      <c r="C107">
        <v>102</v>
      </c>
      <c r="D107" t="s">
        <v>124</v>
      </c>
      <c r="E107" t="s">
        <v>309</v>
      </c>
      <c r="F107" s="2" t="s">
        <v>18</v>
      </c>
      <c r="G107" s="2" t="s">
        <v>13</v>
      </c>
      <c r="H107">
        <v>1</v>
      </c>
      <c r="I107" s="7" t="s">
        <v>232</v>
      </c>
    </row>
    <row r="108" spans="3:9" x14ac:dyDescent="0.3">
      <c r="C108">
        <v>103</v>
      </c>
      <c r="D108" t="s">
        <v>125</v>
      </c>
      <c r="E108" t="s">
        <v>392</v>
      </c>
      <c r="F108" s="2" t="s">
        <v>15</v>
      </c>
      <c r="G108" s="2" t="s">
        <v>13</v>
      </c>
      <c r="H108">
        <v>2</v>
      </c>
      <c r="I108" s="7" t="s">
        <v>165</v>
      </c>
    </row>
    <row r="109" spans="3:9" x14ac:dyDescent="0.3">
      <c r="C109">
        <v>104</v>
      </c>
      <c r="D109" t="s">
        <v>126</v>
      </c>
      <c r="E109" t="s">
        <v>393</v>
      </c>
      <c r="F109" s="2" t="s">
        <v>15</v>
      </c>
      <c r="G109" s="2" t="s">
        <v>13</v>
      </c>
      <c r="H109">
        <v>2</v>
      </c>
      <c r="I109" s="7" t="s">
        <v>166</v>
      </c>
    </row>
    <row r="110" spans="3:9" x14ac:dyDescent="0.3">
      <c r="C110">
        <v>105</v>
      </c>
      <c r="D110" t="s">
        <v>127</v>
      </c>
      <c r="E110" t="s">
        <v>394</v>
      </c>
      <c r="F110" s="2" t="s">
        <v>15</v>
      </c>
      <c r="G110" s="2" t="s">
        <v>13</v>
      </c>
      <c r="H110">
        <v>1</v>
      </c>
      <c r="I110" s="7"/>
    </row>
    <row r="111" spans="3:9" x14ac:dyDescent="0.3">
      <c r="C111">
        <v>106</v>
      </c>
      <c r="D111" t="s">
        <v>128</v>
      </c>
      <c r="E111" t="s">
        <v>395</v>
      </c>
      <c r="F111" s="2" t="s">
        <v>15</v>
      </c>
      <c r="G111" s="2" t="s">
        <v>13</v>
      </c>
      <c r="H111">
        <v>1</v>
      </c>
      <c r="I111" s="7"/>
    </row>
    <row r="112" spans="3:9" x14ac:dyDescent="0.3">
      <c r="C112">
        <v>107</v>
      </c>
      <c r="D112" t="s">
        <v>129</v>
      </c>
      <c r="E112" t="s">
        <v>396</v>
      </c>
      <c r="F112" s="2" t="s">
        <v>18</v>
      </c>
      <c r="G112" s="2" t="s">
        <v>13</v>
      </c>
      <c r="H112">
        <v>1</v>
      </c>
      <c r="I112" s="7" t="s">
        <v>233</v>
      </c>
    </row>
    <row r="113" spans="3:9" x14ac:dyDescent="0.3">
      <c r="C113">
        <v>108</v>
      </c>
      <c r="D113" t="s">
        <v>130</v>
      </c>
      <c r="E113" t="s">
        <v>397</v>
      </c>
      <c r="F113" s="2" t="s">
        <v>18</v>
      </c>
      <c r="G113" s="2" t="s">
        <v>13</v>
      </c>
      <c r="H113">
        <v>1</v>
      </c>
      <c r="I113" s="7" t="s">
        <v>234</v>
      </c>
    </row>
    <row r="114" spans="3:9" x14ac:dyDescent="0.3">
      <c r="C114">
        <v>109</v>
      </c>
      <c r="D114" t="s">
        <v>131</v>
      </c>
      <c r="E114" t="s">
        <v>398</v>
      </c>
      <c r="F114" s="2" t="s">
        <v>18</v>
      </c>
      <c r="G114" s="2" t="s">
        <v>13</v>
      </c>
      <c r="H114">
        <v>2</v>
      </c>
      <c r="I114" s="7" t="s">
        <v>183</v>
      </c>
    </row>
    <row r="115" spans="3:9" x14ac:dyDescent="0.3">
      <c r="C115">
        <v>110</v>
      </c>
      <c r="D115" t="s">
        <v>132</v>
      </c>
      <c r="E115" t="s">
        <v>399</v>
      </c>
      <c r="F115" s="2" t="s">
        <v>18</v>
      </c>
      <c r="G115" s="2" t="s">
        <v>13</v>
      </c>
      <c r="H115">
        <v>2</v>
      </c>
      <c r="I115" s="7" t="s">
        <v>184</v>
      </c>
    </row>
    <row r="116" spans="3:9" x14ac:dyDescent="0.3">
      <c r="C116">
        <v>111</v>
      </c>
      <c r="D116" t="s">
        <v>133</v>
      </c>
      <c r="E116" t="s">
        <v>400</v>
      </c>
      <c r="F116" s="2" t="s">
        <v>144</v>
      </c>
      <c r="G116" s="2" t="s">
        <v>13</v>
      </c>
      <c r="H116">
        <v>1</v>
      </c>
      <c r="I116" s="7"/>
    </row>
    <row r="117" spans="3:9" x14ac:dyDescent="0.3">
      <c r="C117">
        <v>112</v>
      </c>
      <c r="D117" t="s">
        <v>134</v>
      </c>
      <c r="E117" t="s">
        <v>401</v>
      </c>
      <c r="F117" s="2" t="s">
        <v>144</v>
      </c>
      <c r="G117" s="2" t="s">
        <v>13</v>
      </c>
      <c r="H117">
        <v>1</v>
      </c>
      <c r="I117" s="7"/>
    </row>
    <row r="118" spans="3:9" x14ac:dyDescent="0.3">
      <c r="C118">
        <v>113</v>
      </c>
      <c r="D118" t="s">
        <v>135</v>
      </c>
      <c r="E118" t="s">
        <v>402</v>
      </c>
      <c r="F118" s="2" t="s">
        <v>18</v>
      </c>
      <c r="G118" s="2" t="s">
        <v>13</v>
      </c>
      <c r="H118">
        <v>1</v>
      </c>
      <c r="I118" s="7" t="s">
        <v>235</v>
      </c>
    </row>
    <row r="119" spans="3:9" x14ac:dyDescent="0.3">
      <c r="C119">
        <v>114</v>
      </c>
      <c r="D119" t="s">
        <v>136</v>
      </c>
      <c r="E119" t="s">
        <v>403</v>
      </c>
      <c r="F119" s="2" t="s">
        <v>18</v>
      </c>
      <c r="G119" s="2" t="s">
        <v>13</v>
      </c>
      <c r="H119">
        <v>1</v>
      </c>
      <c r="I119" s="7"/>
    </row>
    <row r="120" spans="3:9" x14ac:dyDescent="0.3">
      <c r="C120">
        <v>115</v>
      </c>
      <c r="D120" t="s">
        <v>137</v>
      </c>
      <c r="E120" t="s">
        <v>137</v>
      </c>
      <c r="F120" s="2" t="s">
        <v>12</v>
      </c>
      <c r="G120" s="2" t="s">
        <v>13</v>
      </c>
      <c r="H120">
        <v>1</v>
      </c>
      <c r="I120" s="8" t="s">
        <v>137</v>
      </c>
    </row>
    <row r="121" spans="3:9" x14ac:dyDescent="0.3">
      <c r="C121">
        <v>116</v>
      </c>
      <c r="D121" t="s">
        <v>138</v>
      </c>
      <c r="E121" t="s">
        <v>318</v>
      </c>
      <c r="F121" s="2" t="s">
        <v>15</v>
      </c>
      <c r="G121" s="2" t="s">
        <v>13</v>
      </c>
      <c r="H121">
        <v>1</v>
      </c>
      <c r="I121" s="7"/>
    </row>
    <row r="122" spans="3:9" x14ac:dyDescent="0.3">
      <c r="C122">
        <v>117</v>
      </c>
      <c r="D122" t="s">
        <v>139</v>
      </c>
      <c r="E122" t="s">
        <v>319</v>
      </c>
      <c r="F122" s="2" t="s">
        <v>18</v>
      </c>
      <c r="G122" s="2" t="s">
        <v>13</v>
      </c>
      <c r="H122">
        <v>1</v>
      </c>
      <c r="I122" s="7"/>
    </row>
    <row r="123" spans="3:9" x14ac:dyDescent="0.3">
      <c r="C123">
        <v>118</v>
      </c>
      <c r="D123" t="s">
        <v>140</v>
      </c>
      <c r="E123" t="s">
        <v>320</v>
      </c>
      <c r="F123" s="2" t="s">
        <v>15</v>
      </c>
      <c r="G123" s="2" t="s">
        <v>13</v>
      </c>
      <c r="H123">
        <v>1</v>
      </c>
      <c r="I123" s="7"/>
    </row>
    <row r="124" spans="3:9" x14ac:dyDescent="0.3">
      <c r="C124">
        <v>119</v>
      </c>
      <c r="D124" t="s">
        <v>141</v>
      </c>
      <c r="E124" t="s">
        <v>141</v>
      </c>
      <c r="F124" s="2" t="s">
        <v>12</v>
      </c>
      <c r="G124" s="2" t="s">
        <v>13</v>
      </c>
      <c r="H124">
        <v>1</v>
      </c>
      <c r="I124" s="7"/>
    </row>
    <row r="125" spans="3:9" x14ac:dyDescent="0.3">
      <c r="C125">
        <v>120</v>
      </c>
      <c r="D125" t="s">
        <v>142</v>
      </c>
      <c r="E125" t="s">
        <v>142</v>
      </c>
      <c r="F125" s="2" t="s">
        <v>12</v>
      </c>
      <c r="G125" s="2" t="s">
        <v>13</v>
      </c>
      <c r="H125">
        <v>1</v>
      </c>
      <c r="I125" s="7"/>
    </row>
    <row r="126" spans="3:9" x14ac:dyDescent="0.3">
      <c r="C126">
        <v>121</v>
      </c>
      <c r="D126" t="s">
        <v>329</v>
      </c>
      <c r="E126" t="s">
        <v>351</v>
      </c>
      <c r="F126" s="2" t="s">
        <v>15</v>
      </c>
      <c r="G126" s="2" t="s">
        <v>13</v>
      </c>
      <c r="H126">
        <v>1</v>
      </c>
      <c r="I126" s="7"/>
    </row>
    <row r="127" spans="3:9" x14ac:dyDescent="0.3">
      <c r="C127">
        <v>122</v>
      </c>
      <c r="D127" t="s">
        <v>330</v>
      </c>
      <c r="E127" t="s">
        <v>352</v>
      </c>
      <c r="F127" s="2" t="s">
        <v>15</v>
      </c>
      <c r="G127" s="2" t="s">
        <v>13</v>
      </c>
      <c r="H127">
        <v>1</v>
      </c>
    </row>
    <row r="128" spans="3:9" x14ac:dyDescent="0.3">
      <c r="C128">
        <v>123</v>
      </c>
      <c r="D128" t="s">
        <v>331</v>
      </c>
      <c r="E128" t="s">
        <v>353</v>
      </c>
      <c r="F128" s="2" t="s">
        <v>15</v>
      </c>
      <c r="G128" s="2" t="s">
        <v>13</v>
      </c>
      <c r="H128">
        <v>1</v>
      </c>
    </row>
    <row r="129" spans="3:8" x14ac:dyDescent="0.3">
      <c r="C129">
        <v>124</v>
      </c>
      <c r="D129" t="s">
        <v>332</v>
      </c>
      <c r="E129" t="s">
        <v>354</v>
      </c>
      <c r="F129" s="2" t="s">
        <v>15</v>
      </c>
      <c r="G129" s="2" t="s">
        <v>13</v>
      </c>
      <c r="H129">
        <v>1</v>
      </c>
    </row>
    <row r="130" spans="3:8" x14ac:dyDescent="0.3">
      <c r="C130">
        <v>125</v>
      </c>
      <c r="D130" t="s">
        <v>333</v>
      </c>
      <c r="E130" t="s">
        <v>355</v>
      </c>
      <c r="F130" s="2" t="s">
        <v>15</v>
      </c>
      <c r="G130" s="2" t="s">
        <v>13</v>
      </c>
      <c r="H130">
        <v>1</v>
      </c>
    </row>
    <row r="131" spans="3:8" x14ac:dyDescent="0.3">
      <c r="C131">
        <v>126</v>
      </c>
      <c r="D131" t="s">
        <v>334</v>
      </c>
      <c r="E131" t="s">
        <v>356</v>
      </c>
      <c r="F131" s="2" t="s">
        <v>15</v>
      </c>
      <c r="G131" s="2" t="s">
        <v>13</v>
      </c>
      <c r="H131">
        <v>1</v>
      </c>
    </row>
    <row r="132" spans="3:8" x14ac:dyDescent="0.3">
      <c r="C132">
        <v>127</v>
      </c>
      <c r="D132" t="s">
        <v>335</v>
      </c>
      <c r="E132" t="s">
        <v>357</v>
      </c>
      <c r="F132" s="2" t="s">
        <v>15</v>
      </c>
      <c r="G132" s="2" t="s">
        <v>13</v>
      </c>
      <c r="H132">
        <v>1</v>
      </c>
    </row>
    <row r="133" spans="3:8" x14ac:dyDescent="0.3">
      <c r="C133">
        <v>128</v>
      </c>
      <c r="D133" t="s">
        <v>336</v>
      </c>
      <c r="E133" t="s">
        <v>358</v>
      </c>
      <c r="F133" s="2" t="s">
        <v>15</v>
      </c>
      <c r="G133" s="2" t="s">
        <v>13</v>
      </c>
      <c r="H133">
        <v>1</v>
      </c>
    </row>
    <row r="134" spans="3:8" x14ac:dyDescent="0.3">
      <c r="C134">
        <v>129</v>
      </c>
      <c r="D134" t="s">
        <v>337</v>
      </c>
      <c r="E134" t="s">
        <v>359</v>
      </c>
      <c r="F134" s="2" t="s">
        <v>15</v>
      </c>
      <c r="G134" s="2" t="s">
        <v>13</v>
      </c>
      <c r="H134">
        <v>1</v>
      </c>
    </row>
    <row r="135" spans="3:8" x14ac:dyDescent="0.3">
      <c r="C135">
        <v>130</v>
      </c>
      <c r="D135" t="s">
        <v>338</v>
      </c>
      <c r="E135" t="s">
        <v>360</v>
      </c>
      <c r="F135" s="2" t="s">
        <v>15</v>
      </c>
      <c r="G135" s="2" t="s">
        <v>13</v>
      </c>
      <c r="H135">
        <v>1</v>
      </c>
    </row>
    <row r="136" spans="3:8" x14ac:dyDescent="0.3">
      <c r="C136">
        <v>131</v>
      </c>
      <c r="D136" t="s">
        <v>339</v>
      </c>
      <c r="E136" t="s">
        <v>361</v>
      </c>
      <c r="F136" s="2" t="s">
        <v>15</v>
      </c>
      <c r="G136" s="2" t="s">
        <v>13</v>
      </c>
      <c r="H136">
        <v>1</v>
      </c>
    </row>
    <row r="137" spans="3:8" x14ac:dyDescent="0.3">
      <c r="C137">
        <v>132</v>
      </c>
      <c r="D137" t="s">
        <v>340</v>
      </c>
      <c r="E137" t="s">
        <v>362</v>
      </c>
      <c r="F137" s="2" t="s">
        <v>15</v>
      </c>
      <c r="G137" s="2" t="s">
        <v>13</v>
      </c>
      <c r="H137">
        <v>1</v>
      </c>
    </row>
    <row r="138" spans="3:8" x14ac:dyDescent="0.3">
      <c r="C138">
        <v>133</v>
      </c>
      <c r="D138" t="s">
        <v>341</v>
      </c>
      <c r="E138" t="s">
        <v>363</v>
      </c>
      <c r="F138" s="2" t="s">
        <v>15</v>
      </c>
      <c r="G138" s="2" t="s">
        <v>13</v>
      </c>
      <c r="H138">
        <v>1</v>
      </c>
    </row>
    <row r="139" spans="3:8" x14ac:dyDescent="0.3">
      <c r="C139">
        <v>134</v>
      </c>
      <c r="D139" t="s">
        <v>342</v>
      </c>
      <c r="E139" t="s">
        <v>364</v>
      </c>
      <c r="F139" s="2" t="s">
        <v>18</v>
      </c>
      <c r="G139" s="2" t="s">
        <v>13</v>
      </c>
      <c r="H139">
        <v>1</v>
      </c>
    </row>
    <row r="140" spans="3:8" x14ac:dyDescent="0.3">
      <c r="C140">
        <v>135</v>
      </c>
      <c r="D140" t="s">
        <v>343</v>
      </c>
      <c r="E140" t="s">
        <v>365</v>
      </c>
      <c r="F140" s="2" t="s">
        <v>15</v>
      </c>
      <c r="G140" s="2" t="s">
        <v>13</v>
      </c>
      <c r="H140">
        <v>1</v>
      </c>
    </row>
    <row r="141" spans="3:8" x14ac:dyDescent="0.3">
      <c r="C141">
        <v>136</v>
      </c>
      <c r="D141" t="s">
        <v>344</v>
      </c>
      <c r="E141" t="s">
        <v>366</v>
      </c>
      <c r="F141" s="2" t="s">
        <v>15</v>
      </c>
      <c r="G141" s="2" t="s">
        <v>13</v>
      </c>
      <c r="H141">
        <v>1</v>
      </c>
    </row>
    <row r="142" spans="3:8" x14ac:dyDescent="0.3">
      <c r="C142">
        <v>137</v>
      </c>
      <c r="D142" t="s">
        <v>345</v>
      </c>
      <c r="E142" t="s">
        <v>367</v>
      </c>
      <c r="F142" s="2" t="s">
        <v>15</v>
      </c>
      <c r="G142" s="2" t="s">
        <v>13</v>
      </c>
      <c r="H142">
        <v>1</v>
      </c>
    </row>
    <row r="143" spans="3:8" x14ac:dyDescent="0.3">
      <c r="C143">
        <v>138</v>
      </c>
      <c r="D143" t="s">
        <v>346</v>
      </c>
      <c r="E143" t="s">
        <v>368</v>
      </c>
      <c r="F143" s="2" t="s">
        <v>15</v>
      </c>
      <c r="G143" s="2" t="s">
        <v>13</v>
      </c>
      <c r="H143">
        <v>1</v>
      </c>
    </row>
    <row r="144" spans="3:8" x14ac:dyDescent="0.3">
      <c r="C144">
        <v>139</v>
      </c>
      <c r="D144" t="s">
        <v>347</v>
      </c>
      <c r="E144" t="s">
        <v>369</v>
      </c>
      <c r="F144" s="2" t="s">
        <v>15</v>
      </c>
      <c r="G144" s="2" t="s">
        <v>13</v>
      </c>
      <c r="H144">
        <v>1</v>
      </c>
    </row>
    <row r="145" spans="3:8" x14ac:dyDescent="0.3">
      <c r="C145">
        <v>140</v>
      </c>
      <c r="D145" t="s">
        <v>348</v>
      </c>
      <c r="E145" t="s">
        <v>370</v>
      </c>
      <c r="F145" s="2" t="s">
        <v>15</v>
      </c>
      <c r="G145" s="2" t="s">
        <v>13</v>
      </c>
      <c r="H145">
        <v>1</v>
      </c>
    </row>
    <row r="146" spans="3:8" x14ac:dyDescent="0.3">
      <c r="C146">
        <v>141</v>
      </c>
      <c r="D146" t="s">
        <v>349</v>
      </c>
      <c r="E146" t="s">
        <v>371</v>
      </c>
      <c r="F146" s="2" t="s">
        <v>15</v>
      </c>
      <c r="G146" s="2" t="s">
        <v>13</v>
      </c>
      <c r="H146">
        <v>1</v>
      </c>
    </row>
    <row r="147" spans="3:8" x14ac:dyDescent="0.3">
      <c r="C147">
        <v>142</v>
      </c>
      <c r="D147" t="s">
        <v>350</v>
      </c>
      <c r="E147" t="s">
        <v>372</v>
      </c>
      <c r="F147" s="2" t="s">
        <v>18</v>
      </c>
      <c r="G147" s="2" t="s">
        <v>13</v>
      </c>
      <c r="H147">
        <v>1</v>
      </c>
    </row>
    <row r="148" spans="3:8" x14ac:dyDescent="0.3">
      <c r="C148">
        <v>143</v>
      </c>
      <c r="D148" s="6" t="s">
        <v>143</v>
      </c>
      <c r="E148" s="6" t="s">
        <v>143</v>
      </c>
      <c r="F148" s="2" t="s">
        <v>18</v>
      </c>
      <c r="G148" s="2" t="s">
        <v>17</v>
      </c>
      <c r="H148">
        <v>1</v>
      </c>
    </row>
  </sheetData>
  <autoFilter ref="C5:G126" xr:uid="{00000000-0001-0000-0000-000000000000}"/>
  <mergeCells count="1">
    <mergeCell ref="A7:A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DDF9-8132-46F4-90BF-B4E41AE30F5F}">
  <sheetPr codeName="Hoja2"/>
  <dimension ref="A1:B145"/>
  <sheetViews>
    <sheetView topLeftCell="A49" workbookViewId="0">
      <selection activeCell="B139" sqref="B139"/>
    </sheetView>
  </sheetViews>
  <sheetFormatPr baseColWidth="10" defaultColWidth="11.44140625" defaultRowHeight="14.4" x14ac:dyDescent="0.3"/>
  <cols>
    <col min="1" max="1" width="29.44140625" bestFit="1" customWidth="1"/>
    <col min="2" max="2" width="108.44140625" customWidth="1"/>
  </cols>
  <sheetData>
    <row r="1" spans="1:2" x14ac:dyDescent="0.3">
      <c r="A1" s="3" t="s">
        <v>19</v>
      </c>
      <c r="B1" s="5" t="str">
        <f>"{
	|EXT|: {
		|kind|: |context|,
		|@Common.Label|: |Custom|
	},
	|"&amp;Pasos!E2&amp;"|: {
		|kind|: |entity|,
		|@Common.Label|: |EXT "&amp;Pasos!E3&amp;"|,
		|@Analytics.query|: false,
		|@Analytics.dataCategory|: {
			|#|: |CUBE|
		},
		|elements|: {"</f>
        <v>{
	|EXT|: {
		|kind|: |context|,
		|@Common.Label|: |Custom|
	},
	|EXT.CSA_ESTRUCTURA_COMERCIAL_SVW|: {
		|kind|: |entity|,
		|@Common.Label|: |EXT Estructura Comercial|,
		|@Analytics.query|: false,
		|@Analytics.dataCategory|: {
			|#|: |CUBE|
		},
		|elements|: {</v>
      </c>
    </row>
    <row r="2" spans="1:2" x14ac:dyDescent="0.3">
      <c r="A2" s="3" t="str">
        <f>"Campo "&amp;Pasos!C6</f>
        <v>Campo 1</v>
      </c>
      <c r="B2" t="str">
        <f>"			|"&amp;Pasos!D6&amp;"|: {
				|@Common.Label|: |"&amp;Pasos!E6&amp;"|,
				|type|: |cds."&amp;Pasos!F6&amp;"|,
				|@Analytics."&amp;Pasos!G6&amp;"|: true
			},	"</f>
        <v xml:space="preserve">			|PARTICIPANTEMAIL|: {
				|@Common.Label|: |Participante Email|,
				|type|: |cds.String|,
				|@Analytics.Dimension|: true
			},	</v>
      </c>
    </row>
    <row r="3" spans="1:2" x14ac:dyDescent="0.3">
      <c r="A3" s="3" t="str">
        <f>"Campo "&amp;Pasos!C7</f>
        <v>Campo 2</v>
      </c>
      <c r="B3" t="str">
        <f>"			|"&amp;Pasos!D7&amp;"|: {
				|@Common.Label|: |"&amp;Pasos!E7&amp;"|,
				|type|: |cds."&amp;Pasos!F7&amp;"|,
				|@Analytics."&amp;Pasos!G7&amp;"|: true
			},	"</f>
        <v xml:space="preserve">			|TAXID|: {
				|@Common.Label|: |Participante Tipo de IRPF|,
				|type|: |cds.String|,
				|@Analytics.Dimension|: true
			},	</v>
      </c>
    </row>
    <row r="4" spans="1:2" x14ac:dyDescent="0.3">
      <c r="A4" s="3" t="str">
        <f>"Campo "&amp;Pasos!C8</f>
        <v>Campo 3</v>
      </c>
      <c r="B4" t="str">
        <f>"			|"&amp;Pasos!D8&amp;"|: {
				|@Common.Label|: |"&amp;Pasos!E8&amp;"|,
				|type|: |cds."&amp;Pasos!F8&amp;"|,
				|@Analytics."&amp;Pasos!G8&amp;"|: true
			},	"</f>
        <v xml:space="preserve">			|PAR_EFFECTIVESTARTDATE|: {
				|@Common.Label|: |Participante Fecha Inicio Ef.|,
				|type|: |cds.Timestamp|,
				|@Analytics.Dimension|: true
			},	</v>
      </c>
    </row>
    <row r="5" spans="1:2" x14ac:dyDescent="0.3">
      <c r="A5" s="3" t="str">
        <f>"Campo "&amp;Pasos!C9</f>
        <v>Campo 4</v>
      </c>
      <c r="B5" t="str">
        <f>"			|"&amp;Pasos!D9&amp;"|: {
				|@Common.Label|: |"&amp;Pasos!E9&amp;"|,
				|type|: |cds."&amp;Pasos!F9&amp;"|,
				|@Analytics."&amp;Pasos!G9&amp;"|: true
			},	"</f>
        <v xml:space="preserve">			|PAR_EFFECTIVEENDDATE|: {
				|@Common.Label|: |Participante Fecha Fin Ef.|,
				|type|: |cds.Timestamp|,
				|@Analytics.Dimension|: true
			},	</v>
      </c>
    </row>
    <row r="6" spans="1:2" x14ac:dyDescent="0.3">
      <c r="A6" s="3" t="str">
        <f>"Campo "&amp;Pasos!C10</f>
        <v>Campo 5</v>
      </c>
      <c r="B6" t="str">
        <f>"			|"&amp;Pasos!D10&amp;"|: {
				|@Common.Label|: |"&amp;Pasos!E10&amp;"|,
				|type|: |cds."&amp;Pasos!F10&amp;"|,
				|@Analytics."&amp;Pasos!G10&amp;"|: true
			},	"</f>
        <v xml:space="preserve">			|PERIODNAME|: {
				|@Common.Label|: |Periodo|,
				|type|: |cds.String|,
				|@Analytics.Dimension|: true
			},	</v>
      </c>
    </row>
    <row r="7" spans="1:2" x14ac:dyDescent="0.3">
      <c r="A7" s="3" t="str">
        <f>"Campo "&amp;Pasos!C11</f>
        <v>Campo 6</v>
      </c>
      <c r="B7" t="str">
        <f>"			|"&amp;Pasos!D11&amp;"|: {
				|@Common.Label|: |"&amp;Pasos!E11&amp;"|,
				|type|: |cds."&amp;Pasos!F11&amp;"|,
				|@Analytics."&amp;Pasos!G11&amp;"|: true
			},	"</f>
        <v xml:space="preserve">			|PERIODSHORTNAME|: {
				|@Common.Label|: |Periodo Nombre corto|,
				|type|: |cds.String|,
				|@Analytics.Dimension|: true
			},	</v>
      </c>
    </row>
    <row r="8" spans="1:2" x14ac:dyDescent="0.3">
      <c r="A8" s="3" t="str">
        <f>"Campo "&amp;Pasos!C12</f>
        <v>Campo 7</v>
      </c>
      <c r="B8" t="str">
        <f>"			|"&amp;Pasos!D12&amp;"|: {
				|@Common.Label|: |"&amp;Pasos!E12&amp;"|,
				|type|: |cds."&amp;Pasos!F12&amp;"|,
				|@Analytics."&amp;Pasos!G12&amp;"|: true
			},	"</f>
        <v xml:space="preserve">			|PERIODDESCRIPTION|: {
				|@Common.Label|: |Periodo Descripción|,
				|type|: |cds.String|,
				|@Analytics.Dimension|: true
			},	</v>
      </c>
    </row>
    <row r="9" spans="1:2" x14ac:dyDescent="0.3">
      <c r="A9" s="3" t="str">
        <f>"Campo "&amp;Pasos!C13</f>
        <v>Campo 8</v>
      </c>
      <c r="B9" t="str">
        <f>"			|"&amp;Pasos!D13&amp;"|: {
				|@Common.Label|: |"&amp;Pasos!E13&amp;"|,
				|type|: |cds."&amp;Pasos!F13&amp;"|,
				|@Analytics."&amp;Pasos!G13&amp;"|: true
			},	"</f>
        <v xml:space="preserve">			|STARTDATE|: {
				|@Common.Label|: |Periodo Fecha Inicio|,
				|type|: |cds.Timestamp|,
				|@Analytics.Dimension|: true
			},	</v>
      </c>
    </row>
    <row r="10" spans="1:2" x14ac:dyDescent="0.3">
      <c r="A10" s="3" t="str">
        <f>"Campo "&amp;Pasos!C14</f>
        <v>Campo 9</v>
      </c>
      <c r="B10" t="str">
        <f>"			|"&amp;Pasos!D14&amp;"|: {
				|@Common.Label|: |"&amp;Pasos!E14&amp;"|,
				|type|: |cds."&amp;Pasos!F14&amp;"|,
				|@Analytics."&amp;Pasos!G14&amp;"|: true
			},	"</f>
        <v xml:space="preserve">			|ENDDATE|: {
				|@Common.Label|: |Periodo Fecha Fin|,
				|type|: |cds.Timestamp|,
				|@Analytics.Dimension|: true
			},	</v>
      </c>
    </row>
    <row r="11" spans="1:2" x14ac:dyDescent="0.3">
      <c r="A11" s="3" t="str">
        <f>"Campo "&amp;Pasos!C15</f>
        <v>Campo 10</v>
      </c>
      <c r="B11" t="str">
        <f>"			|"&amp;Pasos!D15&amp;"|: {
				|@Common.Label|: |"&amp;Pasos!E15&amp;"|,
				|type|: |cds."&amp;Pasos!F15&amp;"|,
				|@Analytics."&amp;Pasos!G15&amp;"|: true
			},	"</f>
        <v xml:space="preserve">			|NOMBRE_COMPLETO|: {
				|@Common.Label|: |Participante Nombre Completo|,
				|type|: |cds.String|,
				|@Analytics.Dimension|: true
			},	</v>
      </c>
    </row>
    <row r="12" spans="1:2" x14ac:dyDescent="0.3">
      <c r="A12" s="3" t="str">
        <f>"Campo "&amp;Pasos!C16</f>
        <v>Campo 11</v>
      </c>
      <c r="B12" t="str">
        <f>"			|"&amp;Pasos!D16&amp;"|: {
				|@Common.Label|: |"&amp;Pasos!E16&amp;"|,
				|type|: |cds."&amp;Pasos!F16&amp;"|,
				|@Analytics."&amp;Pasos!G16&amp;"|: true
			},	"</f>
        <v xml:space="preserve">			|PERIODSEQ|: {
				|@Common.Label|: |PERIODSEQ|,
				|type|: |cds.Integer64|,
				|@Analytics.Dimension|: true
			},	</v>
      </c>
    </row>
    <row r="13" spans="1:2" x14ac:dyDescent="0.3">
      <c r="A13" s="3" t="str">
        <f>"Campo "&amp;Pasos!C17</f>
        <v>Campo 12</v>
      </c>
      <c r="B13" t="str">
        <f>"			|"&amp;Pasos!D17&amp;"|: {
				|@Common.Label|: |"&amp;Pasos!E17&amp;"|,
				|type|: |cds."&amp;Pasos!F17&amp;"|,
				|@Analytics."&amp;Pasos!G17&amp;"|: true
			},	"</f>
        <v xml:space="preserve">			|POSITIONSEQ|: {
				|@Common.Label|: |POSITIONSEQ|,
				|type|: |cds.Integer64|,
				|@Analytics.Dimension|: true
			},	</v>
      </c>
    </row>
    <row r="14" spans="1:2" x14ac:dyDescent="0.3">
      <c r="A14" s="3" t="str">
        <f>"Campo "&amp;Pasos!C18</f>
        <v>Campo 13</v>
      </c>
      <c r="B14" t="str">
        <f>"			|"&amp;Pasos!D18&amp;"|: {
				|@Common.Label|: |"&amp;Pasos!E18&amp;"|,
				|type|: |cds."&amp;Pasos!F18&amp;"|,
				|@Analytics."&amp;Pasos!G18&amp;"|: true
			},	"</f>
        <v xml:space="preserve">			|PARTICIPANTSEQ|: {
				|@Common.Label|: |PARTICIPANTSEQ|,
				|type|: |cds.Integer64|,
				|@Analytics.Dimension|: true
			},	</v>
      </c>
    </row>
    <row r="15" spans="1:2" x14ac:dyDescent="0.3">
      <c r="A15" s="3" t="str">
        <f>"Campo "&amp;Pasos!C19</f>
        <v>Campo 14</v>
      </c>
      <c r="B15" t="str">
        <f>"			|"&amp;Pasos!D19&amp;"|: {
				|@Common.Label|: |"&amp;Pasos!E19&amp;"|,
				|type|: |cds."&amp;Pasos!F19&amp;"|,
				|@Analytics."&amp;Pasos!G19&amp;"|: true
			},	"</f>
        <v xml:space="preserve">			|PARTICIPANTID|: {
				|@Common.Label|: |Participante ID|,
				|type|: |cds.String|,
				|@Analytics.Dimension|: true
			},	</v>
      </c>
    </row>
    <row r="16" spans="1:2" x14ac:dyDescent="0.3">
      <c r="A16" s="3" t="str">
        <f>"Campo "&amp;Pasos!C20</f>
        <v>Campo 15</v>
      </c>
      <c r="B16" t="str">
        <f>"			|"&amp;Pasos!D20&amp;"|: {
				|@Common.Label|: |"&amp;Pasos!E20&amp;"|,
				|type|: |cds."&amp;Pasos!F20&amp;"|,
				|@Analytics."&amp;Pasos!G20&amp;"|: true
			},	"</f>
        <v xml:space="preserve">			|USERID|: {
				|@Common.Label|: |Participante Usuario LDAP|,
				|type|: |cds.String|,
				|@Analytics.Dimension|: true
			},	</v>
      </c>
    </row>
    <row r="17" spans="1:2" x14ac:dyDescent="0.3">
      <c r="A17" s="3" t="str">
        <f>"Campo "&amp;Pasos!C21</f>
        <v>Campo 16</v>
      </c>
      <c r="B17" t="str">
        <f>"			|"&amp;Pasos!D21&amp;"|: {
				|@Common.Label|: |"&amp;Pasos!E21&amp;"|,
				|type|: |cds."&amp;Pasos!F21&amp;"|,
				|@Analytics."&amp;Pasos!G21&amp;"|: true
			},	"</f>
        <v xml:space="preserve">			|PREFIX|: {
				|@Common.Label|: |Participante Prefix|,
				|type|: |cds.String|,
				|@Analytics.Dimension|: true
			},	</v>
      </c>
    </row>
    <row r="18" spans="1:2" x14ac:dyDescent="0.3">
      <c r="A18" s="3" t="str">
        <f>"Campo "&amp;Pasos!C22</f>
        <v>Campo 17</v>
      </c>
      <c r="B18" t="str">
        <f>"			|"&amp;Pasos!D22&amp;"|: {
				|@Common.Label|: |"&amp;Pasos!E22&amp;"|,
				|type|: |cds."&amp;Pasos!F22&amp;"|,
				|@Analytics."&amp;Pasos!G22&amp;"|: true
			},	"</f>
        <v xml:space="preserve">			|FIRSTNAME|: {
				|@Common.Label|: |Participante Nombre|,
				|type|: |cds.String|,
				|@Analytics.Dimension|: true
			},	</v>
      </c>
    </row>
    <row r="19" spans="1:2" x14ac:dyDescent="0.3">
      <c r="A19" s="3" t="str">
        <f>"Campo "&amp;Pasos!C23</f>
        <v>Campo 18</v>
      </c>
      <c r="B19" t="str">
        <f>"			|"&amp;Pasos!D23&amp;"|: {
				|@Common.Label|: |"&amp;Pasos!E23&amp;"|,
				|type|: |cds."&amp;Pasos!F23&amp;"|,
				|@Analytics."&amp;Pasos!G23&amp;"|: true
			},	"</f>
        <v xml:space="preserve">			|MIDDLENAME|: {
				|@Common.Label|: |Participante Email personal|,
				|type|: |cds.String|,
				|@Analytics.Dimension|: true
			},	</v>
      </c>
    </row>
    <row r="20" spans="1:2" x14ac:dyDescent="0.3">
      <c r="A20" s="3" t="str">
        <f>"Campo "&amp;Pasos!C24</f>
        <v>Campo 19</v>
      </c>
      <c r="B20" t="str">
        <f>"			|"&amp;Pasos!D24&amp;"|: {
				|@Common.Label|: |"&amp;Pasos!E24&amp;"|,
				|type|: |cds."&amp;Pasos!F24&amp;"|,
				|@Analytics."&amp;Pasos!G24&amp;"|: true
			},	"</f>
        <v xml:space="preserve">			|LASTNAME|: {
				|@Common.Label|: |Participante Apellido 1 - Razón social|,
				|type|: |cds.String|,
				|@Analytics.Dimension|: true
			},	</v>
      </c>
    </row>
    <row r="21" spans="1:2" x14ac:dyDescent="0.3">
      <c r="A21" s="3" t="str">
        <f>"Campo "&amp;Pasos!C25</f>
        <v>Campo 20</v>
      </c>
      <c r="B21" t="str">
        <f>"			|"&amp;Pasos!D25&amp;"|: {
				|@Common.Label|: |"&amp;Pasos!E25&amp;"|,
				|type|: |cds."&amp;Pasos!F25&amp;"|,
				|@Analytics."&amp;Pasos!G25&amp;"|: true
			},	"</f>
        <v xml:space="preserve">			|SUFFIX|: {
				|@Common.Label|: |Participante Apellido 2|,
				|type|: |cds.String|,
				|@Analytics.Dimension|: true
			},	</v>
      </c>
    </row>
    <row r="22" spans="1:2" x14ac:dyDescent="0.3">
      <c r="A22" s="3" t="str">
        <f>"Campo "&amp;Pasos!C26</f>
        <v>Campo 21</v>
      </c>
      <c r="B22" t="str">
        <f>"			|"&amp;Pasos!D26&amp;"|: {
				|@Common.Label|: |"&amp;Pasos!E26&amp;"|,
				|type|: |cds."&amp;Pasos!F26&amp;"|,
				|@Analytics."&amp;Pasos!G26&amp;"|: true
			},	"</f>
        <v xml:space="preserve">			|FULLNAME|: {
				|@Common.Label|: |Participante FullName|,
				|type|: |cds.String|,
				|@Analytics.Dimension|: true
			},	</v>
      </c>
    </row>
    <row r="23" spans="1:2" x14ac:dyDescent="0.3">
      <c r="A23" s="3" t="str">
        <f>"Campo "&amp;Pasos!C27</f>
        <v>Campo 22</v>
      </c>
      <c r="B23" t="str">
        <f>"			|"&amp;Pasos!D27&amp;"|: {
				|@Common.Label|: |"&amp;Pasos!E27&amp;"|,
				|type|: |cds."&amp;Pasos!F27&amp;"|,
				|@Analytics."&amp;Pasos!G27&amp;"|: true
			},	"</f>
        <v xml:space="preserve">			|SALARY|: {
				|@Common.Label|: |Pago por IBAN|,
				|type|: |cds.Integer|,
				|@Analytics.Dimension|: true
			},	</v>
      </c>
    </row>
    <row r="24" spans="1:2" x14ac:dyDescent="0.3">
      <c r="A24" s="3" t="str">
        <f>"Campo "&amp;Pasos!C28</f>
        <v>Campo 23</v>
      </c>
      <c r="B24" t="str">
        <f>"			|"&amp;Pasos!D28&amp;"|: {
				|@Common.Label|: |"&amp;Pasos!E28&amp;"|,
				|type|: |cds."&amp;Pasos!F28&amp;"|,
				|@Analytics."&amp;Pasos!G28&amp;"|: true
			},	"</f>
        <v xml:space="preserve">			|HIREDATE|: {
				|@Common.Label|: |Fecha Inicio Contrato|,
				|type|: |cds.Timestamp|,
				|@Analytics.Dimension|: true
			},	</v>
      </c>
    </row>
    <row r="25" spans="1:2" x14ac:dyDescent="0.3">
      <c r="A25" s="3" t="str">
        <f>"Campo "&amp;Pasos!C29</f>
        <v>Campo 24</v>
      </c>
      <c r="B25" t="str">
        <f>"			|"&amp;Pasos!D29&amp;"|: {
				|@Common.Label|: |"&amp;Pasos!E29&amp;"|,
				|type|: |cds."&amp;Pasos!F29&amp;"|,
				|@Analytics."&amp;Pasos!G29&amp;"|: true
			},	"</f>
        <v xml:space="preserve">			|TERMINATIONDATE|: {
				|@Common.Label|: |Fecha Fin Contrato|,
				|type|: |cds.Timestamp|,
				|@Analytics.Dimension|: true
			},	</v>
      </c>
    </row>
    <row r="26" spans="1:2" x14ac:dyDescent="0.3">
      <c r="A26" s="3" t="str">
        <f>"Campo "&amp;Pasos!C30</f>
        <v>Campo 25</v>
      </c>
      <c r="B26" t="str">
        <f>"			|"&amp;Pasos!D30&amp;"|: {
				|@Common.Label|: |"&amp;Pasos!E30&amp;"|,
				|type|: |cds."&amp;Pasos!F30&amp;"|,
				|@Analytics."&amp;Pasos!G30&amp;"|: true
			},	"</f>
        <v xml:space="preserve">			|BUSINESSUNITMAP|: {
				|@Common.Label|: |BUSINESSUNITMAP|,
				|type|: |cds.Integer|,
				|@Analytics.Dimension|: true
			},	</v>
      </c>
    </row>
    <row r="27" spans="1:2" x14ac:dyDescent="0.3">
      <c r="A27" s="3" t="str">
        <f>"Campo "&amp;Pasos!C31</f>
        <v>Campo 26</v>
      </c>
      <c r="B27" t="str">
        <f>"			|"&amp;Pasos!D31&amp;"|: {
				|@Common.Label|: |"&amp;Pasos!E31&amp;"|,
				|type|: |cds."&amp;Pasos!F31&amp;"|,
				|@Analytics."&amp;Pasos!G31&amp;"|: true
			},	"</f>
        <v xml:space="preserve">			|BUSINESSUNITNAME|: {
				|@Common.Label|: |BUSINESSUNITNAME|,
				|type|: |cds.String|,
				|@Analytics.Dimension|: true
			},	</v>
      </c>
    </row>
    <row r="28" spans="1:2" x14ac:dyDescent="0.3">
      <c r="A28" s="3" t="str">
        <f>"Campo "&amp;Pasos!C32</f>
        <v>Campo 27</v>
      </c>
      <c r="B28" t="str">
        <f>"			|"&amp;Pasos!D32&amp;"|: {
				|@Common.Label|: |"&amp;Pasos!E32&amp;"|,
				|type|: |cds."&amp;Pasos!F32&amp;"|,
				|@Analytics."&amp;Pasos!G32&amp;"|: true
			},	"</f>
        <v xml:space="preserve">			|POSITIONNAME|: {
				|@Common.Label|: |Posición ID|,
				|type|: |cds.String|,
				|@Analytics.Dimension|: true
			},	</v>
      </c>
    </row>
    <row r="29" spans="1:2" x14ac:dyDescent="0.3">
      <c r="A29" s="3" t="str">
        <f>"Campo "&amp;Pasos!C33</f>
        <v>Campo 28</v>
      </c>
      <c r="B29" t="str">
        <f>"			|"&amp;Pasos!D33&amp;"|: {
				|@Common.Label|: |"&amp;Pasos!E33&amp;"|,
				|type|: |cds."&amp;Pasos!F33&amp;"|,
				|@Analytics."&amp;Pasos!G33&amp;"|: true
			},	"</f>
        <v xml:space="preserve">			|POSITIONDESCRIPTION|: {
				|@Common.Label|: |Posición Descripción|,
				|type|: |cds.String|,
				|@Analytics.Dimension|: true
			},	</v>
      </c>
    </row>
    <row r="30" spans="1:2" x14ac:dyDescent="0.3">
      <c r="A30" s="3" t="str">
        <f>"Campo "&amp;Pasos!C34</f>
        <v>Campo 29</v>
      </c>
      <c r="B30" t="str">
        <f>"			|"&amp;Pasos!D34&amp;"|: {
				|@Common.Label|: |"&amp;Pasos!E34&amp;"|,
				|type|: |cds."&amp;Pasos!F34&amp;"|,
				|@Analytics."&amp;Pasos!G34&amp;"|: true
			},	"</f>
        <v xml:space="preserve">			|POSITIONGROUPNAME|: {
				|@Common.Label|: |Grupo de Posición|,
				|type|: |cds.String|,
				|@Analytics.Dimension|: true
			},	</v>
      </c>
    </row>
    <row r="31" spans="1:2" x14ac:dyDescent="0.3">
      <c r="A31" s="3" t="str">
        <f>"Campo "&amp;Pasos!C35</f>
        <v>Campo 30</v>
      </c>
      <c r="B31" t="str">
        <f>"			|"&amp;Pasos!D35&amp;"|: {
				|@Common.Label|: |"&amp;Pasos!E35&amp;"|,
				|type|: |cds."&amp;Pasos!F35&amp;"|,
				|@Analytics."&amp;Pasos!G35&amp;"|: true
			},	"</f>
        <v xml:space="preserve">			|TITLENAME|: {
				|@Common.Label|: |Título|,
				|type|: |cds.String|,
				|@Analytics.Dimension|: true
			},	</v>
      </c>
    </row>
    <row r="32" spans="1:2" x14ac:dyDescent="0.3">
      <c r="A32" s="3" t="str">
        <f>"Campo "&amp;Pasos!C36</f>
        <v>Campo 31</v>
      </c>
      <c r="B32" t="str">
        <f>"			|"&amp;Pasos!D36&amp;"|: {
				|@Common.Label|: |"&amp;Pasos!E36&amp;"|,
				|type|: |cds."&amp;Pasos!F36&amp;"|,
				|@Analytics."&amp;Pasos!G36&amp;"|: true
			},	"</f>
        <v xml:space="preserve">			|TITLEDESCRIPTION|: {
				|@Common.Label|: |Título Descripción|,
				|type|: |cds.String|,
				|@Analytics.Dimension|: true
			},	</v>
      </c>
    </row>
    <row r="33" spans="1:2" x14ac:dyDescent="0.3">
      <c r="A33" s="3" t="str">
        <f>"Campo "&amp;Pasos!C37</f>
        <v>Campo 32</v>
      </c>
      <c r="B33" t="str">
        <f>"			|"&amp;Pasos!D37&amp;"|: {
				|@Common.Label|: |"&amp;Pasos!E37&amp;"|,
				|type|: |cds."&amp;Pasos!F37&amp;"|,
				|@Analytics."&amp;Pasos!G37&amp;"|: true
			},	"</f>
        <v xml:space="preserve">			|TARGETCOMPENSATION|: {
				|@Common.Label|: |Objetivo Comisiones|,
				|type|: |cds.DecimalFloat|,
				|@Analytics.Measure|: true
			},	</v>
      </c>
    </row>
    <row r="34" spans="1:2" x14ac:dyDescent="0.3">
      <c r="A34" s="3" t="str">
        <f>"Campo "&amp;Pasos!C38</f>
        <v>Campo 33</v>
      </c>
      <c r="B34" t="str">
        <f>"			|"&amp;Pasos!D38&amp;"|: {
				|@Common.Label|: |"&amp;Pasos!E38&amp;"|,
				|type|: |cds."&amp;Pasos!F38&amp;"|,
				|@Analytics."&amp;Pasos!G38&amp;"|: true
			},	"</f>
        <v xml:space="preserve">			|PLANNAME|: {
				|@Common.Label|: |Plan|,
				|type|: |cds.String|,
				|@Analytics.Dimension|: true
			},	</v>
      </c>
    </row>
    <row r="35" spans="1:2" x14ac:dyDescent="0.3">
      <c r="A35" s="3" t="str">
        <f>"Campo "&amp;Pasos!C39</f>
        <v>Campo 34</v>
      </c>
      <c r="B35" t="str">
        <f>"			|"&amp;Pasos!D39&amp;"|: {
				|@Common.Label|: |"&amp;Pasos!E39&amp;"|,
				|type|: |cds."&amp;Pasos!F39&amp;"|,
				|@Analytics."&amp;Pasos!G39&amp;"|: true
			},	"</f>
        <v xml:space="preserve">			|PLANSEQ|: {
				|@Common.Label|: |PLANSEQ|,
				|type|: |cds.Integer64|,
				|@Analytics.Dimension|: true
			},	</v>
      </c>
    </row>
    <row r="36" spans="1:2" x14ac:dyDescent="0.3">
      <c r="A36" s="3" t="str">
        <f>"Campo "&amp;Pasos!C40</f>
        <v>Campo 35</v>
      </c>
      <c r="B36" t="str">
        <f>"			|"&amp;Pasos!D40&amp;"|: {
				|@Common.Label|: |"&amp;Pasos!E40&amp;"|,
				|type|: |cds."&amp;Pasos!F40&amp;"|,
				|@Analytics."&amp;Pasos!G40&amp;"|: true
			},	"</f>
        <v xml:space="preserve">			|POSITIONGENERICATTRIBUTE1|: {
				|@Common.Label|: |Tipo Principal Agente - Clase Oficina|,
				|type|: |cds.String|,
				|@Analytics.Dimension|: true
			},	</v>
      </c>
    </row>
    <row r="37" spans="1:2" x14ac:dyDescent="0.3">
      <c r="A37" s="3" t="str">
        <f>"Campo "&amp;Pasos!C41</f>
        <v>Campo 36</v>
      </c>
      <c r="B37" t="str">
        <f>"			|"&amp;Pasos!D41&amp;"|: {
				|@Common.Label|: |"&amp;Pasos!E41&amp;"|,
				|type|: |cds."&amp;Pasos!F41&amp;"|,
				|@Analytics."&amp;Pasos!G41&amp;"|: true
			},	"</f>
        <v xml:space="preserve">			|Tipo Agente - Tipo Oficina|: {
				|@Common.Label|: |Tipo Agente - Tipo Oficina|,
				|type|: |cds.String|,
				|@Analytics.Dimension|: true
			},	</v>
      </c>
    </row>
    <row r="38" spans="1:2" x14ac:dyDescent="0.3">
      <c r="A38" s="3" t="str">
        <f>"Campo "&amp;Pasos!C42</f>
        <v>Campo 37</v>
      </c>
      <c r="B38" t="str">
        <f>"			|"&amp;Pasos!D42&amp;"|: {
				|@Common.Label|: |"&amp;Pasos!E42&amp;"|,
				|type|: |cds."&amp;Pasos!F42&amp;"|,
				|@Analytics."&amp;Pasos!G42&amp;"|: true
			},	"</f>
        <v xml:space="preserve">			|POSITIONGENERICATTRIBUTE3|: {
				|@Common.Label|: |Código de Agente OCASO|,
				|type|: |cds.String|,
				|@Analytics.Dimension|: true
			},	</v>
      </c>
    </row>
    <row r="39" spans="1:2" x14ac:dyDescent="0.3">
      <c r="A39" s="3" t="str">
        <f>"Campo "&amp;Pasos!C43</f>
        <v>Campo 38</v>
      </c>
      <c r="B39" t="str">
        <f>"			|"&amp;Pasos!D43&amp;"|: {
				|@Common.Label|: |"&amp;Pasos!E43&amp;"|,
				|type|: |cds."&amp;Pasos!F43&amp;"|,
				|@Analytics."&amp;Pasos!G43&amp;"|: true
			},	"</f>
        <v xml:space="preserve">			|POSITIONGENERICATTRIBUTE4|: {
				|@Common.Label|: |Rehabilitación|,
				|type|: |cds.String|,
				|@Analytics.Dimension|: true
			},	</v>
      </c>
    </row>
    <row r="40" spans="1:2" x14ac:dyDescent="0.3">
      <c r="A40" s="3" t="str">
        <f>"Campo "&amp;Pasos!C44</f>
        <v>Campo 39</v>
      </c>
      <c r="B40" t="str">
        <f>"			|"&amp;Pasos!D44&amp;"|: {
				|@Common.Label|: |"&amp;Pasos!E44&amp;"|,
				|type|: |cds."&amp;Pasos!F44&amp;"|,
				|@Analytics."&amp;Pasos!G44&amp;"|: true
			},	"</f>
        <v xml:space="preserve">			|POSITIONGENERICATTRIBUTE5|: {
				|@Common.Label|: |Cuadro Inspector Ocaso|,
				|type|: |cds.String|,
				|@Analytics.Dimension|: true
			},	</v>
      </c>
    </row>
    <row r="41" spans="1:2" x14ac:dyDescent="0.3">
      <c r="A41" s="3" t="str">
        <f>"Campo "&amp;Pasos!C45</f>
        <v>Campo 40</v>
      </c>
      <c r="B41" t="str">
        <f>"			|"&amp;Pasos!D45&amp;"|: {
				|@Common.Label|: |"&amp;Pasos!E45&amp;"|,
				|type|: |cds."&amp;Pasos!F45&amp;"|,
				|@Analytics."&amp;Pasos!G45&amp;"|: true
			},	"</f>
        <v xml:space="preserve">			|POSITIONGENERICATTRIBUTE6|: {
				|@Common.Label|: |Cuadro RRGG Ocaso|,
				|type|: |cds.String|,
				|@Analytics.Dimension|: true
			},	</v>
      </c>
    </row>
    <row r="42" spans="1:2" x14ac:dyDescent="0.3">
      <c r="A42" s="3" t="str">
        <f>"Campo "&amp;Pasos!C46</f>
        <v>Campo 41</v>
      </c>
      <c r="B42" t="str">
        <f>"			|"&amp;Pasos!D46&amp;"|: {
				|@Common.Label|: |"&amp;Pasos!E46&amp;"|,
				|type|: |cds."&amp;Pasos!F46&amp;"|,
				|@Analytics."&amp;Pasos!G46&amp;"|: true
			},	"</f>
        <v xml:space="preserve">			|POSITIONGENERICATTRIBUTE7|: {
				|@Common.Label|: |Cuadro RRTT Ocaso|,
				|type|: |cds.String|,
				|@Analytics.Dimension|: true
			},	</v>
      </c>
    </row>
    <row r="43" spans="1:2" x14ac:dyDescent="0.3">
      <c r="A43" s="3" t="str">
        <f>"Campo "&amp;Pasos!C47</f>
        <v>Campo 42</v>
      </c>
      <c r="B43" t="str">
        <f>"			|"&amp;Pasos!D47&amp;"|: {
				|@Common.Label|: |"&amp;Pasos!E47&amp;"|,
				|type|: |cds."&amp;Pasos!F47&amp;"|,
				|@Analytics."&amp;Pasos!G47&amp;"|: true
			},	"</f>
        <v xml:space="preserve">			|POSITIONGENERICATTRIBUTE8|: {
				|@Common.Label|: |Compañía (Pos)|,
				|type|: |cds.String|,
				|@Analytics.Dimension|: true
			},	</v>
      </c>
    </row>
    <row r="44" spans="1:2" x14ac:dyDescent="0.3">
      <c r="A44" s="3" t="str">
        <f>"Campo "&amp;Pasos!C48</f>
        <v>Campo 43</v>
      </c>
      <c r="B44" t="str">
        <f>"			|"&amp;Pasos!D48&amp;"|: {
				|@Common.Label|: |"&amp;Pasos!E48&amp;"|,
				|type|: |cds."&amp;Pasos!F48&amp;"|,
				|@Analytics."&amp;Pasos!G48&amp;"|: true
			},	"</f>
        <v xml:space="preserve">			|POSITIONGENERICATTRIBUTE9|: {
				|@Common.Label|: |Promoción Agente|,
				|type|: |cds.String|,
				|@Analytics.Dimension|: true
			},	</v>
      </c>
    </row>
    <row r="45" spans="1:2" x14ac:dyDescent="0.3">
      <c r="A45" s="3" t="str">
        <f>"Campo "&amp;Pasos!C49</f>
        <v>Campo 44</v>
      </c>
      <c r="B45" t="str">
        <f>"			|"&amp;Pasos!D49&amp;"|: {
				|@Common.Label|: |"&amp;Pasos!E49&amp;"|,
				|type|: |cds."&amp;Pasos!F49&amp;"|,
				|@Analytics."&amp;Pasos!G49&amp;"|: true
			},	"</f>
        <v xml:space="preserve">			|POSITIONGENERICATTRIBUTE10|: {
				|@Common.Label|: |Cuadro Inspector Eterna|,
				|type|: |cds.String|,
				|@Analytics.Dimension|: true
			},	</v>
      </c>
    </row>
    <row r="46" spans="1:2" x14ac:dyDescent="0.3">
      <c r="A46" s="3" t="str">
        <f>"Campo "&amp;Pasos!C50</f>
        <v>Campo 45</v>
      </c>
      <c r="B46" t="str">
        <f>"			|"&amp;Pasos!D50&amp;"|: {
				|@Common.Label|: |"&amp;Pasos!E50&amp;"|,
				|type|: |cds."&amp;Pasos!F50&amp;"|,
				|@Analytics."&amp;Pasos!G50&amp;"|: true
			},	"</f>
        <v xml:space="preserve">			|POSITIONGENERICATTRIBUTE11|: {
				|@Common.Label|: |Cuadro RRGG Eterna|,
				|type|: |cds.String|,
				|@Analytics.Dimension|: true
			},	</v>
      </c>
    </row>
    <row r="47" spans="1:2" x14ac:dyDescent="0.3">
      <c r="A47" s="3" t="str">
        <f>"Campo "&amp;Pasos!C51</f>
        <v>Campo 46</v>
      </c>
      <c r="B47" t="str">
        <f>"			|"&amp;Pasos!D51&amp;"|: {
				|@Common.Label|: |"&amp;Pasos!E51&amp;"|,
				|type|: |cds."&amp;Pasos!F51&amp;"|,
				|@Analytics."&amp;Pasos!G51&amp;"|: true
			},	"</f>
        <v xml:space="preserve">			|POSITIONGENERICATTRIBUTE12|: {
				|@Common.Label|: |Cuadro RRTT Eterna|,
				|type|: |cds.String|,
				|@Analytics.Dimension|: true
			},	</v>
      </c>
    </row>
    <row r="48" spans="1:2" x14ac:dyDescent="0.3">
      <c r="A48" s="3" t="str">
        <f>"Campo "&amp;Pasos!C52</f>
        <v>Campo 47</v>
      </c>
      <c r="B48" t="str">
        <f>"			|"&amp;Pasos!D52&amp;"|: {
				|@Common.Label|: |"&amp;Pasos!E52&amp;"|,
				|type|: |cds."&amp;Pasos!F52&amp;"|,
				|@Analytics."&amp;Pasos!G52&amp;"|: true
			},	"</f>
        <v xml:space="preserve">			|POSITIONGENERICATTRIBUTE13|: {
				|@Common.Label|: |Año Captación|,
				|type|: |cds.String|,
				|@Analytics.Dimension|: true
			},	</v>
      </c>
    </row>
    <row r="49" spans="1:2" x14ac:dyDescent="0.3">
      <c r="A49" s="3" t="str">
        <f>"Campo "&amp;Pasos!C53</f>
        <v>Campo 48</v>
      </c>
      <c r="B49" t="str">
        <f>"			|"&amp;Pasos!D53&amp;"|: {
				|@Common.Label|: |"&amp;Pasos!E53&amp;"|,
				|type|: |cds."&amp;Pasos!F53&amp;"|,
				|@Analytics."&amp;Pasos!G53&amp;"|: true
			},	"</f>
        <v xml:space="preserve">			|POSITIONGENERICATTRIBUTE14|: {
				|@Common.Label|: |Inspector Captador|,
				|type|: |cds.String|,
				|@Analytics.Dimension|: true
			},	</v>
      </c>
    </row>
    <row r="50" spans="1:2" x14ac:dyDescent="0.3">
      <c r="A50" s="3" t="str">
        <f>"Campo "&amp;Pasos!C54</f>
        <v>Campo 49</v>
      </c>
      <c r="B50" t="str">
        <f>"			|"&amp;Pasos!D54&amp;"|: {
				|@Common.Label|: |"&amp;Pasos!E54&amp;"|,
				|type|: |cds."&amp;Pasos!F54&amp;"|,
				|@Analytics."&amp;Pasos!G54&amp;"|: true
			},	"</f>
        <v xml:space="preserve">			|POSITIONGENERICATTRIBUTE15|: {
				|@Common.Label|: |Número Meses Preplan|,
				|type|: |cds.String|,
				|@Analytics.Dimension|: true
			},	</v>
      </c>
    </row>
    <row r="51" spans="1:2" x14ac:dyDescent="0.3">
      <c r="A51" s="3" t="str">
        <f>"Campo "&amp;Pasos!C55</f>
        <v>Campo 50</v>
      </c>
      <c r="B51" t="str">
        <f>"			|"&amp;Pasos!D55&amp;"|: {
				|@Common.Label|: |"&amp;Pasos!E55&amp;"|,
				|type|: |cds."&amp;Pasos!F55&amp;"|,
				|@Analytics."&amp;Pasos!G55&amp;"|: true
			},	"</f>
        <v xml:space="preserve">			|POSITIONGENERICATTRIBUTE16|: {
				|@Common.Label|: |Escalado Asistencia|,
				|type|: |cds.String|,
				|@Analytics.Dimension|: true
			},	</v>
      </c>
    </row>
    <row r="52" spans="1:2" x14ac:dyDescent="0.3">
      <c r="A52" s="3" t="str">
        <f>"Campo "&amp;Pasos!C56</f>
        <v>Campo 51</v>
      </c>
      <c r="B52" t="str">
        <f>"			|"&amp;Pasos!D56&amp;"|: {
				|@Common.Label|: |"&amp;Pasos!E56&amp;"|,
				|type|: |cds."&amp;Pasos!F56&amp;"|,
				|@Analytics."&amp;Pasos!G56&amp;"|: true
			},	"</f>
        <v xml:space="preserve">			|POSITIONGENERICNUMBER1|: {
				|@Common.Label|: |ID Tipo Principal Agente|,
				|type|: |cds.Integer|,
				|@Analytics.Dimension|: true
			},	</v>
      </c>
    </row>
    <row r="53" spans="1:2" x14ac:dyDescent="0.3">
      <c r="A53" s="3" t="str">
        <f>"Campo "&amp;Pasos!C57</f>
        <v>Campo 52</v>
      </c>
      <c r="B53" t="str">
        <f>"			|"&amp;Pasos!D57&amp;"|: {
				|@Common.Label|: |"&amp;Pasos!E57&amp;"|,
				|type|: |cds."&amp;Pasos!F57&amp;"|,
				|@Analytics."&amp;Pasos!G57&amp;"|: true
			},	"</f>
        <v xml:space="preserve">			|POSITIONGENERICNUMBER2|: {
				|@Common.Label|: |ID Tipo Agente|,
				|type|: |cds.Integer|,
				|@Analytics.Dimension|: true
			},	</v>
      </c>
    </row>
    <row r="54" spans="1:2" x14ac:dyDescent="0.3">
      <c r="A54" s="3" t="str">
        <f>"Campo "&amp;Pasos!C58</f>
        <v>Campo 53</v>
      </c>
      <c r="B54" t="str">
        <f>"			|"&amp;Pasos!D58&amp;"|: {
				|@Common.Label|: |"&amp;Pasos!E58&amp;"|,
				|type|: |cds."&amp;Pasos!F58&amp;"|,
				|@Analytics."&amp;Pasos!G58&amp;"|: true
			},	"</f>
        <v xml:space="preserve">			|POSITIONGENERICNUMBER3|: {
				|@Common.Label|: |ID Clase Oficina|,
				|type|: |cds.Integer|,
				|@Analytics.Dimension|: true
			},	</v>
      </c>
    </row>
    <row r="55" spans="1:2" x14ac:dyDescent="0.3">
      <c r="A55" s="3" t="str">
        <f>"Campo "&amp;Pasos!C59</f>
        <v>Campo 54</v>
      </c>
      <c r="B55" t="str">
        <f>"			|"&amp;Pasos!D59&amp;"|: {
				|@Common.Label|: |"&amp;Pasos!E59&amp;"|,
				|type|: |cds."&amp;Pasos!F59&amp;"|,
				|@Analytics."&amp;Pasos!G59&amp;"|: true
			},	"</f>
        <v xml:space="preserve">			|POSITIONGENERICNUMBER4|: {
				|@Common.Label|: |ID Tipo Oficina|,
				|type|: |cds.Integer|,
				|@Analytics.Dimension|: true
			},	</v>
      </c>
    </row>
    <row r="56" spans="1:2" x14ac:dyDescent="0.3">
      <c r="A56" s="3" t="str">
        <f>"Campo "&amp;Pasos!C60</f>
        <v>Campo 55</v>
      </c>
      <c r="B56" t="str">
        <f>"			|"&amp;Pasos!D60&amp;"|: {
				|@Common.Label|: |"&amp;Pasos!E60&amp;"|,
				|type|: |cds."&amp;Pasos!F60&amp;"|,
				|@Analytics."&amp;Pasos!G60&amp;"|: true
			},	"</f>
        <v xml:space="preserve">			|POSITIONGENERICNUMBER5|: {
				|@Common.Label|: |Porcentaje Comisión Cartera|,
				|type|: |cds.DecimalFloat|,
				|@Analytics.Dimension|: true
			},	</v>
      </c>
    </row>
    <row r="57" spans="1:2" x14ac:dyDescent="0.3">
      <c r="A57" s="3" t="str">
        <f>"Campo "&amp;Pasos!C61</f>
        <v>Campo 56</v>
      </c>
      <c r="B57" t="str">
        <f>"			|"&amp;Pasos!D61&amp;"|: {
				|@Common.Label|: |"&amp;Pasos!E61&amp;"|,
				|type|: |cds."&amp;Pasos!F61&amp;"|,
				|@Analytics."&amp;Pasos!G61&amp;"|: true
			},	"</f>
        <v xml:space="preserve">			|POSITIONGENERICNUMBER6|: {
				|@Common.Label|: |Importe Comisión Cartera|,
				|type|: |cds.DecimalFloat|,
				|@Analytics.Dimension|: true
			},	</v>
      </c>
    </row>
    <row r="58" spans="1:2" x14ac:dyDescent="0.3">
      <c r="A58" s="3" t="str">
        <f>"Campo "&amp;Pasos!C62</f>
        <v>Campo 57</v>
      </c>
      <c r="B58" t="str">
        <f>"			|"&amp;Pasos!D62&amp;"|: {
				|@Common.Label|: |"&amp;Pasos!E62&amp;"|,
				|type|: |cds."&amp;Pasos!F62&amp;"|,
				|@Analytics."&amp;Pasos!G62&amp;"|: true
			},	"</f>
        <v xml:space="preserve">			|POSITIONGENERICDATE1|: {
				|@Common.Label|: |Posición Fecha de Alta|,
				|type|: |cds.Timestamp|,
				|@Analytics.Dimension|: true
			},	</v>
      </c>
    </row>
    <row r="59" spans="1:2" x14ac:dyDescent="0.3">
      <c r="A59" s="3" t="str">
        <f>"Campo "&amp;Pasos!C63</f>
        <v>Campo 58</v>
      </c>
      <c r="B59" t="str">
        <f>"			|"&amp;Pasos!D63&amp;"|: {
				|@Common.Label|: |"&amp;Pasos!E63&amp;"|,
				|type|: |cds."&amp;Pasos!F63&amp;"|,
				|@Analytics."&amp;Pasos!G63&amp;"|: true
			},	"</f>
        <v xml:space="preserve">			|POSITIONGENERICDATE2|: {
				|@Common.Label|: |Posición Fecha de Baja|,
				|type|: |cds.Timestamp|,
				|@Analytics.Dimension|: true
			},	</v>
      </c>
    </row>
    <row r="60" spans="1:2" x14ac:dyDescent="0.3">
      <c r="A60" s="3" t="str">
        <f>"Campo "&amp;Pasos!C64</f>
        <v>Campo 59</v>
      </c>
      <c r="B60" t="str">
        <f>"			|"&amp;Pasos!D64&amp;"|: {
				|@Common.Label|: |"&amp;Pasos!E64&amp;"|,
				|type|: |cds."&amp;Pasos!F64&amp;"|,
				|@Analytics."&amp;Pasos!G64&amp;"|: true
			},	"</f>
        <v xml:space="preserve">			|POSITIONGENERICDATE3|: {
				|@Common.Label|: |Fecha Inicio Consolidación P.C.|,
				|type|: |cds.Timestamp|,
				|@Analytics.Dimension|: true
			},	</v>
      </c>
    </row>
    <row r="61" spans="1:2" x14ac:dyDescent="0.3">
      <c r="A61" s="3" t="str">
        <f>"Campo "&amp;Pasos!C65</f>
        <v>Campo 60</v>
      </c>
      <c r="B61" t="str">
        <f>"			|"&amp;Pasos!D65&amp;"|: {
				|@Common.Label|: |"&amp;Pasos!E65&amp;"|,
				|type|: |cds."&amp;Pasos!F65&amp;"|,
				|@Analytics."&amp;Pasos!G65&amp;"|: true
			},	"</f>
        <v xml:space="preserve">			|POSITIONGENERICDATE4|: {
				|@Common.Label|: |Fecha Fin Consolidación P.C.|,
				|type|: |cds.Timestamp|,
				|@Analytics.Dimension|: true
			},	</v>
      </c>
    </row>
    <row r="62" spans="1:2" x14ac:dyDescent="0.3">
      <c r="A62" s="3" t="str">
        <f>"Campo "&amp;Pasos!C66</f>
        <v>Campo 61</v>
      </c>
      <c r="B62" t="str">
        <f>"			|"&amp;Pasos!D66&amp;"|: {
				|@Common.Label|: |"&amp;Pasos!E66&amp;"|,
				|type|: |cds."&amp;Pasos!F66&amp;"|,
				|@Analytics."&amp;Pasos!G66&amp;"|: true
			},	"</f>
        <v xml:space="preserve">			|POSITIONGENERICDATE5|: {
				|@Common.Label|: |Fecha Inicio Asistencia|,
				|type|: |cds.Timestamp|,
				|@Analytics.Dimension|: true
			},	</v>
      </c>
    </row>
    <row r="63" spans="1:2" x14ac:dyDescent="0.3">
      <c r="A63" s="3" t="str">
        <f>"Campo "&amp;Pasos!C67</f>
        <v>Campo 62</v>
      </c>
      <c r="B63" t="str">
        <f>"			|"&amp;Pasos!D67&amp;"|: {
				|@Common.Label|: |"&amp;Pasos!E67&amp;"|,
				|type|: |cds."&amp;Pasos!F67&amp;"|,
				|@Analytics."&amp;Pasos!G67&amp;"|: true
			},	"</f>
        <v xml:space="preserve">			|POSITIONGENERICDATE6|: {
				|@Common.Label|: |Fecha Límite Comisiones Cartera|,
				|type|: |cds.Timestamp|,
				|@Analytics.Dimension|: true
			},	</v>
      </c>
    </row>
    <row r="64" spans="1:2" x14ac:dyDescent="0.3">
      <c r="A64" s="3" t="str">
        <f>"Campo "&amp;Pasos!C68</f>
        <v>Campo 63</v>
      </c>
      <c r="B64" t="str">
        <f>"			|"&amp;Pasos!D68&amp;"|: {
				|@Common.Label|: |"&amp;Pasos!E68&amp;"|,
				|type|: |cds."&amp;Pasos!F68&amp;"|,
				|@Analytics."&amp;Pasos!G68&amp;"|: true
			},	"</f>
        <v xml:space="preserve">			|POSITIONGENERICBOOLEAN1|: {
				|@Common.Label|: |Reducción|,
				|type|: |cds.Integer|,
				|@Analytics.Dimension|: true
			},	</v>
      </c>
    </row>
    <row r="65" spans="1:2" x14ac:dyDescent="0.3">
      <c r="A65" s="3" t="str">
        <f>"Campo "&amp;Pasos!C69</f>
        <v>Campo 64</v>
      </c>
      <c r="B65" t="str">
        <f>"			|"&amp;Pasos!D69&amp;"|: {
				|@Common.Label|: |"&amp;Pasos!E69&amp;"|,
				|type|: |cds."&amp;Pasos!F69&amp;"|,
				|@Analytics."&amp;Pasos!G69&amp;"|: true
			},	"</f>
        <v xml:space="preserve">			|POSITIONGENERICBOOLEAN2|: {
				|@Common.Label|: |Productor Ocaso|,
				|type|: |cds.Integer|,
				|@Analytics.Dimension|: true
			},	</v>
      </c>
    </row>
    <row r="66" spans="1:2" x14ac:dyDescent="0.3">
      <c r="A66" s="3" t="str">
        <f>"Campo "&amp;Pasos!C70</f>
        <v>Campo 65</v>
      </c>
      <c r="B66" t="str">
        <f>"			|"&amp;Pasos!D70&amp;"|: {
				|@Common.Label|: |"&amp;Pasos!E70&amp;"|,
				|type|: |cds."&amp;Pasos!F70&amp;"|,
				|@Analytics."&amp;Pasos!G70&amp;"|: true
			},	"</f>
        <v xml:space="preserve">			|POSITIONGENERICBOOLEAN3|: {
				|@Common.Label|: |Consolida|,
				|type|: |cds.Integer|,
				|@Analytics.Dimension|: true
			},	</v>
      </c>
    </row>
    <row r="67" spans="1:2" x14ac:dyDescent="0.3">
      <c r="A67" s="3" t="str">
        <f>"Campo "&amp;Pasos!C71</f>
        <v>Campo 66</v>
      </c>
      <c r="B67" t="str">
        <f>"			|"&amp;Pasos!D71&amp;"|: {
				|@Common.Label|: |"&amp;Pasos!E71&amp;"|,
				|type|: |cds."&amp;Pasos!F71&amp;"|,
				|@Analytics."&amp;Pasos!G71&amp;"|: true
			},	"</f>
        <v xml:space="preserve">			|POSITIONGENERICBOOLEAN4|: {
				|@Common.Label|: |Inicio Agente Asistencia|,
				|type|: |cds.Integer|,
				|@Analytics.Dimension|: true
			},	</v>
      </c>
    </row>
    <row r="68" spans="1:2" x14ac:dyDescent="0.3">
      <c r="A68" s="3" t="str">
        <f>"Campo "&amp;Pasos!C72</f>
        <v>Campo 67</v>
      </c>
      <c r="B68" t="str">
        <f>"			|"&amp;Pasos!D72&amp;"|: {
				|@Common.Label|: |"&amp;Pasos!E72&amp;"|,
				|type|: |cds."&amp;Pasos!F72&amp;"|,
				|@Analytics."&amp;Pasos!G72&amp;"|: true
			},	"</f>
        <v xml:space="preserve">			|POSITIONGENERICBOOLEAN5|: {
				|@Common.Label|: |Productor Eterna|,
				|type|: |cds.Integer|,
				|@Analytics.Dimension|: true
			},	</v>
      </c>
    </row>
    <row r="69" spans="1:2" x14ac:dyDescent="0.3">
      <c r="A69" s="3" t="str">
        <f>"Campo "&amp;Pasos!C73</f>
        <v>Campo 68</v>
      </c>
      <c r="B69" t="str">
        <f>"			|"&amp;Pasos!D73&amp;"|: {
				|@Common.Label|: |"&amp;Pasos!E73&amp;"|,
				|type|: |cds."&amp;Pasos!F73&amp;"|,
				|@Analytics."&amp;Pasos!G73&amp;"|: true
			},	"</f>
        <v xml:space="preserve">			|POSITIONGENERICBOOLEAN6|: {
				|@Common.Label|: |Ag. Lider|,
				|type|: |cds.Integer|,
				|@Analytics.Dimension|: true
			},	</v>
      </c>
    </row>
    <row r="70" spans="1:2" x14ac:dyDescent="0.3">
      <c r="A70" s="3" t="str">
        <f>"Campo "&amp;Pasos!C74</f>
        <v>Campo 69</v>
      </c>
      <c r="B70" t="str">
        <f>"			|"&amp;Pasos!D74&amp;"|: {
				|@Common.Label|: |"&amp;Pasos!E74&amp;"|,
				|type|: |cds."&amp;Pasos!F74&amp;"|,
				|@Analytics."&amp;Pasos!G74&amp;"|: true
			},	"</f>
        <v xml:space="preserve">			|PARTICIPANTGENERICATTRIBUTE1|: {
				|@Common.Label|: |Participante Documento Fiscal|,
				|type|: |cds.String|,
				|@Analytics.Dimension|: true
			},	</v>
      </c>
    </row>
    <row r="71" spans="1:2" x14ac:dyDescent="0.3">
      <c r="A71" s="3" t="str">
        <f>"Campo "&amp;Pasos!C75</f>
        <v>Campo 70</v>
      </c>
      <c r="B71" t="str">
        <f>"			|"&amp;Pasos!D75&amp;"|: {
				|@Common.Label|: |"&amp;Pasos!E75&amp;"|,
				|type|: |cds."&amp;Pasos!F75&amp;"|,
				|@Analytics."&amp;Pasos!G75&amp;"|: true
			},	"</f>
        <v xml:space="preserve">			|PARTICIPANTGENERICATTRIBUTE2|: {
				|@Common.Label|: |Particiapnte Tipo Documento Fiscal|,
				|type|: |cds.String|,
				|@Analytics.Dimension|: true
			},	</v>
      </c>
    </row>
    <row r="72" spans="1:2" x14ac:dyDescent="0.3">
      <c r="A72" s="3" t="str">
        <f>"Campo "&amp;Pasos!C76</f>
        <v>Campo 71</v>
      </c>
      <c r="B72" t="str">
        <f>"			|"&amp;Pasos!D76&amp;"|: {
				|@Common.Label|: |"&amp;Pasos!E76&amp;"|,
				|type|: |cds."&amp;Pasos!F76&amp;"|,
				|@Analytics."&amp;Pasos!G76&amp;"|: true
			},	"</f>
        <v xml:space="preserve">			|PARTICIPANTGENERICATTRIBUTE3|: {
				|@Common.Label|: |Participante Tipo Persona|,
				|type|: |cds.String|,
				|@Analytics.Dimension|: true
			},	</v>
      </c>
    </row>
    <row r="73" spans="1:2" x14ac:dyDescent="0.3">
      <c r="A73" s="3" t="str">
        <f>"Campo "&amp;Pasos!C77</f>
        <v>Campo 72</v>
      </c>
      <c r="B73" t="str">
        <f>"			|"&amp;Pasos!D77&amp;"|: {
				|@Common.Label|: |"&amp;Pasos!E77&amp;"|,
				|type|: |cds."&amp;Pasos!F77&amp;"|,
				|@Analytics."&amp;Pasos!G77&amp;"|: true
			},	"</f>
        <v xml:space="preserve">			|PARTICIPANTGENERICATTRIBUTE4|: {
				|@Common.Label|: |Participante Código DGS|,
				|type|: |cds.String|,
				|@Analytics.Dimension|: true
			},	</v>
      </c>
    </row>
    <row r="74" spans="1:2" x14ac:dyDescent="0.3">
      <c r="A74" s="3" t="str">
        <f>"Campo "&amp;Pasos!C78</f>
        <v>Campo 73</v>
      </c>
      <c r="B74" t="str">
        <f>"			|"&amp;Pasos!D78&amp;"|: {
				|@Common.Label|: |"&amp;Pasos!E78&amp;"|,
				|type|: |cds."&amp;Pasos!F78&amp;"|,
				|@Analytics."&amp;Pasos!G78&amp;"|: true
			},	"</f>
        <v xml:space="preserve">			|PARTICIPANTGENERICATTRIBUTE5|: {
				|@Common.Label|: |Participante Compañía (Par)|,
				|type|: |cds.String|,
				|@Analytics.Dimension|: true
			},	</v>
      </c>
    </row>
    <row r="75" spans="1:2" x14ac:dyDescent="0.3">
      <c r="A75" s="3" t="str">
        <f>"Campo "&amp;Pasos!C79</f>
        <v>Campo 74</v>
      </c>
      <c r="B75" t="str">
        <f>"			|"&amp;Pasos!D79&amp;"|: {
				|@Common.Label|: |"&amp;Pasos!E79&amp;"|,
				|type|: |cds."&amp;Pasos!F79&amp;"|,
				|@Analytics."&amp;Pasos!G79&amp;"|: true
			},	"</f>
        <v xml:space="preserve">			|PARTICIPANTGENERICATTRIBUTE6|: {
				|@Common.Label|: |Participante Tipo Mediador|,
				|type|: |cds.String|,
				|@Analytics.Dimension|: true
			},	</v>
      </c>
    </row>
    <row r="76" spans="1:2" x14ac:dyDescent="0.3">
      <c r="A76" s="3" t="str">
        <f>"Campo "&amp;Pasos!C80</f>
        <v>Campo 75</v>
      </c>
      <c r="B76" t="str">
        <f>"			|"&amp;Pasos!D80&amp;"|: {
				|@Common.Label|: |"&amp;Pasos!E80&amp;"|,
				|type|: |cds."&amp;Pasos!F80&amp;"|,
				|@Analytics."&amp;Pasos!G80&amp;"|: true
			},	"</f>
        <v xml:space="preserve">			|PARTICIPANTGENERICATTRIBUTE7|: {
				|@Common.Label|: |Participante Localidad|,
				|type|: |cds.String|,
				|@Analytics.Dimension|: true
			},	</v>
      </c>
    </row>
    <row r="77" spans="1:2" x14ac:dyDescent="0.3">
      <c r="A77" s="3" t="str">
        <f>"Campo "&amp;Pasos!C81</f>
        <v>Campo 76</v>
      </c>
      <c r="B77" t="str">
        <f>"			|"&amp;Pasos!D81&amp;"|: {
				|@Common.Label|: |"&amp;Pasos!E81&amp;"|,
				|type|: |cds."&amp;Pasos!F81&amp;"|,
				|@Analytics."&amp;Pasos!G81&amp;"|: true
			},	"</f>
        <v xml:space="preserve">			|PARTICIPANTGENERICATTRIBUTE8|: {
				|@Common.Label|: |Participante Tipo Vía|,
				|type|: |cds.String|,
				|@Analytics.Dimension|: true
			},	</v>
      </c>
    </row>
    <row r="78" spans="1:2" x14ac:dyDescent="0.3">
      <c r="A78" s="3" t="str">
        <f>"Campo "&amp;Pasos!C82</f>
        <v>Campo 77</v>
      </c>
      <c r="B78" t="str">
        <f>"			|"&amp;Pasos!D82&amp;"|: {
				|@Common.Label|: |"&amp;Pasos!E82&amp;"|,
				|type|: |cds."&amp;Pasos!F82&amp;"|,
				|@Analytics."&amp;Pasos!G82&amp;"|: true
			},	"</f>
        <v xml:space="preserve">			|PARTICIPANTGENERICATTRIBUTE9|: {
				|@Common.Label|: |Participante Domicilio|,
				|type|: |cds.String|,
				|@Analytics.Dimension|: true
			},	</v>
      </c>
    </row>
    <row r="79" spans="1:2" x14ac:dyDescent="0.3">
      <c r="A79" s="3" t="str">
        <f>"Campo "&amp;Pasos!C83</f>
        <v>Campo 78</v>
      </c>
      <c r="B79" t="str">
        <f>"			|"&amp;Pasos!D83&amp;"|: {
				|@Common.Label|: |"&amp;Pasos!E83&amp;"|,
				|type|: |cds."&amp;Pasos!F83&amp;"|,
				|@Analytics."&amp;Pasos!G83&amp;"|: true
			},	"</f>
        <v xml:space="preserve">			|PARTICIPANTGENERICATTRIBUTE10|: {
				|@Common.Label|: |Participante Número|,
				|type|: |cds.String|,
				|@Analytics.Dimension|: true
			},	</v>
      </c>
    </row>
    <row r="80" spans="1:2" x14ac:dyDescent="0.3">
      <c r="A80" s="3" t="str">
        <f>"Campo "&amp;Pasos!C84</f>
        <v>Campo 79</v>
      </c>
      <c r="B80" t="str">
        <f>"			|"&amp;Pasos!D84&amp;"|: {
				|@Common.Label|: |"&amp;Pasos!E84&amp;"|,
				|type|: |cds."&amp;Pasos!F84&amp;"|,
				|@Analytics."&amp;Pasos!G84&amp;"|: true
			},	"</f>
        <v xml:space="preserve">			|PARTICIPANTGENERICATTRIBUTE11|: {
				|@Common.Label|: |Participante Resto Domicilio|,
				|type|: |cds.String|,
				|@Analytics.Dimension|: true
			},	</v>
      </c>
    </row>
    <row r="81" spans="1:2" x14ac:dyDescent="0.3">
      <c r="A81" s="3" t="str">
        <f>"Campo "&amp;Pasos!C85</f>
        <v>Campo 80</v>
      </c>
      <c r="B81" t="str">
        <f>"			|"&amp;Pasos!D85&amp;"|: {
				|@Common.Label|: |"&amp;Pasos!E85&amp;"|,
				|type|: |cds."&amp;Pasos!F85&amp;"|,
				|@Analytics."&amp;Pasos!G85&amp;"|: true
			},	"</f>
        <v xml:space="preserve">			|PARTICIPANTGENERICATTRIBUTE12|: {
				|@Common.Label|: |Participante Sexo|,
				|type|: |cds.String|,
				|@Analytics.Dimension|: true
			},	</v>
      </c>
    </row>
    <row r="82" spans="1:2" x14ac:dyDescent="0.3">
      <c r="A82" s="3" t="str">
        <f>"Campo "&amp;Pasos!C86</f>
        <v>Campo 81</v>
      </c>
      <c r="B82" t="str">
        <f>"			|"&amp;Pasos!D86&amp;"|: {
				|@Common.Label|: |"&amp;Pasos!E86&amp;"|,
				|type|: |cds."&amp;Pasos!F86&amp;"|,
				|@Analytics."&amp;Pasos!G86&amp;"|: true
			},	"</f>
        <v xml:space="preserve">			|PARTICIPANTGENERICATTRIBUTE13|: {
				|@Common.Label|: |Participante Estado Civil|,
				|type|: |cds.String|,
				|@Analytics.Dimension|: true
			},	</v>
      </c>
    </row>
    <row r="83" spans="1:2" x14ac:dyDescent="0.3">
      <c r="A83" s="3" t="str">
        <f>"Campo "&amp;Pasos!C87</f>
        <v>Campo 82</v>
      </c>
      <c r="B83" t="str">
        <f>"			|"&amp;Pasos!D87&amp;"|: {
				|@Common.Label|: |"&amp;Pasos!E87&amp;"|,
				|type|: |cds."&amp;Pasos!F87&amp;"|,
				|@Analytics."&amp;Pasos!G87&amp;"|: true
			},	"</f>
        <v xml:space="preserve">			|PARTICIPANTGENERICATTRIBUTE14|: {
				|@Common.Label|: |Participante Teléfono Fijo|,
				|type|: |cds.String|,
				|@Analytics.Dimension|: true
			},	</v>
      </c>
    </row>
    <row r="84" spans="1:2" x14ac:dyDescent="0.3">
      <c r="A84" s="3" t="str">
        <f>"Campo "&amp;Pasos!C88</f>
        <v>Campo 83</v>
      </c>
      <c r="B84" t="str">
        <f>"			|"&amp;Pasos!D88&amp;"|: {
				|@Common.Label|: |"&amp;Pasos!E88&amp;"|,
				|type|: |cds."&amp;Pasos!F88&amp;"|,
				|@Analytics."&amp;Pasos!G88&amp;"|: true
			},	"</f>
        <v xml:space="preserve">			|PARTICIPANTGENERICATTRIBUTE15|: {
				|@Common.Label|: |Participante Teléfono Móvil|,
				|type|: |cds.String|,
				|@Analytics.Dimension|: true
			},	</v>
      </c>
    </row>
    <row r="85" spans="1:2" x14ac:dyDescent="0.3">
      <c r="A85" s="3" t="str">
        <f>"Campo "&amp;Pasos!C89</f>
        <v>Campo 84</v>
      </c>
      <c r="B85" t="str">
        <f>"			|"&amp;Pasos!D89&amp;"|: {
				|@Common.Label|: |"&amp;Pasos!E89&amp;"|,
				|type|: |cds."&amp;Pasos!F89&amp;"|,
				|@Analytics."&amp;Pasos!G89&amp;"|: true
			},	"</f>
        <v xml:space="preserve">			|PARTICIPANTGENERICATTRIBUTE16|: {
				|@Common.Label|: |Participante IBAN|,
				|type|: |cds.String|,
				|@Analytics.Dimension|: true
			},	</v>
      </c>
    </row>
    <row r="86" spans="1:2" x14ac:dyDescent="0.3">
      <c r="A86" s="3" t="str">
        <f>"Campo "&amp;Pasos!C90</f>
        <v>Campo 85</v>
      </c>
      <c r="B86" t="str">
        <f>"			|"&amp;Pasos!D90&amp;"|: {
				|@Common.Label|: |"&amp;Pasos!E90&amp;"|,
				|type|: |cds."&amp;Pasos!F90&amp;"|,
				|@Analytics."&amp;Pasos!G90&amp;"|: true
			},	"</f>
        <v xml:space="preserve">			|PARTICIPANTGENERICNUMBER1|: {
				|@Common.Label|: |Participante Código Postal|,
				|type|: |cds.Integer|,
				|@Analytics.Dimension|: true
			},	</v>
      </c>
    </row>
    <row r="87" spans="1:2" x14ac:dyDescent="0.3">
      <c r="A87" s="3" t="str">
        <f>"Campo "&amp;Pasos!C91</f>
        <v>Campo 86</v>
      </c>
      <c r="B87" t="str">
        <f>"			|"&amp;Pasos!D91&amp;"|: {
				|@Common.Label|: |"&amp;Pasos!E91&amp;"|,
				|type|: |cds."&amp;Pasos!F91&amp;"|,
				|@Analytics."&amp;Pasos!G91&amp;"|: true
			},	"</f>
        <v xml:space="preserve">			|PARTICIPANTGENERICNUMBER2|: {
				|@Common.Label|: |Participante Provincia|,
				|type|: |cds.Integer|,
				|@Analytics.Dimension|: true
			},	</v>
      </c>
    </row>
    <row r="88" spans="1:2" x14ac:dyDescent="0.3">
      <c r="A88" s="3" t="str">
        <f>"Campo "&amp;Pasos!C92</f>
        <v>Campo 87</v>
      </c>
      <c r="B88" t="str">
        <f>"			|"&amp;Pasos!D92&amp;"|: {
				|@Common.Label|: |"&amp;Pasos!E92&amp;"|,
				|type|: |cds."&amp;Pasos!F92&amp;"|,
				|@Analytics."&amp;Pasos!G92&amp;"|: true
			},	"</f>
        <v xml:space="preserve">			|PARTICIPANTGENERICNUMBER3|: {
				|@Common.Label|: |Participante Municipio|,
				|type|: |cds.Integer|,
				|@Analytics.Dimension|: true
			},	</v>
      </c>
    </row>
    <row r="89" spans="1:2" x14ac:dyDescent="0.3">
      <c r="A89" s="3" t="str">
        <f>"Campo "&amp;Pasos!C93</f>
        <v>Campo 88</v>
      </c>
      <c r="B89" t="str">
        <f>"			|"&amp;Pasos!D93&amp;"|: {
				|@Common.Label|: |"&amp;Pasos!E93&amp;"|,
				|type|: |cds."&amp;Pasos!F93&amp;"|,
				|@Analytics."&amp;Pasos!G93&amp;"|: true
			},	"</f>
        <v xml:space="preserve">			|PARTICIPANTGENERICNUMBER4|: {
				|@Common.Label|: |Participante ID Empleado|,
				|type|: |cds.Integer|,
				|@Analytics.Dimension|: true
			},	</v>
      </c>
    </row>
    <row r="90" spans="1:2" x14ac:dyDescent="0.3">
      <c r="A90" s="3" t="str">
        <f>"Campo "&amp;Pasos!C94</f>
        <v>Campo 89</v>
      </c>
      <c r="B90" t="str">
        <f>"			|"&amp;Pasos!D94&amp;"|: {
				|@Common.Label|: |"&amp;Pasos!E94&amp;"|,
				|type|: |cds."&amp;Pasos!F94&amp;"|,
				|@Analytics."&amp;Pasos!G94&amp;"|: true
			},	"</f>
        <v xml:space="preserve">			|PARTICIPANTGENERICNUMBER5|: {
				|@Common.Label|: |Participante Porcentaje IRPF|,
				|type|: |cds.DecimalFloat|,
				|@Analytics.Dimension|: true
			},	</v>
      </c>
    </row>
    <row r="91" spans="1:2" x14ac:dyDescent="0.3">
      <c r="A91" s="3" t="str">
        <f>"Campo "&amp;Pasos!C95</f>
        <v>Campo 90</v>
      </c>
      <c r="B91" t="str">
        <f>"			|"&amp;Pasos!D95&amp;"|: {
				|@Common.Label|: |"&amp;Pasos!E95&amp;"|,
				|type|: |cds."&amp;Pasos!F95&amp;"|,
				|@Analytics."&amp;Pasos!G95&amp;"|: true
			},	"</f>
        <v xml:space="preserve">			|PARTICIPANTGENERICNUMBER6|: {
				|@Common.Label|: |Participante Fax|,
				|type|: |cds.Integer|,
				|@Analytics.Dimension|: true
			},	</v>
      </c>
    </row>
    <row r="92" spans="1:2" x14ac:dyDescent="0.3">
      <c r="A92" s="3" t="str">
        <f>"Campo "&amp;Pasos!C96</f>
        <v>Campo 91</v>
      </c>
      <c r="B92" t="str">
        <f>"			|"&amp;Pasos!D96&amp;"|: {
				|@Common.Label|: |"&amp;Pasos!E96&amp;"|,
				|type|: |cds."&amp;Pasos!F96&amp;"|,
				|@Analytics."&amp;Pasos!G96&amp;"|: true
			},	"</f>
        <v xml:space="preserve">			|PARTICIPANTGENERICDATE1|: {
				|@Common.Label|: |Participante Fecha Nacimiento|,
				|type|: |cds.Timestamp|,
				|@Analytics.Dimension|: true
			},	</v>
      </c>
    </row>
    <row r="93" spans="1:2" x14ac:dyDescent="0.3">
      <c r="A93" s="3" t="str">
        <f>"Campo "&amp;Pasos!C97</f>
        <v>Campo 92</v>
      </c>
      <c r="B93" t="str">
        <f>"			|"&amp;Pasos!D97&amp;"|: {
				|@Common.Label|: |"&amp;Pasos!E97&amp;"|,
				|type|: |cds."&amp;Pasos!F97&amp;"|,
				|@Analytics."&amp;Pasos!G97&amp;"|: true
			},	"</f>
        <v xml:space="preserve">			|PARTICIPANTGENERICDATE2|: {
				|@Common.Label|: |Participante Fecha Registro DGS|,
				|type|: |cds.Timestamp|,
				|@Analytics.Dimension|: true
			},	</v>
      </c>
    </row>
    <row r="94" spans="1:2" x14ac:dyDescent="0.3">
      <c r="A94" s="3" t="str">
        <f>"Campo "&amp;Pasos!C98</f>
        <v>Campo 93</v>
      </c>
      <c r="B94" t="str">
        <f>"			|"&amp;Pasos!D98&amp;"|: {
				|@Common.Label|: |"&amp;Pasos!E98&amp;"|,
				|type|: |cds."&amp;Pasos!F98&amp;"|,
				|@Analytics."&amp;Pasos!G98&amp;"|: true
			},	"</f>
        <v xml:space="preserve">			|PARTICIPANTGENERICDATE3|: {
				|@Common.Label|: |Participante Fecha Envío DGS|,
				|type|: |cds.Timestamp|,
				|@Analytics.Dimension|: true
			},	</v>
      </c>
    </row>
    <row r="95" spans="1:2" x14ac:dyDescent="0.3">
      <c r="A95" s="3" t="str">
        <f>"Campo "&amp;Pasos!C99</f>
        <v>Campo 94</v>
      </c>
      <c r="B95" t="str">
        <f>"			|"&amp;Pasos!D99&amp;"|: {
				|@Common.Label|: |"&amp;Pasos!E99&amp;"|,
				|type|: |cds."&amp;Pasos!F99&amp;"|,
				|@Analytics."&amp;Pasos!G99&amp;"|: true
			},	"</f>
        <v xml:space="preserve">			|PARTICIPANTGENERICDATE4|: {
				|@Common.Label|: |Participante Fin CIASE 1|,
				|type|: |cds.Timestamp|,
				|@Analytics.Dimension|: true
			},	</v>
      </c>
    </row>
    <row r="96" spans="1:2" x14ac:dyDescent="0.3">
      <c r="A96" s="3" t="str">
        <f>"Campo "&amp;Pasos!C100</f>
        <v>Campo 95</v>
      </c>
      <c r="B96" t="str">
        <f>"			|"&amp;Pasos!D100&amp;"|: {
				|@Common.Label|: |"&amp;Pasos!E100&amp;"|,
				|type|: |cds."&amp;Pasos!F100&amp;"|,
				|@Analytics."&amp;Pasos!G100&amp;"|: true
			},	"</f>
        <v xml:space="preserve">			|PARTICIPANTGENERICDATE5|: {
				|@Common.Label|: |Participante Fecha Efecto SuperRappel|,
				|type|: |cds.Timestamp|,
				|@Analytics.Dimension|: true
			},	</v>
      </c>
    </row>
    <row r="97" spans="1:2" x14ac:dyDescent="0.3">
      <c r="A97" s="3" t="str">
        <f>"Campo "&amp;Pasos!C101</f>
        <v>Campo 96</v>
      </c>
      <c r="B97" t="str">
        <f>"			|"&amp;Pasos!D101&amp;"|: {
				|@Common.Label|: |"&amp;Pasos!E101&amp;"|,
				|type|: |cds."&amp;Pasos!F101&amp;"|,
				|@Analytics."&amp;Pasos!G101&amp;"|: true
			},	"</f>
        <v xml:space="preserve">			|PARTICIPANTGENERICDATE6|: {
				|@Common.Label|: |Participante Fecha Regularización SuperRappel|,
				|type|: |cds.Timestamp|,
				|@Analytics.Dimension|: true
			},	</v>
      </c>
    </row>
    <row r="98" spans="1:2" x14ac:dyDescent="0.3">
      <c r="A98" s="3" t="str">
        <f>"Campo "&amp;Pasos!C102</f>
        <v>Campo 97</v>
      </c>
      <c r="B98" t="str">
        <f>"			|"&amp;Pasos!D102&amp;"|: {
				|@Common.Label|: |"&amp;Pasos!E102&amp;"|,
				|type|: |cds."&amp;Pasos!F102&amp;"|,
				|@Analytics."&amp;Pasos!G102&amp;"|: true
			},	"</f>
        <v xml:space="preserve">			|PARTICIPANTGENERICBOOLEAN1|: {
				|@Common.Label|: |Autoliquida|,
				|type|: |cds.Integer|,
				|@Analytics.Dimension|: true
			},	</v>
      </c>
    </row>
    <row r="99" spans="1:2" x14ac:dyDescent="0.3">
      <c r="A99" s="3" t="str">
        <f>"Campo "&amp;Pasos!C103</f>
        <v>Campo 98</v>
      </c>
      <c r="B99" t="str">
        <f>"			|"&amp;Pasos!D103&amp;"|: {
				|@Common.Label|: |"&amp;Pasos!E103&amp;"|,
				|type|: |cds."&amp;Pasos!F103&amp;"|,
				|@Analytics."&amp;Pasos!G103&amp;"|: true
			},	"</f>
        <v xml:space="preserve">			|PARTICIPANTGENERICBOOLEAN2|: {
				|@Common.Label|: |Corredor|,
				|type|: |cds.Integer|,
				|@Analytics.Dimension|: true
			},	</v>
      </c>
    </row>
    <row r="100" spans="1:2" x14ac:dyDescent="0.3">
      <c r="A100" s="3" t="str">
        <f>"Campo "&amp;Pasos!C104</f>
        <v>Campo 99</v>
      </c>
      <c r="B100" t="str">
        <f>"			|"&amp;Pasos!D104&amp;"|: {
				|@Common.Label|: |"&amp;Pasos!E104&amp;"|,
				|type|: |cds."&amp;Pasos!F104&amp;"|,
				|@Analytics."&amp;Pasos!G104&amp;"|: true
			},	"</f>
        <v xml:space="preserve">			|PARTICIPANTGENERICBOOLEAN3|: {
				|@Common.Label|: |Autorización Factura|,
				|type|: |cds.Integer|,
				|@Analytics.Dimension|: true
			},	</v>
      </c>
    </row>
    <row r="101" spans="1:2" x14ac:dyDescent="0.3">
      <c r="A101" s="3" t="str">
        <f>"Campo "&amp;Pasos!C105</f>
        <v>Campo 100</v>
      </c>
      <c r="B101" t="str">
        <f>"			|"&amp;Pasos!D105&amp;"|: {
				|@Common.Label|: |"&amp;Pasos!E105&amp;"|,
				|type|: |cds."&amp;Pasos!F105&amp;"|,
				|@Analytics."&amp;Pasos!G105&amp;"|: true
			},	"</f>
        <v xml:space="preserve">			|PARTICIPANTGENERICBOOLEAN4|: {
				|@Common.Label|: |SuperRappel|,
				|type|: |cds.Integer|,
				|@Analytics.Dimension|: true
			},	</v>
      </c>
    </row>
    <row r="102" spans="1:2" x14ac:dyDescent="0.3">
      <c r="A102" s="3" t="str">
        <f>"Campo "&amp;Pasos!C106</f>
        <v>Campo 101</v>
      </c>
      <c r="B102" t="str">
        <f>"			|"&amp;Pasos!D106&amp;"|: {
				|@Common.Label|: |"&amp;Pasos!E106&amp;"|,
				|type|: |cds."&amp;Pasos!F106&amp;"|,
				|@Analytics."&amp;Pasos!G106&amp;"|: true
			},	"</f>
        <v xml:space="preserve">			|PARTICIPANTGENERICBOOLEAN5|: {
				|@Common.Label|: |Comisiones Anualizadas RRPP OCASO|,
				|type|: |cds.Integer|,
				|@Analytics.Dimension|: true
			},	</v>
      </c>
    </row>
    <row r="103" spans="1:2" x14ac:dyDescent="0.3">
      <c r="A103" s="3" t="str">
        <f>"Campo "&amp;Pasos!C107</f>
        <v>Campo 102</v>
      </c>
      <c r="B103" t="str">
        <f>"			|"&amp;Pasos!D107&amp;"|: {
				|@Common.Label|: |"&amp;Pasos!E107&amp;"|,
				|type|: |cds."&amp;Pasos!F107&amp;"|,
				|@Analytics."&amp;Pasos!G107&amp;"|: true
			},	"</f>
        <v xml:space="preserve">			|PARTICIPANTGENERICBOOLEAN6|: {
				|@Common.Label|: |Cartera RRTT|,
				|type|: |cds.Integer|,
				|@Analytics.Dimension|: true
			},	</v>
      </c>
    </row>
    <row r="104" spans="1:2" x14ac:dyDescent="0.3">
      <c r="A104" s="3" t="str">
        <f>"Campo "&amp;Pasos!C108</f>
        <v>Campo 103</v>
      </c>
      <c r="B104" t="str">
        <f>"			|"&amp;Pasos!D108&amp;"|: {
				|@Common.Label|: |"&amp;Pasos!E108&amp;"|,
				|type|: |cds."&amp;Pasos!F108&amp;"|,
				|@Analytics."&amp;Pasos!G108&amp;"|: true
			},	"</f>
        <v xml:space="preserve">			|TITLEGENERICATTRIBUTE1|: {
				|@Common.Label|: |Título Tipo Principal Agente - Clase Oficina|,
				|type|: |cds.String|,
				|@Analytics.Dimension|: true
			},	</v>
      </c>
    </row>
    <row r="105" spans="1:2" x14ac:dyDescent="0.3">
      <c r="A105" s="3" t="str">
        <f>"Campo "&amp;Pasos!C109</f>
        <v>Campo 104</v>
      </c>
      <c r="B105" t="str">
        <f>"			|"&amp;Pasos!D109&amp;"|: {
				|@Common.Label|: |"&amp;Pasos!E109&amp;"|,
				|type|: |cds."&amp;Pasos!F109&amp;"|,
				|@Analytics."&amp;Pasos!G109&amp;"|: true
			},	"</f>
        <v xml:space="preserve">			|TITLEGENERICATTRIBUTE2|: {
				|@Common.Label|: |Título Tipo Agente - Tipo Oficina|,
				|type|: |cds.String|,
				|@Analytics.Dimension|: true
			},	</v>
      </c>
    </row>
    <row r="106" spans="1:2" x14ac:dyDescent="0.3">
      <c r="A106" s="3" t="str">
        <f>"Campo "&amp;Pasos!C110</f>
        <v>Campo 105</v>
      </c>
      <c r="B106" t="str">
        <f>"			|"&amp;Pasos!D110&amp;"|: {
				|@Common.Label|: |"&amp;Pasos!E110&amp;"|,
				|type|: |cds."&amp;Pasos!F110&amp;"|,
				|@Analytics."&amp;Pasos!G110&amp;"|: true
			},	"</f>
        <v xml:space="preserve">			|TITLEGENERICATTRIBUTE3|: {
				|@Common.Label|: |Título GenericAttribute3|,
				|type|: |cds.String|,
				|@Analytics.Dimension|: true
			},	</v>
      </c>
    </row>
    <row r="107" spans="1:2" x14ac:dyDescent="0.3">
      <c r="A107" s="3" t="str">
        <f>"Campo "&amp;Pasos!C111</f>
        <v>Campo 106</v>
      </c>
      <c r="B107" t="str">
        <f>"			|"&amp;Pasos!D111&amp;"|: {
				|@Common.Label|: |"&amp;Pasos!E111&amp;"|,
				|type|: |cds."&amp;Pasos!F111&amp;"|,
				|@Analytics."&amp;Pasos!G111&amp;"|: true
			},	"</f>
        <v xml:space="preserve">			|TITLEGENERICATTRIBUTE4|: {
				|@Common.Label|: |Título GenericAttribute4|,
				|type|: |cds.String|,
				|@Analytics.Dimension|: true
			},	</v>
      </c>
    </row>
    <row r="108" spans="1:2" x14ac:dyDescent="0.3">
      <c r="A108" s="3" t="str">
        <f>"Campo "&amp;Pasos!C112</f>
        <v>Campo 107</v>
      </c>
      <c r="B108" t="str">
        <f>"			|"&amp;Pasos!D112&amp;"|: {
				|@Common.Label|: |"&amp;Pasos!E112&amp;"|,
				|type|: |cds."&amp;Pasos!F112&amp;"|,
				|@Analytics."&amp;Pasos!G112&amp;"|: true
			},	"</f>
        <v xml:space="preserve">			|TITLEGENERICNUMBER1|: {
				|@Common.Label|: |Título ID Tipo Principal  Agente|,
				|type|: |cds.Integer|,
				|@Analytics.Dimension|: true
			},	</v>
      </c>
    </row>
    <row r="109" spans="1:2" x14ac:dyDescent="0.3">
      <c r="A109" s="3" t="str">
        <f>"Campo "&amp;Pasos!C113</f>
        <v>Campo 108</v>
      </c>
      <c r="B109" t="str">
        <f>"			|"&amp;Pasos!D113&amp;"|: {
				|@Common.Label|: |"&amp;Pasos!E113&amp;"|,
				|type|: |cds."&amp;Pasos!F113&amp;"|,
				|@Analytics."&amp;Pasos!G113&amp;"|: true
			},	"</f>
        <v xml:space="preserve">			|TITLEGENERICNUMBER2|: {
				|@Common.Label|: |Título ID Tipo  Agente|,
				|type|: |cds.Integer|,
				|@Analytics.Dimension|: true
			},	</v>
      </c>
    </row>
    <row r="110" spans="1:2" x14ac:dyDescent="0.3">
      <c r="A110" s="3" t="str">
        <f>"Campo "&amp;Pasos!C114</f>
        <v>Campo 109</v>
      </c>
      <c r="B110" t="str">
        <f>"			|"&amp;Pasos!D114&amp;"|: {
				|@Common.Label|: |"&amp;Pasos!E114&amp;"|,
				|type|: |cds."&amp;Pasos!F114&amp;"|,
				|@Analytics."&amp;Pasos!G114&amp;"|: true
			},	"</f>
        <v xml:space="preserve">			|TITLEGENERICNUMBER3|: {
				|@Common.Label|: |Título ID Clase Oficina|,
				|type|: |cds.Integer|,
				|@Analytics.Dimension|: true
			},	</v>
      </c>
    </row>
    <row r="111" spans="1:2" x14ac:dyDescent="0.3">
      <c r="A111" s="3" t="str">
        <f>"Campo "&amp;Pasos!C115</f>
        <v>Campo 110</v>
      </c>
      <c r="B111" t="str">
        <f>"			|"&amp;Pasos!D115&amp;"|: {
				|@Common.Label|: |"&amp;Pasos!E115&amp;"|,
				|type|: |cds."&amp;Pasos!F115&amp;"|,
				|@Analytics."&amp;Pasos!G115&amp;"|: true
			},	"</f>
        <v xml:space="preserve">			|TITLEGENERICNUMBER4|: {
				|@Common.Label|: |Título ID Tipo Oficina|,
				|type|: |cds.Integer|,
				|@Analytics.Dimension|: true
			},	</v>
      </c>
    </row>
    <row r="112" spans="1:2" x14ac:dyDescent="0.3">
      <c r="A112" s="3" t="str">
        <f>"Campo "&amp;Pasos!C116</f>
        <v>Campo 111</v>
      </c>
      <c r="B112" t="str">
        <f>"			|"&amp;Pasos!D116&amp;"|: {
				|@Common.Label|: |"&amp;Pasos!E116&amp;"|,
				|type|: |cds."&amp;Pasos!F116&amp;"|,
				|@Analytics."&amp;Pasos!G116&amp;"|: true
			},	"</f>
        <v xml:space="preserve">			|TITLEGENERICDATE1|: {
				|@Common.Label|: |Título genericdate1|,
				|type|: |cds.Timestamp|,
				|@Analytics.Dimension|: true
			},	</v>
      </c>
    </row>
    <row r="113" spans="1:2" x14ac:dyDescent="0.3">
      <c r="A113" s="3" t="str">
        <f>"Campo "&amp;Pasos!C117</f>
        <v>Campo 112</v>
      </c>
      <c r="B113" t="str">
        <f>"			|"&amp;Pasos!D117&amp;"|: {
				|@Common.Label|: |"&amp;Pasos!E117&amp;"|,
				|type|: |cds."&amp;Pasos!F117&amp;"|,
				|@Analytics."&amp;Pasos!G117&amp;"|: true
			},	"</f>
        <v xml:space="preserve">			|TITLEGENERICDATE2|: {
				|@Common.Label|: |Título genericdate2|,
				|type|: |cds.Timestamp|,
				|@Analytics.Dimension|: true
			},	</v>
      </c>
    </row>
    <row r="114" spans="1:2" x14ac:dyDescent="0.3">
      <c r="A114" s="3" t="str">
        <f>"Campo "&amp;Pasos!C118</f>
        <v>Campo 113</v>
      </c>
      <c r="B114" t="str">
        <f>"			|"&amp;Pasos!D118&amp;"|: {
				|@Common.Label|: |"&amp;Pasos!E118&amp;"|,
				|type|: |cds."&amp;Pasos!F118&amp;"|,
				|@Analytics."&amp;Pasos!G118&amp;"|: true
			},	"</f>
        <v xml:space="preserve">			|TITLEGENERICBOOLEAN1|: {
				|@Common.Label|: |Título Genera Informe|,
				|type|: |cds.Integer|,
				|@Analytics.Dimension|: true
			},	</v>
      </c>
    </row>
    <row r="115" spans="1:2" x14ac:dyDescent="0.3">
      <c r="A115" s="3" t="str">
        <f>"Campo "&amp;Pasos!C119</f>
        <v>Campo 114</v>
      </c>
      <c r="B115" t="str">
        <f>"			|"&amp;Pasos!D119&amp;"|: {
				|@Common.Label|: |"&amp;Pasos!E119&amp;"|,
				|type|: |cds."&amp;Pasos!F119&amp;"|,
				|@Analytics."&amp;Pasos!G119&amp;"|: true
			},	"</f>
        <v xml:space="preserve">			|TITLEGENERICBOOLEAN2|: {
				|@Common.Label|: |Título genericboolean2|,
				|type|: |cds.Integer|,
				|@Analytics.Dimension|: true
			},	</v>
      </c>
    </row>
    <row r="116" spans="1:2" x14ac:dyDescent="0.3">
      <c r="A116" s="3" t="str">
        <f>"Campo "&amp;Pasos!C120</f>
        <v>Campo 115</v>
      </c>
      <c r="B116" t="str">
        <f>"			|"&amp;Pasos!D120&amp;"|: {
				|@Common.Label|: |"&amp;Pasos!E120&amp;"|,
				|type|: |cds."&amp;Pasos!F120&amp;"|,
				|@Analytics."&amp;Pasos!G120&amp;"|: true
			},	"</f>
        <v xml:space="preserve">			|MANAGERSEQ|: {
				|@Common.Label|: |MANAGERSEQ|,
				|type|: |cds.Integer64|,
				|@Analytics.Dimension|: true
			},	</v>
      </c>
    </row>
    <row r="117" spans="1:2" x14ac:dyDescent="0.3">
      <c r="A117" s="3" t="str">
        <f>"Campo "&amp;Pasos!C121</f>
        <v>Campo 116</v>
      </c>
      <c r="B117" t="str">
        <f>"			|"&amp;Pasos!D121&amp;"|: {
				|@Common.Label|: |"&amp;Pasos!E121&amp;"|,
				|type|: |cds."&amp;Pasos!F121&amp;"|,
				|@Analytics."&amp;Pasos!G121&amp;"|: true
			},	"</f>
        <v xml:space="preserve">			|MANAGERFULLNAME|: {
				|@Common.Label|: |Manager Full Name|,
				|type|: |cds.String|,
				|@Analytics.Dimension|: true
			},	</v>
      </c>
    </row>
    <row r="118" spans="1:2" x14ac:dyDescent="0.3">
      <c r="A118" s="3" t="str">
        <f>"Campo "&amp;Pasos!C122</f>
        <v>Campo 117</v>
      </c>
      <c r="B118" t="str">
        <f>"			|"&amp;Pasos!D122&amp;"|: {
				|@Common.Label|: |"&amp;Pasos!E122&amp;"|,
				|type|: |cds."&amp;Pasos!F122&amp;"|,
				|@Analytics."&amp;Pasos!G122&amp;"|: true
			},	"</f>
        <v xml:space="preserve">			|ISPAYEE|: {
				|@Common.Label|: |IsPayee|,
				|type|: |cds.Integer|,
				|@Analytics.Dimension|: true
			},	</v>
      </c>
    </row>
    <row r="119" spans="1:2" x14ac:dyDescent="0.3">
      <c r="A119" s="3" t="str">
        <f>"Campo "&amp;Pasos!C123</f>
        <v>Campo 118</v>
      </c>
      <c r="B119" t="str">
        <f>"			|"&amp;Pasos!D123&amp;"|: {
				|@Common.Label|: |"&amp;Pasos!E123&amp;"|,
				|type|: |cds."&amp;Pasos!F123&amp;"|,
				|@Analytics."&amp;Pasos!G123&amp;"|: true
			},	"</f>
        <v xml:space="preserve">			|BOUSERID|: {
				|@Common.Label|: |BOUserID|,
				|type|: |cds.String|,
				|@Analytics.Dimension|: true
			},	</v>
      </c>
    </row>
    <row r="120" spans="1:2" x14ac:dyDescent="0.3">
      <c r="A120" s="3" t="str">
        <f>"Campo "&amp;Pasos!C124</f>
        <v>Campo 119</v>
      </c>
      <c r="B120" t="str">
        <f>"			|"&amp;Pasos!D124&amp;"|: {
				|@Common.Label|: |"&amp;Pasos!E124&amp;"|,
				|type|: |cds."&amp;Pasos!F124&amp;"|,
				|@Analytics."&amp;Pasos!G124&amp;"|: true
			},	"</f>
        <v xml:space="preserve">			|MANAGERPARTICIPANTSEQ|: {
				|@Common.Label|: |MANAGERPARTICIPANTSEQ|,
				|type|: |cds.Integer64|,
				|@Analytics.Dimension|: true
			},	</v>
      </c>
    </row>
    <row r="121" spans="1:2" x14ac:dyDescent="0.3">
      <c r="A121" s="3" t="str">
        <f>"Campo "&amp;Pasos!C125</f>
        <v>Campo 120</v>
      </c>
      <c r="B121" t="str">
        <f>"			|"&amp;Pasos!D125&amp;"|: {
				|@Common.Label|: |"&amp;Pasos!E125&amp;"|,
				|type|: |cds."&amp;Pasos!F125&amp;"|,
				|@Analytics."&amp;Pasos!G125&amp;"|: true
			},	"</f>
        <v xml:space="preserve">			|PA_SK|: {
				|@Common.Label|: |PA_SK|,
				|type|: |cds.Integer64|,
				|@Analytics.Dimension|: true
			},	</v>
      </c>
    </row>
    <row r="122" spans="1:2" x14ac:dyDescent="0.3">
      <c r="A122" s="3" t="str">
        <f>"Campo "&amp;Pasos!C126</f>
        <v>Campo 121</v>
      </c>
      <c r="B122" t="str">
        <f>"			|"&amp;Pasos!D126&amp;"|: {
				|@Common.Label|: |"&amp;Pasos!E126&amp;"|,
				|type|: |cds."&amp;Pasos!F126&amp;"|,
				|@Analytics."&amp;Pasos!G126&amp;"|: true
			},	"</f>
        <v xml:space="preserve">			|IDREGIONAL|: {
				|@Common.Label|: |EC ID Regional|,
				|type|: |cds.String|,
				|@Analytics.Dimension|: true
			},	</v>
      </c>
    </row>
    <row r="123" spans="1:2" x14ac:dyDescent="0.3">
      <c r="A123" s="3" t="str">
        <f>"Campo "&amp;Pasos!C127</f>
        <v>Campo 122</v>
      </c>
      <c r="B123" t="str">
        <f>"			|"&amp;Pasos!D127&amp;"|: {
				|@Common.Label|: |"&amp;Pasos!E127&amp;"|,
				|type|: |cds."&amp;Pasos!F127&amp;"|,
				|@Analytics."&amp;Pasos!G127&amp;"|: true
			},	"</f>
        <v xml:space="preserve">			|REGIONAL|: {
				|@Common.Label|: |EC Regional|,
				|type|: |cds.String|,
				|@Analytics.Dimension|: true
			},	</v>
      </c>
    </row>
    <row r="124" spans="1:2" x14ac:dyDescent="0.3">
      <c r="A124" s="3" t="str">
        <f>"Campo "&amp;Pasos!C128</f>
        <v>Campo 123</v>
      </c>
      <c r="B124" t="str">
        <f>"			|"&amp;Pasos!D128&amp;"|: {
				|@Common.Label|: |"&amp;Pasos!E128&amp;"|,
				|type|: |cds."&amp;Pasos!F128&amp;"|,
				|@Analytics."&amp;Pasos!G128&amp;"|: true
			},	"</f>
        <v xml:space="preserve">			|IDSUCURSAL|: {
				|@Common.Label|: |EC ID Sucursal|,
				|type|: |cds.String|,
				|@Analytics.Dimension|: true
			},	</v>
      </c>
    </row>
    <row r="125" spans="1:2" x14ac:dyDescent="0.3">
      <c r="A125" s="3" t="str">
        <f>"Campo "&amp;Pasos!C129</f>
        <v>Campo 124</v>
      </c>
      <c r="B125" t="str">
        <f>"			|"&amp;Pasos!D129&amp;"|: {
				|@Common.Label|: |"&amp;Pasos!E129&amp;"|,
				|type|: |cds."&amp;Pasos!F129&amp;"|,
				|@Analytics."&amp;Pasos!G129&amp;"|: true
			},	"</f>
        <v xml:space="preserve">			|SUCURSAL|: {
				|@Common.Label|: |EC Sucursal|,
				|type|: |cds.String|,
				|@Analytics.Dimension|: true
			},	</v>
      </c>
    </row>
    <row r="126" spans="1:2" x14ac:dyDescent="0.3">
      <c r="A126" s="3" t="str">
        <f>"Campo "&amp;Pasos!C130</f>
        <v>Campo 125</v>
      </c>
      <c r="B126" t="str">
        <f>"			|"&amp;Pasos!D130&amp;"|: {
				|@Common.Label|: |"&amp;Pasos!E130&amp;"|,
				|type|: |cds."&amp;Pasos!F130&amp;"|,
				|@Analytics."&amp;Pasos!G130&amp;"|: true
			},	"</f>
        <v xml:space="preserve">			|IDOFICINA|: {
				|@Common.Label|: |EC ID Oficina|,
				|type|: |cds.String|,
				|@Analytics.Dimension|: true
			},	</v>
      </c>
    </row>
    <row r="127" spans="1:2" x14ac:dyDescent="0.3">
      <c r="A127" s="3" t="str">
        <f>"Campo "&amp;Pasos!C131</f>
        <v>Campo 126</v>
      </c>
      <c r="B127" t="str">
        <f>"			|"&amp;Pasos!D131&amp;"|: {
				|@Common.Label|: |"&amp;Pasos!E131&amp;"|,
				|type|: |cds."&amp;Pasos!F131&amp;"|,
				|@Analytics."&amp;Pasos!G131&amp;"|: true
			},	"</f>
        <v xml:space="preserve">			|OFICINA|: {
				|@Common.Label|: |EC Oficina|,
				|type|: |cds.String|,
				|@Analytics.Dimension|: true
			},	</v>
      </c>
    </row>
    <row r="128" spans="1:2" x14ac:dyDescent="0.3">
      <c r="A128" s="3" t="str">
        <f>"Campo "&amp;Pasos!C132</f>
        <v>Campo 127</v>
      </c>
      <c r="B128" t="str">
        <f>"			|"&amp;Pasos!D132&amp;"|: {
				|@Common.Label|: |"&amp;Pasos!E132&amp;"|,
				|type|: |cds."&amp;Pasos!F132&amp;"|,
				|@Analytics."&amp;Pasos!G132&amp;"|: true
			},	"</f>
        <v xml:space="preserve">			|PV|: {
				|@Common.Label|: |EC ID PV|,
				|type|: |cds.String|,
				|@Analytics.Dimension|: true
			},	</v>
      </c>
    </row>
    <row r="129" spans="1:2" x14ac:dyDescent="0.3">
      <c r="A129" s="3" t="str">
        <f>"Campo "&amp;Pasos!C133</f>
        <v>Campo 128</v>
      </c>
      <c r="B129" t="str">
        <f>"			|"&amp;Pasos!D133&amp;"|: {
				|@Common.Label|: |"&amp;Pasos!E133&amp;"|,
				|type|: |cds."&amp;Pasos!F133&amp;"|,
				|@Analytics."&amp;Pasos!G133&amp;"|: true
			},	"</f>
        <v xml:space="preserve">			|CODIGO|: {
				|@Common.Label|: |EC Código|,
				|type|: |cds.String|,
				|@Analytics.Dimension|: true
			},	</v>
      </c>
    </row>
    <row r="130" spans="1:2" x14ac:dyDescent="0.3">
      <c r="A130" s="3" t="str">
        <f>"Campo "&amp;Pasos!C134</f>
        <v>Campo 129</v>
      </c>
      <c r="B130" t="str">
        <f>"			|"&amp;Pasos!D134&amp;"|: {
				|@Common.Label|: |"&amp;Pasos!E134&amp;"|,
				|type|: |cds."&amp;Pasos!F134&amp;"|,
				|@Analytics."&amp;Pasos!G134&amp;"|: true
			},	"</f>
        <v xml:space="preserve">			|INSPECTOR_NAME|: {
				|@Common.Label|: |Inspector ID|,
				|type|: |cds.String|,
				|@Analytics.Dimension|: true
			},	</v>
      </c>
    </row>
    <row r="131" spans="1:2" x14ac:dyDescent="0.3">
      <c r="A131" s="3" t="str">
        <f>"Campo "&amp;Pasos!C135</f>
        <v>Campo 130</v>
      </c>
      <c r="B131" t="str">
        <f>"			|"&amp;Pasos!D135&amp;"|: {
				|@Common.Label|: |"&amp;Pasos!E135&amp;"|,
				|type|: |cds."&amp;Pasos!F135&amp;"|,
				|@Analytics."&amp;Pasos!G135&amp;"|: true
			},	"</f>
        <v xml:space="preserve">			|INSPECTOR_NIF|: {
				|@Common.Label|: |Inspector NIF|,
				|type|: |cds.String|,
				|@Analytics.Dimension|: true
			},	</v>
      </c>
    </row>
    <row r="132" spans="1:2" x14ac:dyDescent="0.3">
      <c r="A132" s="3" t="str">
        <f>"Campo "&amp;Pasos!C136</f>
        <v>Campo 131</v>
      </c>
      <c r="B132" t="str">
        <f>"			|"&amp;Pasos!D136&amp;"|: {
				|@Common.Label|: |"&amp;Pasos!E136&amp;"|,
				|type|: |cds."&amp;Pasos!F136&amp;"|,
				|@Analytics."&amp;Pasos!G136&amp;"|: true
			},	"</f>
        <v xml:space="preserve">			|INSPECTOR_NOMBRE_COMPLETO|: {
				|@Common.Label|: |Inspector Nombre Completo|,
				|type|: |cds.String|,
				|@Analytics.Dimension|: true
			},	</v>
      </c>
    </row>
    <row r="133" spans="1:2" x14ac:dyDescent="0.3">
      <c r="A133" s="3" t="str">
        <f>"Campo "&amp;Pasos!C137</f>
        <v>Campo 132</v>
      </c>
      <c r="B133" t="str">
        <f>"			|"&amp;Pasos!D137&amp;"|: {
				|@Common.Label|: |"&amp;Pasos!E137&amp;"|,
				|type|: |cds."&amp;Pasos!F137&amp;"|,
				|@Analytics."&amp;Pasos!G137&amp;"|: true
			},	"</f>
        <v xml:space="preserve">			|INSPECTOR_TITLE|: {
				|@Common.Label|: |Inspector Tittle|,
				|type|: |cds.String|,
				|@Analytics.Dimension|: true
			},	</v>
      </c>
    </row>
    <row r="134" spans="1:2" x14ac:dyDescent="0.3">
      <c r="A134" s="3" t="str">
        <f>"Campo "&amp;Pasos!C138</f>
        <v>Campo 133</v>
      </c>
      <c r="B134" t="str">
        <f>"			|"&amp;Pasos!D138&amp;"|: {
				|@Common.Label|: |"&amp;Pasos!E138&amp;"|,
				|type|: |cds."&amp;Pasos!F138&amp;"|,
				|@Analytics."&amp;Pasos!G138&amp;"|: true
			},	"</f>
        <v xml:space="preserve">			|INSPECTOR_LDAP|: {
				|@Common.Label|: |Inspector Usuario LDAP|,
				|type|: |cds.String|,
				|@Analytics.Dimension|: true
			},	</v>
      </c>
    </row>
    <row r="135" spans="1:2" x14ac:dyDescent="0.3">
      <c r="A135" s="3" t="str">
        <f>"Campo "&amp;Pasos!C139</f>
        <v>Campo 134</v>
      </c>
      <c r="B135" t="str">
        <f>"			|"&amp;Pasos!D139&amp;"|: {
				|@Common.Label|: |"&amp;Pasos!E139&amp;"|,
				|type|: |cds."&amp;Pasos!F139&amp;"|,
				|@Analytics."&amp;Pasos!G139&amp;"|: true
			},	"</f>
        <v xml:space="preserve">			|INSPECTOR_IDTIPOAGENTE|: {
				|@Common.Label|: |Inspector ID Tipo|,
				|type|: |cds.Integer|,
				|@Analytics.Dimension|: true
			},	</v>
      </c>
    </row>
    <row r="136" spans="1:2" x14ac:dyDescent="0.3">
      <c r="A136" s="3" t="str">
        <f>"Campo "&amp;Pasos!C140</f>
        <v>Campo 135</v>
      </c>
      <c r="B136" t="str">
        <f>"			|"&amp;Pasos!D140&amp;"|: {
				|@Common.Label|: |"&amp;Pasos!E140&amp;"|,
				|type|: |cds."&amp;Pasos!F140&amp;"|,
				|@Analytics."&amp;Pasos!G140&amp;"|: true
			},	"</f>
        <v xml:space="preserve">			|INSPECTOR_TIPOAGENTE|: {
				|@Common.Label|: |Inspector Tipo|,
				|type|: |cds.String|,
				|@Analytics.Dimension|: true
			},	</v>
      </c>
    </row>
    <row r="137" spans="1:2" x14ac:dyDescent="0.3">
      <c r="A137" s="3" t="str">
        <f>"Campo "&amp;Pasos!C141</f>
        <v>Campo 136</v>
      </c>
      <c r="B137" t="str">
        <f>"			|"&amp;Pasos!D141&amp;"|: {
				|@Common.Label|: |"&amp;Pasos!E141&amp;"|,
				|type|: |cds."&amp;Pasos!F141&amp;"|,
				|@Analytics."&amp;Pasos!G141&amp;"|: true
			},	"</f>
        <v xml:space="preserve">			|INSPCAP_NAME|: {
				|@Common.Label|: |Inspector Capt ID|,
				|type|: |cds.String|,
				|@Analytics.Dimension|: true
			},	</v>
      </c>
    </row>
    <row r="138" spans="1:2" x14ac:dyDescent="0.3">
      <c r="A138" s="3" t="str">
        <f>"Campo "&amp;Pasos!C142</f>
        <v>Campo 137</v>
      </c>
      <c r="B138" t="str">
        <f>"			|"&amp;Pasos!D142&amp;"|: {
				|@Common.Label|: |"&amp;Pasos!E142&amp;"|,
				|type|: |cds."&amp;Pasos!F142&amp;"|,
				|@Analytics."&amp;Pasos!G142&amp;"|: true
			},	"</f>
        <v xml:space="preserve">			|INSPCAP_NIF|: {
				|@Common.Label|: |Inspector Capt NIF|,
				|type|: |cds.String|,
				|@Analytics.Dimension|: true
			},	</v>
      </c>
    </row>
    <row r="139" spans="1:2" x14ac:dyDescent="0.3">
      <c r="A139" s="3" t="str">
        <f>"Campo "&amp;Pasos!C143</f>
        <v>Campo 138</v>
      </c>
      <c r="B139" t="str">
        <f>"			|"&amp;Pasos!D143&amp;"|: {
				|@Common.Label|: |"&amp;Pasos!E143&amp;"|,
				|type|: |cds."&amp;Pasos!F143&amp;"|,
				|@Analytics."&amp;Pasos!G143&amp;"|: true
			},	"</f>
        <v xml:space="preserve">			|INSPCAP_NOMBRE_COMPLETO|: {
				|@Common.Label|: |Inspector Capt Nombre Completo|,
				|type|: |cds.String|,
				|@Analytics.Dimension|: true
			},	</v>
      </c>
    </row>
    <row r="140" spans="1:2" x14ac:dyDescent="0.3">
      <c r="A140" s="3" t="str">
        <f>"Campo "&amp;Pasos!C144</f>
        <v>Campo 139</v>
      </c>
      <c r="B140" t="str">
        <f>"			|"&amp;Pasos!D144&amp;"|: {
				|@Common.Label|: |"&amp;Pasos!E144&amp;"|,
				|type|: |cds."&amp;Pasos!F144&amp;"|,
				|@Analytics."&amp;Pasos!G144&amp;"|: true
			},	"</f>
        <v xml:space="preserve">			|INSPCAP_TITLE|: {
				|@Common.Label|: |Inspector Capt Tittle|,
				|type|: |cds.String|,
				|@Analytics.Dimension|: true
			},	</v>
      </c>
    </row>
    <row r="141" spans="1:2" x14ac:dyDescent="0.3">
      <c r="A141" s="3" t="str">
        <f>"Campo "&amp;Pasos!C145</f>
        <v>Campo 140</v>
      </c>
      <c r="B141" t="str">
        <f>"			|"&amp;Pasos!D145&amp;"|: {
				|@Common.Label|: |"&amp;Pasos!E145&amp;"|,
				|type|: |cds."&amp;Pasos!F145&amp;"|,
				|@Analytics."&amp;Pasos!G145&amp;"|: true
			},	"</f>
        <v xml:space="preserve">			|INSPCAP_LDAP|: {
				|@Common.Label|: |Inspector Capt Usuario LDAP|,
				|type|: |cds.String|,
				|@Analytics.Dimension|: true
			},	</v>
      </c>
    </row>
    <row r="142" spans="1:2" x14ac:dyDescent="0.3">
      <c r="A142" s="3" t="str">
        <f>"Campo "&amp;Pasos!C146</f>
        <v>Campo 141</v>
      </c>
      <c r="B142" t="str">
        <f>"			|"&amp;Pasos!D146&amp;"|: {
				|@Common.Label|: |"&amp;Pasos!E146&amp;"|,
				|type|: |cds."&amp;Pasos!F146&amp;"|,
				|@Analytics."&amp;Pasos!G146&amp;"|: true
			},	"</f>
        <v xml:space="preserve">			|INSPCAP_IDTIPOAGENTE|: {
				|@Common.Label|: |Inspector Capt ID Tipo|,
				|type|: |cds.String|,
				|@Analytics.Dimension|: true
			},	</v>
      </c>
    </row>
    <row r="143" spans="1:2" x14ac:dyDescent="0.3">
      <c r="A143" s="3" t="str">
        <f>"Campo "&amp;Pasos!C147</f>
        <v>Campo 142</v>
      </c>
      <c r="B143" t="str">
        <f>"			|"&amp;Pasos!D147&amp;"|: {
				|@Common.Label|: |"&amp;Pasos!E147&amp;"|,
				|type|: |cds."&amp;Pasos!F147&amp;"|,
				|@Analytics."&amp;Pasos!G147&amp;"|: true
			},	"</f>
        <v xml:space="preserve">			|INSPCAP_TIPOAGENTE|: {
				|@Common.Label|: |Inspector Capt Tipo|,
				|type|: |cds.Integer|,
				|@Analytics.Dimension|: true
			},	</v>
      </c>
    </row>
    <row r="144" spans="1:2" x14ac:dyDescent="0.3">
      <c r="A144" s="3" t="str">
        <f>"Campo "&amp;Pasos!C148&amp;" No incluye coma final"</f>
        <v>Campo 143 No incluye coma final</v>
      </c>
      <c r="B144" t="str">
        <f>"			|"&amp;Pasos!D148&amp;"|: {
				|@Common.Label|: |"&amp;Pasos!E148&amp;"|,
				|type|: |cds."&amp;Pasos!F148&amp;"|,
				|@Analytics."&amp;Pasos!G148&amp;"|: true
			}	"</f>
        <v xml:space="preserve">			|MEDCOUNT|: {
				|@Common.Label|: |MEDCOUNT|,
				|type|: |cds.Integer|,
				|@Analytics.Measure|: true
			}	</v>
      </c>
    </row>
    <row r="145" spans="1:2" x14ac:dyDescent="0.3">
      <c r="A145" s="4" t="s">
        <v>20</v>
      </c>
      <c r="B145"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3D8B-7A33-4153-AE2C-D62F0AE9C5E4}">
  <sheetPr codeName="Hoja3"/>
  <dimension ref="A1:B122"/>
  <sheetViews>
    <sheetView topLeftCell="A97" workbookViewId="0">
      <selection activeCell="A2" sqref="A2:A122"/>
    </sheetView>
  </sheetViews>
  <sheetFormatPr baseColWidth="10" defaultRowHeight="14.4" x14ac:dyDescent="0.3"/>
  <cols>
    <col min="1" max="1" width="33.5546875" bestFit="1" customWidth="1"/>
  </cols>
  <sheetData>
    <row r="1" spans="1:2" x14ac:dyDescent="0.3">
      <c r="A1" s="1" t="s">
        <v>22</v>
      </c>
    </row>
    <row r="2" spans="1:2" x14ac:dyDescent="0.3">
      <c r="A2" s="2" t="s">
        <v>145</v>
      </c>
      <c r="B2">
        <f>COUNTIF(A:A,A2)</f>
        <v>1</v>
      </c>
    </row>
    <row r="3" spans="1:2" x14ac:dyDescent="0.3">
      <c r="A3" s="2" t="s">
        <v>146</v>
      </c>
      <c r="B3">
        <f t="shared" ref="B3:B66" si="0">COUNTIF(A:A,A3)</f>
        <v>1</v>
      </c>
    </row>
    <row r="4" spans="1:2" x14ac:dyDescent="0.3">
      <c r="A4" s="2" t="s">
        <v>147</v>
      </c>
      <c r="B4">
        <f t="shared" si="0"/>
        <v>1</v>
      </c>
    </row>
    <row r="5" spans="1:2" x14ac:dyDescent="0.3">
      <c r="A5" s="2" t="s">
        <v>148</v>
      </c>
      <c r="B5">
        <f t="shared" si="0"/>
        <v>1</v>
      </c>
    </row>
    <row r="6" spans="1:2" x14ac:dyDescent="0.3">
      <c r="A6" s="2" t="s">
        <v>236</v>
      </c>
      <c r="B6">
        <f t="shared" si="0"/>
        <v>1</v>
      </c>
    </row>
    <row r="7" spans="1:2" x14ac:dyDescent="0.3">
      <c r="A7" s="2" t="s">
        <v>237</v>
      </c>
      <c r="B7">
        <f t="shared" si="0"/>
        <v>1</v>
      </c>
    </row>
    <row r="8" spans="1:2" x14ac:dyDescent="0.3">
      <c r="A8" s="2" t="s">
        <v>238</v>
      </c>
      <c r="B8">
        <f t="shared" si="0"/>
        <v>1</v>
      </c>
    </row>
    <row r="9" spans="1:2" x14ac:dyDescent="0.3">
      <c r="A9" s="2" t="s">
        <v>239</v>
      </c>
      <c r="B9">
        <f t="shared" si="0"/>
        <v>1</v>
      </c>
    </row>
    <row r="10" spans="1:2" x14ac:dyDescent="0.3">
      <c r="A10" s="2" t="s">
        <v>240</v>
      </c>
      <c r="B10">
        <f t="shared" si="0"/>
        <v>1</v>
      </c>
    </row>
    <row r="11" spans="1:2" x14ac:dyDescent="0.3">
      <c r="A11" s="2" t="s">
        <v>241</v>
      </c>
      <c r="B11">
        <f t="shared" si="0"/>
        <v>1</v>
      </c>
    </row>
    <row r="12" spans="1:2" x14ac:dyDescent="0.3">
      <c r="A12" s="2" t="s">
        <v>11</v>
      </c>
      <c r="B12">
        <f t="shared" si="0"/>
        <v>1</v>
      </c>
    </row>
    <row r="13" spans="1:2" x14ac:dyDescent="0.3">
      <c r="A13" s="2" t="s">
        <v>35</v>
      </c>
      <c r="B13">
        <f t="shared" si="0"/>
        <v>1</v>
      </c>
    </row>
    <row r="14" spans="1:2" x14ac:dyDescent="0.3">
      <c r="A14" s="2" t="s">
        <v>36</v>
      </c>
      <c r="B14">
        <f t="shared" si="0"/>
        <v>1</v>
      </c>
    </row>
    <row r="15" spans="1:2" x14ac:dyDescent="0.3">
      <c r="A15" s="7" t="s">
        <v>149</v>
      </c>
      <c r="B15">
        <f t="shared" si="0"/>
        <v>1</v>
      </c>
    </row>
    <row r="16" spans="1:2" x14ac:dyDescent="0.3">
      <c r="A16" s="7" t="s">
        <v>150</v>
      </c>
      <c r="B16">
        <f t="shared" si="0"/>
        <v>1</v>
      </c>
    </row>
    <row r="17" spans="1:2" x14ac:dyDescent="0.3">
      <c r="A17" s="2" t="s">
        <v>242</v>
      </c>
      <c r="B17">
        <f t="shared" si="0"/>
        <v>1</v>
      </c>
    </row>
    <row r="18" spans="1:2" x14ac:dyDescent="0.3">
      <c r="A18" s="7" t="s">
        <v>151</v>
      </c>
      <c r="B18">
        <f t="shared" si="0"/>
        <v>1</v>
      </c>
    </row>
    <row r="19" spans="1:2" x14ac:dyDescent="0.3">
      <c r="A19" s="7" t="s">
        <v>152</v>
      </c>
      <c r="B19">
        <f t="shared" si="0"/>
        <v>1</v>
      </c>
    </row>
    <row r="20" spans="1:2" x14ac:dyDescent="0.3">
      <c r="A20" s="7" t="s">
        <v>245</v>
      </c>
      <c r="B20">
        <f t="shared" si="0"/>
        <v>1</v>
      </c>
    </row>
    <row r="21" spans="1:2" x14ac:dyDescent="0.3">
      <c r="A21" s="7" t="s">
        <v>154</v>
      </c>
      <c r="B21">
        <f t="shared" si="0"/>
        <v>1</v>
      </c>
    </row>
    <row r="22" spans="1:2" x14ac:dyDescent="0.3">
      <c r="A22" s="7" t="s">
        <v>243</v>
      </c>
      <c r="B22">
        <f t="shared" si="0"/>
        <v>1</v>
      </c>
    </row>
    <row r="23" spans="1:2" x14ac:dyDescent="0.3">
      <c r="A23" s="7" t="s">
        <v>155</v>
      </c>
      <c r="B23">
        <f t="shared" si="0"/>
        <v>1</v>
      </c>
    </row>
    <row r="24" spans="1:2" x14ac:dyDescent="0.3">
      <c r="A24" s="7" t="s">
        <v>156</v>
      </c>
      <c r="B24">
        <f t="shared" si="0"/>
        <v>1</v>
      </c>
    </row>
    <row r="25" spans="1:2" x14ac:dyDescent="0.3">
      <c r="A25" s="7" t="s">
        <v>157</v>
      </c>
      <c r="B25">
        <f t="shared" si="0"/>
        <v>1</v>
      </c>
    </row>
    <row r="26" spans="1:2" x14ac:dyDescent="0.3">
      <c r="A26" t="s">
        <v>48</v>
      </c>
      <c r="B26">
        <f t="shared" si="0"/>
        <v>1</v>
      </c>
    </row>
    <row r="27" spans="1:2" x14ac:dyDescent="0.3">
      <c r="A27" t="s">
        <v>49</v>
      </c>
      <c r="B27">
        <f t="shared" si="0"/>
        <v>1</v>
      </c>
    </row>
    <row r="28" spans="1:2" x14ac:dyDescent="0.3">
      <c r="A28" s="7" t="s">
        <v>158</v>
      </c>
      <c r="B28">
        <f t="shared" si="0"/>
        <v>1</v>
      </c>
    </row>
    <row r="29" spans="1:2" x14ac:dyDescent="0.3">
      <c r="A29" s="7" t="s">
        <v>159</v>
      </c>
      <c r="B29">
        <f t="shared" si="0"/>
        <v>1</v>
      </c>
    </row>
    <row r="30" spans="1:2" x14ac:dyDescent="0.3">
      <c r="A30" s="7" t="s">
        <v>160</v>
      </c>
      <c r="B30">
        <f t="shared" si="0"/>
        <v>1</v>
      </c>
    </row>
    <row r="31" spans="1:2" x14ac:dyDescent="0.3">
      <c r="A31" s="7" t="s">
        <v>161</v>
      </c>
      <c r="B31">
        <f t="shared" si="0"/>
        <v>1</v>
      </c>
    </row>
    <row r="32" spans="1:2" x14ac:dyDescent="0.3">
      <c r="A32" s="7" t="s">
        <v>162</v>
      </c>
      <c r="B32">
        <f t="shared" si="0"/>
        <v>1</v>
      </c>
    </row>
    <row r="33" spans="1:2" x14ac:dyDescent="0.3">
      <c r="A33" s="7" t="s">
        <v>163</v>
      </c>
      <c r="B33">
        <f t="shared" si="0"/>
        <v>1</v>
      </c>
    </row>
    <row r="34" spans="1:2" x14ac:dyDescent="0.3">
      <c r="A34" s="7" t="s">
        <v>244</v>
      </c>
      <c r="B34">
        <f t="shared" si="0"/>
        <v>1</v>
      </c>
    </row>
    <row r="35" spans="1:2" x14ac:dyDescent="0.3">
      <c r="A35" t="s">
        <v>57</v>
      </c>
      <c r="B35">
        <f t="shared" si="0"/>
        <v>1</v>
      </c>
    </row>
    <row r="36" spans="1:2" x14ac:dyDescent="0.3">
      <c r="A36" s="7" t="s">
        <v>246</v>
      </c>
      <c r="B36">
        <f t="shared" si="0"/>
        <v>1</v>
      </c>
    </row>
    <row r="37" spans="1:2" x14ac:dyDescent="0.3">
      <c r="A37" s="7" t="s">
        <v>247</v>
      </c>
      <c r="B37">
        <f t="shared" si="0"/>
        <v>1</v>
      </c>
    </row>
    <row r="38" spans="1:2" x14ac:dyDescent="0.3">
      <c r="A38" s="7" t="s">
        <v>248</v>
      </c>
      <c r="B38">
        <f t="shared" si="0"/>
        <v>1</v>
      </c>
    </row>
    <row r="39" spans="1:2" x14ac:dyDescent="0.3">
      <c r="A39" t="s">
        <v>249</v>
      </c>
      <c r="B39">
        <f t="shared" si="0"/>
        <v>1</v>
      </c>
    </row>
    <row r="40" spans="1:2" x14ac:dyDescent="0.3">
      <c r="A40" t="s">
        <v>250</v>
      </c>
      <c r="B40">
        <f t="shared" si="0"/>
        <v>1</v>
      </c>
    </row>
    <row r="41" spans="1:2" x14ac:dyDescent="0.3">
      <c r="A41" t="s">
        <v>251</v>
      </c>
      <c r="B41">
        <f t="shared" si="0"/>
        <v>1</v>
      </c>
    </row>
    <row r="42" spans="1:2" x14ac:dyDescent="0.3">
      <c r="A42" t="s">
        <v>252</v>
      </c>
      <c r="B42">
        <f t="shared" si="0"/>
        <v>1</v>
      </c>
    </row>
    <row r="43" spans="1:2" x14ac:dyDescent="0.3">
      <c r="A43" t="s">
        <v>328</v>
      </c>
      <c r="B43">
        <f t="shared" si="0"/>
        <v>1</v>
      </c>
    </row>
    <row r="44" spans="1:2" x14ac:dyDescent="0.3">
      <c r="A44" t="s">
        <v>253</v>
      </c>
      <c r="B44">
        <f t="shared" si="0"/>
        <v>1</v>
      </c>
    </row>
    <row r="45" spans="1:2" x14ac:dyDescent="0.3">
      <c r="A45" t="s">
        <v>254</v>
      </c>
      <c r="B45">
        <f t="shared" si="0"/>
        <v>1</v>
      </c>
    </row>
    <row r="46" spans="1:2" x14ac:dyDescent="0.3">
      <c r="A46" t="s">
        <v>255</v>
      </c>
      <c r="B46">
        <f t="shared" si="0"/>
        <v>1</v>
      </c>
    </row>
    <row r="47" spans="1:2" x14ac:dyDescent="0.3">
      <c r="A47" t="s">
        <v>256</v>
      </c>
      <c r="B47">
        <f t="shared" si="0"/>
        <v>1</v>
      </c>
    </row>
    <row r="48" spans="1:2" x14ac:dyDescent="0.3">
      <c r="A48" t="s">
        <v>257</v>
      </c>
      <c r="B48">
        <f t="shared" si="0"/>
        <v>1</v>
      </c>
    </row>
    <row r="49" spans="1:2" x14ac:dyDescent="0.3">
      <c r="A49" t="s">
        <v>258</v>
      </c>
      <c r="B49">
        <f t="shared" si="0"/>
        <v>1</v>
      </c>
    </row>
    <row r="50" spans="1:2" x14ac:dyDescent="0.3">
      <c r="A50" t="s">
        <v>259</v>
      </c>
      <c r="B50">
        <f t="shared" si="0"/>
        <v>1</v>
      </c>
    </row>
    <row r="51" spans="1:2" x14ac:dyDescent="0.3">
      <c r="A51" t="s">
        <v>260</v>
      </c>
      <c r="B51">
        <f t="shared" si="0"/>
        <v>1</v>
      </c>
    </row>
    <row r="52" spans="1:2" x14ac:dyDescent="0.3">
      <c r="A52" t="s">
        <v>261</v>
      </c>
      <c r="B52">
        <f t="shared" si="0"/>
        <v>1</v>
      </c>
    </row>
    <row r="53" spans="1:2" x14ac:dyDescent="0.3">
      <c r="A53" t="s">
        <v>262</v>
      </c>
      <c r="B53">
        <f t="shared" si="0"/>
        <v>1</v>
      </c>
    </row>
    <row r="54" spans="1:2" x14ac:dyDescent="0.3">
      <c r="A54" t="s">
        <v>263</v>
      </c>
      <c r="B54">
        <f t="shared" si="0"/>
        <v>1</v>
      </c>
    </row>
    <row r="55" spans="1:2" x14ac:dyDescent="0.3">
      <c r="A55" t="s">
        <v>264</v>
      </c>
      <c r="B55">
        <f t="shared" si="0"/>
        <v>1</v>
      </c>
    </row>
    <row r="56" spans="1:2" x14ac:dyDescent="0.3">
      <c r="A56" t="s">
        <v>311</v>
      </c>
      <c r="B56">
        <f t="shared" si="0"/>
        <v>1</v>
      </c>
    </row>
    <row r="57" spans="1:2" x14ac:dyDescent="0.3">
      <c r="A57" t="s">
        <v>265</v>
      </c>
      <c r="B57">
        <f t="shared" si="0"/>
        <v>1</v>
      </c>
    </row>
    <row r="58" spans="1:2" x14ac:dyDescent="0.3">
      <c r="A58" t="s">
        <v>266</v>
      </c>
      <c r="B58">
        <f t="shared" si="0"/>
        <v>1</v>
      </c>
    </row>
    <row r="59" spans="1:2" x14ac:dyDescent="0.3">
      <c r="A59" t="s">
        <v>267</v>
      </c>
      <c r="B59">
        <f t="shared" si="0"/>
        <v>1</v>
      </c>
    </row>
    <row r="60" spans="1:2" x14ac:dyDescent="0.3">
      <c r="A60" t="s">
        <v>268</v>
      </c>
      <c r="B60">
        <f t="shared" si="0"/>
        <v>1</v>
      </c>
    </row>
    <row r="61" spans="1:2" x14ac:dyDescent="0.3">
      <c r="A61" t="s">
        <v>269</v>
      </c>
      <c r="B61">
        <f t="shared" si="0"/>
        <v>1</v>
      </c>
    </row>
    <row r="62" spans="1:2" x14ac:dyDescent="0.3">
      <c r="A62" t="s">
        <v>270</v>
      </c>
      <c r="B62">
        <f t="shared" si="0"/>
        <v>1</v>
      </c>
    </row>
    <row r="63" spans="1:2" x14ac:dyDescent="0.3">
      <c r="A63" t="s">
        <v>271</v>
      </c>
      <c r="B63">
        <f t="shared" si="0"/>
        <v>1</v>
      </c>
    </row>
    <row r="64" spans="1:2" x14ac:dyDescent="0.3">
      <c r="A64" t="s">
        <v>272</v>
      </c>
      <c r="B64">
        <f t="shared" si="0"/>
        <v>1</v>
      </c>
    </row>
    <row r="65" spans="1:2" x14ac:dyDescent="0.3">
      <c r="A65" t="s">
        <v>273</v>
      </c>
      <c r="B65">
        <f t="shared" si="0"/>
        <v>1</v>
      </c>
    </row>
    <row r="66" spans="1:2" x14ac:dyDescent="0.3">
      <c r="A66" t="s">
        <v>274</v>
      </c>
      <c r="B66">
        <f t="shared" si="0"/>
        <v>1</v>
      </c>
    </row>
    <row r="67" spans="1:2" x14ac:dyDescent="0.3">
      <c r="A67" t="s">
        <v>275</v>
      </c>
      <c r="B67">
        <f t="shared" ref="B67:B122" si="1">COUNTIF(A:A,A67)</f>
        <v>1</v>
      </c>
    </row>
    <row r="68" spans="1:2" x14ac:dyDescent="0.3">
      <c r="A68" t="s">
        <v>276</v>
      </c>
      <c r="B68">
        <f t="shared" si="1"/>
        <v>1</v>
      </c>
    </row>
    <row r="69" spans="1:2" x14ac:dyDescent="0.3">
      <c r="A69" t="s">
        <v>277</v>
      </c>
      <c r="B69">
        <f t="shared" si="1"/>
        <v>1</v>
      </c>
    </row>
    <row r="70" spans="1:2" x14ac:dyDescent="0.3">
      <c r="A70" t="s">
        <v>278</v>
      </c>
      <c r="B70">
        <f t="shared" si="1"/>
        <v>1</v>
      </c>
    </row>
    <row r="71" spans="1:2" x14ac:dyDescent="0.3">
      <c r="A71" t="s">
        <v>279</v>
      </c>
      <c r="B71">
        <f t="shared" si="1"/>
        <v>1</v>
      </c>
    </row>
    <row r="72" spans="1:2" x14ac:dyDescent="0.3">
      <c r="A72" t="s">
        <v>280</v>
      </c>
      <c r="B72">
        <f t="shared" si="1"/>
        <v>1</v>
      </c>
    </row>
    <row r="73" spans="1:2" x14ac:dyDescent="0.3">
      <c r="A73" t="s">
        <v>281</v>
      </c>
      <c r="B73">
        <f t="shared" si="1"/>
        <v>1</v>
      </c>
    </row>
    <row r="74" spans="1:2" x14ac:dyDescent="0.3">
      <c r="A74" t="s">
        <v>327</v>
      </c>
      <c r="B74">
        <f t="shared" si="1"/>
        <v>1</v>
      </c>
    </row>
    <row r="75" spans="1:2" x14ac:dyDescent="0.3">
      <c r="A75" t="s">
        <v>282</v>
      </c>
      <c r="B75">
        <f t="shared" si="1"/>
        <v>1</v>
      </c>
    </row>
    <row r="76" spans="1:2" x14ac:dyDescent="0.3">
      <c r="A76" t="s">
        <v>283</v>
      </c>
      <c r="B76">
        <f t="shared" si="1"/>
        <v>1</v>
      </c>
    </row>
    <row r="77" spans="1:2" x14ac:dyDescent="0.3">
      <c r="A77" t="s">
        <v>284</v>
      </c>
      <c r="B77">
        <f t="shared" si="1"/>
        <v>1</v>
      </c>
    </row>
    <row r="78" spans="1:2" x14ac:dyDescent="0.3">
      <c r="A78" t="s">
        <v>285</v>
      </c>
      <c r="B78">
        <f t="shared" si="1"/>
        <v>1</v>
      </c>
    </row>
    <row r="79" spans="1:2" x14ac:dyDescent="0.3">
      <c r="A79" t="s">
        <v>286</v>
      </c>
      <c r="B79">
        <f t="shared" si="1"/>
        <v>1</v>
      </c>
    </row>
    <row r="80" spans="1:2" x14ac:dyDescent="0.3">
      <c r="A80" t="s">
        <v>287</v>
      </c>
      <c r="B80">
        <f t="shared" si="1"/>
        <v>1</v>
      </c>
    </row>
    <row r="81" spans="1:2" x14ac:dyDescent="0.3">
      <c r="A81" t="s">
        <v>288</v>
      </c>
      <c r="B81">
        <f t="shared" si="1"/>
        <v>1</v>
      </c>
    </row>
    <row r="82" spans="1:2" x14ac:dyDescent="0.3">
      <c r="A82" t="s">
        <v>289</v>
      </c>
      <c r="B82">
        <f t="shared" si="1"/>
        <v>1</v>
      </c>
    </row>
    <row r="83" spans="1:2" x14ac:dyDescent="0.3">
      <c r="A83" t="s">
        <v>290</v>
      </c>
      <c r="B83">
        <f t="shared" si="1"/>
        <v>1</v>
      </c>
    </row>
    <row r="84" spans="1:2" x14ac:dyDescent="0.3">
      <c r="A84" t="s">
        <v>291</v>
      </c>
      <c r="B84">
        <f t="shared" si="1"/>
        <v>1</v>
      </c>
    </row>
    <row r="85" spans="1:2" x14ac:dyDescent="0.3">
      <c r="A85" t="s">
        <v>292</v>
      </c>
      <c r="B85">
        <f t="shared" si="1"/>
        <v>1</v>
      </c>
    </row>
    <row r="86" spans="1:2" x14ac:dyDescent="0.3">
      <c r="A86" t="s">
        <v>293</v>
      </c>
      <c r="B86">
        <f t="shared" si="1"/>
        <v>1</v>
      </c>
    </row>
    <row r="87" spans="1:2" x14ac:dyDescent="0.3">
      <c r="A87" t="s">
        <v>294</v>
      </c>
      <c r="B87">
        <f t="shared" si="1"/>
        <v>1</v>
      </c>
    </row>
    <row r="88" spans="1:2" x14ac:dyDescent="0.3">
      <c r="A88" t="s">
        <v>295</v>
      </c>
      <c r="B88">
        <f t="shared" si="1"/>
        <v>1</v>
      </c>
    </row>
    <row r="89" spans="1:2" x14ac:dyDescent="0.3">
      <c r="A89" t="s">
        <v>296</v>
      </c>
      <c r="B89">
        <f t="shared" si="1"/>
        <v>1</v>
      </c>
    </row>
    <row r="90" spans="1:2" x14ac:dyDescent="0.3">
      <c r="A90" t="s">
        <v>312</v>
      </c>
      <c r="B90">
        <f t="shared" si="1"/>
        <v>1</v>
      </c>
    </row>
    <row r="91" spans="1:2" x14ac:dyDescent="0.3">
      <c r="A91" t="s">
        <v>297</v>
      </c>
      <c r="B91">
        <f t="shared" si="1"/>
        <v>1</v>
      </c>
    </row>
    <row r="92" spans="1:2" x14ac:dyDescent="0.3">
      <c r="A92" t="s">
        <v>298</v>
      </c>
      <c r="B92">
        <f t="shared" si="1"/>
        <v>1</v>
      </c>
    </row>
    <row r="93" spans="1:2" x14ac:dyDescent="0.3">
      <c r="A93" t="s">
        <v>299</v>
      </c>
      <c r="B93">
        <f t="shared" si="1"/>
        <v>1</v>
      </c>
    </row>
    <row r="94" spans="1:2" x14ac:dyDescent="0.3">
      <c r="A94" t="s">
        <v>300</v>
      </c>
      <c r="B94">
        <f t="shared" si="1"/>
        <v>1</v>
      </c>
    </row>
    <row r="95" spans="1:2" x14ac:dyDescent="0.3">
      <c r="A95" t="s">
        <v>301</v>
      </c>
      <c r="B95">
        <f t="shared" si="1"/>
        <v>1</v>
      </c>
    </row>
    <row r="96" spans="1:2" x14ac:dyDescent="0.3">
      <c r="A96" t="s">
        <v>302</v>
      </c>
      <c r="B96">
        <f t="shared" si="1"/>
        <v>1</v>
      </c>
    </row>
    <row r="97" spans="1:2" x14ac:dyDescent="0.3">
      <c r="A97" t="s">
        <v>303</v>
      </c>
      <c r="B97">
        <f t="shared" si="1"/>
        <v>1</v>
      </c>
    </row>
    <row r="98" spans="1:2" x14ac:dyDescent="0.3">
      <c r="A98" t="s">
        <v>304</v>
      </c>
      <c r="B98">
        <f t="shared" si="1"/>
        <v>1</v>
      </c>
    </row>
    <row r="99" spans="1:2" x14ac:dyDescent="0.3">
      <c r="A99" t="s">
        <v>305</v>
      </c>
      <c r="B99">
        <f t="shared" si="1"/>
        <v>1</v>
      </c>
    </row>
    <row r="100" spans="1:2" x14ac:dyDescent="0.3">
      <c r="A100" t="s">
        <v>306</v>
      </c>
      <c r="B100">
        <f t="shared" si="1"/>
        <v>1</v>
      </c>
    </row>
    <row r="101" spans="1:2" x14ac:dyDescent="0.3">
      <c r="A101" t="s">
        <v>307</v>
      </c>
      <c r="B101">
        <f t="shared" si="1"/>
        <v>1</v>
      </c>
    </row>
    <row r="102" spans="1:2" x14ac:dyDescent="0.3">
      <c r="A102" t="s">
        <v>308</v>
      </c>
      <c r="B102">
        <f t="shared" si="1"/>
        <v>1</v>
      </c>
    </row>
    <row r="103" spans="1:2" x14ac:dyDescent="0.3">
      <c r="A103" t="s">
        <v>309</v>
      </c>
      <c r="B103">
        <f t="shared" si="1"/>
        <v>1</v>
      </c>
    </row>
    <row r="104" spans="1:2" x14ac:dyDescent="0.3">
      <c r="A104" t="s">
        <v>321</v>
      </c>
      <c r="B104">
        <f t="shared" si="1"/>
        <v>1</v>
      </c>
    </row>
    <row r="105" spans="1:2" x14ac:dyDescent="0.3">
      <c r="A105" t="s">
        <v>322</v>
      </c>
      <c r="B105">
        <f t="shared" si="1"/>
        <v>1</v>
      </c>
    </row>
    <row r="106" spans="1:2" x14ac:dyDescent="0.3">
      <c r="A106" t="s">
        <v>313</v>
      </c>
      <c r="B106">
        <f t="shared" si="1"/>
        <v>1</v>
      </c>
    </row>
    <row r="107" spans="1:2" x14ac:dyDescent="0.3">
      <c r="A107" t="s">
        <v>314</v>
      </c>
      <c r="B107">
        <f t="shared" si="1"/>
        <v>1</v>
      </c>
    </row>
    <row r="108" spans="1:2" x14ac:dyDescent="0.3">
      <c r="A108" t="s">
        <v>323</v>
      </c>
      <c r="B108">
        <f t="shared" si="1"/>
        <v>1</v>
      </c>
    </row>
    <row r="109" spans="1:2" x14ac:dyDescent="0.3">
      <c r="A109" t="s">
        <v>324</v>
      </c>
      <c r="B109">
        <f t="shared" si="1"/>
        <v>1</v>
      </c>
    </row>
    <row r="110" spans="1:2" x14ac:dyDescent="0.3">
      <c r="A110" t="s">
        <v>325</v>
      </c>
      <c r="B110">
        <f t="shared" si="1"/>
        <v>1</v>
      </c>
    </row>
    <row r="111" spans="1:2" x14ac:dyDescent="0.3">
      <c r="A111" t="s">
        <v>326</v>
      </c>
      <c r="B111">
        <f t="shared" si="1"/>
        <v>1</v>
      </c>
    </row>
    <row r="112" spans="1:2" x14ac:dyDescent="0.3">
      <c r="A112" t="s">
        <v>315</v>
      </c>
      <c r="B112">
        <f t="shared" si="1"/>
        <v>1</v>
      </c>
    </row>
    <row r="113" spans="1:2" x14ac:dyDescent="0.3">
      <c r="A113" t="s">
        <v>316</v>
      </c>
      <c r="B113">
        <f t="shared" si="1"/>
        <v>1</v>
      </c>
    </row>
    <row r="114" spans="1:2" x14ac:dyDescent="0.3">
      <c r="A114" t="s">
        <v>310</v>
      </c>
      <c r="B114">
        <f t="shared" si="1"/>
        <v>1</v>
      </c>
    </row>
    <row r="115" spans="1:2" x14ac:dyDescent="0.3">
      <c r="A115" t="s">
        <v>317</v>
      </c>
      <c r="B115">
        <f t="shared" si="1"/>
        <v>1</v>
      </c>
    </row>
    <row r="116" spans="1:2" x14ac:dyDescent="0.3">
      <c r="A116" t="s">
        <v>137</v>
      </c>
      <c r="B116">
        <f t="shared" si="1"/>
        <v>1</v>
      </c>
    </row>
    <row r="117" spans="1:2" x14ac:dyDescent="0.3">
      <c r="A117" t="s">
        <v>318</v>
      </c>
      <c r="B117">
        <f t="shared" si="1"/>
        <v>1</v>
      </c>
    </row>
    <row r="118" spans="1:2" x14ac:dyDescent="0.3">
      <c r="A118" t="s">
        <v>319</v>
      </c>
      <c r="B118">
        <f t="shared" si="1"/>
        <v>1</v>
      </c>
    </row>
    <row r="119" spans="1:2" x14ac:dyDescent="0.3">
      <c r="A119" t="s">
        <v>320</v>
      </c>
      <c r="B119">
        <f t="shared" si="1"/>
        <v>1</v>
      </c>
    </row>
    <row r="120" spans="1:2" x14ac:dyDescent="0.3">
      <c r="A120" t="s">
        <v>141</v>
      </c>
      <c r="B120">
        <f t="shared" si="1"/>
        <v>1</v>
      </c>
    </row>
    <row r="121" spans="1:2" x14ac:dyDescent="0.3">
      <c r="A121" t="s">
        <v>142</v>
      </c>
      <c r="B121">
        <f t="shared" si="1"/>
        <v>1</v>
      </c>
    </row>
    <row r="122" spans="1:2" x14ac:dyDescent="0.3">
      <c r="A122" s="6" t="s">
        <v>143</v>
      </c>
      <c r="B122">
        <f t="shared" si="1"/>
        <v>1</v>
      </c>
    </row>
  </sheetData>
  <autoFilter ref="A1:B122" xr:uid="{F9F53D8B-7A33-4153-AE2C-D62F0AE9C5E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abce8-07d4-41f4-ae9d-00986ff236b0">
      <Terms xmlns="http://schemas.microsoft.com/office/infopath/2007/PartnerControls"/>
    </lcf76f155ced4ddcb4097134ff3c332f>
    <TaxCatchAll xmlns="6cbf7dea-2e0e-4825-99ee-59fffad27bf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FBF7547C50C704D8BE6B6BC0125EC0F" ma:contentTypeVersion="19" ma:contentTypeDescription="Crear nuevo documento." ma:contentTypeScope="" ma:versionID="415d605c90a63590c859335d56cddcca">
  <xsd:schema xmlns:xsd="http://www.w3.org/2001/XMLSchema" xmlns:xs="http://www.w3.org/2001/XMLSchema" xmlns:p="http://schemas.microsoft.com/office/2006/metadata/properties" xmlns:ns2="74aabce8-07d4-41f4-ae9d-00986ff236b0" xmlns:ns3="6cbf7dea-2e0e-4825-99ee-59fffad27bf9" targetNamespace="http://schemas.microsoft.com/office/2006/metadata/properties" ma:root="true" ma:fieldsID="8f054e2fc44f4c111e1e75be53996455" ns2:_="" ns3:_="">
    <xsd:import namespace="74aabce8-07d4-41f4-ae9d-00986ff236b0"/>
    <xsd:import namespace="6cbf7dea-2e0e-4825-99ee-59fffad27b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abce8-07d4-41f4-ae9d-00986ff23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033cba9b-c3d3-44a5-bbb1-a5b8b954791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bf7dea-2e0e-4825-99ee-59fffad27bf9"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60f5b563-3faf-4724-b47f-025919d426bd}" ma:internalName="TaxCatchAll" ma:showField="CatchAllData" ma:web="6cbf7dea-2e0e-4825-99ee-59fffad27b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D54474-DA43-45C4-81FC-C1C669E42A8B}">
  <ds:schemaRefs>
    <ds:schemaRef ds:uri="http://schemas.microsoft.com/office/2006/documentManagement/types"/>
    <ds:schemaRef ds:uri="http://purl.org/dc/dcmitype/"/>
    <ds:schemaRef ds:uri="http://purl.org/dc/terms/"/>
    <ds:schemaRef ds:uri="http://purl.org/dc/elements/1.1/"/>
    <ds:schemaRef ds:uri="74aabce8-07d4-41f4-ae9d-00986ff236b0"/>
    <ds:schemaRef ds:uri="http://www.w3.org/XML/1998/namespace"/>
    <ds:schemaRef ds:uri="6cbf7dea-2e0e-4825-99ee-59fffad27bf9"/>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25419EB9-3F80-49A5-9DBC-5602C3AA9065}">
  <ds:schemaRefs>
    <ds:schemaRef ds:uri="http://schemas.microsoft.com/sharepoint/v3/contenttype/forms"/>
  </ds:schemaRefs>
</ds:datastoreItem>
</file>

<file path=customXml/itemProps3.xml><?xml version="1.0" encoding="utf-8"?>
<ds:datastoreItem xmlns:ds="http://schemas.openxmlformats.org/officeDocument/2006/customXml" ds:itemID="{6118CB49-CCCC-4955-95B4-BF2CFC202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aabce8-07d4-41f4-ae9d-00986ff236b0"/>
    <ds:schemaRef ds:uri="6cbf7dea-2e0e-4825-99ee-59fffad27b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Pasos</vt:lpstr>
      <vt:lpstr>Template</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Lidia Lipe Schlieper</dc:creator>
  <cp:keywords/>
  <dc:description/>
  <cp:lastModifiedBy>Marcos Rodellar Aquilue</cp:lastModifiedBy>
  <cp:revision/>
  <dcterms:created xsi:type="dcterms:W3CDTF">2015-06-05T18:17:20Z</dcterms:created>
  <dcterms:modified xsi:type="dcterms:W3CDTF">2025-02-26T09:53:05Z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0x0101009FBF7547C50C704D8BE6B6BC0125EC0F</vt:lpwstr>
  </property>
  <property fmtid="{D5CDD505-2E9C-101B-9397-08002B2CF9AE}" pid="3" name="MediaServiceImageTags">
    <vt:lpwstr/>
  </property>
</Properties>
</file>