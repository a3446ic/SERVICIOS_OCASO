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https://inycom.sharepoint.com/sites/UO_W_Comissions/Documentos compartidos/SAP Commissions/OCASO-ADS20241001PD-TitanProject/03. Desarrollo/03. Informes/1.18 Estructura Comercial/"/>
    </mc:Choice>
  </mc:AlternateContent>
  <xr:revisionPtr revIDLastSave="36" documentId="8_{6AD8D4F2-27EA-4D1C-8177-AE7154A0C090}" xr6:coauthVersionLast="47" xr6:coauthVersionMax="47" xr10:uidLastSave="{B7EAA09D-7612-465C-98E5-A1C32E639F57}"/>
  <bookViews>
    <workbookView xWindow="-19310" yWindow="-110" windowWidth="19420" windowHeight="10420" xr2:uid="{00000000-000D-0000-FFFF-FFFF00000000}"/>
  </bookViews>
  <sheets>
    <sheet name="Pasos" sheetId="1" r:id="rId1"/>
    <sheet name="Template" sheetId="2" r:id="rId2"/>
    <sheet name="Hoja2" sheetId="4" r:id="rId3"/>
  </sheets>
  <definedNames>
    <definedName name="_xlnm._FilterDatabase" localSheetId="2" hidden="1">Hoja2!$A$1:$B$122</definedName>
    <definedName name="_xlnm._FilterDatabase" localSheetId="0" hidden="1">Pasos!$C$5:$G$126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2" l="1"/>
  <c r="A30" i="2"/>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2" i="4"/>
  <c r="B2" i="2"/>
  <c r="B29" i="2"/>
  <c r="A29" i="2"/>
  <c r="B28" i="2"/>
  <c r="A28" i="2"/>
  <c r="B27" i="2"/>
  <c r="A27" i="2"/>
  <c r="B26" i="2"/>
  <c r="A26" i="2"/>
  <c r="B25" i="2"/>
  <c r="A25" i="2"/>
  <c r="B24" i="2"/>
  <c r="A24" i="2"/>
  <c r="B23" i="2"/>
  <c r="A23" i="2"/>
  <c r="B22" i="2"/>
  <c r="A22" i="2"/>
  <c r="B21" i="2"/>
  <c r="A21" i="2"/>
  <c r="B20" i="2"/>
  <c r="A20" i="2"/>
  <c r="B19" i="2"/>
  <c r="A19" i="2"/>
  <c r="B18" i="2"/>
  <c r="A18" i="2"/>
  <c r="B17" i="2"/>
  <c r="A17" i="2"/>
  <c r="B16" i="2"/>
  <c r="A16" i="2"/>
  <c r="B15" i="2"/>
  <c r="A15" i="2"/>
  <c r="B14" i="2"/>
  <c r="A14" i="2"/>
  <c r="B13" i="2"/>
  <c r="A13" i="2"/>
  <c r="B12" i="2"/>
  <c r="A12" i="2"/>
  <c r="B3" i="2" l="1"/>
  <c r="B4" i="2"/>
  <c r="B5" i="2"/>
  <c r="B6" i="2"/>
  <c r="B7" i="2"/>
  <c r="B8" i="2"/>
  <c r="B9" i="2"/>
  <c r="B10" i="2"/>
  <c r="B11" i="2"/>
  <c r="B1" i="2"/>
  <c r="A3" i="2"/>
  <c r="A4" i="2"/>
  <c r="A5" i="2"/>
  <c r="A6" i="2"/>
  <c r="A7" i="2"/>
  <c r="A8" i="2"/>
  <c r="A9" i="2"/>
  <c r="A10" i="2"/>
  <c r="A11" i="2"/>
  <c r="A2" i="2"/>
</calcChain>
</file>

<file path=xl/sharedStrings.xml><?xml version="1.0" encoding="utf-8"?>
<sst xmlns="http://schemas.openxmlformats.org/spreadsheetml/2006/main" count="273" uniqueCount="201">
  <si>
    <t>1. Rellenar los campos en azul y rellenar tantas líneas como campos tenga la tabla</t>
  </si>
  <si>
    <t>DATOS DE ENTRADA</t>
  </si>
  <si>
    <t>Nombre de la vista</t>
  </si>
  <si>
    <t>3. La última línea de campo no debe llevar coma final</t>
  </si>
  <si>
    <t>Nombre que se le quiere dar</t>
  </si>
  <si>
    <t>4. Una vez realizado el template copiarlo a un fichero plano</t>
  </si>
  <si>
    <t>No.</t>
  </si>
  <si>
    <t>Campos</t>
  </si>
  <si>
    <t>Tipo (String, Integer, Integer64, Timestamp, DecimalFloat)</t>
  </si>
  <si>
    <t>Dimension or Measure</t>
  </si>
  <si>
    <t>6. Hacer un sustituir de | por "</t>
  </si>
  <si>
    <t>PERIODSEQ</t>
  </si>
  <si>
    <t>Integer64</t>
  </si>
  <si>
    <t>Dimension</t>
  </si>
  <si>
    <t>7. Este ejemplo es sólo para un CNS, si se tiene más de uno hay que separar los template por coma, pero dejar un solo apartado "EXT" (ojo con el fin de llave)</t>
  </si>
  <si>
    <t>String</t>
  </si>
  <si>
    <t>Integer</t>
  </si>
  <si>
    <t>Texto 1</t>
  </si>
  <si>
    <t>Texto 2</t>
  </si>
  <si>
    <t xml:space="preserve">		}
	}
}</t>
  </si>
  <si>
    <t>Nombre en Report</t>
  </si>
  <si>
    <t>5. Eliminar las " (comillas) haciendo un sustituir por nada</t>
  </si>
  <si>
    <t>2. En la pestaña "template" hay que completar tantas líneas de campo como tenga la tabla</t>
  </si>
  <si>
    <t>POSITIONSEQ</t>
  </si>
  <si>
    <t>PARTICIPANTSEQ</t>
  </si>
  <si>
    <t>PARTICIPANTID</t>
  </si>
  <si>
    <t>USERID</t>
  </si>
  <si>
    <t>BUSINESSUNITMAP</t>
  </si>
  <si>
    <t>BUSINESSUNITNAME</t>
  </si>
  <si>
    <t>POSITIONNAME</t>
  </si>
  <si>
    <t>PLANSEQ</t>
  </si>
  <si>
    <t>MANAGERSEQ</t>
  </si>
  <si>
    <t>MANAGERPARTICIPANTSEQ</t>
  </si>
  <si>
    <t>PA_SK</t>
  </si>
  <si>
    <t>MEDCOUNT</t>
  </si>
  <si>
    <t>Correo electrónico</t>
  </si>
  <si>
    <t>Tipo de IRPF</t>
  </si>
  <si>
    <t>Fecha Inicio Efectividad</t>
  </si>
  <si>
    <t>Fecha Fin Efectividad</t>
  </si>
  <si>
    <t>ID de participante</t>
  </si>
  <si>
    <t>Usuario LDAP</t>
  </si>
  <si>
    <t>Nombre</t>
  </si>
  <si>
    <t>Email personal</t>
  </si>
  <si>
    <t>Apellido 1/Razón social</t>
  </si>
  <si>
    <t>Apellido 2</t>
  </si>
  <si>
    <t>Pago por IBAN</t>
  </si>
  <si>
    <t>Fecha de Contrato</t>
  </si>
  <si>
    <t>Fecha Fin Agente</t>
  </si>
  <si>
    <t>Posición</t>
  </si>
  <si>
    <t>Descripción Posición</t>
  </si>
  <si>
    <t>Grupo de Posición</t>
  </si>
  <si>
    <t>Título</t>
  </si>
  <si>
    <t>Descripción Título</t>
  </si>
  <si>
    <t>Objetivo Comisiones</t>
  </si>
  <si>
    <t>Periodo</t>
  </si>
  <si>
    <t>Periodo Nombre corto</t>
  </si>
  <si>
    <t>Periodo Descripción</t>
  </si>
  <si>
    <t>Inicio Periodo</t>
  </si>
  <si>
    <t>Fin Periodo</t>
  </si>
  <si>
    <t>Nombre Completo</t>
  </si>
  <si>
    <t>Prefix</t>
  </si>
  <si>
    <t>FullName</t>
  </si>
  <si>
    <t>Plan</t>
  </si>
  <si>
    <t>Apellido 1 - Razón social</t>
  </si>
  <si>
    <t>Tipo Principal Agente - Clase Oficina</t>
  </si>
  <si>
    <t>Tipo Agente - Tipo Oficina</t>
  </si>
  <si>
    <t>Código de Agente OCASO</t>
  </si>
  <si>
    <t>Rehabilitación</t>
  </si>
  <si>
    <t>Cuadro Inspector Ocaso</t>
  </si>
  <si>
    <t>Cuadro RRGG Ocaso</t>
  </si>
  <si>
    <t>Cuadro RRTT Ocaso</t>
  </si>
  <si>
    <t>Promoción Agente</t>
  </si>
  <si>
    <t>Cuadro Inspector Eterna</t>
  </si>
  <si>
    <t>Cuadro RRGG Eterna</t>
  </si>
  <si>
    <t>Cuadro RRTT Eterna</t>
  </si>
  <si>
    <t>Año Captación</t>
  </si>
  <si>
    <t>Inspector Captador</t>
  </si>
  <si>
    <t>Número Meses Preplan</t>
  </si>
  <si>
    <t>Escalado Asistencia</t>
  </si>
  <si>
    <t>ID Tipo Principal Agente</t>
  </si>
  <si>
    <t>ID Tipo Agente</t>
  </si>
  <si>
    <t>ID Clase Oficina</t>
  </si>
  <si>
    <t>ID Tipo Oficina</t>
  </si>
  <si>
    <t>Importe Comisión Cartera</t>
  </si>
  <si>
    <t>Fecha de Alta</t>
  </si>
  <si>
    <t>Fecha de Baja</t>
  </si>
  <si>
    <t>Fecha Inicio Consolidación P.C.</t>
  </si>
  <si>
    <t>Fecha Fin Consolidación P.C.</t>
  </si>
  <si>
    <t>Fecha Inicio Asistencia</t>
  </si>
  <si>
    <t>Fecha Límite Comisiones Cartera</t>
  </si>
  <si>
    <t>Reducción</t>
  </si>
  <si>
    <t>Productor Ocaso</t>
  </si>
  <si>
    <t>Consolida</t>
  </si>
  <si>
    <t>Inicio Agente Asistencia</t>
  </si>
  <si>
    <t>Productor Eterna</t>
  </si>
  <si>
    <t>Ag. Lider</t>
  </si>
  <si>
    <t>Documento</t>
  </si>
  <si>
    <t>Tipo Documento</t>
  </si>
  <si>
    <t>Tipo Persona</t>
  </si>
  <si>
    <t>Código DGS</t>
  </si>
  <si>
    <t>Tipo Mediador</t>
  </si>
  <si>
    <t>Localidad</t>
  </si>
  <si>
    <t>Tipo Vía</t>
  </si>
  <si>
    <t>Domicilio</t>
  </si>
  <si>
    <t>Número</t>
  </si>
  <si>
    <t>Resto Domicilio</t>
  </si>
  <si>
    <t>Sexo</t>
  </si>
  <si>
    <t>Estado Civil</t>
  </si>
  <si>
    <t>Teléfono Fijo</t>
  </si>
  <si>
    <t>Teléfono Móvil</t>
  </si>
  <si>
    <t>IBAN</t>
  </si>
  <si>
    <t>Código Postal</t>
  </si>
  <si>
    <t>Provincia</t>
  </si>
  <si>
    <t>Municipio</t>
  </si>
  <si>
    <t>ID_Empleado</t>
  </si>
  <si>
    <t>Fax</t>
  </si>
  <si>
    <t>Fecha Nacimiento</t>
  </si>
  <si>
    <t>Fecha Registro DGS</t>
  </si>
  <si>
    <t>Fecha Envío DGS</t>
  </si>
  <si>
    <t>Fin CIASE 1</t>
  </si>
  <si>
    <t>Fecha Efecto SuperRappel</t>
  </si>
  <si>
    <t>Fecha Regularización SuperRappel</t>
  </si>
  <si>
    <t>Autoliquida</t>
  </si>
  <si>
    <t>Corredor</t>
  </si>
  <si>
    <t>Autorización Factura</t>
  </si>
  <si>
    <t>SuperRappel</t>
  </si>
  <si>
    <t>Comisiones Anualizadas RRPP OCASO</t>
  </si>
  <si>
    <t>Cartera RRTT</t>
  </si>
  <si>
    <t>Genera Informe</t>
  </si>
  <si>
    <t>Porcentaje Comisión Cartera</t>
  </si>
  <si>
    <t>Porcentaje IRPF</t>
  </si>
  <si>
    <t>TitleGenericAttribute3</t>
  </si>
  <si>
    <t>TitleGenericAttribute4</t>
  </si>
  <si>
    <t>titlegenericdate1</t>
  </si>
  <si>
    <t>titlegenericdate2</t>
  </si>
  <si>
    <t>titlegenericboolean2</t>
  </si>
  <si>
    <t>Manager Full Name</t>
  </si>
  <si>
    <t>IsPayee</t>
  </si>
  <si>
    <t>BOUserID</t>
  </si>
  <si>
    <t>Title - Tipo Principal Agente - Clase Oficina</t>
  </si>
  <si>
    <t>Tittle Tipo Agente - Tipo Oficina</t>
  </si>
  <si>
    <t>Title ID Tipo Principal  Agente</t>
  </si>
  <si>
    <t>Tittle ID Tipo  Agente</t>
  </si>
  <si>
    <t>Tittle ID Clase Oficina</t>
  </si>
  <si>
    <t>Tittle ID Tipo Oficina</t>
  </si>
  <si>
    <t>Compañía (Par)</t>
  </si>
  <si>
    <t>Compañía (Pos)</t>
  </si>
  <si>
    <t>EXT.CSA_ESTRUCTURA_SVW</t>
  </si>
  <si>
    <t>Estructura Comercial</t>
  </si>
  <si>
    <t>IDREGIONAL</t>
  </si>
  <si>
    <t>REGIONAL</t>
  </si>
  <si>
    <t>IDSUCURSAL</t>
  </si>
  <si>
    <t>SUCURSAL</t>
  </si>
  <si>
    <t>IDOFICINA</t>
  </si>
  <si>
    <t>OFICINA</t>
  </si>
  <si>
    <t>PV</t>
  </si>
  <si>
    <t>CODIGO</t>
  </si>
  <si>
    <t>INSPECTOR_NAME</t>
  </si>
  <si>
    <t>INSPECTOR_NIF</t>
  </si>
  <si>
    <t>INSPECTOR_NOMBRE_COMPLETO</t>
  </si>
  <si>
    <t>INSPECTOR_TITLE</t>
  </si>
  <si>
    <t>INSPECTOR_LDAP</t>
  </si>
  <si>
    <t>INSPECTOR_IDTIPOAGENTE</t>
  </si>
  <si>
    <t>INSPECTOR_TIPOAGENTE</t>
  </si>
  <si>
    <t>INSPCAP_NAME</t>
  </si>
  <si>
    <t>INSPCAP_NIF</t>
  </si>
  <si>
    <t>INSPCAP_NOMBRE_COMPLETO</t>
  </si>
  <si>
    <t>INSPCAP_TITLE</t>
  </si>
  <si>
    <t>INSPCAP_LDAP</t>
  </si>
  <si>
    <t>INSPCAP_IDTIPOAGENTE</t>
  </si>
  <si>
    <t>INSPCAP_TIPOAGENTE</t>
  </si>
  <si>
    <t>ESTCOUNT</t>
  </si>
  <si>
    <t>EC PERIODSEQ</t>
  </si>
  <si>
    <t>EC POSITIONSEQ</t>
  </si>
  <si>
    <t>EC PARTICIPANTSEQ</t>
  </si>
  <si>
    <t>EC Posición</t>
  </si>
  <si>
    <t>EC ID Participante</t>
  </si>
  <si>
    <t>EC Usuario LDAP</t>
  </si>
  <si>
    <t>EC ID Regional</t>
  </si>
  <si>
    <t>EC Regional</t>
  </si>
  <si>
    <t>EC ID Sucursal</t>
  </si>
  <si>
    <t>EC Sucursal</t>
  </si>
  <si>
    <t>EC ID Oficina</t>
  </si>
  <si>
    <t>EC Oficina</t>
  </si>
  <si>
    <t>EC ID PV</t>
  </si>
  <si>
    <t>EC Código</t>
  </si>
  <si>
    <t>Inspector ID</t>
  </si>
  <si>
    <t>Inspector NIF</t>
  </si>
  <si>
    <t>Inspector Nombre Completo</t>
  </si>
  <si>
    <t>Inspector Tittle</t>
  </si>
  <si>
    <t>Inspector Usuario LDAP</t>
  </si>
  <si>
    <t>Inspector ID Tipo</t>
  </si>
  <si>
    <t>Inspector Tipo</t>
  </si>
  <si>
    <t>Inspector Capt ID</t>
  </si>
  <si>
    <t>Inspector Capt NIF</t>
  </si>
  <si>
    <t>Inspector Capt Nombre Completo</t>
  </si>
  <si>
    <t>Inspector Capt Tittle</t>
  </si>
  <si>
    <t>Inspector Capt Usuario LDAP</t>
  </si>
  <si>
    <t>Inspector Capt ID Tipo</t>
  </si>
  <si>
    <t>Inspector Capt Tipo</t>
  </si>
  <si>
    <t>Measure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</si>
</sst>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0"/>
      <color rgb="FF000000"/>
      <name val="Arial"/>
      <family val="2"/>
    </font>
    <font>
      <sz val="11"/>
      <color indexed="8"/>
      <name val="Calibri"/>
      <family val="2"/>
      <scheme val="minor"/>
    </font>
    <font>
      <sz val="8"/>
      <color indexed="8"/>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0" fontId="3" fillId="0" borderId="0"/>
  </cellStyleXfs>
  <cellXfs count="10">
    <xf numFmtId="0" fontId="0" fillId="0" borderId="0" xfId="0"/>
    <xf numFmtId="0" fontId="1" fillId="0" borderId="0" xfId="0" applyFont="1"/>
    <xf numFmtId="0" fontId="0" fillId="2" borderId="0" xfId="0" applyFill="1"/>
    <xf numFmtId="0" fontId="0" fillId="3" borderId="0" xfId="0" applyFill="1" applyAlignment="1">
      <alignment vertical="top"/>
    </xf>
    <xf numFmtId="0" fontId="0" fillId="3" borderId="0" xfId="0" applyFill="1" applyAlignment="1">
      <alignment horizontal="left" vertical="top"/>
    </xf>
    <xf numFmtId="0" fontId="0" fillId="0" borderId="0" xfId="0" applyAlignment="1">
      <alignment vertical="top"/>
    </xf>
    <xf numFmtId="0" fontId="2" fillId="0" borderId="0" xfId="0" applyFont="1"/>
    <xf numFmtId="0" fontId="3" fillId="0" borderId="0" xfId="1"/>
    <xf numFmtId="49" fontId="4" fillId="0" borderId="0" xfId="1" applyNumberFormat="1" applyFont="1"/>
    <xf numFmtId="0" fontId="0" fillId="0" borderId="0" xfId="0" applyAlignment="1">
      <alignment horizontal="left" vertical="top" wrapText="1"/>
    </xf>
  </cellXfs>
  <cellStyles count="2">
    <cellStyle name="Normal" xfId="0" builtinId="0"/>
    <cellStyle name="Normal 2" xfId="1" xr:uid="{7A8CBB2B-DC50-4436-9E6A-0DB16DA000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857250</xdr:colOff>
      <xdr:row>8</xdr:row>
      <xdr:rowOff>171450</xdr:rowOff>
    </xdr:from>
    <xdr:to>
      <xdr:col>0</xdr:col>
      <xdr:colOff>3542964</xdr:colOff>
      <xdr:row>14</xdr:row>
      <xdr:rowOff>97023</xdr:rowOff>
    </xdr:to>
    <xdr:pic>
      <xdr:nvPicPr>
        <xdr:cNvPr id="2" name="Imagen 1">
          <a:extLst>
            <a:ext uri="{FF2B5EF4-FFF2-40B4-BE49-F238E27FC236}">
              <a16:creationId xmlns:a16="http://schemas.microsoft.com/office/drawing/2014/main" id="{3F6800E5-A1E5-8609-39A5-4E0EEF5A77BB}"/>
            </a:ext>
          </a:extLst>
        </xdr:cNvPr>
        <xdr:cNvPicPr>
          <a:picLocks noChangeAspect="1"/>
        </xdr:cNvPicPr>
      </xdr:nvPicPr>
      <xdr:blipFill>
        <a:blip xmlns:r="http://schemas.openxmlformats.org/officeDocument/2006/relationships" r:embed="rId1"/>
        <a:stretch>
          <a:fillRect/>
        </a:stretch>
      </xdr:blipFill>
      <xdr:spPr>
        <a:xfrm>
          <a:off x="857250" y="1695450"/>
          <a:ext cx="2685714" cy="105714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6"/>
  <sheetViews>
    <sheetView tabSelected="1" topLeftCell="B19" workbookViewId="0">
      <selection activeCell="G34" sqref="G34"/>
    </sheetView>
  </sheetViews>
  <sheetFormatPr baseColWidth="10" defaultColWidth="9.140625" defaultRowHeight="15" x14ac:dyDescent="0.25"/>
  <cols>
    <col min="1" max="1" width="74.85546875" customWidth="1"/>
    <col min="3" max="3" width="4.140625" bestFit="1" customWidth="1"/>
    <col min="4" max="4" width="31.28515625" bestFit="1" customWidth="1"/>
    <col min="5" max="5" width="24.140625" bestFit="1" customWidth="1"/>
    <col min="6" max="6" width="53.28515625" bestFit="1" customWidth="1"/>
    <col min="7" max="7" width="21.42578125" bestFit="1" customWidth="1"/>
  </cols>
  <sheetData>
    <row r="1" spans="1:9" x14ac:dyDescent="0.25">
      <c r="A1" t="s">
        <v>0</v>
      </c>
      <c r="D1" s="1" t="s">
        <v>1</v>
      </c>
    </row>
    <row r="2" spans="1:9" x14ac:dyDescent="0.25">
      <c r="A2" t="s">
        <v>22</v>
      </c>
      <c r="D2" s="1" t="s">
        <v>2</v>
      </c>
      <c r="E2" s="2" t="s">
        <v>147</v>
      </c>
    </row>
    <row r="3" spans="1:9" x14ac:dyDescent="0.25">
      <c r="A3" t="s">
        <v>3</v>
      </c>
      <c r="D3" s="1" t="s">
        <v>4</v>
      </c>
      <c r="E3" s="2" t="s">
        <v>148</v>
      </c>
    </row>
    <row r="4" spans="1:9" x14ac:dyDescent="0.25">
      <c r="A4" t="s">
        <v>5</v>
      </c>
    </row>
    <row r="5" spans="1:9" x14ac:dyDescent="0.25">
      <c r="A5" t="s">
        <v>21</v>
      </c>
      <c r="C5" s="1" t="s">
        <v>6</v>
      </c>
      <c r="D5" s="1" t="s">
        <v>7</v>
      </c>
      <c r="E5" s="1" t="s">
        <v>20</v>
      </c>
      <c r="F5" s="1" t="s">
        <v>8</v>
      </c>
      <c r="G5" s="1" t="s">
        <v>9</v>
      </c>
    </row>
    <row r="6" spans="1:9" x14ac:dyDescent="0.25">
      <c r="A6" t="s">
        <v>10</v>
      </c>
      <c r="C6">
        <v>1</v>
      </c>
      <c r="D6" t="s">
        <v>11</v>
      </c>
      <c r="E6" t="s">
        <v>172</v>
      </c>
      <c r="F6" s="2" t="s">
        <v>12</v>
      </c>
      <c r="G6" s="2" t="s">
        <v>13</v>
      </c>
      <c r="H6">
        <v>1</v>
      </c>
      <c r="I6" s="7" t="s">
        <v>35</v>
      </c>
    </row>
    <row r="7" spans="1:9" x14ac:dyDescent="0.25">
      <c r="A7" s="9" t="s">
        <v>14</v>
      </c>
      <c r="C7">
        <v>2</v>
      </c>
      <c r="D7" t="s">
        <v>23</v>
      </c>
      <c r="E7" t="s">
        <v>173</v>
      </c>
      <c r="F7" s="2" t="s">
        <v>12</v>
      </c>
      <c r="G7" s="2" t="s">
        <v>13</v>
      </c>
      <c r="H7">
        <v>1</v>
      </c>
      <c r="I7" s="7" t="s">
        <v>36</v>
      </c>
    </row>
    <row r="8" spans="1:9" x14ac:dyDescent="0.25">
      <c r="A8" s="9"/>
      <c r="C8">
        <v>3</v>
      </c>
      <c r="D8" t="s">
        <v>24</v>
      </c>
      <c r="E8" t="s">
        <v>174</v>
      </c>
      <c r="F8" s="2" t="s">
        <v>12</v>
      </c>
      <c r="G8" s="2" t="s">
        <v>13</v>
      </c>
      <c r="H8">
        <v>1</v>
      </c>
      <c r="I8" s="7" t="s">
        <v>37</v>
      </c>
    </row>
    <row r="9" spans="1:9" x14ac:dyDescent="0.25">
      <c r="C9">
        <v>4</v>
      </c>
      <c r="D9" t="s">
        <v>29</v>
      </c>
      <c r="E9" t="s">
        <v>175</v>
      </c>
      <c r="F9" s="2" t="s">
        <v>15</v>
      </c>
      <c r="G9" s="2" t="s">
        <v>13</v>
      </c>
      <c r="H9">
        <v>1</v>
      </c>
      <c r="I9" s="7" t="s">
        <v>38</v>
      </c>
    </row>
    <row r="10" spans="1:9" x14ac:dyDescent="0.25">
      <c r="C10">
        <v>5</v>
      </c>
      <c r="D10" t="s">
        <v>25</v>
      </c>
      <c r="E10" t="s">
        <v>176</v>
      </c>
      <c r="F10" s="2" t="s">
        <v>15</v>
      </c>
      <c r="G10" s="2" t="s">
        <v>13</v>
      </c>
      <c r="H10">
        <v>1</v>
      </c>
      <c r="I10" s="7"/>
    </row>
    <row r="11" spans="1:9" x14ac:dyDescent="0.25">
      <c r="C11">
        <v>6</v>
      </c>
      <c r="D11" t="s">
        <v>26</v>
      </c>
      <c r="E11" t="s">
        <v>177</v>
      </c>
      <c r="F11" s="2" t="s">
        <v>15</v>
      </c>
      <c r="G11" s="2" t="s">
        <v>13</v>
      </c>
      <c r="H11">
        <v>1</v>
      </c>
      <c r="I11" s="7"/>
    </row>
    <row r="12" spans="1:9" x14ac:dyDescent="0.25">
      <c r="C12">
        <v>7</v>
      </c>
      <c r="D12" t="s">
        <v>149</v>
      </c>
      <c r="E12" t="s">
        <v>178</v>
      </c>
      <c r="F12" s="2" t="s">
        <v>15</v>
      </c>
      <c r="G12" s="2" t="s">
        <v>13</v>
      </c>
      <c r="H12">
        <v>1</v>
      </c>
      <c r="I12" s="7"/>
    </row>
    <row r="13" spans="1:9" x14ac:dyDescent="0.25">
      <c r="C13">
        <v>8</v>
      </c>
      <c r="D13" t="s">
        <v>150</v>
      </c>
      <c r="E13" t="s">
        <v>179</v>
      </c>
      <c r="F13" s="2" t="s">
        <v>15</v>
      </c>
      <c r="G13" s="2" t="s">
        <v>13</v>
      </c>
      <c r="H13">
        <v>1</v>
      </c>
      <c r="I13" s="7"/>
    </row>
    <row r="14" spans="1:9" x14ac:dyDescent="0.25">
      <c r="C14">
        <v>9</v>
      </c>
      <c r="D14" t="s">
        <v>151</v>
      </c>
      <c r="E14" t="s">
        <v>180</v>
      </c>
      <c r="F14" s="2" t="s">
        <v>15</v>
      </c>
      <c r="G14" s="2" t="s">
        <v>13</v>
      </c>
      <c r="H14">
        <v>1</v>
      </c>
      <c r="I14" s="7"/>
    </row>
    <row r="15" spans="1:9" x14ac:dyDescent="0.25">
      <c r="C15">
        <v>10</v>
      </c>
      <c r="D15" t="s">
        <v>152</v>
      </c>
      <c r="E15" t="s">
        <v>181</v>
      </c>
      <c r="F15" s="2" t="s">
        <v>15</v>
      </c>
      <c r="G15" s="2" t="s">
        <v>13</v>
      </c>
      <c r="H15">
        <v>1</v>
      </c>
      <c r="I15" s="7"/>
    </row>
    <row r="16" spans="1:9" x14ac:dyDescent="0.25">
      <c r="C16">
        <v>11</v>
      </c>
      <c r="D16" t="s">
        <v>153</v>
      </c>
      <c r="E16" t="s">
        <v>182</v>
      </c>
      <c r="F16" s="2" t="s">
        <v>15</v>
      </c>
      <c r="G16" s="2" t="s">
        <v>13</v>
      </c>
      <c r="H16">
        <v>1</v>
      </c>
      <c r="I16" s="7"/>
    </row>
    <row r="17" spans="3:9" x14ac:dyDescent="0.25">
      <c r="C17">
        <v>12</v>
      </c>
      <c r="D17" t="s">
        <v>154</v>
      </c>
      <c r="E17" t="s">
        <v>183</v>
      </c>
      <c r="F17" s="2" t="s">
        <v>15</v>
      </c>
      <c r="G17" s="2" t="s">
        <v>13</v>
      </c>
      <c r="H17">
        <v>1</v>
      </c>
      <c r="I17" s="7"/>
    </row>
    <row r="18" spans="3:9" x14ac:dyDescent="0.25">
      <c r="C18">
        <v>13</v>
      </c>
      <c r="D18" t="s">
        <v>155</v>
      </c>
      <c r="E18" t="s">
        <v>184</v>
      </c>
      <c r="F18" s="2" t="s">
        <v>15</v>
      </c>
      <c r="G18" s="2" t="s">
        <v>13</v>
      </c>
      <c r="H18">
        <v>1</v>
      </c>
      <c r="I18" s="7"/>
    </row>
    <row r="19" spans="3:9" x14ac:dyDescent="0.25">
      <c r="C19">
        <v>14</v>
      </c>
      <c r="D19" t="s">
        <v>156</v>
      </c>
      <c r="E19" t="s">
        <v>185</v>
      </c>
      <c r="F19" s="2" t="s">
        <v>15</v>
      </c>
      <c r="G19" s="2" t="s">
        <v>13</v>
      </c>
      <c r="H19">
        <v>1</v>
      </c>
      <c r="I19" s="7" t="s">
        <v>39</v>
      </c>
    </row>
    <row r="20" spans="3:9" x14ac:dyDescent="0.25">
      <c r="C20">
        <v>15</v>
      </c>
      <c r="D20" t="s">
        <v>157</v>
      </c>
      <c r="E20" t="s">
        <v>186</v>
      </c>
      <c r="F20" s="2" t="s">
        <v>15</v>
      </c>
      <c r="G20" s="2" t="s">
        <v>13</v>
      </c>
      <c r="H20">
        <v>1</v>
      </c>
      <c r="I20" s="7" t="s">
        <v>40</v>
      </c>
    </row>
    <row r="21" spans="3:9" x14ac:dyDescent="0.25">
      <c r="C21">
        <v>16</v>
      </c>
      <c r="D21" t="s">
        <v>158</v>
      </c>
      <c r="E21" t="s">
        <v>187</v>
      </c>
      <c r="F21" s="2" t="s">
        <v>15</v>
      </c>
      <c r="G21" s="2" t="s">
        <v>13</v>
      </c>
      <c r="H21">
        <v>1</v>
      </c>
      <c r="I21" s="7"/>
    </row>
    <row r="22" spans="3:9" x14ac:dyDescent="0.25">
      <c r="C22">
        <v>17</v>
      </c>
      <c r="D22" t="s">
        <v>159</v>
      </c>
      <c r="E22" t="s">
        <v>188</v>
      </c>
      <c r="F22" s="2" t="s">
        <v>15</v>
      </c>
      <c r="G22" s="2" t="s">
        <v>13</v>
      </c>
      <c r="H22">
        <v>1</v>
      </c>
      <c r="I22" s="7" t="s">
        <v>41</v>
      </c>
    </row>
    <row r="23" spans="3:9" x14ac:dyDescent="0.25">
      <c r="C23">
        <v>18</v>
      </c>
      <c r="D23" t="s">
        <v>160</v>
      </c>
      <c r="E23" t="s">
        <v>189</v>
      </c>
      <c r="F23" s="2" t="s">
        <v>15</v>
      </c>
      <c r="G23" s="2" t="s">
        <v>13</v>
      </c>
      <c r="H23">
        <v>1</v>
      </c>
      <c r="I23" s="7" t="s">
        <v>42</v>
      </c>
    </row>
    <row r="24" spans="3:9" x14ac:dyDescent="0.25">
      <c r="C24">
        <v>19</v>
      </c>
      <c r="D24" t="s">
        <v>161</v>
      </c>
      <c r="E24" t="s">
        <v>190</v>
      </c>
      <c r="F24" s="2" t="s">
        <v>15</v>
      </c>
      <c r="G24" s="2" t="s">
        <v>13</v>
      </c>
      <c r="H24">
        <v>1</v>
      </c>
      <c r="I24" s="7" t="s">
        <v>43</v>
      </c>
    </row>
    <row r="25" spans="3:9" x14ac:dyDescent="0.25">
      <c r="C25">
        <v>20</v>
      </c>
      <c r="D25" t="s">
        <v>162</v>
      </c>
      <c r="E25" t="s">
        <v>191</v>
      </c>
      <c r="F25" s="2" t="s">
        <v>16</v>
      </c>
      <c r="G25" s="2" t="s">
        <v>13</v>
      </c>
      <c r="H25">
        <v>1</v>
      </c>
      <c r="I25" s="7" t="s">
        <v>44</v>
      </c>
    </row>
    <row r="26" spans="3:9" x14ac:dyDescent="0.25">
      <c r="C26">
        <v>21</v>
      </c>
      <c r="D26" t="s">
        <v>163</v>
      </c>
      <c r="E26" t="s">
        <v>192</v>
      </c>
      <c r="F26" s="2" t="s">
        <v>15</v>
      </c>
      <c r="G26" s="2" t="s">
        <v>13</v>
      </c>
      <c r="H26">
        <v>1</v>
      </c>
      <c r="I26" s="7"/>
    </row>
    <row r="27" spans="3:9" x14ac:dyDescent="0.25">
      <c r="C27">
        <v>22</v>
      </c>
      <c r="D27" t="s">
        <v>164</v>
      </c>
      <c r="E27" t="s">
        <v>193</v>
      </c>
      <c r="F27" s="2" t="s">
        <v>15</v>
      </c>
      <c r="G27" s="2" t="s">
        <v>13</v>
      </c>
      <c r="H27">
        <v>1</v>
      </c>
      <c r="I27" s="7" t="s">
        <v>45</v>
      </c>
    </row>
    <row r="28" spans="3:9" x14ac:dyDescent="0.25">
      <c r="C28">
        <v>23</v>
      </c>
      <c r="D28" t="s">
        <v>165</v>
      </c>
      <c r="E28" t="s">
        <v>194</v>
      </c>
      <c r="F28" s="2" t="s">
        <v>15</v>
      </c>
      <c r="G28" s="2" t="s">
        <v>13</v>
      </c>
      <c r="H28">
        <v>1</v>
      </c>
      <c r="I28" s="7" t="s">
        <v>46</v>
      </c>
    </row>
    <row r="29" spans="3:9" x14ac:dyDescent="0.25">
      <c r="C29">
        <v>24</v>
      </c>
      <c r="D29" t="s">
        <v>166</v>
      </c>
      <c r="E29" t="s">
        <v>195</v>
      </c>
      <c r="F29" s="2" t="s">
        <v>15</v>
      </c>
      <c r="G29" s="2" t="s">
        <v>13</v>
      </c>
      <c r="H29">
        <v>1</v>
      </c>
      <c r="I29" s="7" t="s">
        <v>47</v>
      </c>
    </row>
    <row r="30" spans="3:9" x14ac:dyDescent="0.25">
      <c r="C30">
        <v>25</v>
      </c>
      <c r="D30" t="s">
        <v>167</v>
      </c>
      <c r="E30" t="s">
        <v>196</v>
      </c>
      <c r="F30" s="2" t="s">
        <v>15</v>
      </c>
      <c r="G30" s="2" t="s">
        <v>13</v>
      </c>
      <c r="H30">
        <v>1</v>
      </c>
      <c r="I30" s="7"/>
    </row>
    <row r="31" spans="3:9" x14ac:dyDescent="0.25">
      <c r="C31">
        <v>26</v>
      </c>
      <c r="D31" t="s">
        <v>168</v>
      </c>
      <c r="E31" t="s">
        <v>197</v>
      </c>
      <c r="F31" s="2" t="s">
        <v>15</v>
      </c>
      <c r="G31" s="2" t="s">
        <v>13</v>
      </c>
      <c r="H31">
        <v>1</v>
      </c>
      <c r="I31" s="7"/>
    </row>
    <row r="32" spans="3:9" x14ac:dyDescent="0.25">
      <c r="C32">
        <v>27</v>
      </c>
      <c r="D32" t="s">
        <v>169</v>
      </c>
      <c r="E32" t="s">
        <v>198</v>
      </c>
      <c r="F32" s="2" t="s">
        <v>15</v>
      </c>
      <c r="G32" s="2" t="s">
        <v>13</v>
      </c>
      <c r="H32">
        <v>1</v>
      </c>
      <c r="I32" s="7" t="s">
        <v>48</v>
      </c>
    </row>
    <row r="33" spans="3:9" x14ac:dyDescent="0.25">
      <c r="C33">
        <v>28</v>
      </c>
      <c r="D33" t="s">
        <v>170</v>
      </c>
      <c r="E33" t="s">
        <v>199</v>
      </c>
      <c r="F33" s="2" t="s">
        <v>16</v>
      </c>
      <c r="G33" s="2" t="s">
        <v>13</v>
      </c>
      <c r="H33">
        <v>1</v>
      </c>
      <c r="I33" s="7" t="s">
        <v>49</v>
      </c>
    </row>
    <row r="34" spans="3:9" x14ac:dyDescent="0.25">
      <c r="C34">
        <v>29</v>
      </c>
      <c r="D34" t="s">
        <v>171</v>
      </c>
      <c r="E34" t="s">
        <v>171</v>
      </c>
      <c r="F34" s="2" t="s">
        <v>16</v>
      </c>
      <c r="G34" s="2" t="s">
        <v>200</v>
      </c>
      <c r="I34" s="7"/>
    </row>
    <row r="35" spans="3:9" x14ac:dyDescent="0.25">
      <c r="E35" s="7"/>
      <c r="F35" s="2"/>
      <c r="G35" s="2"/>
      <c r="I35" s="7"/>
    </row>
    <row r="36" spans="3:9" x14ac:dyDescent="0.25">
      <c r="E36" s="7"/>
      <c r="F36" s="2"/>
      <c r="G36" s="2"/>
      <c r="I36" s="7"/>
    </row>
    <row r="37" spans="3:9" x14ac:dyDescent="0.25">
      <c r="E37" s="7"/>
      <c r="F37" s="2"/>
      <c r="G37" s="2"/>
      <c r="I37" s="7"/>
    </row>
    <row r="38" spans="3:9" x14ac:dyDescent="0.25">
      <c r="E38" s="7"/>
      <c r="F38" s="2"/>
      <c r="G38" s="2"/>
      <c r="I38" s="7"/>
    </row>
    <row r="39" spans="3:9" x14ac:dyDescent="0.25">
      <c r="F39" s="2"/>
      <c r="G39" s="2"/>
      <c r="I39" s="7"/>
    </row>
    <row r="40" spans="3:9" x14ac:dyDescent="0.25">
      <c r="E40" s="7"/>
      <c r="F40" s="2"/>
      <c r="G40" s="2"/>
      <c r="I40" s="7"/>
    </row>
    <row r="41" spans="3:9" x14ac:dyDescent="0.25">
      <c r="E41" s="7"/>
      <c r="F41" s="2"/>
      <c r="G41" s="2"/>
      <c r="I41" s="7"/>
    </row>
    <row r="42" spans="3:9" x14ac:dyDescent="0.25">
      <c r="E42" s="7"/>
      <c r="F42" s="2"/>
      <c r="G42" s="2"/>
      <c r="I42" s="7"/>
    </row>
    <row r="43" spans="3:9" x14ac:dyDescent="0.25">
      <c r="F43" s="2"/>
      <c r="G43" s="2"/>
      <c r="I43" s="7"/>
    </row>
    <row r="44" spans="3:9" x14ac:dyDescent="0.25">
      <c r="F44" s="2"/>
      <c r="G44" s="2"/>
      <c r="I44" s="7"/>
    </row>
    <row r="45" spans="3:9" x14ac:dyDescent="0.25">
      <c r="F45" s="2"/>
      <c r="G45" s="2"/>
      <c r="I45" s="7"/>
    </row>
    <row r="46" spans="3:9" x14ac:dyDescent="0.25">
      <c r="F46" s="2"/>
      <c r="G46" s="2"/>
      <c r="I46" s="7"/>
    </row>
    <row r="47" spans="3:9" x14ac:dyDescent="0.25">
      <c r="F47" s="2"/>
      <c r="G47" s="2"/>
      <c r="I47" s="7"/>
    </row>
    <row r="48" spans="3:9" x14ac:dyDescent="0.25">
      <c r="F48" s="2"/>
      <c r="G48" s="2"/>
      <c r="I48" s="7"/>
    </row>
    <row r="49" spans="6:9" x14ac:dyDescent="0.25">
      <c r="F49" s="2"/>
      <c r="G49" s="2"/>
      <c r="I49" s="7"/>
    </row>
    <row r="50" spans="6:9" x14ac:dyDescent="0.25">
      <c r="F50" s="2"/>
      <c r="G50" s="2"/>
      <c r="I50" s="7"/>
    </row>
    <row r="51" spans="6:9" x14ac:dyDescent="0.25">
      <c r="F51" s="2"/>
      <c r="G51" s="2"/>
      <c r="I51" s="7"/>
    </row>
    <row r="52" spans="6:9" x14ac:dyDescent="0.25">
      <c r="F52" s="2"/>
      <c r="G52" s="2"/>
      <c r="I52" s="7"/>
    </row>
    <row r="53" spans="6:9" x14ac:dyDescent="0.25">
      <c r="F53" s="2"/>
      <c r="G53" s="2"/>
      <c r="I53" s="7"/>
    </row>
    <row r="54" spans="6:9" x14ac:dyDescent="0.25">
      <c r="F54" s="2"/>
      <c r="G54" s="2"/>
      <c r="I54" s="7"/>
    </row>
    <row r="55" spans="6:9" x14ac:dyDescent="0.25">
      <c r="F55" s="2"/>
      <c r="G55" s="2"/>
      <c r="I55" s="7"/>
    </row>
    <row r="56" spans="6:9" x14ac:dyDescent="0.25">
      <c r="F56" s="2"/>
      <c r="G56" s="2"/>
      <c r="I56" s="7"/>
    </row>
    <row r="57" spans="6:9" x14ac:dyDescent="0.25">
      <c r="F57" s="2"/>
      <c r="G57" s="2"/>
      <c r="I57" s="7"/>
    </row>
    <row r="58" spans="6:9" x14ac:dyDescent="0.25">
      <c r="F58" s="2"/>
      <c r="G58" s="2"/>
      <c r="I58" s="7"/>
    </row>
    <row r="59" spans="6:9" x14ac:dyDescent="0.25">
      <c r="F59" s="2"/>
      <c r="G59" s="2"/>
      <c r="I59" s="7"/>
    </row>
    <row r="60" spans="6:9" x14ac:dyDescent="0.25">
      <c r="F60" s="2"/>
      <c r="G60" s="2"/>
      <c r="I60" s="7"/>
    </row>
    <row r="61" spans="6:9" x14ac:dyDescent="0.25">
      <c r="F61" s="2"/>
      <c r="G61" s="2"/>
      <c r="I61" s="7"/>
    </row>
    <row r="62" spans="6:9" x14ac:dyDescent="0.25">
      <c r="F62" s="2"/>
      <c r="G62" s="2"/>
      <c r="I62" s="7"/>
    </row>
    <row r="63" spans="6:9" x14ac:dyDescent="0.25">
      <c r="F63" s="2"/>
      <c r="G63" s="2"/>
      <c r="I63" s="7"/>
    </row>
    <row r="64" spans="6:9" x14ac:dyDescent="0.25">
      <c r="F64" s="2"/>
      <c r="G64" s="2"/>
      <c r="I64" s="7"/>
    </row>
    <row r="65" spans="6:9" x14ac:dyDescent="0.25">
      <c r="F65" s="2"/>
      <c r="G65" s="2"/>
      <c r="I65" s="7"/>
    </row>
    <row r="66" spans="6:9" x14ac:dyDescent="0.25">
      <c r="F66" s="2"/>
      <c r="G66" s="2"/>
      <c r="I66" s="7"/>
    </row>
    <row r="67" spans="6:9" x14ac:dyDescent="0.25">
      <c r="F67" s="2"/>
      <c r="G67" s="2"/>
      <c r="I67" s="7"/>
    </row>
    <row r="68" spans="6:9" x14ac:dyDescent="0.25">
      <c r="F68" s="2"/>
      <c r="G68" s="2"/>
      <c r="I68" s="7"/>
    </row>
    <row r="69" spans="6:9" x14ac:dyDescent="0.25">
      <c r="F69" s="2"/>
      <c r="G69" s="2"/>
      <c r="I69" s="7"/>
    </row>
    <row r="70" spans="6:9" x14ac:dyDescent="0.25">
      <c r="F70" s="2"/>
      <c r="G70" s="2"/>
      <c r="I70" s="7"/>
    </row>
    <row r="71" spans="6:9" x14ac:dyDescent="0.25">
      <c r="F71" s="2"/>
      <c r="G71" s="2"/>
      <c r="I71" s="7"/>
    </row>
    <row r="72" spans="6:9" x14ac:dyDescent="0.25">
      <c r="F72" s="2"/>
      <c r="G72" s="2"/>
      <c r="I72" s="7"/>
    </row>
    <row r="73" spans="6:9" x14ac:dyDescent="0.25">
      <c r="F73" s="2"/>
      <c r="G73" s="2"/>
      <c r="I73" s="7"/>
    </row>
    <row r="74" spans="6:9" x14ac:dyDescent="0.25">
      <c r="F74" s="2"/>
      <c r="G74" s="2"/>
      <c r="I74" s="7"/>
    </row>
    <row r="75" spans="6:9" x14ac:dyDescent="0.25">
      <c r="F75" s="2"/>
      <c r="G75" s="2"/>
      <c r="I75" s="7"/>
    </row>
    <row r="76" spans="6:9" x14ac:dyDescent="0.25">
      <c r="F76" s="2"/>
      <c r="G76" s="2"/>
      <c r="I76" s="7"/>
    </row>
    <row r="77" spans="6:9" x14ac:dyDescent="0.25">
      <c r="F77" s="2"/>
      <c r="G77" s="2"/>
      <c r="I77" s="7"/>
    </row>
    <row r="78" spans="6:9" x14ac:dyDescent="0.25">
      <c r="F78" s="2"/>
      <c r="G78" s="2"/>
      <c r="I78" s="7"/>
    </row>
    <row r="79" spans="6:9" x14ac:dyDescent="0.25">
      <c r="F79" s="2"/>
      <c r="G79" s="2"/>
      <c r="I79" s="7"/>
    </row>
    <row r="80" spans="6:9" x14ac:dyDescent="0.25">
      <c r="F80" s="2"/>
      <c r="G80" s="2"/>
      <c r="I80" s="7"/>
    </row>
    <row r="81" spans="6:9" x14ac:dyDescent="0.25">
      <c r="F81" s="2"/>
      <c r="G81" s="2"/>
      <c r="I81" s="7"/>
    </row>
    <row r="82" spans="6:9" x14ac:dyDescent="0.25">
      <c r="F82" s="2"/>
      <c r="G82" s="2"/>
      <c r="I82" s="7"/>
    </row>
    <row r="83" spans="6:9" x14ac:dyDescent="0.25">
      <c r="F83" s="2"/>
      <c r="G83" s="2"/>
      <c r="I83" s="7"/>
    </row>
    <row r="84" spans="6:9" x14ac:dyDescent="0.25">
      <c r="F84" s="2"/>
      <c r="G84" s="2"/>
      <c r="I84" s="7"/>
    </row>
    <row r="85" spans="6:9" x14ac:dyDescent="0.25">
      <c r="F85" s="2"/>
      <c r="G85" s="2"/>
      <c r="I85" s="7"/>
    </row>
    <row r="86" spans="6:9" x14ac:dyDescent="0.25">
      <c r="F86" s="2"/>
      <c r="G86" s="2"/>
      <c r="I86" s="7"/>
    </row>
    <row r="87" spans="6:9" x14ac:dyDescent="0.25">
      <c r="F87" s="2"/>
      <c r="G87" s="2"/>
      <c r="I87" s="7"/>
    </row>
    <row r="88" spans="6:9" x14ac:dyDescent="0.25">
      <c r="F88" s="2"/>
      <c r="G88" s="2"/>
      <c r="I88" s="7"/>
    </row>
    <row r="89" spans="6:9" x14ac:dyDescent="0.25">
      <c r="F89" s="2"/>
      <c r="G89" s="2"/>
      <c r="I89" s="7"/>
    </row>
    <row r="90" spans="6:9" x14ac:dyDescent="0.25">
      <c r="F90" s="2"/>
      <c r="G90" s="2"/>
      <c r="I90" s="7"/>
    </row>
    <row r="91" spans="6:9" x14ac:dyDescent="0.25">
      <c r="F91" s="2"/>
      <c r="G91" s="2"/>
      <c r="I91" s="7"/>
    </row>
    <row r="92" spans="6:9" x14ac:dyDescent="0.25">
      <c r="F92" s="2"/>
      <c r="G92" s="2"/>
      <c r="I92" s="7"/>
    </row>
    <row r="93" spans="6:9" x14ac:dyDescent="0.25">
      <c r="F93" s="2"/>
      <c r="G93" s="2"/>
      <c r="I93" s="7"/>
    </row>
    <row r="94" spans="6:9" x14ac:dyDescent="0.25">
      <c r="F94" s="2"/>
      <c r="G94" s="2"/>
      <c r="I94" s="7"/>
    </row>
    <row r="95" spans="6:9" x14ac:dyDescent="0.25">
      <c r="F95" s="2"/>
      <c r="G95" s="2"/>
      <c r="I95" s="7"/>
    </row>
    <row r="96" spans="6:9" x14ac:dyDescent="0.25">
      <c r="F96" s="2"/>
      <c r="G96" s="2"/>
      <c r="I96" s="7"/>
    </row>
    <row r="97" spans="6:9" x14ac:dyDescent="0.25">
      <c r="F97" s="2"/>
      <c r="G97" s="2"/>
      <c r="I97" s="7"/>
    </row>
    <row r="98" spans="6:9" x14ac:dyDescent="0.25">
      <c r="F98" s="2"/>
      <c r="G98" s="2"/>
      <c r="I98" s="7"/>
    </row>
    <row r="99" spans="6:9" x14ac:dyDescent="0.25">
      <c r="F99" s="2"/>
      <c r="G99" s="2"/>
      <c r="I99" s="7"/>
    </row>
    <row r="100" spans="6:9" x14ac:dyDescent="0.25">
      <c r="F100" s="2"/>
      <c r="G100" s="2"/>
      <c r="I100" s="7"/>
    </row>
    <row r="101" spans="6:9" x14ac:dyDescent="0.25">
      <c r="F101" s="2"/>
      <c r="G101" s="2"/>
      <c r="I101" s="7"/>
    </row>
    <row r="102" spans="6:9" x14ac:dyDescent="0.25">
      <c r="F102" s="2"/>
      <c r="G102" s="2"/>
      <c r="I102" s="7"/>
    </row>
    <row r="103" spans="6:9" x14ac:dyDescent="0.25">
      <c r="F103" s="2"/>
      <c r="G103" s="2"/>
      <c r="I103" s="7"/>
    </row>
    <row r="104" spans="6:9" x14ac:dyDescent="0.25">
      <c r="F104" s="2"/>
      <c r="G104" s="2"/>
      <c r="I104" s="7"/>
    </row>
    <row r="105" spans="6:9" x14ac:dyDescent="0.25">
      <c r="F105" s="2"/>
      <c r="G105" s="2"/>
      <c r="I105" s="7"/>
    </row>
    <row r="106" spans="6:9" x14ac:dyDescent="0.25">
      <c r="F106" s="2"/>
      <c r="G106" s="2"/>
      <c r="I106" s="7"/>
    </row>
    <row r="107" spans="6:9" x14ac:dyDescent="0.25">
      <c r="F107" s="2"/>
      <c r="G107" s="2"/>
      <c r="I107" s="7"/>
    </row>
    <row r="108" spans="6:9" x14ac:dyDescent="0.25">
      <c r="F108" s="2"/>
      <c r="G108" s="2"/>
      <c r="I108" s="7"/>
    </row>
    <row r="109" spans="6:9" x14ac:dyDescent="0.25">
      <c r="F109" s="2"/>
      <c r="G109" s="2"/>
      <c r="I109" s="7"/>
    </row>
    <row r="110" spans="6:9" x14ac:dyDescent="0.25">
      <c r="F110" s="2"/>
      <c r="G110" s="2"/>
      <c r="I110" s="7"/>
    </row>
    <row r="111" spans="6:9" x14ac:dyDescent="0.25">
      <c r="F111" s="2"/>
      <c r="G111" s="2"/>
      <c r="I111" s="7"/>
    </row>
    <row r="112" spans="6:9" x14ac:dyDescent="0.25">
      <c r="F112" s="2"/>
      <c r="G112" s="2"/>
      <c r="I112" s="7"/>
    </row>
    <row r="113" spans="4:9" x14ac:dyDescent="0.25">
      <c r="F113" s="2"/>
      <c r="G113" s="2"/>
      <c r="I113" s="7"/>
    </row>
    <row r="114" spans="4:9" x14ac:dyDescent="0.25">
      <c r="F114" s="2"/>
      <c r="G114" s="2"/>
      <c r="I114" s="7"/>
    </row>
    <row r="115" spans="4:9" x14ac:dyDescent="0.25">
      <c r="F115" s="2"/>
      <c r="G115" s="2"/>
      <c r="I115" s="7"/>
    </row>
    <row r="116" spans="4:9" x14ac:dyDescent="0.25">
      <c r="F116" s="2"/>
      <c r="G116" s="2"/>
      <c r="I116" s="7"/>
    </row>
    <row r="117" spans="4:9" x14ac:dyDescent="0.25">
      <c r="F117" s="2"/>
      <c r="G117" s="2"/>
      <c r="I117" s="7"/>
    </row>
    <row r="118" spans="4:9" x14ac:dyDescent="0.25">
      <c r="F118" s="2"/>
      <c r="G118" s="2"/>
      <c r="I118" s="7"/>
    </row>
    <row r="119" spans="4:9" x14ac:dyDescent="0.25">
      <c r="F119" s="2"/>
      <c r="G119" s="2"/>
      <c r="I119" s="7"/>
    </row>
    <row r="120" spans="4:9" x14ac:dyDescent="0.25">
      <c r="F120" s="2"/>
      <c r="G120" s="2"/>
      <c r="I120" s="8"/>
    </row>
    <row r="121" spans="4:9" x14ac:dyDescent="0.25">
      <c r="F121" s="2"/>
      <c r="G121" s="2"/>
      <c r="I121" s="7"/>
    </row>
    <row r="122" spans="4:9" x14ac:dyDescent="0.25">
      <c r="F122" s="2"/>
      <c r="G122" s="2"/>
      <c r="I122" s="7"/>
    </row>
    <row r="123" spans="4:9" x14ac:dyDescent="0.25">
      <c r="F123" s="2"/>
      <c r="G123" s="2"/>
      <c r="I123" s="7"/>
    </row>
    <row r="124" spans="4:9" x14ac:dyDescent="0.25">
      <c r="F124" s="2"/>
      <c r="G124" s="2"/>
      <c r="I124" s="7"/>
    </row>
    <row r="125" spans="4:9" x14ac:dyDescent="0.25">
      <c r="F125" s="2"/>
      <c r="G125" s="2"/>
      <c r="I125" s="7"/>
    </row>
    <row r="126" spans="4:9" x14ac:dyDescent="0.25">
      <c r="D126" s="6"/>
      <c r="E126" s="6"/>
      <c r="F126" s="2"/>
      <c r="G126" s="2"/>
      <c r="I126" s="7"/>
    </row>
  </sheetData>
  <autoFilter ref="C5:G126" xr:uid="{00000000-0001-0000-0000-000000000000}"/>
  <mergeCells count="1">
    <mergeCell ref="A7:A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9DDF9-8132-46F4-90BF-B4E41AE30F5F}">
  <dimension ref="A1:B31"/>
  <sheetViews>
    <sheetView topLeftCell="A7" workbookViewId="0">
      <selection activeCell="B30" sqref="B30"/>
    </sheetView>
  </sheetViews>
  <sheetFormatPr baseColWidth="10" defaultColWidth="11.42578125" defaultRowHeight="15" x14ac:dyDescent="0.25"/>
  <cols>
    <col min="1" max="1" width="29.42578125" bestFit="1" customWidth="1"/>
    <col min="2" max="2" width="108.42578125" customWidth="1"/>
  </cols>
  <sheetData>
    <row r="1" spans="1:2" x14ac:dyDescent="0.25">
      <c r="A1" s="3" t="s">
        <v>17</v>
      </c>
      <c r="B1" s="5" t="str">
        <f>"{
	|EXT|: {
		|kind|: |context|,
		|@Common.Label|: |Custom|
	},
	|"&amp;Pasos!E2&amp;"|: {
		|kind|: |entity|,
		|@Common.Label|: |EXT "&amp;Pasos!E3&amp;"|,
		|@Analytics.query|: false,
		|@Analytics.dataCategory|: {
			|#|: |CUBE|
		},
		|elements|: {"</f>
        <v>{
	|EXT|: {
		|kind|: |context|,
		|@Common.Label|: |Custom|
	},
	|EXT.CSA_ESTRUCTURA_SVW|: {
		|kind|: |entity|,
		|@Common.Label|: |EXT Estructura Comercial|,
		|@Analytics.query|: false,
		|@Analytics.dataCategory|: {
			|#|: |CUBE|
		},
		|elements|: {</v>
      </c>
    </row>
    <row r="2" spans="1:2" x14ac:dyDescent="0.25">
      <c r="A2" s="3" t="str">
        <f>"Campo "&amp;Pasos!C6</f>
        <v>Campo 1</v>
      </c>
      <c r="B2" t="str">
        <f>"			|"&amp;Pasos!D6&amp;"|: {
				|@Common.Label|: |"&amp;Pasos!E6&amp;"|,
				|type|: |cds."&amp;Pasos!F6&amp;"|,
				|@Analytics."&amp;Pasos!G6&amp;"|: true
			},	"</f>
        <v xml:space="preserve">			|PERIODSEQ|: {
				|@Common.Label|: |EC PERIODSEQ|,
				|type|: |cds.Integer64|,
				|@Analytics.Dimension|: true
			},	</v>
      </c>
    </row>
    <row r="3" spans="1:2" x14ac:dyDescent="0.25">
      <c r="A3" s="3" t="str">
        <f>"Campo "&amp;Pasos!C7</f>
        <v>Campo 2</v>
      </c>
      <c r="B3" t="str">
        <f>"			|"&amp;Pasos!D7&amp;"|: {
				|@Common.Label|: |"&amp;Pasos!E7&amp;"|,
				|type|: |cds."&amp;Pasos!F7&amp;"|,
				|@Analytics."&amp;Pasos!G7&amp;"|: true
			},	"</f>
        <v xml:space="preserve">			|POSITIONSEQ|: {
				|@Common.Label|: |EC POSITIONSEQ|,
				|type|: |cds.Integer64|,
				|@Analytics.Dimension|: true
			},	</v>
      </c>
    </row>
    <row r="4" spans="1:2" x14ac:dyDescent="0.25">
      <c r="A4" s="3" t="str">
        <f>"Campo "&amp;Pasos!C8</f>
        <v>Campo 3</v>
      </c>
      <c r="B4" t="str">
        <f>"			|"&amp;Pasos!D8&amp;"|: {
				|@Common.Label|: |"&amp;Pasos!E8&amp;"|,
				|type|: |cds."&amp;Pasos!F8&amp;"|,
				|@Analytics."&amp;Pasos!G8&amp;"|: true
			},	"</f>
        <v xml:space="preserve">			|PARTICIPANTSEQ|: {
				|@Common.Label|: |EC PARTICIPANTSEQ|,
				|type|: |cds.Integer64|,
				|@Analytics.Dimension|: true
			},	</v>
      </c>
    </row>
    <row r="5" spans="1:2" x14ac:dyDescent="0.25">
      <c r="A5" s="3" t="str">
        <f>"Campo "&amp;Pasos!C9</f>
        <v>Campo 4</v>
      </c>
      <c r="B5" t="str">
        <f>"			|"&amp;Pasos!D9&amp;"|: {
				|@Common.Label|: |"&amp;Pasos!E9&amp;"|,
				|type|: |cds."&amp;Pasos!F9&amp;"|,
				|@Analytics."&amp;Pasos!G9&amp;"|: true
			},	"</f>
        <v xml:space="preserve">			|POSITIONNAME|: {
				|@Common.Label|: |EC Posición|,
				|type|: |cds.String|,
				|@Analytics.Dimension|: true
			},	</v>
      </c>
    </row>
    <row r="6" spans="1:2" x14ac:dyDescent="0.25">
      <c r="A6" s="3" t="str">
        <f>"Campo "&amp;Pasos!C10</f>
        <v>Campo 5</v>
      </c>
      <c r="B6" t="str">
        <f>"			|"&amp;Pasos!D10&amp;"|: {
				|@Common.Label|: |"&amp;Pasos!E10&amp;"|,
				|type|: |cds."&amp;Pasos!F10&amp;"|,
				|@Analytics."&amp;Pasos!G10&amp;"|: true
			},	"</f>
        <v xml:space="preserve">			|PARTICIPANTID|: {
				|@Common.Label|: |EC ID Participante|,
				|type|: |cds.String|,
				|@Analytics.Dimension|: true
			},	</v>
      </c>
    </row>
    <row r="7" spans="1:2" x14ac:dyDescent="0.25">
      <c r="A7" s="3" t="str">
        <f>"Campo "&amp;Pasos!C11</f>
        <v>Campo 6</v>
      </c>
      <c r="B7" t="str">
        <f>"			|"&amp;Pasos!D11&amp;"|: {
				|@Common.Label|: |"&amp;Pasos!E11&amp;"|,
				|type|: |cds."&amp;Pasos!F11&amp;"|,
				|@Analytics."&amp;Pasos!G11&amp;"|: true
			},	"</f>
        <v xml:space="preserve">			|USERID|: {
				|@Common.Label|: |EC Usuario LDAP|,
				|type|: |cds.String|,
				|@Analytics.Dimension|: true
			},	</v>
      </c>
    </row>
    <row r="8" spans="1:2" x14ac:dyDescent="0.25">
      <c r="A8" s="3" t="str">
        <f>"Campo "&amp;Pasos!C12</f>
        <v>Campo 7</v>
      </c>
      <c r="B8" t="str">
        <f>"			|"&amp;Pasos!D12&amp;"|: {
				|@Common.Label|: |"&amp;Pasos!E12&amp;"|,
				|type|: |cds."&amp;Pasos!F12&amp;"|,
				|@Analytics."&amp;Pasos!G12&amp;"|: true
			},	"</f>
        <v xml:space="preserve">			|IDREGIONAL|: {
				|@Common.Label|: |EC ID Regional|,
				|type|: |cds.String|,
				|@Analytics.Dimension|: true
			},	</v>
      </c>
    </row>
    <row r="9" spans="1:2" x14ac:dyDescent="0.25">
      <c r="A9" s="3" t="str">
        <f>"Campo "&amp;Pasos!C13</f>
        <v>Campo 8</v>
      </c>
      <c r="B9" t="str">
        <f>"			|"&amp;Pasos!D13&amp;"|: {
				|@Common.Label|: |"&amp;Pasos!E13&amp;"|,
				|type|: |cds."&amp;Pasos!F13&amp;"|,
				|@Analytics."&amp;Pasos!G13&amp;"|: true
			},	"</f>
        <v xml:space="preserve">			|REGIONAL|: {
				|@Common.Label|: |EC Regional|,
				|type|: |cds.String|,
				|@Analytics.Dimension|: true
			},	</v>
      </c>
    </row>
    <row r="10" spans="1:2" x14ac:dyDescent="0.25">
      <c r="A10" s="3" t="str">
        <f>"Campo "&amp;Pasos!C14</f>
        <v>Campo 9</v>
      </c>
      <c r="B10" t="str">
        <f>"			|"&amp;Pasos!D14&amp;"|: {
				|@Common.Label|: |"&amp;Pasos!E14&amp;"|,
				|type|: |cds."&amp;Pasos!F14&amp;"|,
				|@Analytics."&amp;Pasos!G14&amp;"|: true
			},	"</f>
        <v xml:space="preserve">			|IDSUCURSAL|: {
				|@Common.Label|: |EC ID Sucursal|,
				|type|: |cds.String|,
				|@Analytics.Dimension|: true
			},	</v>
      </c>
    </row>
    <row r="11" spans="1:2" x14ac:dyDescent="0.25">
      <c r="A11" s="3" t="str">
        <f>"Campo "&amp;Pasos!C15</f>
        <v>Campo 10</v>
      </c>
      <c r="B11" t="str">
        <f>"			|"&amp;Pasos!D15&amp;"|: {
				|@Common.Label|: |"&amp;Pasos!E15&amp;"|,
				|type|: |cds."&amp;Pasos!F15&amp;"|,
				|@Analytics."&amp;Pasos!G15&amp;"|: true
			},	"</f>
        <v xml:space="preserve">			|SUCURSAL|: {
				|@Common.Label|: |EC Sucursal|,
				|type|: |cds.String|,
				|@Analytics.Dimension|: true
			},	</v>
      </c>
    </row>
    <row r="12" spans="1:2" x14ac:dyDescent="0.25">
      <c r="A12" s="3" t="str">
        <f>"Campo "&amp;Pasos!C16</f>
        <v>Campo 11</v>
      </c>
      <c r="B12" t="str">
        <f>"			|"&amp;Pasos!D16&amp;"|: {
				|@Common.Label|: |"&amp;Pasos!E16&amp;"|,
				|type|: |cds."&amp;Pasos!F16&amp;"|,
				|@Analytics."&amp;Pasos!G16&amp;"|: true
			},	"</f>
        <v xml:space="preserve">			|IDOFICINA|: {
				|@Common.Label|: |EC ID Oficina|,
				|type|: |cds.String|,
				|@Analytics.Dimension|: true
			},	</v>
      </c>
    </row>
    <row r="13" spans="1:2" x14ac:dyDescent="0.25">
      <c r="A13" s="3" t="str">
        <f>"Campo "&amp;Pasos!C17</f>
        <v>Campo 12</v>
      </c>
      <c r="B13" t="str">
        <f>"			|"&amp;Pasos!D17&amp;"|: {
				|@Common.Label|: |"&amp;Pasos!E17&amp;"|,
				|type|: |cds."&amp;Pasos!F17&amp;"|,
				|@Analytics."&amp;Pasos!G17&amp;"|: true
			},	"</f>
        <v xml:space="preserve">			|OFICINA|: {
				|@Common.Label|: |EC Oficina|,
				|type|: |cds.String|,
				|@Analytics.Dimension|: true
			},	</v>
      </c>
    </row>
    <row r="14" spans="1:2" x14ac:dyDescent="0.25">
      <c r="A14" s="3" t="str">
        <f>"Campo "&amp;Pasos!C18</f>
        <v>Campo 13</v>
      </c>
      <c r="B14" t="str">
        <f>"			|"&amp;Pasos!D18&amp;"|: {
				|@Common.Label|: |"&amp;Pasos!E18&amp;"|,
				|type|: |cds."&amp;Pasos!F18&amp;"|,
				|@Analytics."&amp;Pasos!G18&amp;"|: true
			},	"</f>
        <v xml:space="preserve">			|PV|: {
				|@Common.Label|: |EC ID PV|,
				|type|: |cds.String|,
				|@Analytics.Dimension|: true
			},	</v>
      </c>
    </row>
    <row r="15" spans="1:2" x14ac:dyDescent="0.25">
      <c r="A15" s="3" t="str">
        <f>"Campo "&amp;Pasos!C19</f>
        <v>Campo 14</v>
      </c>
      <c r="B15" t="str">
        <f>"			|"&amp;Pasos!D19&amp;"|: {
				|@Common.Label|: |"&amp;Pasos!E19&amp;"|,
				|type|: |cds."&amp;Pasos!F19&amp;"|,
				|@Analytics."&amp;Pasos!G19&amp;"|: true
			},	"</f>
        <v xml:space="preserve">			|CODIGO|: {
				|@Common.Label|: |EC Código|,
				|type|: |cds.String|,
				|@Analytics.Dimension|: true
			},	</v>
      </c>
    </row>
    <row r="16" spans="1:2" x14ac:dyDescent="0.25">
      <c r="A16" s="3" t="str">
        <f>"Campo "&amp;Pasos!C20</f>
        <v>Campo 15</v>
      </c>
      <c r="B16" t="str">
        <f>"			|"&amp;Pasos!D20&amp;"|: {
				|@Common.Label|: |"&amp;Pasos!E20&amp;"|,
				|type|: |cds."&amp;Pasos!F20&amp;"|,
				|@Analytics."&amp;Pasos!G20&amp;"|: true
			},	"</f>
        <v xml:space="preserve">			|INSPECTOR_NAME|: {
				|@Common.Label|: |Inspector ID|,
				|type|: |cds.String|,
				|@Analytics.Dimension|: true
			},	</v>
      </c>
    </row>
    <row r="17" spans="1:2" x14ac:dyDescent="0.25">
      <c r="A17" s="3" t="str">
        <f>"Campo "&amp;Pasos!C21</f>
        <v>Campo 16</v>
      </c>
      <c r="B17" t="str">
        <f>"			|"&amp;Pasos!D21&amp;"|: {
				|@Common.Label|: |"&amp;Pasos!E21&amp;"|,
				|type|: |cds."&amp;Pasos!F21&amp;"|,
				|@Analytics."&amp;Pasos!G21&amp;"|: true
			},	"</f>
        <v xml:space="preserve">			|INSPECTOR_NIF|: {
				|@Common.Label|: |Inspector NIF|,
				|type|: |cds.String|,
				|@Analytics.Dimension|: true
			},	</v>
      </c>
    </row>
    <row r="18" spans="1:2" x14ac:dyDescent="0.25">
      <c r="A18" s="3" t="str">
        <f>"Campo "&amp;Pasos!C22</f>
        <v>Campo 17</v>
      </c>
      <c r="B18" t="str">
        <f>"			|"&amp;Pasos!D22&amp;"|: {
				|@Common.Label|: |"&amp;Pasos!E22&amp;"|,
				|type|: |cds."&amp;Pasos!F22&amp;"|,
				|@Analytics."&amp;Pasos!G22&amp;"|: true
			},	"</f>
        <v xml:space="preserve">			|INSPECTOR_NOMBRE_COMPLETO|: {
				|@Common.Label|: |Inspector Nombre Completo|,
				|type|: |cds.String|,
				|@Analytics.Dimension|: true
			},	</v>
      </c>
    </row>
    <row r="19" spans="1:2" x14ac:dyDescent="0.25">
      <c r="A19" s="3" t="str">
        <f>"Campo "&amp;Pasos!C23</f>
        <v>Campo 18</v>
      </c>
      <c r="B19" t="str">
        <f>"			|"&amp;Pasos!D23&amp;"|: {
				|@Common.Label|: |"&amp;Pasos!E23&amp;"|,
				|type|: |cds."&amp;Pasos!F23&amp;"|,
				|@Analytics."&amp;Pasos!G23&amp;"|: true
			},	"</f>
        <v xml:space="preserve">			|INSPECTOR_TITLE|: {
				|@Common.Label|: |Inspector Tittle|,
				|type|: |cds.String|,
				|@Analytics.Dimension|: true
			},	</v>
      </c>
    </row>
    <row r="20" spans="1:2" x14ac:dyDescent="0.25">
      <c r="A20" s="3" t="str">
        <f>"Campo "&amp;Pasos!C24</f>
        <v>Campo 19</v>
      </c>
      <c r="B20" t="str">
        <f>"			|"&amp;Pasos!D24&amp;"|: {
				|@Common.Label|: |"&amp;Pasos!E24&amp;"|,
				|type|: |cds."&amp;Pasos!F24&amp;"|,
				|@Analytics."&amp;Pasos!G24&amp;"|: true
			},	"</f>
        <v xml:space="preserve">			|INSPECTOR_LDAP|: {
				|@Common.Label|: |Inspector Usuario LDAP|,
				|type|: |cds.String|,
				|@Analytics.Dimension|: true
			},	</v>
      </c>
    </row>
    <row r="21" spans="1:2" x14ac:dyDescent="0.25">
      <c r="A21" s="3" t="str">
        <f>"Campo "&amp;Pasos!C25</f>
        <v>Campo 20</v>
      </c>
      <c r="B21" t="str">
        <f>"			|"&amp;Pasos!D25&amp;"|: {
				|@Common.Label|: |"&amp;Pasos!E25&amp;"|,
				|type|: |cds."&amp;Pasos!F25&amp;"|,
				|@Analytics."&amp;Pasos!G25&amp;"|: true
			},	"</f>
        <v xml:space="preserve">			|INSPECTOR_IDTIPOAGENTE|: {
				|@Common.Label|: |Inspector ID Tipo|,
				|type|: |cds.Integer|,
				|@Analytics.Dimension|: true
			},	</v>
      </c>
    </row>
    <row r="22" spans="1:2" x14ac:dyDescent="0.25">
      <c r="A22" s="3" t="str">
        <f>"Campo "&amp;Pasos!C26</f>
        <v>Campo 21</v>
      </c>
      <c r="B22" t="str">
        <f>"			|"&amp;Pasos!D26&amp;"|: {
				|@Common.Label|: |"&amp;Pasos!E26&amp;"|,
				|type|: |cds."&amp;Pasos!F26&amp;"|,
				|@Analytics."&amp;Pasos!G26&amp;"|: true
			},	"</f>
        <v xml:space="preserve">			|INSPECTOR_TIPOAGENTE|: {
				|@Common.Label|: |Inspector Tipo|,
				|type|: |cds.String|,
				|@Analytics.Dimension|: true
			},	</v>
      </c>
    </row>
    <row r="23" spans="1:2" x14ac:dyDescent="0.25">
      <c r="A23" s="3" t="str">
        <f>"Campo "&amp;Pasos!C27</f>
        <v>Campo 22</v>
      </c>
      <c r="B23" t="str">
        <f>"			|"&amp;Pasos!D27&amp;"|: {
				|@Common.Label|: |"&amp;Pasos!E27&amp;"|,
				|type|: |cds."&amp;Pasos!F27&amp;"|,
				|@Analytics."&amp;Pasos!G27&amp;"|: true
			},	"</f>
        <v xml:space="preserve">			|INSPCAP_NAME|: {
				|@Common.Label|: |Inspector Capt ID|,
				|type|: |cds.String|,
				|@Analytics.Dimension|: true
			},	</v>
      </c>
    </row>
    <row r="24" spans="1:2" x14ac:dyDescent="0.25">
      <c r="A24" s="3" t="str">
        <f>"Campo "&amp;Pasos!C28</f>
        <v>Campo 23</v>
      </c>
      <c r="B24" t="str">
        <f>"			|"&amp;Pasos!D28&amp;"|: {
				|@Common.Label|: |"&amp;Pasos!E28&amp;"|,
				|type|: |cds."&amp;Pasos!F28&amp;"|,
				|@Analytics."&amp;Pasos!G28&amp;"|: true
			},	"</f>
        <v xml:space="preserve">			|INSPCAP_NIF|: {
				|@Common.Label|: |Inspector Capt NIF|,
				|type|: |cds.String|,
				|@Analytics.Dimension|: true
			},	</v>
      </c>
    </row>
    <row r="25" spans="1:2" x14ac:dyDescent="0.25">
      <c r="A25" s="3" t="str">
        <f>"Campo "&amp;Pasos!C29</f>
        <v>Campo 24</v>
      </c>
      <c r="B25" t="str">
        <f>"			|"&amp;Pasos!D29&amp;"|: {
				|@Common.Label|: |"&amp;Pasos!E29&amp;"|,
				|type|: |cds."&amp;Pasos!F29&amp;"|,
				|@Analytics."&amp;Pasos!G29&amp;"|: true
			},	"</f>
        <v xml:space="preserve">			|INSPCAP_NOMBRE_COMPLETO|: {
				|@Common.Label|: |Inspector Capt Nombre Completo|,
				|type|: |cds.String|,
				|@Analytics.Dimension|: true
			},	</v>
      </c>
    </row>
    <row r="26" spans="1:2" x14ac:dyDescent="0.25">
      <c r="A26" s="3" t="str">
        <f>"Campo "&amp;Pasos!C30</f>
        <v>Campo 25</v>
      </c>
      <c r="B26" t="str">
        <f>"			|"&amp;Pasos!D30&amp;"|: {
				|@Common.Label|: |"&amp;Pasos!E30&amp;"|,
				|type|: |cds."&amp;Pasos!F30&amp;"|,
				|@Analytics."&amp;Pasos!G30&amp;"|: true
			},	"</f>
        <v xml:space="preserve">			|INSPCAP_TITLE|: {
				|@Common.Label|: |Inspector Capt Tittle|,
				|type|: |cds.String|,
				|@Analytics.Dimension|: true
			},	</v>
      </c>
    </row>
    <row r="27" spans="1:2" x14ac:dyDescent="0.25">
      <c r="A27" s="3" t="str">
        <f>"Campo "&amp;Pasos!C31</f>
        <v>Campo 26</v>
      </c>
      <c r="B27" t="str">
        <f>"			|"&amp;Pasos!D31&amp;"|: {
				|@Common.Label|: |"&amp;Pasos!E31&amp;"|,
				|type|: |cds."&amp;Pasos!F31&amp;"|,
				|@Analytics."&amp;Pasos!G31&amp;"|: true
			},	"</f>
        <v xml:space="preserve">			|INSPCAP_LDAP|: {
				|@Common.Label|: |Inspector Capt Usuario LDAP|,
				|type|: |cds.String|,
				|@Analytics.Dimension|: true
			},	</v>
      </c>
    </row>
    <row r="28" spans="1:2" x14ac:dyDescent="0.25">
      <c r="A28" s="3" t="str">
        <f>"Campo "&amp;Pasos!C32</f>
        <v>Campo 27</v>
      </c>
      <c r="B28" t="str">
        <f>"			|"&amp;Pasos!D32&amp;"|: {
				|@Common.Label|: |"&amp;Pasos!E32&amp;"|,
				|type|: |cds."&amp;Pasos!F32&amp;"|,
				|@Analytics."&amp;Pasos!G32&amp;"|: true
			},	"</f>
        <v xml:space="preserve">			|INSPCAP_IDTIPOAGENTE|: {
				|@Common.Label|: |Inspector Capt ID Tipo|,
				|type|: |cds.String|,
				|@Analytics.Dimension|: true
			},	</v>
      </c>
    </row>
    <row r="29" spans="1:2" x14ac:dyDescent="0.25">
      <c r="A29" s="3" t="str">
        <f>"Campo "&amp;Pasos!C33</f>
        <v>Campo 28</v>
      </c>
      <c r="B29" t="str">
        <f>"			|"&amp;Pasos!D33&amp;"|: {
				|@Common.Label|: |"&amp;Pasos!E33&amp;"|,
				|type|: |cds."&amp;Pasos!F33&amp;"|,
				|@Analytics."&amp;Pasos!G33&amp;"|: true
			},	"</f>
        <v xml:space="preserve">			|INSPCAP_TIPOAGENTE|: {
				|@Common.Label|: |Inspector Capt Tipo|,
				|type|: |cds.Integer|,
				|@Analytics.Dimension|: true
			},	</v>
      </c>
    </row>
    <row r="30" spans="1:2" x14ac:dyDescent="0.25">
      <c r="A30" s="3" t="str">
        <f>"Campo "&amp;Pasos!C34&amp;" No incluye coma final"</f>
        <v>Campo 29 No incluye coma final</v>
      </c>
      <c r="B30" t="str">
        <f>"			|"&amp;Pasos!D34&amp;"|: {
				|@Common.Label|: |"&amp;Pasos!E34&amp;"|,
				|type|: |cds."&amp;Pasos!F34&amp;"|,
				|@Analytics."&amp;Pasos!G34&amp;"|: true
			}	"</f>
        <v xml:space="preserve">			|ESTCOUNT|: {
				|@Common.Label|: |ESTCOUNT|,
				|type|: |cds.Integer|,
				|@Analytics.Measure|: true
			}	</v>
      </c>
    </row>
    <row r="31" spans="1:2" x14ac:dyDescent="0.25">
      <c r="A31" s="4" t="s">
        <v>18</v>
      </c>
      <c r="B31"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53D8B-7A33-4153-AE2C-D62F0AE9C5E4}">
  <dimension ref="A1:B122"/>
  <sheetViews>
    <sheetView topLeftCell="A97" workbookViewId="0">
      <selection activeCell="A2" sqref="A2:A122"/>
    </sheetView>
  </sheetViews>
  <sheetFormatPr baseColWidth="10" defaultRowHeight="15" x14ac:dyDescent="0.25"/>
  <cols>
    <col min="1" max="1" width="33.5703125" bestFit="1" customWidth="1"/>
  </cols>
  <sheetData>
    <row r="1" spans="1:2" x14ac:dyDescent="0.25">
      <c r="A1" s="1" t="s">
        <v>20</v>
      </c>
    </row>
    <row r="2" spans="1:2" x14ac:dyDescent="0.25">
      <c r="A2" s="2" t="s">
        <v>35</v>
      </c>
      <c r="B2">
        <f>COUNTIF(A:A,A2)</f>
        <v>1</v>
      </c>
    </row>
    <row r="3" spans="1:2" x14ac:dyDescent="0.25">
      <c r="A3" s="2" t="s">
        <v>36</v>
      </c>
      <c r="B3">
        <f t="shared" ref="B3:B66" si="0">COUNTIF(A:A,A3)</f>
        <v>1</v>
      </c>
    </row>
    <row r="4" spans="1:2" x14ac:dyDescent="0.25">
      <c r="A4" s="2" t="s">
        <v>37</v>
      </c>
      <c r="B4">
        <f t="shared" si="0"/>
        <v>1</v>
      </c>
    </row>
    <row r="5" spans="1:2" x14ac:dyDescent="0.25">
      <c r="A5" s="2" t="s">
        <v>38</v>
      </c>
      <c r="B5">
        <f t="shared" si="0"/>
        <v>1</v>
      </c>
    </row>
    <row r="6" spans="1:2" x14ac:dyDescent="0.25">
      <c r="A6" s="2" t="s">
        <v>54</v>
      </c>
      <c r="B6">
        <f t="shared" si="0"/>
        <v>1</v>
      </c>
    </row>
    <row r="7" spans="1:2" x14ac:dyDescent="0.25">
      <c r="A7" s="2" t="s">
        <v>55</v>
      </c>
      <c r="B7">
        <f t="shared" si="0"/>
        <v>1</v>
      </c>
    </row>
    <row r="8" spans="1:2" x14ac:dyDescent="0.25">
      <c r="A8" s="2" t="s">
        <v>56</v>
      </c>
      <c r="B8">
        <f t="shared" si="0"/>
        <v>1</v>
      </c>
    </row>
    <row r="9" spans="1:2" x14ac:dyDescent="0.25">
      <c r="A9" s="2" t="s">
        <v>57</v>
      </c>
      <c r="B9">
        <f t="shared" si="0"/>
        <v>1</v>
      </c>
    </row>
    <row r="10" spans="1:2" x14ac:dyDescent="0.25">
      <c r="A10" s="2" t="s">
        <v>58</v>
      </c>
      <c r="B10">
        <f t="shared" si="0"/>
        <v>1</v>
      </c>
    </row>
    <row r="11" spans="1:2" x14ac:dyDescent="0.25">
      <c r="A11" s="2" t="s">
        <v>59</v>
      </c>
      <c r="B11">
        <f t="shared" si="0"/>
        <v>1</v>
      </c>
    </row>
    <row r="12" spans="1:2" x14ac:dyDescent="0.25">
      <c r="A12" s="2" t="s">
        <v>11</v>
      </c>
      <c r="B12">
        <f t="shared" si="0"/>
        <v>1</v>
      </c>
    </row>
    <row r="13" spans="1:2" x14ac:dyDescent="0.25">
      <c r="A13" s="2" t="s">
        <v>23</v>
      </c>
      <c r="B13">
        <f t="shared" si="0"/>
        <v>1</v>
      </c>
    </row>
    <row r="14" spans="1:2" x14ac:dyDescent="0.25">
      <c r="A14" s="2" t="s">
        <v>24</v>
      </c>
      <c r="B14">
        <f t="shared" si="0"/>
        <v>1</v>
      </c>
    </row>
    <row r="15" spans="1:2" x14ac:dyDescent="0.25">
      <c r="A15" s="7" t="s">
        <v>39</v>
      </c>
      <c r="B15">
        <f t="shared" si="0"/>
        <v>1</v>
      </c>
    </row>
    <row r="16" spans="1:2" x14ac:dyDescent="0.25">
      <c r="A16" s="7" t="s">
        <v>40</v>
      </c>
      <c r="B16">
        <f t="shared" si="0"/>
        <v>1</v>
      </c>
    </row>
    <row r="17" spans="1:2" x14ac:dyDescent="0.25">
      <c r="A17" s="2" t="s">
        <v>60</v>
      </c>
      <c r="B17">
        <f t="shared" si="0"/>
        <v>1</v>
      </c>
    </row>
    <row r="18" spans="1:2" x14ac:dyDescent="0.25">
      <c r="A18" s="7" t="s">
        <v>41</v>
      </c>
      <c r="B18">
        <f t="shared" si="0"/>
        <v>1</v>
      </c>
    </row>
    <row r="19" spans="1:2" x14ac:dyDescent="0.25">
      <c r="A19" s="7" t="s">
        <v>42</v>
      </c>
      <c r="B19">
        <f t="shared" si="0"/>
        <v>1</v>
      </c>
    </row>
    <row r="20" spans="1:2" x14ac:dyDescent="0.25">
      <c r="A20" s="7" t="s">
        <v>63</v>
      </c>
      <c r="B20">
        <f t="shared" si="0"/>
        <v>1</v>
      </c>
    </row>
    <row r="21" spans="1:2" x14ac:dyDescent="0.25">
      <c r="A21" s="7" t="s">
        <v>44</v>
      </c>
      <c r="B21">
        <f t="shared" si="0"/>
        <v>1</v>
      </c>
    </row>
    <row r="22" spans="1:2" x14ac:dyDescent="0.25">
      <c r="A22" s="7" t="s">
        <v>61</v>
      </c>
      <c r="B22">
        <f t="shared" si="0"/>
        <v>1</v>
      </c>
    </row>
    <row r="23" spans="1:2" x14ac:dyDescent="0.25">
      <c r="A23" s="7" t="s">
        <v>45</v>
      </c>
      <c r="B23">
        <f t="shared" si="0"/>
        <v>1</v>
      </c>
    </row>
    <row r="24" spans="1:2" x14ac:dyDescent="0.25">
      <c r="A24" s="7" t="s">
        <v>46</v>
      </c>
      <c r="B24">
        <f t="shared" si="0"/>
        <v>1</v>
      </c>
    </row>
    <row r="25" spans="1:2" x14ac:dyDescent="0.25">
      <c r="A25" s="7" t="s">
        <v>47</v>
      </c>
      <c r="B25">
        <f t="shared" si="0"/>
        <v>1</v>
      </c>
    </row>
    <row r="26" spans="1:2" x14ac:dyDescent="0.25">
      <c r="A26" t="s">
        <v>27</v>
      </c>
      <c r="B26">
        <f t="shared" si="0"/>
        <v>1</v>
      </c>
    </row>
    <row r="27" spans="1:2" x14ac:dyDescent="0.25">
      <c r="A27" t="s">
        <v>28</v>
      </c>
      <c r="B27">
        <f t="shared" si="0"/>
        <v>1</v>
      </c>
    </row>
    <row r="28" spans="1:2" x14ac:dyDescent="0.25">
      <c r="A28" s="7" t="s">
        <v>48</v>
      </c>
      <c r="B28">
        <f t="shared" si="0"/>
        <v>1</v>
      </c>
    </row>
    <row r="29" spans="1:2" x14ac:dyDescent="0.25">
      <c r="A29" s="7" t="s">
        <v>49</v>
      </c>
      <c r="B29">
        <f t="shared" si="0"/>
        <v>1</v>
      </c>
    </row>
    <row r="30" spans="1:2" x14ac:dyDescent="0.25">
      <c r="A30" s="7" t="s">
        <v>50</v>
      </c>
      <c r="B30">
        <f t="shared" si="0"/>
        <v>1</v>
      </c>
    </row>
    <row r="31" spans="1:2" x14ac:dyDescent="0.25">
      <c r="A31" s="7" t="s">
        <v>51</v>
      </c>
      <c r="B31">
        <f t="shared" si="0"/>
        <v>1</v>
      </c>
    </row>
    <row r="32" spans="1:2" x14ac:dyDescent="0.25">
      <c r="A32" s="7" t="s">
        <v>52</v>
      </c>
      <c r="B32">
        <f t="shared" si="0"/>
        <v>1</v>
      </c>
    </row>
    <row r="33" spans="1:2" x14ac:dyDescent="0.25">
      <c r="A33" s="7" t="s">
        <v>53</v>
      </c>
      <c r="B33">
        <f t="shared" si="0"/>
        <v>1</v>
      </c>
    </row>
    <row r="34" spans="1:2" x14ac:dyDescent="0.25">
      <c r="A34" s="7" t="s">
        <v>62</v>
      </c>
      <c r="B34">
        <f t="shared" si="0"/>
        <v>1</v>
      </c>
    </row>
    <row r="35" spans="1:2" x14ac:dyDescent="0.25">
      <c r="A35" t="s">
        <v>30</v>
      </c>
      <c r="B35">
        <f t="shared" si="0"/>
        <v>1</v>
      </c>
    </row>
    <row r="36" spans="1:2" x14ac:dyDescent="0.25">
      <c r="A36" s="7" t="s">
        <v>64</v>
      </c>
      <c r="B36">
        <f t="shared" si="0"/>
        <v>1</v>
      </c>
    </row>
    <row r="37" spans="1:2" x14ac:dyDescent="0.25">
      <c r="A37" s="7" t="s">
        <v>65</v>
      </c>
      <c r="B37">
        <f t="shared" si="0"/>
        <v>1</v>
      </c>
    </row>
    <row r="38" spans="1:2" x14ac:dyDescent="0.25">
      <c r="A38" s="7" t="s">
        <v>66</v>
      </c>
      <c r="B38">
        <f t="shared" si="0"/>
        <v>1</v>
      </c>
    </row>
    <row r="39" spans="1:2" x14ac:dyDescent="0.25">
      <c r="A39" t="s">
        <v>67</v>
      </c>
      <c r="B39">
        <f t="shared" si="0"/>
        <v>1</v>
      </c>
    </row>
    <row r="40" spans="1:2" x14ac:dyDescent="0.25">
      <c r="A40" t="s">
        <v>68</v>
      </c>
      <c r="B40">
        <f t="shared" si="0"/>
        <v>1</v>
      </c>
    </row>
    <row r="41" spans="1:2" x14ac:dyDescent="0.25">
      <c r="A41" t="s">
        <v>69</v>
      </c>
      <c r="B41">
        <f t="shared" si="0"/>
        <v>1</v>
      </c>
    </row>
    <row r="42" spans="1:2" x14ac:dyDescent="0.25">
      <c r="A42" t="s">
        <v>70</v>
      </c>
      <c r="B42">
        <f t="shared" si="0"/>
        <v>1</v>
      </c>
    </row>
    <row r="43" spans="1:2" x14ac:dyDescent="0.25">
      <c r="A43" t="s">
        <v>146</v>
      </c>
      <c r="B43">
        <f t="shared" si="0"/>
        <v>1</v>
      </c>
    </row>
    <row r="44" spans="1:2" x14ac:dyDescent="0.25">
      <c r="A44" t="s">
        <v>71</v>
      </c>
      <c r="B44">
        <f t="shared" si="0"/>
        <v>1</v>
      </c>
    </row>
    <row r="45" spans="1:2" x14ac:dyDescent="0.25">
      <c r="A45" t="s">
        <v>72</v>
      </c>
      <c r="B45">
        <f t="shared" si="0"/>
        <v>1</v>
      </c>
    </row>
    <row r="46" spans="1:2" x14ac:dyDescent="0.25">
      <c r="A46" t="s">
        <v>73</v>
      </c>
      <c r="B46">
        <f t="shared" si="0"/>
        <v>1</v>
      </c>
    </row>
    <row r="47" spans="1:2" x14ac:dyDescent="0.25">
      <c r="A47" t="s">
        <v>74</v>
      </c>
      <c r="B47">
        <f t="shared" si="0"/>
        <v>1</v>
      </c>
    </row>
    <row r="48" spans="1:2" x14ac:dyDescent="0.25">
      <c r="A48" t="s">
        <v>75</v>
      </c>
      <c r="B48">
        <f t="shared" si="0"/>
        <v>1</v>
      </c>
    </row>
    <row r="49" spans="1:2" x14ac:dyDescent="0.25">
      <c r="A49" t="s">
        <v>76</v>
      </c>
      <c r="B49">
        <f t="shared" si="0"/>
        <v>1</v>
      </c>
    </row>
    <row r="50" spans="1:2" x14ac:dyDescent="0.25">
      <c r="A50" t="s">
        <v>77</v>
      </c>
      <c r="B50">
        <f t="shared" si="0"/>
        <v>1</v>
      </c>
    </row>
    <row r="51" spans="1:2" x14ac:dyDescent="0.25">
      <c r="A51" t="s">
        <v>78</v>
      </c>
      <c r="B51">
        <f t="shared" si="0"/>
        <v>1</v>
      </c>
    </row>
    <row r="52" spans="1:2" x14ac:dyDescent="0.25">
      <c r="A52" t="s">
        <v>79</v>
      </c>
      <c r="B52">
        <f t="shared" si="0"/>
        <v>1</v>
      </c>
    </row>
    <row r="53" spans="1:2" x14ac:dyDescent="0.25">
      <c r="A53" t="s">
        <v>80</v>
      </c>
      <c r="B53">
        <f t="shared" si="0"/>
        <v>1</v>
      </c>
    </row>
    <row r="54" spans="1:2" x14ac:dyDescent="0.25">
      <c r="A54" t="s">
        <v>81</v>
      </c>
      <c r="B54">
        <f t="shared" si="0"/>
        <v>1</v>
      </c>
    </row>
    <row r="55" spans="1:2" x14ac:dyDescent="0.25">
      <c r="A55" t="s">
        <v>82</v>
      </c>
      <c r="B55">
        <f t="shared" si="0"/>
        <v>1</v>
      </c>
    </row>
    <row r="56" spans="1:2" x14ac:dyDescent="0.25">
      <c r="A56" t="s">
        <v>129</v>
      </c>
      <c r="B56">
        <f t="shared" si="0"/>
        <v>1</v>
      </c>
    </row>
    <row r="57" spans="1:2" x14ac:dyDescent="0.25">
      <c r="A57" t="s">
        <v>83</v>
      </c>
      <c r="B57">
        <f t="shared" si="0"/>
        <v>1</v>
      </c>
    </row>
    <row r="58" spans="1:2" x14ac:dyDescent="0.25">
      <c r="A58" t="s">
        <v>84</v>
      </c>
      <c r="B58">
        <f t="shared" si="0"/>
        <v>1</v>
      </c>
    </row>
    <row r="59" spans="1:2" x14ac:dyDescent="0.25">
      <c r="A59" t="s">
        <v>85</v>
      </c>
      <c r="B59">
        <f t="shared" si="0"/>
        <v>1</v>
      </c>
    </row>
    <row r="60" spans="1:2" x14ac:dyDescent="0.25">
      <c r="A60" t="s">
        <v>86</v>
      </c>
      <c r="B60">
        <f t="shared" si="0"/>
        <v>1</v>
      </c>
    </row>
    <row r="61" spans="1:2" x14ac:dyDescent="0.25">
      <c r="A61" t="s">
        <v>87</v>
      </c>
      <c r="B61">
        <f t="shared" si="0"/>
        <v>1</v>
      </c>
    </row>
    <row r="62" spans="1:2" x14ac:dyDescent="0.25">
      <c r="A62" t="s">
        <v>88</v>
      </c>
      <c r="B62">
        <f t="shared" si="0"/>
        <v>1</v>
      </c>
    </row>
    <row r="63" spans="1:2" x14ac:dyDescent="0.25">
      <c r="A63" t="s">
        <v>89</v>
      </c>
      <c r="B63">
        <f t="shared" si="0"/>
        <v>1</v>
      </c>
    </row>
    <row r="64" spans="1:2" x14ac:dyDescent="0.25">
      <c r="A64" t="s">
        <v>90</v>
      </c>
      <c r="B64">
        <f t="shared" si="0"/>
        <v>1</v>
      </c>
    </row>
    <row r="65" spans="1:2" x14ac:dyDescent="0.25">
      <c r="A65" t="s">
        <v>91</v>
      </c>
      <c r="B65">
        <f t="shared" si="0"/>
        <v>1</v>
      </c>
    </row>
    <row r="66" spans="1:2" x14ac:dyDescent="0.25">
      <c r="A66" t="s">
        <v>92</v>
      </c>
      <c r="B66">
        <f t="shared" si="0"/>
        <v>1</v>
      </c>
    </row>
    <row r="67" spans="1:2" x14ac:dyDescent="0.25">
      <c r="A67" t="s">
        <v>93</v>
      </c>
      <c r="B67">
        <f t="shared" ref="B67:B122" si="1">COUNTIF(A:A,A67)</f>
        <v>1</v>
      </c>
    </row>
    <row r="68" spans="1:2" x14ac:dyDescent="0.25">
      <c r="A68" t="s">
        <v>94</v>
      </c>
      <c r="B68">
        <f t="shared" si="1"/>
        <v>1</v>
      </c>
    </row>
    <row r="69" spans="1:2" x14ac:dyDescent="0.25">
      <c r="A69" t="s">
        <v>95</v>
      </c>
      <c r="B69">
        <f t="shared" si="1"/>
        <v>1</v>
      </c>
    </row>
    <row r="70" spans="1:2" x14ac:dyDescent="0.25">
      <c r="A70" t="s">
        <v>96</v>
      </c>
      <c r="B70">
        <f t="shared" si="1"/>
        <v>1</v>
      </c>
    </row>
    <row r="71" spans="1:2" x14ac:dyDescent="0.25">
      <c r="A71" t="s">
        <v>97</v>
      </c>
      <c r="B71">
        <f t="shared" si="1"/>
        <v>1</v>
      </c>
    </row>
    <row r="72" spans="1:2" x14ac:dyDescent="0.25">
      <c r="A72" t="s">
        <v>98</v>
      </c>
      <c r="B72">
        <f t="shared" si="1"/>
        <v>1</v>
      </c>
    </row>
    <row r="73" spans="1:2" x14ac:dyDescent="0.25">
      <c r="A73" t="s">
        <v>99</v>
      </c>
      <c r="B73">
        <f t="shared" si="1"/>
        <v>1</v>
      </c>
    </row>
    <row r="74" spans="1:2" x14ac:dyDescent="0.25">
      <c r="A74" t="s">
        <v>145</v>
      </c>
      <c r="B74">
        <f t="shared" si="1"/>
        <v>1</v>
      </c>
    </row>
    <row r="75" spans="1:2" x14ac:dyDescent="0.25">
      <c r="A75" t="s">
        <v>100</v>
      </c>
      <c r="B75">
        <f t="shared" si="1"/>
        <v>1</v>
      </c>
    </row>
    <row r="76" spans="1:2" x14ac:dyDescent="0.25">
      <c r="A76" t="s">
        <v>101</v>
      </c>
      <c r="B76">
        <f t="shared" si="1"/>
        <v>1</v>
      </c>
    </row>
    <row r="77" spans="1:2" x14ac:dyDescent="0.25">
      <c r="A77" t="s">
        <v>102</v>
      </c>
      <c r="B77">
        <f t="shared" si="1"/>
        <v>1</v>
      </c>
    </row>
    <row r="78" spans="1:2" x14ac:dyDescent="0.25">
      <c r="A78" t="s">
        <v>103</v>
      </c>
      <c r="B78">
        <f t="shared" si="1"/>
        <v>1</v>
      </c>
    </row>
    <row r="79" spans="1:2" x14ac:dyDescent="0.25">
      <c r="A79" t="s">
        <v>104</v>
      </c>
      <c r="B79">
        <f t="shared" si="1"/>
        <v>1</v>
      </c>
    </row>
    <row r="80" spans="1:2" x14ac:dyDescent="0.25">
      <c r="A80" t="s">
        <v>105</v>
      </c>
      <c r="B80">
        <f t="shared" si="1"/>
        <v>1</v>
      </c>
    </row>
    <row r="81" spans="1:2" x14ac:dyDescent="0.25">
      <c r="A81" t="s">
        <v>106</v>
      </c>
      <c r="B81">
        <f t="shared" si="1"/>
        <v>1</v>
      </c>
    </row>
    <row r="82" spans="1:2" x14ac:dyDescent="0.25">
      <c r="A82" t="s">
        <v>107</v>
      </c>
      <c r="B82">
        <f t="shared" si="1"/>
        <v>1</v>
      </c>
    </row>
    <row r="83" spans="1:2" x14ac:dyDescent="0.25">
      <c r="A83" t="s">
        <v>108</v>
      </c>
      <c r="B83">
        <f t="shared" si="1"/>
        <v>1</v>
      </c>
    </row>
    <row r="84" spans="1:2" x14ac:dyDescent="0.25">
      <c r="A84" t="s">
        <v>109</v>
      </c>
      <c r="B84">
        <f t="shared" si="1"/>
        <v>1</v>
      </c>
    </row>
    <row r="85" spans="1:2" x14ac:dyDescent="0.25">
      <c r="A85" t="s">
        <v>110</v>
      </c>
      <c r="B85">
        <f t="shared" si="1"/>
        <v>1</v>
      </c>
    </row>
    <row r="86" spans="1:2" x14ac:dyDescent="0.25">
      <c r="A86" t="s">
        <v>111</v>
      </c>
      <c r="B86">
        <f t="shared" si="1"/>
        <v>1</v>
      </c>
    </row>
    <row r="87" spans="1:2" x14ac:dyDescent="0.25">
      <c r="A87" t="s">
        <v>112</v>
      </c>
      <c r="B87">
        <f t="shared" si="1"/>
        <v>1</v>
      </c>
    </row>
    <row r="88" spans="1:2" x14ac:dyDescent="0.25">
      <c r="A88" t="s">
        <v>113</v>
      </c>
      <c r="B88">
        <f t="shared" si="1"/>
        <v>1</v>
      </c>
    </row>
    <row r="89" spans="1:2" x14ac:dyDescent="0.25">
      <c r="A89" t="s">
        <v>114</v>
      </c>
      <c r="B89">
        <f t="shared" si="1"/>
        <v>1</v>
      </c>
    </row>
    <row r="90" spans="1:2" x14ac:dyDescent="0.25">
      <c r="A90" t="s">
        <v>130</v>
      </c>
      <c r="B90">
        <f t="shared" si="1"/>
        <v>1</v>
      </c>
    </row>
    <row r="91" spans="1:2" x14ac:dyDescent="0.25">
      <c r="A91" t="s">
        <v>115</v>
      </c>
      <c r="B91">
        <f t="shared" si="1"/>
        <v>1</v>
      </c>
    </row>
    <row r="92" spans="1:2" x14ac:dyDescent="0.25">
      <c r="A92" t="s">
        <v>116</v>
      </c>
      <c r="B92">
        <f t="shared" si="1"/>
        <v>1</v>
      </c>
    </row>
    <row r="93" spans="1:2" x14ac:dyDescent="0.25">
      <c r="A93" t="s">
        <v>117</v>
      </c>
      <c r="B93">
        <f t="shared" si="1"/>
        <v>1</v>
      </c>
    </row>
    <row r="94" spans="1:2" x14ac:dyDescent="0.25">
      <c r="A94" t="s">
        <v>118</v>
      </c>
      <c r="B94">
        <f t="shared" si="1"/>
        <v>1</v>
      </c>
    </row>
    <row r="95" spans="1:2" x14ac:dyDescent="0.25">
      <c r="A95" t="s">
        <v>119</v>
      </c>
      <c r="B95">
        <f t="shared" si="1"/>
        <v>1</v>
      </c>
    </row>
    <row r="96" spans="1:2" x14ac:dyDescent="0.25">
      <c r="A96" t="s">
        <v>120</v>
      </c>
      <c r="B96">
        <f t="shared" si="1"/>
        <v>1</v>
      </c>
    </row>
    <row r="97" spans="1:2" x14ac:dyDescent="0.25">
      <c r="A97" t="s">
        <v>121</v>
      </c>
      <c r="B97">
        <f t="shared" si="1"/>
        <v>1</v>
      </c>
    </row>
    <row r="98" spans="1:2" x14ac:dyDescent="0.25">
      <c r="A98" t="s">
        <v>122</v>
      </c>
      <c r="B98">
        <f t="shared" si="1"/>
        <v>1</v>
      </c>
    </row>
    <row r="99" spans="1:2" x14ac:dyDescent="0.25">
      <c r="A99" t="s">
        <v>123</v>
      </c>
      <c r="B99">
        <f t="shared" si="1"/>
        <v>1</v>
      </c>
    </row>
    <row r="100" spans="1:2" x14ac:dyDescent="0.25">
      <c r="A100" t="s">
        <v>124</v>
      </c>
      <c r="B100">
        <f t="shared" si="1"/>
        <v>1</v>
      </c>
    </row>
    <row r="101" spans="1:2" x14ac:dyDescent="0.25">
      <c r="A101" t="s">
        <v>125</v>
      </c>
      <c r="B101">
        <f t="shared" si="1"/>
        <v>1</v>
      </c>
    </row>
    <row r="102" spans="1:2" x14ac:dyDescent="0.25">
      <c r="A102" t="s">
        <v>126</v>
      </c>
      <c r="B102">
        <f t="shared" si="1"/>
        <v>1</v>
      </c>
    </row>
    <row r="103" spans="1:2" x14ac:dyDescent="0.25">
      <c r="A103" t="s">
        <v>127</v>
      </c>
      <c r="B103">
        <f t="shared" si="1"/>
        <v>1</v>
      </c>
    </row>
    <row r="104" spans="1:2" x14ac:dyDescent="0.25">
      <c r="A104" t="s">
        <v>139</v>
      </c>
      <c r="B104">
        <f t="shared" si="1"/>
        <v>1</v>
      </c>
    </row>
    <row r="105" spans="1:2" x14ac:dyDescent="0.25">
      <c r="A105" t="s">
        <v>140</v>
      </c>
      <c r="B105">
        <f t="shared" si="1"/>
        <v>1</v>
      </c>
    </row>
    <row r="106" spans="1:2" x14ac:dyDescent="0.25">
      <c r="A106" t="s">
        <v>131</v>
      </c>
      <c r="B106">
        <f t="shared" si="1"/>
        <v>1</v>
      </c>
    </row>
    <row r="107" spans="1:2" x14ac:dyDescent="0.25">
      <c r="A107" t="s">
        <v>132</v>
      </c>
      <c r="B107">
        <f t="shared" si="1"/>
        <v>1</v>
      </c>
    </row>
    <row r="108" spans="1:2" x14ac:dyDescent="0.25">
      <c r="A108" t="s">
        <v>141</v>
      </c>
      <c r="B108">
        <f t="shared" si="1"/>
        <v>1</v>
      </c>
    </row>
    <row r="109" spans="1:2" x14ac:dyDescent="0.25">
      <c r="A109" t="s">
        <v>142</v>
      </c>
      <c r="B109">
        <f t="shared" si="1"/>
        <v>1</v>
      </c>
    </row>
    <row r="110" spans="1:2" x14ac:dyDescent="0.25">
      <c r="A110" t="s">
        <v>143</v>
      </c>
      <c r="B110">
        <f t="shared" si="1"/>
        <v>1</v>
      </c>
    </row>
    <row r="111" spans="1:2" x14ac:dyDescent="0.25">
      <c r="A111" t="s">
        <v>144</v>
      </c>
      <c r="B111">
        <f t="shared" si="1"/>
        <v>1</v>
      </c>
    </row>
    <row r="112" spans="1:2" x14ac:dyDescent="0.25">
      <c r="A112" t="s">
        <v>133</v>
      </c>
      <c r="B112">
        <f t="shared" si="1"/>
        <v>1</v>
      </c>
    </row>
    <row r="113" spans="1:2" x14ac:dyDescent="0.25">
      <c r="A113" t="s">
        <v>134</v>
      </c>
      <c r="B113">
        <f t="shared" si="1"/>
        <v>1</v>
      </c>
    </row>
    <row r="114" spans="1:2" x14ac:dyDescent="0.25">
      <c r="A114" t="s">
        <v>128</v>
      </c>
      <c r="B114">
        <f t="shared" si="1"/>
        <v>1</v>
      </c>
    </row>
    <row r="115" spans="1:2" x14ac:dyDescent="0.25">
      <c r="A115" t="s">
        <v>135</v>
      </c>
      <c r="B115">
        <f t="shared" si="1"/>
        <v>1</v>
      </c>
    </row>
    <row r="116" spans="1:2" x14ac:dyDescent="0.25">
      <c r="A116" t="s">
        <v>31</v>
      </c>
      <c r="B116">
        <f t="shared" si="1"/>
        <v>1</v>
      </c>
    </row>
    <row r="117" spans="1:2" x14ac:dyDescent="0.25">
      <c r="A117" t="s">
        <v>136</v>
      </c>
      <c r="B117">
        <f t="shared" si="1"/>
        <v>1</v>
      </c>
    </row>
    <row r="118" spans="1:2" x14ac:dyDescent="0.25">
      <c r="A118" t="s">
        <v>137</v>
      </c>
      <c r="B118">
        <f t="shared" si="1"/>
        <v>1</v>
      </c>
    </row>
    <row r="119" spans="1:2" x14ac:dyDescent="0.25">
      <c r="A119" t="s">
        <v>138</v>
      </c>
      <c r="B119">
        <f t="shared" si="1"/>
        <v>1</v>
      </c>
    </row>
    <row r="120" spans="1:2" x14ac:dyDescent="0.25">
      <c r="A120" t="s">
        <v>32</v>
      </c>
      <c r="B120">
        <f t="shared" si="1"/>
        <v>1</v>
      </c>
    </row>
    <row r="121" spans="1:2" x14ac:dyDescent="0.25">
      <c r="A121" t="s">
        <v>33</v>
      </c>
      <c r="B121">
        <f t="shared" si="1"/>
        <v>1</v>
      </c>
    </row>
    <row r="122" spans="1:2" x14ac:dyDescent="0.25">
      <c r="A122" s="6" t="s">
        <v>34</v>
      </c>
      <c r="B122">
        <f t="shared" si="1"/>
        <v>1</v>
      </c>
    </row>
  </sheetData>
  <autoFilter ref="A1:B122" xr:uid="{F9F53D8B-7A33-4153-AE2C-D62F0AE9C5E4}"/>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FBF7547C50C704D8BE6B6BC0125EC0F" ma:contentTypeVersion="19" ma:contentTypeDescription="Crear nuevo documento." ma:contentTypeScope="" ma:versionID="415d605c90a63590c859335d56cddcca">
  <xsd:schema xmlns:xsd="http://www.w3.org/2001/XMLSchema" xmlns:xs="http://www.w3.org/2001/XMLSchema" xmlns:p="http://schemas.microsoft.com/office/2006/metadata/properties" xmlns:ns2="74aabce8-07d4-41f4-ae9d-00986ff236b0" xmlns:ns3="6cbf7dea-2e0e-4825-99ee-59fffad27bf9" targetNamespace="http://schemas.microsoft.com/office/2006/metadata/properties" ma:root="true" ma:fieldsID="8f054e2fc44f4c111e1e75be53996455" ns2:_="" ns3:_="">
    <xsd:import namespace="74aabce8-07d4-41f4-ae9d-00986ff236b0"/>
    <xsd:import namespace="6cbf7dea-2e0e-4825-99ee-59fffad27bf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abce8-07d4-41f4-ae9d-00986ff236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033cba9b-c3d3-44a5-bbb1-a5b8b954791f"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cbf7dea-2e0e-4825-99ee-59fffad27bf9"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60f5b563-3faf-4724-b47f-025919d426bd}" ma:internalName="TaxCatchAll" ma:showField="CatchAllData" ma:web="6cbf7dea-2e0e-4825-99ee-59fffad27bf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abce8-07d4-41f4-ae9d-00986ff236b0">
      <Terms xmlns="http://schemas.microsoft.com/office/infopath/2007/PartnerControls"/>
    </lcf76f155ced4ddcb4097134ff3c332f>
    <TaxCatchAll xmlns="6cbf7dea-2e0e-4825-99ee-59fffad27bf9" xsi:nil="true"/>
  </documentManagement>
</p:properties>
</file>

<file path=customXml/itemProps1.xml><?xml version="1.0" encoding="utf-8"?>
<ds:datastoreItem xmlns:ds="http://schemas.openxmlformats.org/officeDocument/2006/customXml" ds:itemID="{6118CB49-CCCC-4955-95B4-BF2CFC2020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aabce8-07d4-41f4-ae9d-00986ff236b0"/>
    <ds:schemaRef ds:uri="6cbf7dea-2e0e-4825-99ee-59fffad27b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5419EB9-3F80-49A5-9DBC-5602C3AA9065}">
  <ds:schemaRefs>
    <ds:schemaRef ds:uri="http://schemas.microsoft.com/sharepoint/v3/contenttype/forms"/>
  </ds:schemaRefs>
</ds:datastoreItem>
</file>

<file path=customXml/itemProps3.xml><?xml version="1.0" encoding="utf-8"?>
<ds:datastoreItem xmlns:ds="http://schemas.openxmlformats.org/officeDocument/2006/customXml" ds:itemID="{05D54474-DA43-45C4-81FC-C1C669E42A8B}">
  <ds:schemaRefs>
    <ds:schemaRef ds:uri="http://schemas.microsoft.com/office/2006/documentManagement/types"/>
    <ds:schemaRef ds:uri="http://purl.org/dc/dcmitype/"/>
    <ds:schemaRef ds:uri="http://purl.org/dc/terms/"/>
    <ds:schemaRef ds:uri="http://purl.org/dc/elements/1.1/"/>
    <ds:schemaRef ds:uri="74aabce8-07d4-41f4-ae9d-00986ff236b0"/>
    <ds:schemaRef ds:uri="http://www.w3.org/XML/1998/namespace"/>
    <ds:schemaRef ds:uri="6cbf7dea-2e0e-4825-99ee-59fffad27bf9"/>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Pasos</vt:lpstr>
      <vt:lpstr>Template</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Lidia Lipe Schlieper</dc:creator>
  <cp:keywords/>
  <dc:description/>
  <cp:lastModifiedBy>Lidia Lipe Schlieper</cp:lastModifiedBy>
  <cp:revision/>
  <dcterms:created xsi:type="dcterms:W3CDTF">2015-06-05T18:17:20Z</dcterms:created>
  <dcterms:modified xsi:type="dcterms:W3CDTF">2025-02-21T13:12:18Z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0x0101009FBF7547C50C704D8BE6B6BC0125EC0F</vt:lpwstr>
  </property>
  <property fmtid="{D5CDD505-2E9C-101B-9397-08002B2CF9AE}" pid="3" name="MediaServiceImageTags">
    <vt:lpwstr/>
  </property>
</Properties>
</file>